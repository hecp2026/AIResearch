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d512f5c95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理驾驶舱" sheetId="1" r:id="R81a4ecc60065497c"/>
    <x:sheet xmlns:r="http://schemas.openxmlformats.org/officeDocument/2006/relationships" name="说明" sheetId="2" r:id="Rdf3a80519c794fa9"/>
    <x:sheet xmlns:r="http://schemas.openxmlformats.org/officeDocument/2006/relationships" name="参数假设" sheetId="3" r:id="Rb9f43c41173e47a4"/>
    <x:sheet xmlns:r="http://schemas.openxmlformats.org/officeDocument/2006/relationships" name="流量采购明细" sheetId="4" r:id="R05a32fa44e2d45d0"/>
    <x:sheet xmlns:r="http://schemas.openxmlformats.org/officeDocument/2006/relationships" name="漏斗绩效明细" sheetId="5" r:id="R85266d4016234167"/>
    <x:sheet xmlns:r="http://schemas.openxmlformats.org/officeDocument/2006/relationships" name="Amazon订单明细" sheetId="6" r:id="R71f19c3360074d6e"/>
    <x:sheet xmlns:r="http://schemas.openxmlformats.org/officeDocument/2006/relationships" name="运营成本明细" sheetId="7" r:id="R44c0726b06c7464c"/>
    <x:sheet xmlns:r="http://schemas.openxmlformats.org/officeDocument/2006/relationships" name="月度分析" sheetId="8" r:id="R36b6ae64f0a14606"/>
    <x:sheet xmlns:r="http://schemas.openxmlformats.org/officeDocument/2006/relationships" name="渠道分析" sheetId="9" r:id="Rd4e3e9240886491e"/>
    <x:sheet xmlns:r="http://schemas.openxmlformats.org/officeDocument/2006/relationships" name="活动分析" sheetId="10" r:id="R681a289a612340aa"/>
    <x:sheet xmlns:r="http://schemas.openxmlformats.org/officeDocument/2006/relationships" name="品类分析" sheetId="11" r:id="Rd994851afde548c0"/>
    <x:sheet xmlns:r="http://schemas.openxmlformats.org/officeDocument/2006/relationships" name="检查" sheetId="12" r:id="R4dba277d4165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%"/>
    <x:numFmt numFmtId="201" formatCode="yyyy-mm-dd"/>
    <x:numFmt numFmtId="202" formatCode="#,##0"/>
    <x:numFmt numFmtId="203" formatCode="0.00%"/>
    <x:numFmt numFmtId="204" formatCode="$#,##0.00"/>
    <x:numFmt numFmtId="205" formatCode="yyyy-mm-dd hh:mm"/>
    <x:numFmt numFmtId="206" formatCode="$#,##0.00;[Red]($#,##0.00);-"/>
    <x:numFmt numFmtId="207" formatCode="0.00"/>
    <x:numFmt numFmtId="208" formatCode="$#,##0"/>
    <x:numFmt numFmtId="209" formatCode="$#,##0;[Red]($#,##0);-"/>
  </x:numFmts>
  <x:fonts count="16">
    <x:font>
      <x:sz val="11"/>
      <x:name val="Carlito"/>
    </x:font>
    <x:font>
      <x:b/>
      <x:sz val="20"/>
      <x:color rgb="FFFFFFFF"/>
      <x:name val="Carlito"/>
    </x:font>
    <x:font>
      <x:sz val="10"/>
      <x:color rgb="FF172B4D"/>
      <x:name val="Carlito"/>
    </x:font>
    <x:font>
      <x:b/>
      <x:sz val="11"/>
      <x:color rgb="FFFFFFFF"/>
      <x:name val="Carlito"/>
    </x:font>
    <x:font>
      <x:b/>
      <x:sz val="11"/>
      <x:color rgb="FF172B4D"/>
      <x:name val="Carlito"/>
    </x:font>
    <x:font>
      <x:b/>
      <x:sz val="11"/>
      <x:color rgb="FFD97706"/>
      <x:name val="Carlito"/>
    </x:font>
    <x:font>
      <x:sz val="11"/>
      <x:color rgb="FF172B4D"/>
      <x:name val="Carlito"/>
    </x:font>
    <x:font>
      <x:b/>
      <x:sz val="11"/>
      <x:color rgb="FF0F766E"/>
      <x:name val="Carlito"/>
    </x:font>
    <x:font>
      <x:b/>
      <x:sz val="9"/>
      <x:color rgb="FF172B4D"/>
      <x:name val="Microsoft YaHei"/>
    </x:font>
    <x:font>
      <x:sz val="9"/>
      <x:color rgb="FF172B4D"/>
      <x:name val="Microsoft YaHei"/>
    </x:font>
    <x:font>
      <x:b/>
      <x:sz val="10"/>
      <x:color rgb="FF5B6B7A"/>
      <x:name val="Carlito"/>
    </x:font>
    <x:font>
      <x:b/>
      <x:sz val="18"/>
      <x:color rgb="FF172B4D"/>
      <x:name val="Carlito"/>
    </x:font>
    <x:font>
      <x:b/>
      <x:sz val="18"/>
      <x:color rgb="FF0F766E"/>
      <x:name val="Carlito"/>
    </x:font>
    <x:font>
      <x:b/>
      <x:sz val="14"/>
      <x:color rgb="FF2563EB"/>
      <x:name val="Carlito"/>
    </x:font>
    <x:font>
      <x:sz val="9"/>
      <x:color rgb="FF5B6B7A"/>
      <x:name val="Carlito"/>
    </x:font>
    <x:font>
      <x:b/>
      <x:sz val="9"/>
      <x:color rgb="FFD97706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CEAF7"/>
      </x:patternFill>
    </x:fill>
    <x:fill>
      <x:patternFill patternType="solid">
        <x:fgColor rgb="FF0F766E"/>
      </x:patternFill>
    </x:fill>
    <x:fill>
      <x:patternFill patternType="solid">
        <x:fgColor rgb="FFF5F7FA"/>
      </x:patternFill>
    </x:fill>
    <x:fill>
      <x:patternFill patternType="solid">
        <x:fgColor rgb="FFFFF4D6"/>
      </x:patternFill>
    </x:fill>
    <x:fill>
      <x:patternFill patternType="solid">
        <x:fgColor rgb="FFFFFBEB"/>
      </x:patternFill>
    </x:fill>
    <x:fill>
      <x:patternFill patternType="solid">
        <x:fgColor rgb="FFFFF7CC"/>
      </x:patternFill>
    </x:fill>
    <x:fill>
      <x:patternFill patternType="solid">
        <x:fgColor rgb="FFE7F6F2"/>
      </x:patternFill>
    </x:fill>
    <x:fill>
      <x:patternFill patternType="solid">
        <x:fgColor rgb="FFF4FBF8"/>
      </x:patternFill>
    </x:fill>
    <x:fill>
      <x:patternFill patternType="solid">
        <x:fgColor rgb="FFE8F1FF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</x:fills>
  <x:borders count="44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F3D08A"/>
      </x:left>
      <x:top style="thin">
        <x:color rgb="FFF3D08A"/>
      </x:top>
    </x:border>
    <x:border>
      <x:top style="thin">
        <x:color rgb="FFF3D08A"/>
      </x:top>
    </x:border>
    <x:border>
      <x:right style="thin">
        <x:color rgb="FFF3D08A"/>
      </x:right>
      <x:top style="thin">
        <x:color rgb="FFF3D08A"/>
      </x:top>
    </x:border>
    <x:border>
      <x:left style="thin">
        <x:color rgb="FFF3D08A"/>
      </x:left>
    </x:border>
    <x:border>
      <x:right style="thin">
        <x:color rgb="FFF3D08A"/>
      </x:right>
    </x:border>
    <x:border>
      <x:left style="thin">
        <x:color rgb="FFF3D08A"/>
      </x:left>
      <x:bottom style="thin">
        <x:color rgb="FFF3D08A"/>
      </x:bottom>
    </x:border>
    <x:border>
      <x:bottom style="thin">
        <x:color rgb="FFF3D08A"/>
      </x:bottom>
    </x:border>
    <x:border>
      <x:right style="thin">
        <x:color rgb="FFF3D08A"/>
      </x:right>
      <x:bottom style="thin">
        <x:color rgb="FFF3D08A"/>
      </x:bottom>
    </x:border>
    <x:border>
      <x:top style="thin">
        <x:color rgb="FF0F766E"/>
      </x:top>
      <x:bottom style="thin">
        <x:color rgb="FF0F766E"/>
      </x:bottom>
    </x:border>
    <x:border>
      <x:left style="thin">
        <x:color rgb="FFB9DFD6"/>
      </x:left>
      <x:top style="thin">
        <x:color rgb="FFB9DFD6"/>
      </x:top>
    </x:border>
    <x:border>
      <x:top style="thin">
        <x:color rgb="FFB9DFD6"/>
      </x:top>
    </x:border>
    <x:border>
      <x:right style="thin">
        <x:color rgb="FFB9DFD6"/>
      </x:right>
      <x:top style="thin">
        <x:color rgb="FFB9DFD6"/>
      </x:top>
    </x:border>
    <x:border>
      <x:left style="thin">
        <x:color rgb="FFB9DFD6"/>
      </x:left>
    </x:border>
    <x:border>
      <x:right style="thin">
        <x:color rgb="FFB9DFD6"/>
      </x:right>
    </x:border>
    <x:border>
      <x:left style="thin">
        <x:color rgb="FFB9DFD6"/>
      </x:left>
      <x:bottom style="thin">
        <x:color rgb="FFB9DFD6"/>
      </x:bottom>
    </x:border>
    <x:border>
      <x:bottom style="thin">
        <x:color rgb="FFB9DFD6"/>
      </x:bottom>
    </x:border>
    <x:border>
      <x:right style="thin">
        <x:color rgb="FFB9DFD6"/>
      </x:right>
      <x:bottom style="thin">
        <x:color rgb="FFB9DFD6"/>
      </x:bottom>
    </x:border>
    <x:border>
      <x:left style="thin">
        <x:color rgb="FF0F766E"/>
      </x:left>
      <x:top style="thin">
        <x:color rgb="FF0F766E"/>
      </x:top>
      <x:bottom style="hair">
        <x:color rgb="FFE7ECF2"/>
      </x:bottom>
    </x:border>
    <x:border>
      <x:top style="thin">
        <x:color rgb="FF0F766E"/>
      </x:top>
      <x:bottom style="hair">
        <x:color rgb="FFE7ECF2"/>
      </x:bottom>
    </x:border>
    <x:border>
      <x:left style="thin">
        <x:color rgb="FF0F766E"/>
      </x:left>
      <x:top style="hair">
        <x:color rgb="FFE7ECF2"/>
      </x:top>
      <x:bottom style="hair">
        <x:color rgb="FFE7ECF2"/>
      </x:bottom>
    </x:border>
    <x:border>
      <x:top style="hair">
        <x:color rgb="FFE7ECF2"/>
      </x:top>
      <x:bottom style="hair">
        <x:color rgb="FFE7ECF2"/>
      </x:bottom>
    </x:border>
    <x:border>
      <x:left style="thin">
        <x:color rgb="FF0F766E"/>
      </x:left>
      <x:top style="hair">
        <x:color rgb="FFE7ECF2"/>
      </x:top>
      <x:bottom style="thin">
        <x:color rgb="FF0F766E"/>
      </x:bottom>
    </x:border>
    <x:border>
      <x:top style="hair">
        <x:color rgb="FFE7ECF2"/>
      </x:top>
      <x:bottom style="thin">
        <x:color rgb="FF0F766E"/>
      </x:bottom>
    </x:border>
    <x:border>
      <x:left style="thin">
        <x:color rgb="FFD8E1EA"/>
      </x:left>
      <x:top style="thin">
        <x:color rgb="FFD8E1EA"/>
      </x:top>
    </x:border>
    <x:border>
      <x:top style="thin">
        <x:color rgb="FFD8E1EA"/>
      </x:top>
    </x:border>
    <x:border>
      <x:right style="thin">
        <x:color rgb="FFD8E1EA"/>
      </x:right>
      <x:top style="thin">
        <x:color rgb="FFD8E1EA"/>
      </x:top>
    </x:border>
    <x:border>
      <x:left style="thin">
        <x:color rgb="FFD8E1EA"/>
      </x:left>
      <x:bottom style="thin">
        <x:color rgb="FFD8E1EA"/>
      </x:bottom>
    </x:border>
    <x:border>
      <x:bottom style="thin">
        <x:color rgb="FFD8E1EA"/>
      </x:bottom>
    </x:border>
    <x:border>
      <x:right style="thin">
        <x:color rgb="FFD8E1EA"/>
      </x:right>
      <x:bottom style="thin">
        <x:color rgb="FFD8E1EA"/>
      </x:bottom>
    </x:border>
    <x:border>
      <x:left style="thin">
        <x:color rgb="FFB7CDF5"/>
      </x:left>
      <x:top style="thin">
        <x:color rgb="FFB7CDF5"/>
      </x:top>
    </x:border>
    <x:border>
      <x:top style="thin">
        <x:color rgb="FFB7CDF5"/>
      </x:top>
    </x:border>
    <x:border>
      <x:right style="thin">
        <x:color rgb="FFB7CDF5"/>
      </x:right>
      <x:top style="thin">
        <x:color rgb="FFB7CDF5"/>
      </x:top>
    </x:border>
    <x:border>
      <x:left style="thin">
        <x:color rgb="FFB7CDF5"/>
      </x:left>
    </x:border>
    <x:border>
      <x:right style="thin">
        <x:color rgb="FFB7CDF5"/>
      </x:right>
    </x:border>
    <x:border>
      <x:left style="thin">
        <x:color rgb="FFB7CDF5"/>
      </x:left>
      <x:bottom style="thin">
        <x:color rgb="FFB7CDF5"/>
      </x:bottom>
    </x:border>
    <x:border>
      <x:bottom style="thin">
        <x:color rgb="FFB7CDF5"/>
      </x:bottom>
    </x:border>
    <x:border>
      <x:right style="thin">
        <x:color rgb="FFB7CDF5"/>
      </x:right>
      <x:bottom style="thin">
        <x:color rgb="FFB7CDF5"/>
      </x:bottom>
    </x:border>
    <x:border>
      <x:top style="thin">
        <x:color rgb="FFD8E1EA"/>
      </x:top>
      <x:bottom style="thin">
        <x:color rgb="FFD8E1EA"/>
      </x:bottom>
    </x:border>
    <x:border>
      <x:top style="medium">
        <x:color rgb="FFD8E1EA"/>
      </x:top>
    </x:border>
    <x:border>
      <x:left style="thin">
        <x:color rgb="FFD8E1EA"/>
      </x:left>
    </x:border>
    <x:border>
      <x:right style="thin">
        <x:color rgb="FFD8E1EA"/>
      </x:right>
    </x:border>
  </x:borders>
  <x:cellStyleXfs count="1">
    <x:xf numFmtId="0" fontId="0" fillId="0" borderId="0"/>
  </x:cellStyleXfs>
  <x:cellXfs count="3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12" xfId="0" applyNumberFormat="1" applyFont="1" applyFill="1" applyBorder="1"/>
    <x:xf numFmtId="0" fontId="0" fillId="10" borderId="13" xfId="0" applyNumberFormat="1" applyFont="1" applyFill="1" applyBorder="1"/>
    <x:xf numFmtId="0" fontId="0" fillId="10" borderId="14" xfId="0" applyNumberFormat="1" applyFont="1" applyFill="1" applyBorder="1"/>
    <x:xf numFmtId="0" fontId="0" fillId="10" borderId="15" xfId="0" applyNumberFormat="1" applyFont="1" applyFill="1" applyBorder="1"/>
    <x:xf numFmtId="0" fontId="0" fillId="10" borderId="16" xfId="0" applyNumberFormat="1" applyFont="1" applyFill="1" applyBorder="1"/>
    <x:xf numFmtId="0" fontId="0" fillId="10" borderId="17" xfId="0" applyNumberFormat="1" applyFont="1" applyFill="1" applyBorder="1"/>
    <x:xf numFmtId="0" fontId="0" fillId="10" borderId="18" xfId="0" applyNumberFormat="1" applyFont="1" applyFill="1" applyBorder="1"/>
    <x:xf numFmtId="0" fontId="0" fillId="10" borderId="19" xfId="0" applyNumberFormat="1" applyFont="1" applyFill="1" applyBorder="1"/>
    <x:xf numFmtId="0" fontId="0" fillId="10" borderId="12" xfId="0" applyNumberFormat="1" applyFont="1" applyFill="1" applyBorder="1" applyAlignment="1">
      <x:alignment wrapText="1"/>
    </x:xf>
    <x:xf numFmtId="0" fontId="0" fillId="10" borderId="13" xfId="0" applyNumberFormat="1" applyFont="1" applyFill="1" applyBorder="1" applyAlignment="1">
      <x:alignment wrapText="1"/>
    </x:xf>
    <x:xf numFmtId="0" fontId="0" fillId="10" borderId="14" xfId="0" applyNumberFormat="1" applyFont="1" applyFill="1" applyBorder="1" applyAlignment="1">
      <x:alignment wrapText="1"/>
    </x:xf>
    <x:xf numFmtId="0" fontId="0" fillId="10" borderId="15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6" xfId="0" applyNumberFormat="1" applyFont="1" applyFill="1" applyBorder="1" applyAlignment="1">
      <x:alignment wrapText="1"/>
    </x:xf>
    <x:xf numFmtId="0" fontId="0" fillId="10" borderId="17" xfId="0" applyNumberFormat="1" applyFont="1" applyFill="1" applyBorder="1" applyAlignment="1">
      <x:alignment wrapText="1"/>
    </x:xf>
    <x:xf numFmtId="0" fontId="0" fillId="10" borderId="18" xfId="0" applyNumberFormat="1" applyFont="1" applyFill="1" applyBorder="1" applyAlignment="1">
      <x:alignment wrapText="1"/>
    </x:xf>
    <x:xf numFmtId="0" fontId="0" fillId="10" borderId="19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204" fontId="9" fillId="0" borderId="0" xfId="0" applyNumberFormat="1" applyFont="1" applyFill="1" applyBorder="1"/>
    <x:xf numFmtId="0" fontId="8" fillId="4" borderId="20" xfId="0" applyNumberFormat="1" applyFont="1" applyFill="1" applyBorder="1" applyAlignment="1">
      <x:alignment horizontal="center" vertical="center" wrapText="1"/>
    </x:xf>
    <x:xf numFmtId="0" fontId="8" fillId="4" borderId="21" xfId="0" applyNumberFormat="1" applyFont="1" applyFill="1" applyBorder="1" applyAlignment="1">
      <x:alignment horizontal="center" vertical="center" wrapText="1"/>
    </x:xf>
    <x:xf numFmtId="0" fontId="9" fillId="0" borderId="22" xfId="0" applyNumberFormat="1" applyFont="1" applyFill="1" applyBorder="1"/>
    <x:xf numFmtId="201" fontId="9" fillId="0" borderId="23" xfId="0" applyNumberFormat="1" applyFont="1" applyFill="1" applyBorder="1"/>
    <x:xf numFmtId="0" fontId="9" fillId="0" borderId="23" xfId="0" applyNumberFormat="1" applyFont="1" applyFill="1" applyBorder="1"/>
    <x:xf numFmtId="202" fontId="9" fillId="0" borderId="23" xfId="0" applyNumberFormat="1" applyFont="1" applyFill="1" applyBorder="1"/>
    <x:xf numFmtId="203" fontId="9" fillId="0" borderId="23" xfId="0" applyNumberFormat="1" applyFont="1" applyFill="1" applyBorder="1"/>
    <x:xf numFmtId="204" fontId="9" fillId="0" borderId="23" xfId="0" applyNumberFormat="1" applyFont="1" applyFill="1" applyBorder="1"/>
    <x:xf numFmtId="0" fontId="9" fillId="0" borderId="24" xfId="0" applyNumberFormat="1" applyFont="1" applyFill="1" applyBorder="1"/>
    <x:xf numFmtId="201" fontId="9" fillId="0" borderId="25" xfId="0" applyNumberFormat="1" applyFont="1" applyFill="1" applyBorder="1"/>
    <x:xf numFmtId="0" fontId="9" fillId="0" borderId="25" xfId="0" applyNumberFormat="1" applyFont="1" applyFill="1" applyBorder="1"/>
    <x:xf numFmtId="202" fontId="9" fillId="0" borderId="25" xfId="0" applyNumberFormat="1" applyFont="1" applyFill="1" applyBorder="1"/>
    <x:xf numFmtId="203" fontId="9" fillId="0" borderId="25" xfId="0" applyNumberFormat="1" applyFont="1" applyFill="1" applyBorder="1"/>
    <x:xf numFmtId="204" fontId="9" fillId="0" borderId="25" xfId="0" applyNumberFormat="1" applyFont="1" applyFill="1" applyBorder="1"/>
    <x:xf numFmtId="205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9" fillId="0" borderId="0" xfId="0" applyNumberFormat="1" applyFont="1" applyFill="1" applyBorder="1"/>
    <x:xf numFmtId="200" fontId="9" fillId="0" borderId="0" xfId="0" applyNumberFormat="1" applyFont="1" applyFill="1" applyBorder="1"/>
    <x:xf numFmtId="205" fontId="9" fillId="0" borderId="23" xfId="0" applyNumberFormat="1" applyFont="1" applyFill="1" applyBorder="1"/>
    <x:xf numFmtId="200" fontId="9" fillId="0" borderId="23" xfId="0" applyNumberFormat="1" applyFont="1" applyFill="1" applyBorder="1"/>
    <x:xf numFmtId="205" fontId="9" fillId="0" borderId="25" xfId="0" applyNumberFormat="1" applyFont="1" applyFill="1" applyBorder="1"/>
    <x:xf numFmtId="200" fontId="9" fillId="0" borderId="25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26" xfId="0" applyNumberFormat="1" applyFont="1" applyFill="1" applyBorder="1"/>
    <x:xf numFmtId="0" fontId="11" fillId="12" borderId="27" xfId="0" applyNumberFormat="1" applyFont="1" applyFill="1" applyBorder="1"/>
    <x:xf numFmtId="0" fontId="11" fillId="12" borderId="28" xfId="0" applyNumberFormat="1" applyFont="1" applyFill="1" applyBorder="1"/>
    <x:xf numFmtId="0" fontId="11" fillId="12" borderId="29" xfId="0" applyNumberFormat="1" applyFont="1" applyFill="1" applyBorder="1"/>
    <x:xf numFmtId="0" fontId="11" fillId="12" borderId="30" xfId="0" applyNumberFormat="1" applyFont="1" applyFill="1" applyBorder="1"/>
    <x:xf numFmtId="0" fontId="11" fillId="12" borderId="31" xfId="0" applyNumberFormat="1" applyFont="1" applyFill="1" applyBorder="1"/>
    <x:xf numFmtId="208" fontId="11" fillId="12" borderId="26" xfId="0" applyNumberFormat="1" applyFont="1" applyFill="1" applyBorder="1"/>
    <x:xf numFmtId="208" fontId="11" fillId="12" borderId="27" xfId="0" applyNumberFormat="1" applyFont="1" applyFill="1" applyBorder="1"/>
    <x:xf numFmtId="208" fontId="11" fillId="12" borderId="28" xfId="0" applyNumberFormat="1" applyFont="1" applyFill="1" applyBorder="1"/>
    <x:xf numFmtId="208" fontId="11" fillId="12" borderId="29" xfId="0" applyNumberFormat="1" applyFont="1" applyFill="1" applyBorder="1"/>
    <x:xf numFmtId="208" fontId="11" fillId="12" borderId="30" xfId="0" applyNumberFormat="1" applyFont="1" applyFill="1" applyBorder="1"/>
    <x:xf numFmtId="208" fontId="11" fillId="12" borderId="31" xfId="0" applyNumberFormat="1" applyFont="1" applyFill="1" applyBorder="1"/>
    <x:xf numFmtId="208" fontId="11" fillId="12" borderId="26" xfId="0" applyNumberFormat="1" applyFont="1" applyFill="1" applyBorder="1" applyAlignment="1">
      <x:alignment horizontal="left"/>
    </x:xf>
    <x:xf numFmtId="208" fontId="11" fillId="12" borderId="27" xfId="0" applyNumberFormat="1" applyFont="1" applyFill="1" applyBorder="1" applyAlignment="1">
      <x:alignment horizontal="left"/>
    </x:xf>
    <x:xf numFmtId="208" fontId="11" fillId="12" borderId="28" xfId="0" applyNumberFormat="1" applyFont="1" applyFill="1" applyBorder="1" applyAlignment="1">
      <x:alignment horizontal="left"/>
    </x:xf>
    <x:xf numFmtId="208" fontId="11" fillId="12" borderId="29" xfId="0" applyNumberFormat="1" applyFont="1" applyFill="1" applyBorder="1" applyAlignment="1">
      <x:alignment horizontal="left"/>
    </x:xf>
    <x:xf numFmtId="208" fontId="11" fillId="12" borderId="30" xfId="0" applyNumberFormat="1" applyFont="1" applyFill="1" applyBorder="1" applyAlignment="1">
      <x:alignment horizontal="left"/>
    </x:xf>
    <x:xf numFmtId="208" fontId="11" fillId="12" borderId="31" xfId="0" applyNumberFormat="1" applyFont="1" applyFill="1" applyBorder="1" applyAlignment="1">
      <x:alignment horizontal="left"/>
    </x:xf>
    <x:xf numFmtId="208" fontId="11" fillId="12" borderId="26" xfId="0" applyNumberFormat="1" applyFont="1" applyFill="1" applyBorder="1" applyAlignment="1">
      <x:alignment horizontal="left" vertical="center"/>
    </x:xf>
    <x:xf numFmtId="208" fontId="11" fillId="12" borderId="27" xfId="0" applyNumberFormat="1" applyFont="1" applyFill="1" applyBorder="1" applyAlignment="1">
      <x:alignment horizontal="left" vertical="center"/>
    </x:xf>
    <x:xf numFmtId="208" fontId="11" fillId="12" borderId="28" xfId="0" applyNumberFormat="1" applyFont="1" applyFill="1" applyBorder="1" applyAlignment="1">
      <x:alignment horizontal="left" vertical="center"/>
    </x:xf>
    <x:xf numFmtId="208" fontId="11" fillId="12" borderId="29" xfId="0" applyNumberFormat="1" applyFont="1" applyFill="1" applyBorder="1" applyAlignment="1">
      <x:alignment horizontal="left" vertical="center"/>
    </x:xf>
    <x:xf numFmtId="208" fontId="11" fillId="12" borderId="30" xfId="0" applyNumberFormat="1" applyFont="1" applyFill="1" applyBorder="1" applyAlignment="1">
      <x:alignment horizontal="left" vertical="center"/>
    </x:xf>
    <x:xf numFmtId="208" fontId="11" fillId="12" borderId="31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202" fontId="11" fillId="12" borderId="26" xfId="0" applyNumberFormat="1" applyFont="1" applyFill="1" applyBorder="1"/>
    <x:xf numFmtId="202" fontId="11" fillId="12" borderId="27" xfId="0" applyNumberFormat="1" applyFont="1" applyFill="1" applyBorder="1"/>
    <x:xf numFmtId="202" fontId="11" fillId="12" borderId="28" xfId="0" applyNumberFormat="1" applyFont="1" applyFill="1" applyBorder="1"/>
    <x:xf numFmtId="202" fontId="11" fillId="12" borderId="29" xfId="0" applyNumberFormat="1" applyFont="1" applyFill="1" applyBorder="1"/>
    <x:xf numFmtId="202" fontId="11" fillId="12" borderId="30" xfId="0" applyNumberFormat="1" applyFont="1" applyFill="1" applyBorder="1"/>
    <x:xf numFmtId="202" fontId="11" fillId="12" borderId="31" xfId="0" applyNumberFormat="1" applyFont="1" applyFill="1" applyBorder="1"/>
    <x:xf numFmtId="202" fontId="11" fillId="12" borderId="26" xfId="0" applyNumberFormat="1" applyFont="1" applyFill="1" applyBorder="1" applyAlignment="1">
      <x:alignment horizontal="left"/>
    </x:xf>
    <x:xf numFmtId="202" fontId="11" fillId="12" borderId="27" xfId="0" applyNumberFormat="1" applyFont="1" applyFill="1" applyBorder="1" applyAlignment="1">
      <x:alignment horizontal="left"/>
    </x:xf>
    <x:xf numFmtId="202" fontId="11" fillId="12" borderId="28" xfId="0" applyNumberFormat="1" applyFont="1" applyFill="1" applyBorder="1" applyAlignment="1">
      <x:alignment horizontal="left"/>
    </x:xf>
    <x:xf numFmtId="202" fontId="11" fillId="12" borderId="29" xfId="0" applyNumberFormat="1" applyFont="1" applyFill="1" applyBorder="1" applyAlignment="1">
      <x:alignment horizontal="left"/>
    </x:xf>
    <x:xf numFmtId="202" fontId="11" fillId="12" borderId="30" xfId="0" applyNumberFormat="1" applyFont="1" applyFill="1" applyBorder="1" applyAlignment="1">
      <x:alignment horizontal="left"/>
    </x:xf>
    <x:xf numFmtId="202" fontId="11" fillId="12" borderId="31" xfId="0" applyNumberFormat="1" applyFont="1" applyFill="1" applyBorder="1" applyAlignment="1">
      <x:alignment horizontal="left"/>
    </x:xf>
    <x:xf numFmtId="202" fontId="11" fillId="12" borderId="26" xfId="0" applyNumberFormat="1" applyFont="1" applyFill="1" applyBorder="1" applyAlignment="1">
      <x:alignment horizontal="left" vertical="center"/>
    </x:xf>
    <x:xf numFmtId="202" fontId="11" fillId="12" borderId="27" xfId="0" applyNumberFormat="1" applyFont="1" applyFill="1" applyBorder="1" applyAlignment="1">
      <x:alignment horizontal="left" vertical="center"/>
    </x:xf>
    <x:xf numFmtId="202" fontId="11" fillId="12" borderId="28" xfId="0" applyNumberFormat="1" applyFont="1" applyFill="1" applyBorder="1" applyAlignment="1">
      <x:alignment horizontal="left" vertical="center"/>
    </x:xf>
    <x:xf numFmtId="202" fontId="11" fillId="12" borderId="29" xfId="0" applyNumberFormat="1" applyFont="1" applyFill="1" applyBorder="1" applyAlignment="1">
      <x:alignment horizontal="left" vertical="center"/>
    </x:xf>
    <x:xf numFmtId="202" fontId="11" fillId="12" borderId="30" xfId="0" applyNumberFormat="1" applyFont="1" applyFill="1" applyBorder="1" applyAlignment="1">
      <x:alignment horizontal="left" vertical="center"/>
    </x:xf>
    <x:xf numFmtId="202" fontId="11" fillId="12" borderId="31" xfId="0" applyNumberFormat="1" applyFont="1" applyFill="1" applyBorder="1" applyAlignment="1">
      <x:alignment horizontal="left" vertical="center"/>
    </x:xf>
    <x:xf numFmtId="0" fontId="12" fillId="12" borderId="0" xfId="0" applyNumberFormat="1" applyFont="1" applyFill="1" applyBorder="1"/>
    <x:xf numFmtId="0" fontId="12" fillId="12" borderId="26" xfId="0" applyNumberFormat="1" applyFont="1" applyFill="1" applyBorder="1"/>
    <x:xf numFmtId="0" fontId="12" fillId="12" borderId="27" xfId="0" applyNumberFormat="1" applyFont="1" applyFill="1" applyBorder="1"/>
    <x:xf numFmtId="0" fontId="12" fillId="12" borderId="28" xfId="0" applyNumberFormat="1" applyFont="1" applyFill="1" applyBorder="1"/>
    <x:xf numFmtId="0" fontId="12" fillId="12" borderId="29" xfId="0" applyNumberFormat="1" applyFont="1" applyFill="1" applyBorder="1"/>
    <x:xf numFmtId="0" fontId="12" fillId="12" borderId="30" xfId="0" applyNumberFormat="1" applyFont="1" applyFill="1" applyBorder="1"/>
    <x:xf numFmtId="0" fontId="12" fillId="12" borderId="31" xfId="0" applyNumberFormat="1" applyFont="1" applyFill="1" applyBorder="1"/>
    <x:xf numFmtId="209" fontId="12" fillId="12" borderId="26" xfId="0" applyNumberFormat="1" applyFont="1" applyFill="1" applyBorder="1"/>
    <x:xf numFmtId="209" fontId="12" fillId="12" borderId="27" xfId="0" applyNumberFormat="1" applyFont="1" applyFill="1" applyBorder="1"/>
    <x:xf numFmtId="209" fontId="12" fillId="12" borderId="28" xfId="0" applyNumberFormat="1" applyFont="1" applyFill="1" applyBorder="1"/>
    <x:xf numFmtId="209" fontId="12" fillId="12" borderId="29" xfId="0" applyNumberFormat="1" applyFont="1" applyFill="1" applyBorder="1"/>
    <x:xf numFmtId="209" fontId="12" fillId="12" borderId="30" xfId="0" applyNumberFormat="1" applyFont="1" applyFill="1" applyBorder="1"/>
    <x:xf numFmtId="209" fontId="12" fillId="12" borderId="31" xfId="0" applyNumberFormat="1" applyFont="1" applyFill="1" applyBorder="1"/>
    <x:xf numFmtId="209" fontId="12" fillId="12" borderId="26" xfId="0" applyNumberFormat="1" applyFont="1" applyFill="1" applyBorder="1" applyAlignment="1">
      <x:alignment horizontal="left"/>
    </x:xf>
    <x:xf numFmtId="209" fontId="12" fillId="12" borderId="27" xfId="0" applyNumberFormat="1" applyFont="1" applyFill="1" applyBorder="1" applyAlignment="1">
      <x:alignment horizontal="left"/>
    </x:xf>
    <x:xf numFmtId="209" fontId="12" fillId="12" borderId="28" xfId="0" applyNumberFormat="1" applyFont="1" applyFill="1" applyBorder="1" applyAlignment="1">
      <x:alignment horizontal="left"/>
    </x:xf>
    <x:xf numFmtId="209" fontId="12" fillId="12" borderId="29" xfId="0" applyNumberFormat="1" applyFont="1" applyFill="1" applyBorder="1" applyAlignment="1">
      <x:alignment horizontal="left"/>
    </x:xf>
    <x:xf numFmtId="209" fontId="12" fillId="12" borderId="30" xfId="0" applyNumberFormat="1" applyFont="1" applyFill="1" applyBorder="1" applyAlignment="1">
      <x:alignment horizontal="left"/>
    </x:xf>
    <x:xf numFmtId="209" fontId="12" fillId="12" borderId="31" xfId="0" applyNumberFormat="1" applyFont="1" applyFill="1" applyBorder="1" applyAlignment="1">
      <x:alignment horizontal="left"/>
    </x:xf>
    <x:xf numFmtId="209" fontId="12" fillId="12" borderId="26" xfId="0" applyNumberFormat="1" applyFont="1" applyFill="1" applyBorder="1" applyAlignment="1">
      <x:alignment horizontal="left" vertical="center"/>
    </x:xf>
    <x:xf numFmtId="209" fontId="12" fillId="12" borderId="27" xfId="0" applyNumberFormat="1" applyFont="1" applyFill="1" applyBorder="1" applyAlignment="1">
      <x:alignment horizontal="left" vertical="center"/>
    </x:xf>
    <x:xf numFmtId="209" fontId="12" fillId="12" borderId="28" xfId="0" applyNumberFormat="1" applyFont="1" applyFill="1" applyBorder="1" applyAlignment="1">
      <x:alignment horizontal="left" vertical="center"/>
    </x:xf>
    <x:xf numFmtId="209" fontId="12" fillId="12" borderId="29" xfId="0" applyNumberFormat="1" applyFont="1" applyFill="1" applyBorder="1" applyAlignment="1">
      <x:alignment horizontal="left" vertical="center"/>
    </x:xf>
    <x:xf numFmtId="209" fontId="12" fillId="12" borderId="30" xfId="0" applyNumberFormat="1" applyFont="1" applyFill="1" applyBorder="1" applyAlignment="1">
      <x:alignment horizontal="left" vertical="center"/>
    </x:xf>
    <x:xf numFmtId="209" fontId="12" fillId="12" borderId="31" xfId="0" applyNumberFormat="1" applyFont="1" applyFill="1" applyBorder="1" applyAlignment="1">
      <x:alignment horizontal="left" vertical="center"/>
    </x:xf>
    <x:xf numFmtId="200" fontId="11" fillId="12" borderId="26" xfId="0" applyNumberFormat="1" applyFont="1" applyFill="1" applyBorder="1"/>
    <x:xf numFmtId="200" fontId="11" fillId="12" borderId="27" xfId="0" applyNumberFormat="1" applyFont="1" applyFill="1" applyBorder="1"/>
    <x:xf numFmtId="200" fontId="11" fillId="12" borderId="28" xfId="0" applyNumberFormat="1" applyFont="1" applyFill="1" applyBorder="1"/>
    <x:xf numFmtId="200" fontId="11" fillId="12" borderId="29" xfId="0" applyNumberFormat="1" applyFont="1" applyFill="1" applyBorder="1"/>
    <x:xf numFmtId="200" fontId="11" fillId="12" borderId="30" xfId="0" applyNumberFormat="1" applyFont="1" applyFill="1" applyBorder="1"/>
    <x:xf numFmtId="200" fontId="11" fillId="12" borderId="31" xfId="0" applyNumberFormat="1" applyFont="1" applyFill="1" applyBorder="1"/>
    <x:xf numFmtId="200" fontId="11" fillId="12" borderId="26" xfId="0" applyNumberFormat="1" applyFont="1" applyFill="1" applyBorder="1" applyAlignment="1">
      <x:alignment horizontal="left"/>
    </x:xf>
    <x:xf numFmtId="200" fontId="11" fillId="12" borderId="27" xfId="0" applyNumberFormat="1" applyFont="1" applyFill="1" applyBorder="1" applyAlignment="1">
      <x:alignment horizontal="left"/>
    </x:xf>
    <x:xf numFmtId="200" fontId="11" fillId="12" borderId="28" xfId="0" applyNumberFormat="1" applyFont="1" applyFill="1" applyBorder="1" applyAlignment="1">
      <x:alignment horizontal="left"/>
    </x:xf>
    <x:xf numFmtId="200" fontId="11" fillId="12" borderId="29" xfId="0" applyNumberFormat="1" applyFont="1" applyFill="1" applyBorder="1" applyAlignment="1">
      <x:alignment horizontal="left"/>
    </x:xf>
    <x:xf numFmtId="200" fontId="11" fillId="12" borderId="30" xfId="0" applyNumberFormat="1" applyFont="1" applyFill="1" applyBorder="1" applyAlignment="1">
      <x:alignment horizontal="left"/>
    </x:xf>
    <x:xf numFmtId="200" fontId="11" fillId="12" borderId="31" xfId="0" applyNumberFormat="1" applyFont="1" applyFill="1" applyBorder="1" applyAlignment="1">
      <x:alignment horizontal="left"/>
    </x:xf>
    <x:xf numFmtId="200" fontId="11" fillId="12" borderId="26" xfId="0" applyNumberFormat="1" applyFont="1" applyFill="1" applyBorder="1" applyAlignment="1">
      <x:alignment horizontal="left" vertical="center"/>
    </x:xf>
    <x:xf numFmtId="200" fontId="11" fillId="12" borderId="27" xfId="0" applyNumberFormat="1" applyFont="1" applyFill="1" applyBorder="1" applyAlignment="1">
      <x:alignment horizontal="left" vertical="center"/>
    </x:xf>
    <x:xf numFmtId="200" fontId="11" fillId="12" borderId="28" xfId="0" applyNumberFormat="1" applyFont="1" applyFill="1" applyBorder="1" applyAlignment="1">
      <x:alignment horizontal="left" vertical="center"/>
    </x:xf>
    <x:xf numFmtId="200" fontId="11" fillId="12" borderId="29" xfId="0" applyNumberFormat="1" applyFont="1" applyFill="1" applyBorder="1" applyAlignment="1">
      <x:alignment horizontal="left" vertical="center"/>
    </x:xf>
    <x:xf numFmtId="200" fontId="11" fillId="12" borderId="30" xfId="0" applyNumberFormat="1" applyFont="1" applyFill="1" applyBorder="1" applyAlignment="1">
      <x:alignment horizontal="left" vertical="center"/>
    </x:xf>
    <x:xf numFmtId="200" fontId="11" fillId="12" borderId="31" xfId="0" applyNumberFormat="1" applyFont="1" applyFill="1" applyBorder="1" applyAlignment="1">
      <x:alignment horizontal="left" vertical="center"/>
    </x:xf>
    <x:xf numFmtId="0" fontId="13" fillId="12" borderId="0" xfId="0" applyNumberFormat="1" applyFont="1" applyFill="1" applyBorder="1"/>
    <x:xf numFmtId="0" fontId="13" fillId="12" borderId="26" xfId="0" applyNumberFormat="1" applyFont="1" applyFill="1" applyBorder="1"/>
    <x:xf numFmtId="0" fontId="13" fillId="12" borderId="28" xfId="0" applyNumberFormat="1" applyFont="1" applyFill="1" applyBorder="1"/>
    <x:xf numFmtId="0" fontId="13" fillId="12" borderId="29" xfId="0" applyNumberFormat="1" applyFont="1" applyFill="1" applyBorder="1"/>
    <x:xf numFmtId="0" fontId="13" fillId="12" borderId="31" xfId="0" applyNumberFormat="1" applyFont="1" applyFill="1" applyBorder="1"/>
    <x:xf numFmtId="204" fontId="13" fillId="12" borderId="26" xfId="0" applyNumberFormat="1" applyFont="1" applyFill="1" applyBorder="1"/>
    <x:xf numFmtId="204" fontId="13" fillId="12" borderId="28" xfId="0" applyNumberFormat="1" applyFont="1" applyFill="1" applyBorder="1"/>
    <x:xf numFmtId="204" fontId="13" fillId="12" borderId="29" xfId="0" applyNumberFormat="1" applyFont="1" applyFill="1" applyBorder="1"/>
    <x:xf numFmtId="204" fontId="13" fillId="12" borderId="31" xfId="0" applyNumberFormat="1" applyFont="1" applyFill="1" applyBorder="1"/>
    <x:xf numFmtId="204" fontId="13" fillId="12" borderId="26" xfId="0" applyNumberFormat="1" applyFont="1" applyFill="1" applyBorder="1" applyAlignment="1">
      <x:alignment horizontal="center"/>
    </x:xf>
    <x:xf numFmtId="204" fontId="13" fillId="12" borderId="28" xfId="0" applyNumberFormat="1" applyFont="1" applyFill="1" applyBorder="1" applyAlignment="1">
      <x:alignment horizontal="center"/>
    </x:xf>
    <x:xf numFmtId="204" fontId="13" fillId="12" borderId="29" xfId="0" applyNumberFormat="1" applyFont="1" applyFill="1" applyBorder="1" applyAlignment="1">
      <x:alignment horizontal="center"/>
    </x:xf>
    <x:xf numFmtId="204" fontId="13" fillId="12" borderId="31" xfId="0" applyNumberFormat="1" applyFont="1" applyFill="1" applyBorder="1" applyAlignment="1">
      <x:alignment horizontal="center"/>
    </x:xf>
    <x:xf numFmtId="204" fontId="13" fillId="12" borderId="26" xfId="0" applyNumberFormat="1" applyFont="1" applyFill="1" applyBorder="1" applyAlignment="1">
      <x:alignment horizontal="center" vertical="center"/>
    </x:xf>
    <x:xf numFmtId="204" fontId="13" fillId="12" borderId="28" xfId="0" applyNumberFormat="1" applyFont="1" applyFill="1" applyBorder="1" applyAlignment="1">
      <x:alignment horizontal="center" vertical="center"/>
    </x:xf>
    <x:xf numFmtId="204" fontId="13" fillId="12" borderId="29" xfId="0" applyNumberFormat="1" applyFont="1" applyFill="1" applyBorder="1" applyAlignment="1">
      <x:alignment horizontal="center" vertical="center"/>
    </x:xf>
    <x:xf numFmtId="204" fontId="13" fillId="12" borderId="3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32" xfId="0" applyNumberFormat="1" applyFont="1" applyFill="1" applyBorder="1"/>
    <x:xf numFmtId="0" fontId="2" fillId="13" borderId="33" xfId="0" applyNumberFormat="1" applyFont="1" applyFill="1" applyBorder="1"/>
    <x:xf numFmtId="0" fontId="2" fillId="13" borderId="34" xfId="0" applyNumberFormat="1" applyFont="1" applyFill="1" applyBorder="1"/>
    <x:xf numFmtId="0" fontId="2" fillId="13" borderId="35" xfId="0" applyNumberFormat="1" applyFont="1" applyFill="1" applyBorder="1"/>
    <x:xf numFmtId="0" fontId="2" fillId="13" borderId="36" xfId="0" applyNumberFormat="1" applyFont="1" applyFill="1" applyBorder="1"/>
    <x:xf numFmtId="0" fontId="2" fillId="13" borderId="37" xfId="0" applyNumberFormat="1" applyFont="1" applyFill="1" applyBorder="1"/>
    <x:xf numFmtId="0" fontId="2" fillId="13" borderId="38" xfId="0" applyNumberFormat="1" applyFont="1" applyFill="1" applyBorder="1"/>
    <x:xf numFmtId="0" fontId="2" fillId="13" borderId="39" xfId="0" applyNumberFormat="1" applyFont="1" applyFill="1" applyBorder="1"/>
    <x:xf numFmtId="0" fontId="2" fillId="13" borderId="32" xfId="0" applyNumberFormat="1" applyFont="1" applyFill="1" applyBorder="1" applyAlignment="1">
      <x:alignment wrapText="1"/>
    </x:xf>
    <x:xf numFmtId="0" fontId="2" fillId="13" borderId="33" xfId="0" applyNumberFormat="1" applyFont="1" applyFill="1" applyBorder="1" applyAlignment="1">
      <x:alignment wrapText="1"/>
    </x:xf>
    <x:xf numFmtId="0" fontId="2" fillId="13" borderId="34" xfId="0" applyNumberFormat="1" applyFont="1" applyFill="1" applyBorder="1" applyAlignment="1">
      <x:alignment wrapText="1"/>
    </x:xf>
    <x:xf numFmtId="0" fontId="2" fillId="13" borderId="35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2" fillId="13" borderId="36" xfId="0" applyNumberFormat="1" applyFont="1" applyFill="1" applyBorder="1" applyAlignment="1">
      <x:alignment wrapText="1"/>
    </x:xf>
    <x:xf numFmtId="0" fontId="2" fillId="13" borderId="37" xfId="0" applyNumberFormat="1" applyFont="1" applyFill="1" applyBorder="1" applyAlignment="1">
      <x:alignment wrapText="1"/>
    </x:xf>
    <x:xf numFmtId="0" fontId="2" fillId="13" borderId="38" xfId="0" applyNumberFormat="1" applyFont="1" applyFill="1" applyBorder="1" applyAlignment="1">
      <x:alignment wrapText="1"/>
    </x:xf>
    <x:xf numFmtId="0" fontId="2" fillId="13" borderId="39" xfId="0" applyNumberFormat="1" applyFont="1" applyFill="1" applyBorder="1" applyAlignment="1">
      <x:alignment wrapText="1"/>
    </x:xf>
    <x:xf numFmtId="0" fontId="2" fillId="13" borderId="32" xfId="0" applyNumberFormat="1" applyFont="1" applyFill="1" applyBorder="1" applyAlignment="1">
      <x:alignment vertical="center" wrapText="1"/>
    </x:xf>
    <x:xf numFmtId="0" fontId="2" fillId="13" borderId="33" xfId="0" applyNumberFormat="1" applyFont="1" applyFill="1" applyBorder="1" applyAlignment="1">
      <x:alignment vertical="center" wrapText="1"/>
    </x:xf>
    <x:xf numFmtId="0" fontId="2" fillId="13" borderId="34" xfId="0" applyNumberFormat="1" applyFont="1" applyFill="1" applyBorder="1" applyAlignment="1">
      <x:alignment vertical="center" wrapText="1"/>
    </x:xf>
    <x:xf numFmtId="0" fontId="2" fillId="13" borderId="35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0" fontId="2" fillId="13" borderId="36" xfId="0" applyNumberFormat="1" applyFont="1" applyFill="1" applyBorder="1" applyAlignment="1">
      <x:alignment vertical="center" wrapText="1"/>
    </x:xf>
    <x:xf numFmtId="0" fontId="2" fillId="13" borderId="37" xfId="0" applyNumberFormat="1" applyFont="1" applyFill="1" applyBorder="1" applyAlignment="1">
      <x:alignment vertical="center" wrapText="1"/>
    </x:xf>
    <x:xf numFmtId="0" fontId="2" fillId="13" borderId="38" xfId="0" applyNumberFormat="1" applyFont="1" applyFill="1" applyBorder="1" applyAlignment="1">
      <x:alignment vertical="center" wrapText="1"/>
    </x:xf>
    <x:xf numFmtId="0" fontId="2" fillId="13" borderId="3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/>
    <x:xf numFmtId="202" fontId="0" fillId="0" borderId="30" xfId="0" applyNumberFormat="1" applyFont="1" applyFill="1" applyBorder="1"/>
    <x:xf numFmtId="203" fontId="0" fillId="0" borderId="30" xfId="0" applyNumberFormat="1" applyFont="1" applyFill="1" applyBorder="1"/>
    <x:xf numFmtId="0" fontId="0" fillId="0" borderId="40" xfId="0" applyNumberFormat="1" applyFont="1" applyFill="1" applyBorder="1"/>
    <x:xf numFmtId="202" fontId="0" fillId="0" borderId="40" xfId="0" applyNumberFormat="1" applyFont="1" applyFill="1" applyBorder="1"/>
    <x:xf numFmtId="203" fontId="0" fillId="0" borderId="40" xfId="0" applyNumberFormat="1" applyFont="1" applyFill="1" applyBorder="1"/>
    <x:xf numFmtId="0" fontId="0" fillId="0" borderId="27" xfId="0" applyNumberFormat="1" applyFont="1" applyFill="1" applyBorder="1"/>
    <x:xf numFmtId="202" fontId="0" fillId="0" borderId="27" xfId="0" applyNumberFormat="1" applyFont="1" applyFill="1" applyBorder="1"/>
    <x:xf numFmtId="203" fontId="0" fillId="0" borderId="27" xfId="0" applyNumberFormat="1" applyFont="1" applyFill="1" applyBorder="1"/>
    <x:xf numFmtId="202" fontId="0" fillId="5" borderId="0" xfId="0" applyNumberFormat="1" applyFont="1" applyFill="1" applyBorder="1"/>
    <x:xf numFmtId="206" fontId="0" fillId="5" borderId="0" xfId="0" applyNumberFormat="1" applyFont="1" applyFill="1" applyBorder="1"/>
    <x:xf numFmtId="200" fontId="0" fillId="5" borderId="0" xfId="0" applyNumberFormat="1" applyFont="1" applyFill="1" applyBorder="1"/>
    <x:xf numFmtId="202" fontId="4" fillId="5" borderId="0" xfId="0" applyNumberFormat="1" applyFont="1" applyFill="1" applyBorder="1"/>
    <x:xf numFmtId="206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41" xfId="0" applyNumberFormat="1" applyFont="1" applyFill="1" applyBorder="1"/>
    <x:xf numFmtId="202" fontId="4" fillId="5" borderId="41" xfId="0" applyNumberFormat="1" applyFont="1" applyFill="1" applyBorder="1"/>
    <x:xf numFmtId="206" fontId="4" fillId="5" borderId="41" xfId="0" applyNumberFormat="1" applyFont="1" applyFill="1" applyBorder="1"/>
    <x:xf numFmtId="200" fontId="4" fillId="5" borderId="41" xfId="0" applyNumberFormat="1" applyFont="1" applyFill="1" applyBorder="1"/>
    <x:xf numFmtId="0" fontId="14" fillId="5" borderId="0" xfId="0" applyNumberFormat="1" applyFont="1" applyFill="1" applyBorder="1"/>
    <x:xf numFmtId="0" fontId="14" fillId="5" borderId="26" xfId="0" applyNumberFormat="1" applyFont="1" applyFill="1" applyBorder="1"/>
    <x:xf numFmtId="0" fontId="14" fillId="5" borderId="27" xfId="0" applyNumberFormat="1" applyFont="1" applyFill="1" applyBorder="1"/>
    <x:xf numFmtId="0" fontId="14" fillId="5" borderId="28" xfId="0" applyNumberFormat="1" applyFont="1" applyFill="1" applyBorder="1"/>
    <x:xf numFmtId="0" fontId="14" fillId="5" borderId="42" xfId="0" applyNumberFormat="1" applyFont="1" applyFill="1" applyBorder="1"/>
    <x:xf numFmtId="0" fontId="14" fillId="5" borderId="43" xfId="0" applyNumberFormat="1" applyFont="1" applyFill="1" applyBorder="1"/>
    <x:xf numFmtId="0" fontId="14" fillId="5" borderId="29" xfId="0" applyNumberFormat="1" applyFont="1" applyFill="1" applyBorder="1"/>
    <x:xf numFmtId="0" fontId="14" fillId="5" borderId="30" xfId="0" applyNumberFormat="1" applyFont="1" applyFill="1" applyBorder="1"/>
    <x:xf numFmtId="0" fontId="14" fillId="5" borderId="31" xfId="0" applyNumberFormat="1" applyFont="1" applyFill="1" applyBorder="1"/>
    <x:xf numFmtId="0" fontId="14" fillId="5" borderId="26" xfId="0" applyNumberFormat="1" applyFont="1" applyFill="1" applyBorder="1" applyAlignment="1">
      <x:alignment wrapText="1"/>
    </x:xf>
    <x:xf numFmtId="0" fontId="14" fillId="5" borderId="27" xfId="0" applyNumberFormat="1" applyFont="1" applyFill="1" applyBorder="1" applyAlignment="1">
      <x:alignment wrapText="1"/>
    </x:xf>
    <x:xf numFmtId="0" fontId="14" fillId="5" borderId="28" xfId="0" applyNumberFormat="1" applyFont="1" applyFill="1" applyBorder="1" applyAlignment="1">
      <x:alignment wrapText="1"/>
    </x:xf>
    <x:xf numFmtId="0" fontId="14" fillId="5" borderId="42" xfId="0" applyNumberFormat="1" applyFont="1" applyFill="1" applyBorder="1" applyAlignment="1">
      <x:alignment wrapText="1"/>
    </x:xf>
    <x:xf numFmtId="0" fontId="14" fillId="5" borderId="0" xfId="0" applyNumberFormat="1" applyFont="1" applyFill="1" applyBorder="1" applyAlignment="1">
      <x:alignment wrapText="1"/>
    </x:xf>
    <x:xf numFmtId="0" fontId="14" fillId="5" borderId="43" xfId="0" applyNumberFormat="1" applyFont="1" applyFill="1" applyBorder="1" applyAlignment="1">
      <x:alignment wrapText="1"/>
    </x:xf>
    <x:xf numFmtId="0" fontId="14" fillId="5" borderId="29" xfId="0" applyNumberFormat="1" applyFont="1" applyFill="1" applyBorder="1" applyAlignment="1">
      <x:alignment wrapText="1"/>
    </x:xf>
    <x:xf numFmtId="0" fontId="14" fillId="5" borderId="30" xfId="0" applyNumberFormat="1" applyFont="1" applyFill="1" applyBorder="1" applyAlignment="1">
      <x:alignment wrapText="1"/>
    </x:xf>
    <x:xf numFmtId="0" fontId="14" fillId="5" borderId="31" xfId="0" applyNumberFormat="1" applyFont="1" applyFill="1" applyBorder="1" applyAlignment="1">
      <x:alignment wrapText="1"/>
    </x:xf>
    <x:xf numFmtId="0" fontId="14" fillId="5" borderId="26" xfId="0" applyNumberFormat="1" applyFont="1" applyFill="1" applyBorder="1" applyAlignment="1">
      <x:alignment vertical="center" wrapText="1"/>
    </x:xf>
    <x:xf numFmtId="0" fontId="14" fillId="5" borderId="27" xfId="0" applyNumberFormat="1" applyFont="1" applyFill="1" applyBorder="1" applyAlignment="1">
      <x:alignment vertical="center" wrapText="1"/>
    </x:xf>
    <x:xf numFmtId="0" fontId="14" fillId="5" borderId="28" xfId="0" applyNumberFormat="1" applyFont="1" applyFill="1" applyBorder="1" applyAlignment="1">
      <x:alignment vertical="center" wrapText="1"/>
    </x:xf>
    <x:xf numFmtId="0" fontId="14" fillId="5" borderId="42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43" xfId="0" applyNumberFormat="1" applyFont="1" applyFill="1" applyBorder="1" applyAlignment="1">
      <x:alignment vertical="center" wrapText="1"/>
    </x:xf>
    <x:xf numFmtId="0" fontId="14" fillId="5" borderId="29" xfId="0" applyNumberFormat="1" applyFont="1" applyFill="1" applyBorder="1" applyAlignment="1">
      <x:alignment vertical="center" wrapText="1"/>
    </x:xf>
    <x:xf numFmtId="0" fontId="14" fillId="5" borderId="30" xfId="0" applyNumberFormat="1" applyFont="1" applyFill="1" applyBorder="1" applyAlignment="1">
      <x:alignment vertical="center" wrapText="1"/>
    </x:xf>
    <x:xf numFmtId="0" fontId="14" fillId="5" borderId="31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/>
    <x:xf numFmtId="0" fontId="2" fillId="10" borderId="12" xfId="0" applyNumberFormat="1" applyFont="1" applyFill="1" applyBorder="1"/>
    <x:xf numFmtId="0" fontId="2" fillId="10" borderId="13" xfId="0" applyNumberFormat="1" applyFont="1" applyFill="1" applyBorder="1"/>
    <x:xf numFmtId="0" fontId="2" fillId="10" borderId="14" xfId="0" applyNumberFormat="1" applyFont="1" applyFill="1" applyBorder="1"/>
    <x:xf numFmtId="0" fontId="2" fillId="10" borderId="15" xfId="0" applyNumberFormat="1" applyFont="1" applyFill="1" applyBorder="1"/>
    <x:xf numFmtId="0" fontId="2" fillId="10" borderId="16" xfId="0" applyNumberFormat="1" applyFont="1" applyFill="1" applyBorder="1"/>
    <x:xf numFmtId="0" fontId="2" fillId="10" borderId="17" xfId="0" applyNumberFormat="1" applyFont="1" applyFill="1" applyBorder="1"/>
    <x:xf numFmtId="0" fontId="2" fillId="10" borderId="18" xfId="0" applyNumberFormat="1" applyFont="1" applyFill="1" applyBorder="1"/>
    <x:xf numFmtId="0" fontId="2" fillId="10" borderId="19" xfId="0" applyNumberFormat="1" applyFont="1" applyFill="1" applyBorder="1"/>
    <x:xf numFmtId="0" fontId="2" fillId="10" borderId="12" xfId="0" applyNumberFormat="1" applyFont="1" applyFill="1" applyBorder="1" applyAlignment="1">
      <x:alignment wrapText="1"/>
    </x:xf>
    <x:xf numFmtId="0" fontId="2" fillId="10" borderId="13" xfId="0" applyNumberFormat="1" applyFont="1" applyFill="1" applyBorder="1" applyAlignment="1">
      <x:alignment wrapText="1"/>
    </x:xf>
    <x:xf numFmtId="0" fontId="2" fillId="10" borderId="14" xfId="0" applyNumberFormat="1" applyFont="1" applyFill="1" applyBorder="1" applyAlignment="1">
      <x:alignment wrapText="1"/>
    </x:xf>
    <x:xf numFmtId="0" fontId="2" fillId="10" borderId="15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16" xfId="0" applyNumberFormat="1" applyFont="1" applyFill="1" applyBorder="1" applyAlignment="1">
      <x:alignment wrapText="1"/>
    </x:xf>
    <x:xf numFmtId="0" fontId="2" fillId="10" borderId="17" xfId="0" applyNumberFormat="1" applyFont="1" applyFill="1" applyBorder="1" applyAlignment="1">
      <x:alignment wrapText="1"/>
    </x:xf>
    <x:xf numFmtId="0" fontId="2" fillId="10" borderId="18" xfId="0" applyNumberFormat="1" applyFont="1" applyFill="1" applyBorder="1" applyAlignment="1">
      <x:alignment wrapText="1"/>
    </x:xf>
    <x:xf numFmtId="0" fontId="2" fillId="10" borderId="19" xfId="0" applyNumberFormat="1" applyFont="1" applyFill="1" applyBorder="1" applyAlignment="1">
      <x:alignment wrapText="1"/>
    </x:xf>
    <x:xf numFmtId="0" fontId="2" fillId="10" borderId="12" xfId="0" applyNumberFormat="1" applyFont="1" applyFill="1" applyBorder="1" applyAlignment="1">
      <x:alignment vertical="top" wrapText="1"/>
    </x:xf>
    <x:xf numFmtId="0" fontId="2" fillId="10" borderId="13" xfId="0" applyNumberFormat="1" applyFont="1" applyFill="1" applyBorder="1" applyAlignment="1">
      <x:alignment vertical="top" wrapText="1"/>
    </x:xf>
    <x:xf numFmtId="0" fontId="2" fillId="10" borderId="14" xfId="0" applyNumberFormat="1" applyFont="1" applyFill="1" applyBorder="1" applyAlignment="1">
      <x:alignment vertical="top" wrapText="1"/>
    </x:xf>
    <x:xf numFmtId="0" fontId="2" fillId="10" borderId="15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2" fillId="10" borderId="16" xfId="0" applyNumberFormat="1" applyFont="1" applyFill="1" applyBorder="1" applyAlignment="1">
      <x:alignment vertical="top" wrapText="1"/>
    </x:xf>
    <x:xf numFmtId="0" fontId="2" fillId="10" borderId="17" xfId="0" applyNumberFormat="1" applyFont="1" applyFill="1" applyBorder="1" applyAlignment="1">
      <x:alignment vertical="top" wrapText="1"/>
    </x:xf>
    <x:xf numFmtId="0" fontId="2" fillId="10" borderId="18" xfId="0" applyNumberFormat="1" applyFont="1" applyFill="1" applyBorder="1" applyAlignment="1">
      <x:alignment vertical="top" wrapText="1"/>
    </x:xf>
    <x:xf numFmtId="0" fontId="2" fillId="10" borderId="19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/>
    <x:xf numFmtId="0" fontId="15" fillId="7" borderId="3" xfId="0" applyNumberFormat="1" applyFont="1" applyFill="1" applyBorder="1"/>
    <x:xf numFmtId="0" fontId="15" fillId="7" borderId="4" xfId="0" applyNumberFormat="1" applyFont="1" applyFill="1" applyBorder="1"/>
    <x:xf numFmtId="0" fontId="15" fillId="7" borderId="5" xfId="0" applyNumberFormat="1" applyFont="1" applyFill="1" applyBorder="1"/>
    <x:xf numFmtId="0" fontId="15" fillId="7" borderId="8" xfId="0" applyNumberFormat="1" applyFont="1" applyFill="1" applyBorder="1"/>
    <x:xf numFmtId="0" fontId="15" fillId="7" borderId="9" xfId="0" applyNumberFormat="1" applyFont="1" applyFill="1" applyBorder="1"/>
    <x:xf numFmtId="0" fontId="15" fillId="7" borderId="10" xfId="0" applyNumberFormat="1" applyFont="1" applyFill="1" applyBorder="1"/>
    <x:xf numFmtId="0" fontId="15" fillId="7" borderId="3" xfId="0" applyNumberFormat="1" applyFont="1" applyFill="1" applyBorder="1" applyAlignment="1">
      <x:alignment wrapText="1"/>
    </x:xf>
    <x:xf numFmtId="0" fontId="15" fillId="7" borderId="4" xfId="0" applyNumberFormat="1" applyFont="1" applyFill="1" applyBorder="1" applyAlignment="1">
      <x:alignment wrapText="1"/>
    </x:xf>
    <x:xf numFmtId="0" fontId="15" fillId="7" borderId="5" xfId="0" applyNumberFormat="1" applyFont="1" applyFill="1" applyBorder="1" applyAlignment="1">
      <x:alignment wrapText="1"/>
    </x:xf>
    <x:xf numFmtId="0" fontId="15" fillId="7" borderId="8" xfId="0" applyNumberFormat="1" applyFont="1" applyFill="1" applyBorder="1" applyAlignment="1">
      <x:alignment wrapText="1"/>
    </x:xf>
    <x:xf numFmtId="0" fontId="15" fillId="7" borderId="9" xfId="0" applyNumberFormat="1" applyFont="1" applyFill="1" applyBorder="1" applyAlignment="1">
      <x:alignment wrapText="1"/>
    </x:xf>
    <x:xf numFmtId="0" fontId="15" fillId="7" borderId="10" xfId="0" applyNumberFormat="1" applyFont="1" applyFill="1" applyBorder="1" applyAlignment="1">
      <x:alignment wrapText="1"/>
    </x:xf>
    <x:xf numFmtId="0" fontId="15" fillId="7" borderId="3" xfId="0" applyNumberFormat="1" applyFont="1" applyFill="1" applyBorder="1" applyAlignment="1">
      <x:alignment vertical="center" wrapText="1"/>
    </x:xf>
    <x:xf numFmtId="0" fontId="15" fillId="7" borderId="4" xfId="0" applyNumberFormat="1" applyFont="1" applyFill="1" applyBorder="1" applyAlignment="1">
      <x:alignment vertical="center" wrapText="1"/>
    </x:xf>
    <x:xf numFmtId="0" fontId="15" fillId="7" borderId="5" xfId="0" applyNumberFormat="1" applyFont="1" applyFill="1" applyBorder="1" applyAlignment="1">
      <x:alignment vertical="center" wrapText="1"/>
    </x:xf>
    <x:xf numFmtId="0" fontId="15" fillId="7" borderId="8" xfId="0" applyNumberFormat="1" applyFont="1" applyFill="1" applyBorder="1" applyAlignment="1">
      <x:alignment vertical="center" wrapText="1"/>
    </x:xf>
    <x:xf numFmtId="0" fontId="15" fillId="7" borderId="9" xfId="0" applyNumberFormat="1" applyFont="1" applyFill="1" applyBorder="1" applyAlignment="1">
      <x:alignment vertical="center" wrapText="1"/>
    </x:xf>
    <x:xf numFmtId="0" fontId="15" fillId="7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0F76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F76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F76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F766E"/>
      </x:font>
      <x:fill>
        <x:patternFill patternType="solid">
          <x:bgColor rgb="FFE7F6F2"/>
        </x:patternFill>
      </x:fill>
    </x:dxf>
    <x:dxf>
      <x:font>
        <x:b/>
        <x:color rgb="FF0F76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05a1c1b544854" /><Relationship Type="http://schemas.openxmlformats.org/officeDocument/2006/relationships/theme" Target="/xl/theme/theme1.xml" Id="R9bbcfc4f489b43e4" /><Relationship Type="http://schemas.openxmlformats.org/officeDocument/2006/relationships/sharedStrings" Target="/xl/sharedStrings.xml" Id="R4f40dc4c431c4bc2" /><Relationship Type="http://schemas.openxmlformats.org/officeDocument/2006/relationships/worksheet" Target="/xl/worksheets/sheet1.xml" Id="R81a4ecc60065497c" /><Relationship Type="http://schemas.openxmlformats.org/officeDocument/2006/relationships/worksheet" Target="/xl/worksheets/sheet2.xml" Id="Rdf3a80519c794fa9" /><Relationship Type="http://schemas.openxmlformats.org/officeDocument/2006/relationships/worksheet" Target="/xl/worksheets/sheet3.xml" Id="Rb9f43c41173e47a4" /><Relationship Type="http://schemas.openxmlformats.org/officeDocument/2006/relationships/worksheet" Target="/xl/worksheets/sheet4.xml" Id="R05a32fa44e2d45d0" /><Relationship Type="http://schemas.openxmlformats.org/officeDocument/2006/relationships/worksheet" Target="/xl/worksheets/sheet5.xml" Id="R85266d4016234167" /><Relationship Type="http://schemas.openxmlformats.org/officeDocument/2006/relationships/worksheet" Target="/xl/worksheets/sheet6.xml" Id="R71f19c3360074d6e" /><Relationship Type="http://schemas.openxmlformats.org/officeDocument/2006/relationships/worksheet" Target="/xl/worksheets/sheet7.xml" Id="R44c0726b06c7464c" /><Relationship Type="http://schemas.openxmlformats.org/officeDocument/2006/relationships/worksheet" Target="/xl/worksheets/sheet8.xml" Id="R36b6ae64f0a14606" /><Relationship Type="http://schemas.openxmlformats.org/officeDocument/2006/relationships/worksheet" Target="/xl/worksheets/sheet9.xml" Id="Rd4e3e9240886491e" /><Relationship Type="http://schemas.openxmlformats.org/officeDocument/2006/relationships/worksheet" Target="/xl/worksheets/sheet10.xml" Id="R681a289a612340aa" /><Relationship Type="http://schemas.openxmlformats.org/officeDocument/2006/relationships/worksheet" Target="/xl/worksheets/sheet11.xml" Id="Rd994851afde548c0" /><Relationship Type="http://schemas.openxmlformats.org/officeDocument/2006/relationships/worksheet" Target="/xl/worksheets/sheet12.xml" Id="R4dba277d416542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aa5e4ba7f74bd6" /><Relationship Type="http://schemas.openxmlformats.org/officeDocument/2006/relationships/chart" Target="/xl/drawings/charts/chart2.xml" Id="R10c337667ae542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全链路漏斗（数量）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数量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'管理驾驶舱'!$A$18:$A$24</c:f>
              <c:strCache>
                <c:ptCount val="0"/>
              </c:strCache>
            </c:strRef>
          </c:cat>
          <c:val>
            <c:numRef>
              <c:f>'管理驾驶舱'!$B$18:$B$24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月度净佣金、总成本与净利润（USD）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净佣金</c:v>
          </c:tx>
          <c:marker>
            <c:symbol val="none"/>
          </c:marker>
          <c:cat>
            <c:strRef>
              <c:f>'管理驾驶舱'!$P$2:$P$7</c:f>
              <c:strCache>
                <c:ptCount val="0"/>
              </c:strCache>
            </c:strRef>
          </c:cat>
          <c:val>
            <c:numRef>
              <c:f>'管理驾驶舱'!$Q$2:$Q$7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总成本</c:v>
          </c:tx>
          <c:marker>
            <c:symbol val="none"/>
          </c:marker>
          <c:cat>
            <c:strRef>
              <c:f>'管理驾驶舱'!$P$2:$P$7</c:f>
              <c:strCache>
                <c:ptCount val="0"/>
              </c:strCache>
            </c:strRef>
          </c:cat>
          <c:val>
            <c:numRef>
              <c:f>'管理驾驶舱'!$R$2:$R$7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净利润</c:v>
          </c:tx>
          <c:marker>
            <c:symbol val="none"/>
          </c:marker>
          <c:cat>
            <c:strRef>
              <c:f>'管理驾驶舱'!$P$2:$P$7</c:f>
              <c:strCache>
                <c:ptCount val="0"/>
              </c:strCache>
            </c:strRef>
          </c:cat>
          <c:val>
            <c:numRef>
              <c:f>'管理驾驶舱'!$S$2:$S$7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aa5e4ba7f74bd6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c337667ae542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curementTable" displayName="ProcurementTable" ref="A1:P1001" headerRowCount="1" totalsRowCount="0" totalsRowShown="0">
  <x:tableColumns count="16">
    <x:tableColumn id="1" name="采购ID"/>
    <x:tableColumn id="2" name="日期"/>
    <x:tableColumn id="3" name="平台"/>
    <x:tableColumn id="4" name="市场"/>
    <x:tableColumn id="5" name="活动ID"/>
    <x:tableColumn id="6" name="活动类型"/>
    <x:tableColumn id="7" name="关键词簇"/>
    <x:tableColumn id="8" name="设备"/>
    <x:tableColumn id="9" name="计费模式"/>
    <x:tableColumn id="10" name="展现量"/>
    <x:tableColumn id="11" name="点击率"/>
    <x:tableColumn id="12" name="广告点击"/>
    <x:tableColumn id="13" name="单次点击成本(USD)"/>
    <x:tableColumn id="14" name="广告采购成本(USD)"/>
    <x:tableColumn id="15" name="质量得分"/>
    <x:tableColumn id="16" name="数据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nelTable" displayName="FunnelTable" ref="A1:T1001" headerRowCount="1" totalsRowCount="0" totalsRowShown="0">
  <x:tableColumns count="20">
    <x:tableColumn id="1" name="采购ID"/>
    <x:tableColumn id="2" name="日期"/>
    <x:tableColumn id="3" name="平台"/>
    <x:tableColumn id="4" name="市场"/>
    <x:tableColumn id="5" name="活动类型"/>
    <x:tableColumn id="6" name="广告点击"/>
    <x:tableColumn id="7" name="落地页访问"/>
    <x:tableColumn id="8" name="有效互动"/>
    <x:tableColumn id="9" name="产品详情浏览"/>
    <x:tableColumn id="10" name="Amazon点击"/>
    <x:tableColumn id="11" name="Amazon加购"/>
    <x:tableColumn id="12" name="完成购买"/>
    <x:tableColumn id="13" name="点击→落地"/>
    <x:tableColumn id="14" name="落地→互动"/>
    <x:tableColumn id="15" name="互动→产品"/>
    <x:tableColumn id="16" name="产品→Amazon"/>
    <x:tableColumn id="17" name="Amazon→购买"/>
    <x:tableColumn id="18" name="点击→购买"/>
    <x:tableColumn id="19" name="平均停留秒"/>
    <x:tableColumn id="20" name="归因窗口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OrdersTable" displayName="OrdersTable" ref="A1:U1001" headerRowCount="1" totalsRowCount="0" totalsRowShown="0">
  <x:tableColumns count="21">
    <x:tableColumn id="1" name="订单ID"/>
    <x:tableColumn id="2" name="采购ID"/>
    <x:tableColumn id="3" name="下单时间"/>
    <x:tableColumn id="4" name="归因日期"/>
    <x:tableColumn id="5" name="平台"/>
    <x:tableColumn id="6" name="市场"/>
    <x:tableColumn id="7" name="活动类型"/>
    <x:tableColumn id="8" name="SKU"/>
    <x:tableColumn id="9" name="品类"/>
    <x:tableColumn id="10" name="商品名称"/>
    <x:tableColumn id="11" name="单价(USD)"/>
    <x:tableColumn id="12" name="数量"/>
    <x:tableColumn id="13" name="成交额GMV(USD)"/>
    <x:tableColumn id="14" name="佣金率"/>
    <x:tableColumn id="15" name="毛佣金(USD)"/>
    <x:tableColumn id="16" name="订单状态"/>
    <x:tableColumn id="17" name="退款GMV(USD)"/>
    <x:tableColumn id="18" name="退款佣金(USD)"/>
    <x:tableColumn id="19" name="净佣金(USD)"/>
    <x:tableColumn id="20" name="归因天数"/>
    <x:tableColumn id="21" name="数据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sTable" displayName="CostsTable" ref="A1:J1001" headerRowCount="1" totalsRowCount="0" totalsRowShown="0">
  <x:tableColumns count="10">
    <x:tableColumn id="1" name="成本ID"/>
    <x:tableColumn id="2" name="采购ID"/>
    <x:tableColumn id="3" name="日期"/>
    <x:tableColumn id="4" name="平台"/>
    <x:tableColumn id="5" name="成本类型"/>
    <x:tableColumn id="6" name="分摊依据"/>
    <x:tableColumn id="7" name="成本金额(USD)"/>
    <x:tableColumn id="8" name="固定/变动"/>
    <x:tableColumn id="9" name="责任团队"/>
    <x:tableColumn id="10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5b4289298542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5fd43d48c9d844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87a032bc43043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8b6e70d125d40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33876b16b4a41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2" customHeight="1">
      <x:c r="A1" s="3" t="str">
        <x:v>采购—转化—佣金利润：管理驾驶舱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P1" t="str">
        <x:v>月份</x:v>
      </x:c>
      <x:c r="Q1" t="str">
        <x:v>净佣金</x:v>
      </x:c>
      <x:c r="R1" t="str">
        <x:v>总成本</x:v>
      </x:c>
      <x:c r="S1" t="str">
        <x:v>净利润</x:v>
      </x:c>
    </x:row>
    <x:row r="2" ht="3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P2" t="str">
        <x:f>'月度分析'!A6</x:f>
        <x:v>2026-01</x:v>
      </x:c>
      <x:c r="Q2" t="n">
        <x:f>'月度分析'!N6</x:f>
        <x:v>3406.9500000000007</x:v>
      </x:c>
      <x:c r="R2" t="n">
        <x:f>'月度分析'!O6</x:f>
        <x:v>2377.3700000000003</x:v>
      </x:c>
      <x:c r="S2" t="n">
        <x:f>'月度分析'!P6</x:f>
        <x:v>1029.5800000000004</x:v>
      </x:c>
    </x:row>
    <x:row r="3" ht="22" customHeight="1">
      <x:c r="A3" s="6" t="str">
        <x:v>Google Ads + Microsoft Ads → 产品中间页 → Amazon购买｜2026 H1｜USD｜完全模拟数据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t="str">
        <x:f>'月度分析'!A7</x:f>
        <x:v>2026-02</x:v>
      </x:c>
      <x:c r="Q3" t="n">
        <x:f>'月度分析'!N7</x:f>
        <x:v>2974.809999999998</x:v>
      </x:c>
      <x:c r="R3" t="n">
        <x:f>'月度分析'!O7</x:f>
        <x:v>2285.3900000000012</x:v>
      </x:c>
      <x:c r="S3" t="n">
        <x:f>'月度分析'!P7</x:f>
        <x:v>689.4199999999969</x:v>
      </x:c>
    </x:row>
    <x:row r="4" ht="22" customHeight="1">
      <x:c r="P4" t="str">
        <x:f>'月度分析'!A8</x:f>
        <x:v>2026-03</x:v>
      </x:c>
      <x:c r="Q4" t="n">
        <x:f>'月度分析'!N8</x:f>
        <x:v>3282.8900000000012</x:v>
      </x:c>
      <x:c r="R4" t="n">
        <x:f>'月度分析'!O8</x:f>
        <x:v>2416.5</x:v>
      </x:c>
      <x:c r="S4" t="n">
        <x:f>'月度分析'!P8</x:f>
        <x:v>866.3900000000012</x:v>
      </x:c>
    </x:row>
    <x:row r="5" ht="22" customHeight="1">
      <x:c r="A5" s="133" t="str">
        <x:v>广告采购成本</x:v>
      </x:c>
      <x:c r="B5" s="133"/>
      <x:c r="C5" s="133"/>
      <x:c r="D5" s="161" t="str">
        <x:v>完成购买</x:v>
      </x:c>
      <x:c r="E5" s="161"/>
      <x:c r="F5" s="161"/>
      <x:c r="G5" s="133" t="str">
        <x:v>成交额 GMV</x:v>
      </x:c>
      <x:c r="H5" s="133"/>
      <x:c r="I5" s="133"/>
      <x:c r="J5" s="161" t="str">
        <x:v>净佣金收入</x:v>
      </x:c>
      <x:c r="K5" s="161"/>
      <x:c r="L5" s="161"/>
      <x:c r="M5" s="161"/>
      <x:c r="N5" s="161"/>
      <x:c r="P5" t="str">
        <x:f>'月度分析'!A9</x:f>
        <x:v>2026-04</x:v>
      </x:c>
      <x:c r="Q5" t="n">
        <x:f>'月度分析'!N9</x:f>
        <x:v>2755.1300000000006</x:v>
      </x:c>
      <x:c r="R5" t="n">
        <x:f>'月度分析'!O9</x:f>
        <x:v>2425.74</x:v>
      </x:c>
      <x:c r="S5" t="n">
        <x:f>'月度分析'!P9</x:f>
        <x:v>329.3900000000008</x:v>
      </x:c>
    </x:row>
    <x:row r="6" ht="28" customHeight="1">
      <x:c r="A6" s="154" t="n">
        <x:f>SUM('流量采购明细'!$N$2:$N$1001)</x:f>
        <x:v>12853.499999999982</x:v>
      </x:c>
      <x:c r="B6" s="155"/>
      <x:c r="C6" s="156"/>
      <x:c r="D6" s="174" t="n">
        <x:f>SUM('漏斗绩效明细'!$L$2:$L$1001)</x:f>
        <x:v>1000</x:v>
      </x:c>
      <x:c r="E6" s="175"/>
      <x:c r="F6" s="176"/>
      <x:c r="G6" s="154" t="n">
        <x:f>SUM('Amazon订单明细'!$M$2:$M$1001)</x:f>
        <x:v>306331.56000000006</x:v>
      </x:c>
      <x:c r="H6" s="155"/>
      <x:c r="I6" s="156"/>
      <x:c r="J6" s="154" t="n">
        <x:f>SUM('Amazon订单明细'!$S$2:$S$1001)</x:f>
        <x:v>18460.179999999982</x:v>
      </x:c>
      <x:c r="K6" s="155"/>
      <x:c r="L6" s="155"/>
      <x:c r="M6" s="155"/>
      <x:c r="N6" s="156"/>
      <x:c r="P6" t="str">
        <x:f>'月度分析'!A10</x:f>
        <x:v>2026-05</x:v>
      </x:c>
      <x:c r="Q6" t="n">
        <x:f>'月度分析'!N10</x:f>
        <x:v>2887.5600000000018</x:v>
      </x:c>
      <x:c r="R6" t="n">
        <x:f>'月度分析'!O10</x:f>
        <x:v>2561.3800000000015</x:v>
      </x:c>
      <x:c r="S6" t="n">
        <x:f>'月度分析'!P10</x:f>
        <x:v>326.1800000000003</x:v>
      </x:c>
    </x:row>
    <x:row r="7" ht="28" customHeight="1">
      <x:c r="A7" s="157"/>
      <x:c r="B7" s="158"/>
      <x:c r="C7" s="159"/>
      <x:c r="D7" s="177"/>
      <x:c r="E7" s="178"/>
      <x:c r="F7" s="179"/>
      <x:c r="G7" s="157"/>
      <x:c r="H7" s="158"/>
      <x:c r="I7" s="159"/>
      <x:c r="J7" s="157"/>
      <x:c r="K7" s="158"/>
      <x:c r="L7" s="158"/>
      <x:c r="M7" s="158"/>
      <x:c r="N7" s="159"/>
      <x:c r="P7" t="str">
        <x:f>'月度分析'!A11</x:f>
        <x:v>2026-06</x:v>
      </x:c>
      <x:c r="Q7" t="n">
        <x:f>'月度分析'!N11</x:f>
        <x:v>3152.8400000000006</x:v>
      </x:c>
      <x:c r="R7" t="n">
        <x:f>'月度分析'!O11</x:f>
        <x:v>2405.8399999999997</x:v>
      </x:c>
      <x:c r="S7" t="n">
        <x:f>'月度分析'!P11</x:f>
        <x:v>747.0000000000009</x:v>
      </x:c>
    </x:row>
    <x:row r="8" ht="22" customHeight="1"/>
    <x:row r="9" ht="22" customHeight="1">
      <x:c r="A9" s="133" t="str">
        <x:v>运营成本</x:v>
      </x:c>
      <x:c r="B9" s="133"/>
      <x:c r="C9" s="133"/>
      <x:c r="D9" s="161" t="str">
        <x:v>总投入成本</x:v>
      </x:c>
      <x:c r="E9" s="161"/>
      <x:c r="F9" s="161"/>
      <x:c r="G9" s="133" t="str">
        <x:v>净利润</x:v>
      </x:c>
      <x:c r="H9" s="133"/>
      <x:c r="I9" s="133"/>
      <x:c r="J9" s="161" t="str">
        <x:v>ROI / CAC</x:v>
      </x:c>
      <x:c r="K9" s="161"/>
      <x:c r="L9" s="161"/>
      <x:c r="M9" s="161"/>
      <x:c r="N9" s="161"/>
    </x:row>
    <x:row r="10" ht="28" customHeight="1">
      <x:c r="A10" s="154" t="n">
        <x:f>SUM('运营成本明细'!$G$2:$G$1001)</x:f>
        <x:v>1618.7199999999996</x:v>
      </x:c>
      <x:c r="B10" s="155"/>
      <x:c r="C10" s="156"/>
      <x:c r="D10" s="154" t="n">
        <x:f>A6+A10</x:f>
        <x:v>14472.219999999981</x:v>
      </x:c>
      <x:c r="E10" s="155"/>
      <x:c r="F10" s="156"/>
      <x:c r="G10" s="199" t="n">
        <x:f>J6-D10</x:f>
        <x:v>3987.960000000001</x:v>
      </x:c>
      <x:c r="H10" s="200"/>
      <x:c r="I10" s="201"/>
      <x:c r="J10" s="217" t="n">
        <x:f>IFERROR(G10/D10,0)</x:f>
        <x:v>0.2755596584352647</x:v>
      </x:c>
      <x:c r="K10" s="218"/>
      <x:c r="L10" s="219"/>
      <x:c r="M10" s="236" t="n">
        <x:f>IFERROR(D10/D6,0)</x:f>
        <x:v>14.47221999999998</x:v>
      </x:c>
      <x:c r="N10" s="237"/>
    </x:row>
    <x:row r="11" ht="28" customHeight="1">
      <x:c r="A11" s="157"/>
      <x:c r="B11" s="158"/>
      <x:c r="C11" s="159"/>
      <x:c r="D11" s="157"/>
      <x:c r="E11" s="158"/>
      <x:c r="F11" s="159"/>
      <x:c r="G11" s="202"/>
      <x:c r="H11" s="203"/>
      <x:c r="I11" s="204"/>
      <x:c r="J11" s="220"/>
      <x:c r="K11" s="221"/>
      <x:c r="L11" s="222"/>
      <x:c r="M11" s="238"/>
      <x:c r="N11" s="239"/>
    </x:row>
    <x:row r="12" ht="22" customHeight="1"/>
    <x:row r="13" ht="22" customHeight="1">
      <x:c r="A13" s="259" t="str">
        <x:v>经营提示：漏斗与利润必须联合管理。单纯增加广告点击不会自动提高利润；优先修复低转化环节，并把采购预算迁移到净佣金覆盖总成本且ROI为正的渠道/活动。</x:v>
      </x:c>
      <x:c r="B13" s="260"/>
      <x:c r="C13" s="260"/>
      <x:c r="D13" s="260"/>
      <x:c r="E13" s="260"/>
      <x:c r="F13" s="260"/>
      <x:c r="G13" s="260"/>
      <x:c r="H13" s="260"/>
      <x:c r="I13" s="260"/>
      <x:c r="J13" s="260"/>
      <x:c r="K13" s="260"/>
      <x:c r="L13" s="260"/>
      <x:c r="M13" s="260"/>
      <x:c r="N13" s="261"/>
    </x:row>
    <x:row r="14" ht="22" customHeight="1">
      <x:c r="A14" s="262"/>
      <x:c r="B14" s="263"/>
      <x:c r="C14" s="263"/>
      <x:c r="D14" s="263"/>
      <x:c r="E14" s="263"/>
      <x:c r="F14" s="263"/>
      <x:c r="G14" s="263"/>
      <x:c r="H14" s="263"/>
      <x:c r="I14" s="263"/>
      <x:c r="J14" s="263"/>
      <x:c r="K14" s="263"/>
      <x:c r="L14" s="263"/>
      <x:c r="M14" s="263"/>
      <x:c r="N14" s="264"/>
    </x:row>
    <x:row r="15" ht="22" customHeight="1">
      <x:c r="A15" s="265"/>
      <x:c r="B15" s="266"/>
      <x:c r="C15" s="266"/>
      <x:c r="D15" s="266"/>
      <x:c r="E15" s="266"/>
      <x:c r="F15" s="266"/>
      <x:c r="G15" s="266"/>
      <x:c r="H15" s="266"/>
      <x:c r="I15" s="266"/>
      <x:c r="J15" s="266"/>
      <x:c r="K15" s="266"/>
      <x:c r="L15" s="266"/>
      <x:c r="M15" s="266"/>
      <x:c r="N15" s="267"/>
    </x:row>
    <x:row r="16" ht="22" customHeight="1"/>
    <x:row r="17" ht="22" customHeight="1">
      <x:c r="A17" s="15" t="str">
        <x:v>漏斗阶段</x:v>
      </x:c>
      <x:c r="B17" s="55" t="str">
        <x:v>数量</x:v>
      </x:c>
      <x:c r="C17" s="55" t="str">
        <x:v>环节转化率</x:v>
      </x:c>
      <x:c r="D17" s="16" t="str">
        <x:v>累计转化率</x:v>
      </x:c>
    </x:row>
    <x:row r="18" ht="22" customHeight="1">
      <x:c r="A18" s="268" t="str">
        <x:v>广告展现</x:v>
      </x:c>
      <x:c r="B18" s="269" t="n">
        <x:f>SUM('流量采购明细'!$J$2:$J$1001)</x:f>
        <x:v>1077192</x:v>
      </x:c>
      <x:c r="C18" s="270" t="n">
        <x:v>1</x:v>
      </x:c>
      <x:c r="D18" s="270" t="n">
        <x:v>1</x:v>
      </x:c>
    </x:row>
    <x:row r="19" ht="22" customHeight="1">
      <x:c r="A19" s="271" t="str">
        <x:v>广告点击</x:v>
      </x:c>
      <x:c r="B19" s="272" t="n">
        <x:f>SUM('流量采购明细'!$L$2:$L$1001)</x:f>
        <x:v>45693</x:v>
      </x:c>
      <x:c r="C19" s="273" t="n">
        <x:f>IFERROR(B19/B18,0)</x:f>
        <x:v>0.04241862174988303</x:v>
      </x:c>
      <x:c r="D19" s="273" t="n">
        <x:f>IFERROR(B19/$B$18,0)</x:f>
        <x:v>0.04241862174988303</x:v>
      </x:c>
    </x:row>
    <x:row r="20" ht="22" customHeight="1">
      <x:c r="A20" s="271" t="str">
        <x:v>落地页访问</x:v>
      </x:c>
      <x:c r="B20" s="272" t="n">
        <x:f>SUM('漏斗绩效明细'!$G$2:$G$1001)</x:f>
        <x:v>41813</x:v>
      </x:c>
      <x:c r="C20" s="273" t="n">
        <x:f>IFERROR(B20/B19,0)</x:f>
        <x:v>0.9150854616680892</x:v>
      </x:c>
      <x:c r="D20" s="273" t="n">
        <x:f>IFERROR(B20/$B$18,0)</x:f>
        <x:v>0.038816664067315765</x:v>
      </x:c>
    </x:row>
    <x:row r="21" ht="22" customHeight="1">
      <x:c r="A21" s="271" t="str">
        <x:v>有效互动</x:v>
      </x:c>
      <x:c r="B21" s="272" t="n">
        <x:f>SUM('漏斗绩效明细'!$H$2:$H$1001)</x:f>
        <x:v>29204</x:v>
      </x:c>
      <x:c r="C21" s="273" t="n">
        <x:f>IFERROR(B21/B20,0)</x:f>
        <x:v>0.6984430679453758</x:v>
      </x:c>
      <x:c r="D21" s="273" t="n">
        <x:f>IFERROR(B21/$B$18,0)</x:f>
        <x:v>0.02711122993858105</x:v>
      </x:c>
    </x:row>
    <x:row r="22" ht="22" customHeight="1">
      <x:c r="A22" s="271" t="str">
        <x:v>产品详情浏览</x:v>
      </x:c>
      <x:c r="B22" s="272" t="n">
        <x:f>SUM('漏斗绩效明细'!$I$2:$I$1001)</x:f>
        <x:v>24792</x:v>
      </x:c>
      <x:c r="C22" s="273" t="n">
        <x:f>IFERROR(B22/B21,0)</x:f>
        <x:v>0.8489248048212573</x:v>
      </x:c>
      <x:c r="D22" s="273" t="n">
        <x:f>IFERROR(B22/$B$18,0)</x:f>
        <x:v>0.023015395584074148</x:v>
      </x:c>
    </x:row>
    <x:row r="23" ht="22" customHeight="1">
      <x:c r="A23" s="271" t="str">
        <x:v>Amazon点击</x:v>
      </x:c>
      <x:c r="B23" s="272" t="n">
        <x:f>SUM('漏斗绩效明细'!$J$2:$J$1001)</x:f>
        <x:v>11081</x:v>
      </x:c>
      <x:c r="C23" s="273" t="n">
        <x:f>IFERROR(B23/B22,0)</x:f>
        <x:v>0.4469586963536625</x:v>
      </x:c>
      <x:c r="D23" s="273" t="n">
        <x:f>IFERROR(B23/$B$18,0)</x:f>
        <x:v>0.010286931206321622</x:v>
      </x:c>
    </x:row>
    <x:row r="24" ht="22" customHeight="1">
      <x:c r="A24" s="274" t="str">
        <x:v>完成购买</x:v>
      </x:c>
      <x:c r="B24" s="275" t="n">
        <x:f>SUM('漏斗绩效明细'!$L$2:$L$1001)</x:f>
        <x:v>1000</x:v>
      </x:c>
      <x:c r="C24" s="276" t="n">
        <x:f>IFERROR(B24/B23,0)</x:f>
        <x:v>0.0902445627650934</x:v>
      </x:c>
      <x:c r="D24" s="276" t="n">
        <x:f>IFERROR(B24/$B$18,0)</x:f>
        <x:v>0.0009283396089090895</x:v>
      </x:c>
    </x:row>
    <x:row r="25" ht="22" customHeight="1"/>
    <x:row r="26" ht="22" customHeight="1"/>
    <x:row r="27" ht="22" customHeight="1">
      <x:c r="A27" s="15" t="str">
        <x:v>渠道</x:v>
      </x:c>
      <x:c r="B27" s="55" t="str">
        <x:v>完成购买</x:v>
      </x:c>
      <x:c r="C27" s="55" t="str">
        <x:v>广告成本</x:v>
      </x:c>
      <x:c r="D27" s="55" t="str">
        <x:v>净佣金</x:v>
      </x:c>
      <x:c r="E27" s="55" t="str">
        <x:v>净利润</x:v>
      </x:c>
      <x:c r="F27" s="16" t="str">
        <x:v>ROI</x:v>
      </x:c>
    </x:row>
    <x:row r="28" ht="22" customHeight="1">
      <x:c r="A28" t="str">
        <x:v>Google Ads</x:v>
      </x:c>
      <x:c r="B28" s="79" t="n">
        <x:f>SUMIFS('漏斗绩效明细'!$L$2:$L$1001,'漏斗绩效明细'!$C$2:$C$1001,$A28)</x:f>
        <x:v>616</x:v>
      </x:c>
      <x:c r="C28" s="112" t="n">
        <x:f>SUMIFS('流量采购明细'!$N$2:$N$1001,'流量采购明细'!$C$2:$C$1001,$A28)</x:f>
        <x:v>8936.790000000003</x:v>
      </x:c>
      <x:c r="D28" s="112" t="n">
        <x:f>SUMIFS('Amazon订单明细'!$S$2:$S$1001,'Amazon订单明细'!$E$2:$E$1001,$A28)</x:f>
        <x:v>11284.989999999998</x:v>
      </x:c>
      <x:c r="E28" s="112" t="n">
        <x:f>D28-C28-SUMIFS('运营成本明细'!$G$2:$G$1001,'运营成本明细'!$D$2:$D$1001,$A28)</x:f>
        <x:v>1315.0499999999952</x:v>
      </x:c>
      <x:c r="F28" s="105" t="n">
        <x:f>IFERROR(E28/(C28+SUMIFS('运营成本明细'!$G$2:$G$1001,'运营成本明细'!$D$2:$D$1001,$A28)),0)</x:f>
        <x:v>0.13190149589666486</x:v>
      </x:c>
    </x:row>
    <x:row r="29" ht="22" customHeight="1">
      <x:c r="A29" t="str">
        <x:v>Microsoft Ads</x:v>
      </x:c>
      <x:c r="B29" s="79" t="n">
        <x:f>SUMIFS('漏斗绩效明细'!$L$2:$L$1001,'漏斗绩效明细'!$C$2:$C$1001,$A29)</x:f>
        <x:v>384</x:v>
      </x:c>
      <x:c r="C29" s="112" t="n">
        <x:f>SUMIFS('流量采购明细'!$N$2:$N$1001,'流量采购明细'!$C$2:$C$1001,$A29)</x:f>
        <x:v>3916.709999999999</x:v>
      </x:c>
      <x:c r="D29" s="112" t="n">
        <x:f>SUMIFS('Amazon订单明细'!$S$2:$S$1001,'Amazon订单明细'!$E$2:$E$1001,$A29)</x:f>
        <x:v>7175.189999999991</x:v>
      </x:c>
      <x:c r="E29" s="112" t="n">
        <x:f>D29-C29-SUMIFS('运营成本明细'!$G$2:$G$1001,'运营成本明细'!$D$2:$D$1001,$A29)</x:f>
        <x:v>2672.909999999992</x:v>
      </x:c>
      <x:c r="F29" s="105" t="n">
        <x:f>IFERROR(E29/(C29+SUMIFS('运营成本明细'!$G$2:$G$1001,'运营成本明细'!$D$2:$D$1001,$A29)),0)</x:f>
        <x:v>0.5936792025373795</x:v>
      </x:c>
    </x:row>
    <x:row r="30" ht="22" customHeight="1">
      <x:c r="A30" s="283" t="str">
        <x:v>合计</x:v>
      </x:c>
      <x:c r="B30" s="284" t="n">
        <x:f>SUM(B28:B29)</x:f>
        <x:v>1000</x:v>
      </x:c>
      <x:c r="C30" s="285" t="n">
        <x:f>SUM(C28:C29)</x:f>
        <x:v>12853.500000000002</x:v>
      </x:c>
      <x:c r="D30" s="285" t="n">
        <x:f>SUM(D28:D29)</x:f>
        <x:v>18460.17999999999</x:v>
      </x:c>
      <x:c r="E30" s="285" t="n">
        <x:f>SUM(E28:E29)</x:f>
        <x:v>3987.9599999999873</x:v>
      </x:c>
      <x:c r="F30" s="286" t="n">
        <x:f>IFERROR(E30/(C30+SUM('运营成本明细'!$G$2:$G$1001)),0)</x:f>
        <x:v>0.27555965843526337</x:v>
      </x:c>
    </x:row>
    <x:row r="31" ht="22" customHeight="1"/>
    <x:row r="32" ht="22" customHeight="1"/>
    <x:row r="33" ht="22" customHeight="1">
      <x:c r="A33" s="305" t="str">
        <x:v>口径：净利润 = 毛佣金 - 退款佣金 - 广告采购成本 - 运营成本。ROI = 净利润 / 总投入成本；CAC = 总投入成本 / 完成购买。</x:v>
      </x:c>
      <x:c r="B33" s="306"/>
      <x:c r="C33" s="306"/>
      <x:c r="D33" s="306"/>
      <x:c r="E33" s="306"/>
      <x:c r="F33" s="307"/>
    </x:row>
    <x:row r="34" ht="22" customHeight="1">
      <x:c r="A34" s="308"/>
      <x:c r="B34" s="309"/>
      <x:c r="C34" s="309"/>
      <x:c r="D34" s="309"/>
      <x:c r="E34" s="309"/>
      <x:c r="F34" s="310"/>
    </x:row>
    <x:row r="35" ht="22" customHeight="1">
      <x:c r="A35" s="311"/>
      <x:c r="B35" s="312"/>
      <x:c r="C35" s="312"/>
      <x:c r="D35" s="312"/>
      <x:c r="E35" s="312"/>
      <x:c r="F35" s="313"/>
    </x:row>
    <x:row r="36" ht="22" customHeight="1"/>
    <x:row r="37" ht="22" customHeight="1"/>
    <x:row r="38" ht="22" customHeight="1">
      <x:c r="A38" s="332" t="str">
        <x:v>数据规模
• 流量采购：1,000 条
• 漏斗绩效：1,000 条
• Amazon订单：1,000 条
• 运营成本：1,000 条
全部为模拟数据，可用于流程演示与分析模板验证。</x:v>
      </x:c>
      <x:c r="B38" s="333"/>
      <x:c r="C38" s="333"/>
      <x:c r="D38" s="333"/>
      <x:c r="E38" s="333"/>
      <x:c r="F38" s="334"/>
    </x:row>
    <x:row r="39" ht="22" customHeight="1">
      <x:c r="A39" s="335"/>
      <x:c r="B39" s="336"/>
      <x:c r="C39" s="336"/>
      <x:c r="D39" s="336"/>
      <x:c r="E39" s="336"/>
      <x:c r="F39" s="337"/>
    </x:row>
    <x:row r="40" ht="22" customHeight="1">
      <x:c r="A40" s="335"/>
      <x:c r="B40" s="336"/>
      <x:c r="C40" s="336"/>
      <x:c r="D40" s="336"/>
      <x:c r="E40" s="336"/>
      <x:c r="F40" s="337"/>
    </x:row>
    <x:row r="41" ht="22" customHeight="1">
      <x:c r="A41" s="335"/>
      <x:c r="B41" s="336"/>
      <x:c r="C41" s="336"/>
      <x:c r="D41" s="336"/>
      <x:c r="E41" s="336"/>
      <x:c r="F41" s="337"/>
    </x:row>
    <x:row r="42" ht="22" customHeight="1">
      <x:c r="A42" s="335"/>
      <x:c r="B42" s="336"/>
      <x:c r="C42" s="336"/>
      <x:c r="D42" s="336"/>
      <x:c r="E42" s="336"/>
      <x:c r="F42" s="337"/>
    </x:row>
    <x:row r="43" ht="22" customHeight="1">
      <x:c r="A43" s="338"/>
      <x:c r="B43" s="339"/>
      <x:c r="C43" s="339"/>
      <x:c r="D43" s="339"/>
      <x:c r="E43" s="339"/>
      <x:c r="F43" s="340"/>
    </x:row>
    <x:row r="44" ht="22" customHeight="1"/>
    <x:row r="45" ht="22" customHeight="1">
      <x:c r="A45" s="354" t="str">
        <x:v>警示：模拟数据不代表平台真实费率或经营承诺。上线前请替换广告账单、Amazon订单与运营总账。</x:v>
      </x:c>
      <x:c r="B45" s="355"/>
      <x:c r="C45" s="355"/>
      <x:c r="D45" s="355"/>
      <x:c r="E45" s="355"/>
      <x:c r="F45" s="355"/>
      <x:c r="G45" s="355"/>
      <x:c r="H45" s="355"/>
      <x:c r="I45" s="355"/>
      <x:c r="J45" s="355"/>
      <x:c r="K45" s="355"/>
      <x:c r="L45" s="355"/>
      <x:c r="M45" s="355"/>
      <x:c r="N45" s="356"/>
    </x:row>
    <x:row r="46" ht="22" customHeight="1">
      <x:c r="A46" s="357"/>
      <x:c r="B46" s="358"/>
      <x:c r="C46" s="358"/>
      <x:c r="D46" s="358"/>
      <x:c r="E46" s="358"/>
      <x:c r="F46" s="358"/>
      <x:c r="G46" s="358"/>
      <x:c r="H46" s="358"/>
      <x:c r="I46" s="358"/>
      <x:c r="J46" s="358"/>
      <x:c r="K46" s="358"/>
      <x:c r="L46" s="358"/>
      <x:c r="M46" s="358"/>
      <x:c r="N46" s="359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N5"/>
    <x:mergeCell ref="J6:N7"/>
    <x:mergeCell ref="A9:C9"/>
    <x:mergeCell ref="A10:C11"/>
    <x:mergeCell ref="D9:F9"/>
    <x:mergeCell ref="D10:F11"/>
    <x:mergeCell ref="G9:I9"/>
    <x:mergeCell ref="G10:I11"/>
    <x:mergeCell ref="J9:N9"/>
    <x:mergeCell ref="J10:L11"/>
    <x:mergeCell ref="M10:N11"/>
    <x:mergeCell ref="A13:N15"/>
    <x:mergeCell ref="A33:F35"/>
    <x:mergeCell ref="A38:F43"/>
    <x:mergeCell ref="A45:N46"/>
  </x:mergeCells>
  <x:pageMargins left="0.7" right="0.7" top="0.75" bottom="0.75" header="0.3" footer="0.3"/>
  <x:drawing xmlns:r="http://schemas.openxmlformats.org/officeDocument/2006/relationships" r:id="R9c5b42892985428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2" customHeight="1">
      <x:c r="A1" s="3" t="str">
        <x:v>电商流量采购 → 产品中间页 → Amazon购买：模拟分析模型</x:v>
      </x:c>
      <x:c r="B1" s="3"/>
      <x:c r="C1" s="3"/>
      <x:c r="D1" s="3"/>
      <x:c r="E1" s="3"/>
      <x:c r="F1" s="3"/>
      <x:c r="G1" s="3"/>
      <x:c r="H1" s="3"/>
    </x:row>
    <x:row r="2" ht="32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6" t="str">
        <x:v>版本 v1.0｜数据期间：2026-01-01 至 2026-06-30｜统一币种：USD｜数据性质：完全模拟</x:v>
      </x:c>
      <x:c r="B3" s="6"/>
      <x:c r="C3" s="6"/>
      <x:c r="D3" s="6"/>
      <x:c r="E3" s="6"/>
      <x:c r="F3" s="6"/>
      <x:c r="G3" s="6"/>
      <x:c r="H3" s="6"/>
    </x:row>
    <x:row r="4" ht="24" customHeight="1"/>
    <x:row r="5" ht="24" customHeight="1">
      <x:c r="A5" s="15" t="str">
        <x:v>模块</x:v>
      </x:c>
      <x:c r="B5" s="16" t="str">
        <x:v>说明</x:v>
      </x:c>
    </x:row>
    <x:row r="6" ht="24" customHeight="1">
      <x:c r="A6" s="19" t="str">
        <x:v>流量采购明细</x:v>
      </x:c>
      <x:c r="B6" s="21" t="str">
        <x:v>1,000 条 Google Ads / Microsoft Ads 采购批次，含展现、点击、CPC 与广告采购成本。</x:v>
      </x:c>
    </x:row>
    <x:row r="7" ht="24" customHeight="1">
      <x:c r="A7" s="19" t="str">
        <x:v>漏斗绩效明细</x:v>
      </x:c>
      <x:c r="B7" s="21" t="str">
        <x:v>1,000 条与采购ID一一对应的漏斗记录：点击、落地、互动、产品页、Amazon点击、购买。</x:v>
      </x:c>
    </x:row>
    <x:row r="8" ht="24" customHeight="1">
      <x:c r="A8" s="19" t="str">
        <x:v>Amazon订单明细</x:v>
      </x:c>
      <x:c r="B8" s="21" t="str">
        <x:v>1,000 笔模拟订单，含SKU、成交额、佣金率、退款与净佣金。</x:v>
      </x:c>
    </x:row>
    <x:row r="9" ht="24" customHeight="1">
      <x:c r="A9" s="19" t="str">
        <x:v>运营成本明细</x:v>
      </x:c>
      <x:c r="B9" s="21" t="str">
        <x:v>1,000 条运营成本分摊记录，覆盖数据、技术、素材、监测和人工。</x:v>
      </x:c>
    </x:row>
    <x:row r="10" ht="24" customHeight="1">
      <x:c r="A10" s="19" t="str">
        <x:v>分析层</x:v>
      </x:c>
      <x:c r="B10" s="21" t="str">
        <x:v>月度、渠道、活动、品类分析均由明细表公式汇总，可复算、可审计。</x:v>
      </x:c>
    </x:row>
    <x:row r="11" ht="24" customHeight="1">
      <x:c r="A11" s="19" t="str">
        <x:v>核心利润口径</x:v>
      </x:c>
      <x:c r="B11" s="21" t="str">
        <x:v>净利润 = 净佣金收入 - 广告采购成本 - 运营成本。</x:v>
      </x:c>
    </x:row>
    <x:row r="12" ht="24" customHeight="1">
      <x:c r="A12" s="19" t="str">
        <x:v>ROI口径</x:v>
      </x:c>
      <x:c r="B12" s="21" t="str">
        <x:v>ROI = 净利润 ÷（广告采购成本 + 运营成本）。</x:v>
      </x:c>
    </x:row>
    <x:row r="13" ht="24" customHeight="1">
      <x:c r="A13" s="19" t="str">
        <x:v>CAC口径</x:v>
      </x:c>
      <x:c r="B13" s="21" t="str">
        <x:v>获客成本 =（广告采购成本 + 运营成本）÷ 完成购买订单数。</x:v>
      </x:c>
    </x:row>
    <x:row r="14" ht="24" customHeight="1">
      <x:c r="A14" s="19" t="str">
        <x:v>归因口径</x:v>
      </x:c>
      <x:c r="B14" s="21" t="str">
        <x:v>末次广告点击 7 天归因；收入按采购批次的归因日期计入。</x:v>
      </x:c>
    </x:row>
    <x:row r="15" ht="24" customHeight="1"/>
    <x:row r="16" ht="24" customHeight="1">
      <x:c r="A16" s="23" t="str">
        <x:v>重要说明</x:v>
      </x:c>
      <x:c r="B16" s="23"/>
      <x:c r="C16" s="23"/>
      <x:c r="D16" s="23"/>
      <x:c r="E16" s="23"/>
      <x:c r="F16" s="23"/>
      <x:c r="G16" s="23"/>
      <x:c r="H16" s="23"/>
    </x:row>
    <x:row r="17" ht="30" customHeight="1">
      <x:c r="A17" s="43" t="str">
        <x:v>本工作簿中的 CPC、转化率、Amazon 佣金率、退款率、商品价格和运营成本均为教学与经营分析用途的模拟假设，不代表 Google、Microsoft 或 Amazon 的真实价格、费率或政策。实际运营时应替换为平台导出数据和正式协议参数。</x:v>
      </x:c>
      <x:c r="B17" s="44"/>
      <x:c r="C17" s="44"/>
      <x:c r="D17" s="44"/>
      <x:c r="E17" s="44"/>
      <x:c r="F17" s="44"/>
      <x:c r="G17" s="44"/>
      <x:c r="H17" s="45"/>
    </x:row>
    <x:row r="18" ht="30" customHeight="1">
      <x:c r="A18" s="46"/>
      <x:c r="B18" s="47"/>
      <x:c r="C18" s="47"/>
      <x:c r="D18" s="47"/>
      <x:c r="E18" s="47"/>
      <x:c r="F18" s="47"/>
      <x:c r="G18" s="47"/>
      <x:c r="H18" s="48"/>
    </x:row>
    <x:row r="19" ht="30" customHeight="1">
      <x:c r="A19" s="46"/>
      <x:c r="B19" s="47"/>
      <x:c r="C19" s="47"/>
      <x:c r="D19" s="47"/>
      <x:c r="E19" s="47"/>
      <x:c r="F19" s="47"/>
      <x:c r="G19" s="47"/>
      <x:c r="H19" s="48"/>
    </x:row>
    <x:row r="20" ht="30" customHeight="1">
      <x:c r="A20" s="49"/>
      <x:c r="B20" s="50"/>
      <x:c r="C20" s="50"/>
      <x:c r="D20" s="50"/>
      <x:c r="E20" s="50"/>
      <x:c r="F20" s="50"/>
      <x:c r="G20" s="50"/>
      <x:c r="H20" s="51"/>
    </x:row>
  </x:sheetData>
  <x:mergeCells>
    <x:mergeCell ref="A1:H2"/>
    <x:mergeCell ref="A3:H3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46" hidden="0" customWidth="1"/>
    <x:col min="5" max="5" width="4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24" customHeight="1">
      <x:c r="A1" s="3" t="str">
        <x:v>参数假设与指标目标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6" t="str">
        <x:v>黄色单元格为模型输入/说明；所有费率均为模拟，不代表平台真实政策</x:v>
      </x:c>
      <x:c r="B3" s="6"/>
      <x:c r="C3" s="6"/>
      <x:c r="D3" s="6"/>
      <x:c r="E3" s="6"/>
      <x:c r="F3" s="6"/>
      <x:c r="G3" s="6"/>
      <x:c r="H3" s="6"/>
    </x:row>
    <x:row r="4" ht="24" customHeight="1"/>
    <x:row r="5" ht="24" customHeight="1">
      <x:c r="A5" s="15" t="str">
        <x:v>参数组</x:v>
      </x:c>
      <x:c r="B5" s="55" t="str">
        <x:v>参数</x:v>
      </x:c>
      <x:c r="C5" s="55" t="str">
        <x:v>模拟值</x:v>
      </x:c>
      <x:c r="D5" s="16" t="str">
        <x:v>说明</x:v>
      </x:c>
      <x:c r="F5" s="15" t="str">
        <x:v>品类</x:v>
      </x:c>
      <x:c r="G5" s="55" t="str">
        <x:v>模拟佣金率</x:v>
      </x:c>
      <x:c r="H5" s="16" t="str">
        <x:v>模拟价格区间(USD)</x:v>
      </x:c>
    </x:row>
    <x:row r="6" ht="24" customHeight="1">
      <x:c r="A6" t="str">
        <x:v>模型</x:v>
      </x:c>
      <x:c r="B6" t="str">
        <x:v>期间</x:v>
      </x:c>
      <x:c r="C6" s="56" t="str">
        <x:v>2026-01-01 至 2026-06-30</x:v>
      </x:c>
      <x:c r="D6" t="str">
        <x:v>按采购归因日期统计</x:v>
      </x:c>
      <x:c r="F6" t="str">
        <x:v>电子产品</x:v>
      </x:c>
      <x:c r="G6" s="57" t="n">
        <x:v>0.05</x:v>
      </x:c>
      <x:c r="H6" t="str">
        <x:v>$220-$780</x:v>
      </x:c>
    </x:row>
    <x:row r="7" ht="24" customHeight="1">
      <x:c r="A7" t="str">
        <x:v>模型</x:v>
      </x:c>
      <x:c r="B7" t="str">
        <x:v>币种</x:v>
      </x:c>
      <x:c r="C7" s="56" t="str">
        <x:v>USD</x:v>
      </x:c>
      <x:c r="D7" t="str">
        <x:v>各市场金额已统一折算</x:v>
      </x:c>
      <x:c r="F7" t="str">
        <x:v>家居生活</x:v>
      </x:c>
      <x:c r="G7" s="57" t="n">
        <x:v>0.07</x:v>
      </x:c>
      <x:c r="H7" t="str">
        <x:v>$90-$360</x:v>
      </x:c>
    </x:row>
    <x:row r="8" ht="24" customHeight="1">
      <x:c r="A8" t="str">
        <x:v>归因</x:v>
      </x:c>
      <x:c r="B8" t="str">
        <x:v>归因模型</x:v>
      </x:c>
      <x:c r="C8" s="56" t="str">
        <x:v>末次点击7天</x:v>
      </x:c>
      <x:c r="D8" t="str">
        <x:v>Amazon订单关联最近一次合格广告点击</x:v>
      </x:c>
      <x:c r="F8" t="str">
        <x:v>运动健康</x:v>
      </x:c>
      <x:c r="G8" s="57" t="n">
        <x:v>0.08</x:v>
      </x:c>
      <x:c r="H8" t="str">
        <x:v>$70-$280</x:v>
      </x:c>
    </x:row>
    <x:row r="9" ht="24" customHeight="1">
      <x:c r="A9" t="str">
        <x:v>漏斗目标</x:v>
      </x:c>
      <x:c r="B9" t="str">
        <x:v>点击→落地</x:v>
      </x:c>
      <x:c r="C9" s="57" t="n">
        <x:v>0.9</x:v>
      </x:c>
      <x:c r="D9" t="str">
        <x:v>页面可用性与跳失控制</x:v>
      </x:c>
      <x:c r="F9" t="str">
        <x:v>美妆个护</x:v>
      </x:c>
      <x:c r="G9" s="57" t="n">
        <x:v>0.1</x:v>
      </x:c>
      <x:c r="H9" t="str">
        <x:v>$35-$160</x:v>
      </x:c>
    </x:row>
    <x:row r="10" ht="24" customHeight="1">
      <x:c r="A10" t="str">
        <x:v>漏斗目标</x:v>
      </x:c>
      <x:c r="B10" t="str">
        <x:v>落地→互动</x:v>
      </x:c>
      <x:c r="C10" s="57" t="n">
        <x:v>0.65</x:v>
      </x:c>
      <x:c r="D10" t="str">
        <x:v>有效滚动、停留或点击</x:v>
      </x:c>
      <x:c r="F10" t="str">
        <x:v>办公学习</x:v>
      </x:c>
      <x:c r="G10" s="57" t="n">
        <x:v>0.07</x:v>
      </x:c>
      <x:c r="H10" t="str">
        <x:v>$55-$260</x:v>
      </x:c>
    </x:row>
    <x:row r="11" ht="24" customHeight="1">
      <x:c r="A11" t="str">
        <x:v>漏斗目标</x:v>
      </x:c>
      <x:c r="B11" t="str">
        <x:v>互动→产品详情</x:v>
      </x:c>
      <x:c r="C11" s="57" t="n">
        <x:v>0.8</x:v>
      </x:c>
      <x:c r="D11" t="str">
        <x:v>查看商品详情/对比</x:v>
      </x:c>
      <x:c r="F11" t="str">
        <x:v>退款率</x:v>
      </x:c>
      <x:c r="G11" s="57" t="n">
        <x:v>0.05</x:v>
      </x:c>
      <x:c r="H11" t="str">
        <x:v>订单状态模拟目标</x:v>
      </x:c>
    </x:row>
    <x:row r="12" ht="24" customHeight="1">
      <x:c r="A12" t="str">
        <x:v>漏斗目标</x:v>
      </x:c>
      <x:c r="B12" t="str">
        <x:v>产品详情→Amazon</x:v>
      </x:c>
      <x:c r="C12" s="57" t="n">
        <x:v>0.4</x:v>
      </x:c>
      <x:c r="D12" t="str">
        <x:v>点击Amazon购买按钮</x:v>
      </x:c>
    </x:row>
    <x:row r="13" ht="24" customHeight="1">
      <x:c r="A13" t="str">
        <x:v>漏斗目标</x:v>
      </x:c>
      <x:c r="B13" t="str">
        <x:v>Amazon点击→购买</x:v>
      </x:c>
      <x:c r="C13" s="57" t="n">
        <x:v>0.1</x:v>
      </x:c>
      <x:c r="D13" t="str">
        <x:v>归因窗口内完成购买</x:v>
      </x:c>
    </x:row>
    <x:row r="14" ht="24" customHeight="1">
      <x:c r="A14" t="str">
        <x:v>财务目标</x:v>
      </x:c>
      <x:c r="B14" t="str">
        <x:v>ROI</x:v>
      </x:c>
      <x:c r="C14" s="57" t="n">
        <x:v>0.15</x:v>
      </x:c>
      <x:c r="D14" t="str">
        <x:v>净利润/总投入成本</x:v>
      </x:c>
    </x:row>
    <x:row r="15" ht="24" customHeight="1">
      <x:c r="A15" t="str">
        <x:v>财务目标</x:v>
      </x:c>
      <x:c r="B15" t="str">
        <x:v>净利润率</x:v>
      </x:c>
      <x:c r="C15" s="57" t="n">
        <x:v>0.15</x:v>
      </x:c>
      <x:c r="D15" t="str">
        <x:v>净利润/净佣金</x:v>
      </x:c>
    </x:row>
    <x:row r="16" ht="24" customHeight="1"/>
    <x:row r="17" ht="24" customHeight="1">
      <x:c r="A17" s="59" t="str">
        <x:v>使用建议</x:v>
      </x:c>
      <x:c r="B17" s="59"/>
      <x:c r="C17" s="59"/>
      <x:c r="D17" s="59"/>
      <x:c r="E17" s="59"/>
      <x:c r="F17" s="59"/>
      <x:c r="G17" s="59"/>
      <x:c r="H17" s="59"/>
    </x:row>
    <x:row r="18" ht="24" customHeight="1">
      <x:c r="A18" s="69" t="str">
        <x:v>将真实平台导出数据按相同字段结构覆盖四张明细表，并保持分析表公式范围一致，即可复用本模型。若数据超过1,000行，请同步扩展公式和表格范围。</x:v>
      </x:c>
      <x:c r="B18" s="70"/>
      <x:c r="C18" s="70"/>
      <x:c r="D18" s="70"/>
      <x:c r="E18" s="70"/>
      <x:c r="F18" s="70"/>
      <x:c r="G18" s="70"/>
      <x:c r="H18" s="71"/>
    </x:row>
    <x:row r="19" ht="24" customHeight="1">
      <x:c r="A19" s="72"/>
      <x:c r="B19" s="73"/>
      <x:c r="C19" s="73"/>
      <x:c r="D19" s="73"/>
      <x:c r="E19" s="73"/>
      <x:c r="F19" s="73"/>
      <x:c r="G19" s="73"/>
      <x:c r="H19" s="74"/>
    </x:row>
    <x:row r="20" ht="24" customHeight="1">
      <x:c r="A20" s="75"/>
      <x:c r="B20" s="76"/>
      <x:c r="C20" s="76"/>
      <x:c r="D20" s="76"/>
      <x:c r="E20" s="76"/>
      <x:c r="F20" s="76"/>
      <x:c r="G20" s="76"/>
      <x:c r="H20" s="77"/>
    </x:row>
  </x:sheetData>
  <x:mergeCells>
    <x:mergeCell ref="A1:H2"/>
    <x:mergeCell ref="A3:H3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10" hidden="0" customWidth="1"/>
    <x:col min="5" max="5" width="12" hidden="0" customWidth="1"/>
    <x:col min="6" max="6" width="14" hidden="0" customWidth="1"/>
    <x:col min="7" max="7" width="18" hidden="0" customWidth="1"/>
    <x:col min="8" max="8" width="12" hidden="0" customWidth="1"/>
    <x:col min="9" max="9" width="10" hidden="0" customWidth="1"/>
    <x:col min="10" max="10" width="11" hidden="0" customWidth="1"/>
    <x:col min="11" max="11" width="11" hidden="0" customWidth="1"/>
    <x:col min="12" max="12" width="11" hidden="0" customWidth="1"/>
    <x:col min="13" max="13" width="16" hidden="0" customWidth="1"/>
    <x:col min="14" max="14" width="18" hidden="0" customWidth="1"/>
    <x:col min="15" max="15" width="11" hidden="0" customWidth="1"/>
    <x:col min="16" max="16" width="34" hidden="0" customWidth="1"/>
  </x:cols>
  <x:sheetData>
    <x:row r="1" ht="30" customHeight="1">
      <x:c r="A1" s="90" t="str">
        <x:v>采购ID</x:v>
      </x:c>
      <x:c r="B1" s="91" t="str">
        <x:v>日期</x:v>
      </x:c>
      <x:c r="C1" s="91" t="str">
        <x:v>平台</x:v>
      </x:c>
      <x:c r="D1" s="91" t="str">
        <x:v>市场</x:v>
      </x:c>
      <x:c r="E1" s="91" t="str">
        <x:v>活动ID</x:v>
      </x:c>
      <x:c r="F1" s="91" t="str">
        <x:v>活动类型</x:v>
      </x:c>
      <x:c r="G1" s="91" t="str">
        <x:v>关键词簇</x:v>
      </x:c>
      <x:c r="H1" s="91" t="str">
        <x:v>设备</x:v>
      </x:c>
      <x:c r="I1" s="91" t="str">
        <x:v>计费模式</x:v>
      </x:c>
      <x:c r="J1" s="91" t="str">
        <x:v>展现量</x:v>
      </x:c>
      <x:c r="K1" s="91" t="str">
        <x:v>点击率</x:v>
      </x:c>
      <x:c r="L1" s="91" t="str">
        <x:v>广告点击</x:v>
      </x:c>
      <x:c r="M1" s="91" t="str">
        <x:v>单次点击成本(USD)</x:v>
      </x:c>
      <x:c r="N1" s="91" t="str">
        <x:v>广告采购成本(USD)</x:v>
      </x:c>
      <x:c r="O1" s="91" t="str">
        <x:v>质量得分</x:v>
      </x:c>
      <x:c r="P1" s="91" t="str">
        <x:v>数据来源</x:v>
      </x:c>
    </x:row>
    <x:row r="2">
      <x:c r="A2" s="92" t="str">
        <x:v>PROC-0001</x:v>
      </x:c>
      <x:c r="B2" s="93" t="n">
        <x:v>46023</x:v>
      </x:c>
      <x:c r="C2" s="94" t="str">
        <x:v>Google Ads</x:v>
      </x:c>
      <x:c r="D2" s="94" t="str">
        <x:v>日本</x:v>
      </x:c>
      <x:c r="E2" s="94" t="str">
        <x:v>GGL-C03</x:v>
      </x:c>
      <x:c r="F2" s="94" t="str">
        <x:v>品牌搜索</x:v>
      </x:c>
      <x:c r="G2" s="94" t="str">
        <x:v>品牌评测词</x:v>
      </x:c>
      <x:c r="H2" s="94" t="str">
        <x:v>桌面端</x:v>
      </x:c>
      <x:c r="I2" s="94" t="str">
        <x:v>CPC</x:v>
      </x:c>
      <x:c r="J2" s="95" t="n">
        <x:v>1474</x:v>
      </x:c>
      <x:c r="K2" s="96" t="n">
        <x:f>IFERROR(L2/J2,0)</x:f>
        <x:v>0.060379918588873815</x:v>
      </x:c>
      <x:c r="L2" s="95" t="n">
        <x:v>89</x:v>
      </x:c>
      <x:c r="M2" s="97" t="n">
        <x:v>0.161</x:v>
      </x:c>
      <x:c r="N2" s="97" t="n">
        <x:f>ROUND(L2*M2,2)</x:f>
        <x:v>14.33</x:v>
      </x:c>
      <x:c r="O2" s="94" t="n">
        <x:v>9</x:v>
      </x:c>
      <x:c r="P2" s="94" t="str">
        <x:v>模拟：Google/Microsoft Ads采购导入</x:v>
      </x:c>
    </x:row>
    <x:row r="3">
      <x:c r="A3" s="92" t="str">
        <x:v>PROC-0002</x:v>
      </x:c>
      <x:c r="B3" s="93" t="n">
        <x:v>46023</x:v>
      </x:c>
      <x:c r="C3" s="94" t="str">
        <x:v>Microsoft Ads</x:v>
      </x:c>
      <x:c r="D3" s="94" t="str">
        <x:v>美国</x:v>
      </x:c>
      <x:c r="E3" s="94" t="str">
        <x:v>MSA-C08</x:v>
      </x:c>
      <x:c r="F3" s="94" t="str">
        <x:v>通用搜索</x:v>
      </x:c>
      <x:c r="G3" s="94" t="str">
        <x:v>高性价比商品</x:v>
      </x:c>
      <x:c r="H3" s="94" t="str">
        <x:v>移动端</x:v>
      </x:c>
      <x:c r="I3" s="94" t="str">
        <x:v>CPC</x:v>
      </x:c>
      <x:c r="J3" s="95" t="n">
        <x:v>1184</x:v>
      </x:c>
      <x:c r="K3" s="96" t="n">
        <x:f>IFERROR(L3/J3,0)</x:f>
        <x:v>0.044763513513513514</x:v>
      </x:c>
      <x:c r="L3" s="95" t="n">
        <x:v>53</x:v>
      </x:c>
      <x:c r="M3" s="97" t="n">
        <x:v>0.2821</x:v>
      </x:c>
      <x:c r="N3" s="97" t="n">
        <x:f>ROUND(L3*M3,2)</x:f>
        <x:v>14.95</x:v>
      </x:c>
      <x:c r="O3" s="94" t="n">
        <x:v>8</x:v>
      </x:c>
      <x:c r="P3" s="94" t="str">
        <x:v>模拟：Google/Microsoft Ads采购导入</x:v>
      </x:c>
    </x:row>
    <x:row r="4">
      <x:c r="A4" s="92" t="str">
        <x:v>PROC-0003</x:v>
      </x:c>
      <x:c r="B4" s="93" t="n">
        <x:v>46023</x:v>
      </x:c>
      <x:c r="C4" s="94" t="str">
        <x:v>Microsoft Ads</x:v>
      </x:c>
      <x:c r="D4" s="94" t="str">
        <x:v>日本</x:v>
      </x:c>
      <x:c r="E4" s="94" t="str">
        <x:v>MSA-C19</x:v>
      </x:c>
      <x:c r="F4" s="94" t="str">
        <x:v>购物广告</x:v>
      </x:c>
      <x:c r="G4" s="94" t="str">
        <x:v>高评分商品</x:v>
      </x:c>
      <x:c r="H4" s="94" t="str">
        <x:v>移动端</x:v>
      </x:c>
      <x:c r="I4" s="94" t="str">
        <x:v>CPC</x:v>
      </x:c>
      <x:c r="J4" s="95" t="n">
        <x:v>866</x:v>
      </x:c>
      <x:c r="K4" s="96" t="n">
        <x:f>IFERROR(L4/J4,0)</x:f>
        <x:v>0.03464203233256351</x:v>
      </x:c>
      <x:c r="L4" s="95" t="n">
        <x:v>30</x:v>
      </x:c>
      <x:c r="M4" s="97" t="n">
        <x:v>0.1903</x:v>
      </x:c>
      <x:c r="N4" s="97" t="n">
        <x:f>ROUND(L4*M4,2)</x:f>
        <x:v>5.71</x:v>
      </x:c>
      <x:c r="O4" s="94" t="n">
        <x:v>7</x:v>
      </x:c>
      <x:c r="P4" s="94" t="str">
        <x:v>模拟：Google/Microsoft Ads采购导入</x:v>
      </x:c>
    </x:row>
    <x:row r="5">
      <x:c r="A5" s="92" t="str">
        <x:v>PROC-0004</x:v>
      </x:c>
      <x:c r="B5" s="93" t="n">
        <x:v>46023</x:v>
      </x:c>
      <x:c r="C5" s="94" t="str">
        <x:v>Google Ads</x:v>
      </x:c>
      <x:c r="D5" s="94" t="str">
        <x:v>美国</x:v>
      </x:c>
      <x:c r="E5" s="94" t="str">
        <x:v>GGL-C02</x:v>
      </x:c>
      <x:c r="F5" s="94" t="str">
        <x:v>通用搜索</x:v>
      </x:c>
      <x:c r="G5" s="94" t="str">
        <x:v>实用礼物</x:v>
      </x:c>
      <x:c r="H5" s="94" t="str">
        <x:v>移动端</x:v>
      </x:c>
      <x:c r="I5" s="94" t="str">
        <x:v>CPC</x:v>
      </x:c>
      <x:c r="J5" s="95" t="n">
        <x:v>1368</x:v>
      </x:c>
      <x:c r="K5" s="96" t="n">
        <x:f>IFERROR(L5/J5,0)</x:f>
        <x:v>0.04312865497076023</x:v>
      </x:c>
      <x:c r="L5" s="95" t="n">
        <x:v>59</x:v>
      </x:c>
      <x:c r="M5" s="97" t="n">
        <x:v>0.3083</x:v>
      </x:c>
      <x:c r="N5" s="97" t="n">
        <x:f>ROUND(L5*M5,2)</x:f>
        <x:v>18.19</x:v>
      </x:c>
      <x:c r="O5" s="94" t="n">
        <x:v>6</x:v>
      </x:c>
      <x:c r="P5" s="94" t="str">
        <x:v>模拟：Google/Microsoft Ads采购导入</x:v>
      </x:c>
    </x:row>
    <x:row r="6">
      <x:c r="A6" s="92" t="str">
        <x:v>PROC-0005</x:v>
      </x:c>
      <x:c r="B6" s="93" t="n">
        <x:v>46023</x:v>
      </x:c>
      <x:c r="C6" s="94" t="str">
        <x:v>Google Ads</x:v>
      </x:c>
      <x:c r="D6" s="94" t="str">
        <x:v>日本</x:v>
      </x:c>
      <x:c r="E6" s="94" t="str">
        <x:v>GGL-C05</x:v>
      </x:c>
      <x:c r="F6" s="94" t="str">
        <x:v>购物广告</x:v>
      </x:c>
      <x:c r="G6" s="94" t="str">
        <x:v>价格比较</x:v>
      </x:c>
      <x:c r="H6" s="94" t="str">
        <x:v>桌面端</x:v>
      </x:c>
      <x:c r="I6" s="94" t="str">
        <x:v>CPC</x:v>
      </x:c>
      <x:c r="J6" s="95" t="n">
        <x:v>1565</x:v>
      </x:c>
      <x:c r="K6" s="96" t="n">
        <x:f>IFERROR(L6/J6,0)</x:f>
        <x:v>0.04089456869009585</x:v>
      </x:c>
      <x:c r="L6" s="95" t="n">
        <x:v>64</x:v>
      </x:c>
      <x:c r="M6" s="97" t="n">
        <x:v>0.2562</x:v>
      </x:c>
      <x:c r="N6" s="97" t="n">
        <x:f>ROUND(L6*M6,2)</x:f>
        <x:v>16.4</x:v>
      </x:c>
      <x:c r="O6" s="94" t="n">
        <x:v>6</x:v>
      </x:c>
      <x:c r="P6" s="94" t="str">
        <x:v>模拟：Google/Microsoft Ads采购导入</x:v>
      </x:c>
    </x:row>
    <x:row r="7">
      <x:c r="A7" s="92" t="str">
        <x:v>PROC-0006</x:v>
      </x:c>
      <x:c r="B7" s="93" t="n">
        <x:v>46023</x:v>
      </x:c>
      <x:c r="C7" s="94" t="str">
        <x:v>Microsoft Ads</x:v>
      </x:c>
      <x:c r="D7" s="94" t="str">
        <x:v>美国</x:v>
      </x:c>
      <x:c r="E7" s="94" t="str">
        <x:v>MSA-C15</x:v>
      </x:c>
      <x:c r="F7" s="94" t="str">
        <x:v>通用搜索</x:v>
      </x:c>
      <x:c r="G7" s="94" t="str">
        <x:v>高性价比商品</x:v>
      </x:c>
      <x:c r="H7" s="94" t="str">
        <x:v>移动端</x:v>
      </x:c>
      <x:c r="I7" s="94" t="str">
        <x:v>CPC</x:v>
      </x:c>
      <x:c r="J7" s="95" t="n">
        <x:v>1396</x:v>
      </x:c>
      <x:c r="K7" s="96" t="n">
        <x:f>IFERROR(L7/J7,0)</x:f>
        <x:v>0.03724928366762178</x:v>
      </x:c>
      <x:c r="L7" s="95" t="n">
        <x:v>52</x:v>
      </x:c>
      <x:c r="M7" s="97" t="n">
        <x:v>0.2333</x:v>
      </x:c>
      <x:c r="N7" s="97" t="n">
        <x:f>ROUND(L7*M7,2)</x:f>
        <x:v>12.13</x:v>
      </x:c>
      <x:c r="O7" s="94" t="n">
        <x:v>7</x:v>
      </x:c>
      <x:c r="P7" s="94" t="str">
        <x:v>模拟：Google/Microsoft Ads采购导入</x:v>
      </x:c>
    </x:row>
    <x:row r="8">
      <x:c r="A8" s="92" t="str">
        <x:v>PROC-0007</x:v>
      </x:c>
      <x:c r="B8" s="93" t="n">
        <x:v>46024</x:v>
      </x:c>
      <x:c r="C8" s="94" t="str">
        <x:v>Microsoft Ads</x:v>
      </x:c>
      <x:c r="D8" s="94" t="str">
        <x:v>德国</x:v>
      </x:c>
      <x:c r="E8" s="94" t="str">
        <x:v>MSA-C21</x:v>
      </x:c>
      <x:c r="F8" s="94" t="str">
        <x:v>购物广告</x:v>
      </x:c>
      <x:c r="G8" s="94" t="str">
        <x:v>畅销商品</x:v>
      </x:c>
      <x:c r="H8" s="94" t="str">
        <x:v>移动端</x:v>
      </x:c>
      <x:c r="I8" s="94" t="str">
        <x:v>CPC</x:v>
      </x:c>
      <x:c r="J8" s="95" t="n">
        <x:v>739</x:v>
      </x:c>
      <x:c r="K8" s="96" t="n">
        <x:f>IFERROR(L8/J8,0)</x:f>
        <x:v>0.036535859269282815</x:v>
      </x:c>
      <x:c r="L8" s="95" t="n">
        <x:v>27</x:v>
      </x:c>
      <x:c r="M8" s="97" t="n">
        <x:v>0.2294</x:v>
      </x:c>
      <x:c r="N8" s="97" t="n">
        <x:f>ROUND(L8*M8,2)</x:f>
        <x:v>6.19</x:v>
      </x:c>
      <x:c r="O8" s="94" t="n">
        <x:v>7</x:v>
      </x:c>
      <x:c r="P8" s="94" t="str">
        <x:v>模拟：Google/Microsoft Ads采购导入</x:v>
      </x:c>
    </x:row>
    <x:row r="9">
      <x:c r="A9" s="92" t="str">
        <x:v>PROC-0008</x:v>
      </x:c>
      <x:c r="B9" s="93" t="n">
        <x:v>46024</x:v>
      </x:c>
      <x:c r="C9" s="94" t="str">
        <x:v>Google Ads</x:v>
      </x:c>
      <x:c r="D9" s="94" t="str">
        <x:v>美国</x:v>
      </x:c>
      <x:c r="E9" s="94" t="str">
        <x:v>GGL-C05</x:v>
      </x:c>
      <x:c r="F9" s="94" t="str">
        <x:v>购物广告</x:v>
      </x:c>
      <x:c r="G9" s="94" t="str">
        <x:v>价格比较</x:v>
      </x:c>
      <x:c r="H9" s="94" t="str">
        <x:v>桌面端</x:v>
      </x:c>
      <x:c r="I9" s="94" t="str">
        <x:v>CPC</x:v>
      </x:c>
      <x:c r="J9" s="95" t="n">
        <x:v>1294</x:v>
      </x:c>
      <x:c r="K9" s="96" t="n">
        <x:f>IFERROR(L9/J9,0)</x:f>
        <x:v>0.04482225656877898</x:v>
      </x:c>
      <x:c r="L9" s="95" t="n">
        <x:v>58</x:v>
      </x:c>
      <x:c r="M9" s="97" t="n">
        <x:v>0.3916</x:v>
      </x:c>
      <x:c r="N9" s="97" t="n">
        <x:f>ROUND(L9*M9,2)</x:f>
        <x:v>22.71</x:v>
      </x:c>
      <x:c r="O9" s="94" t="n">
        <x:v>7</x:v>
      </x:c>
      <x:c r="P9" s="94" t="str">
        <x:v>模拟：Google/Microsoft Ads采购导入</x:v>
      </x:c>
    </x:row>
    <x:row r="10">
      <x:c r="A10" s="92" t="str">
        <x:v>PROC-0009</x:v>
      </x:c>
      <x:c r="B10" s="93" t="n">
        <x:v>46024</x:v>
      </x:c>
      <x:c r="C10" s="94" t="str">
        <x:v>Google Ads</x:v>
      </x:c>
      <x:c r="D10" s="94" t="str">
        <x:v>美国</x:v>
      </x:c>
      <x:c r="E10" s="94" t="str">
        <x:v>GGL-C09</x:v>
      </x:c>
      <x:c r="F10" s="94" t="str">
        <x:v>通用搜索</x:v>
      </x:c>
      <x:c r="G10" s="94" t="str">
        <x:v>家庭必备</x:v>
      </x:c>
      <x:c r="H10" s="94" t="str">
        <x:v>移动端</x:v>
      </x:c>
      <x:c r="I10" s="94" t="str">
        <x:v>CPC</x:v>
      </x:c>
      <x:c r="J10" s="95" t="n">
        <x:v>1435</x:v>
      </x:c>
      <x:c r="K10" s="96" t="n">
        <x:f>IFERROR(L10/J10,0)</x:f>
        <x:v>0.032752613240418116</x:v>
      </x:c>
      <x:c r="L10" s="95" t="n">
        <x:v>47</x:v>
      </x:c>
      <x:c r="M10" s="97" t="n">
        <x:v>0.3327</x:v>
      </x:c>
      <x:c r="N10" s="97" t="n">
        <x:f>ROUND(L10*M10,2)</x:f>
        <x:v>15.64</x:v>
      </x:c>
      <x:c r="O10" s="94" t="n">
        <x:v>6</x:v>
      </x:c>
      <x:c r="P10" s="94" t="str">
        <x:v>模拟：Google/Microsoft Ads采购导入</x:v>
      </x:c>
    </x:row>
    <x:row r="11">
      <x:c r="A11" s="92" t="str">
        <x:v>PROC-0010</x:v>
      </x:c>
      <x:c r="B11" s="93" t="n">
        <x:v>46024</x:v>
      </x:c>
      <x:c r="C11" s="94" t="str">
        <x:v>Google Ads</x:v>
      </x:c>
      <x:c r="D11" s="94" t="str">
        <x:v>美国</x:v>
      </x:c>
      <x:c r="E11" s="94" t="str">
        <x:v>GGL-C18</x:v>
      </x:c>
      <x:c r="F11" s="94" t="str">
        <x:v>购物广告</x:v>
      </x:c>
      <x:c r="G11" s="94" t="str">
        <x:v>折扣商品</x:v>
      </x:c>
      <x:c r="H11" s="94" t="str">
        <x:v>移动端</x:v>
      </x:c>
      <x:c r="I11" s="94" t="str">
        <x:v>CPC</x:v>
      </x:c>
      <x:c r="J11" s="95" t="n">
        <x:v>1373</x:v>
      </x:c>
      <x:c r="K11" s="96" t="n">
        <x:f>IFERROR(L11/J11,0)</x:f>
        <x:v>0.041514930808448654</x:v>
      </x:c>
      <x:c r="L11" s="95" t="n">
        <x:v>57</x:v>
      </x:c>
      <x:c r="M11" s="97" t="n">
        <x:v>0.3538</x:v>
      </x:c>
      <x:c r="N11" s="97" t="n">
        <x:f>ROUND(L11*M11,2)</x:f>
        <x:v>20.17</x:v>
      </x:c>
      <x:c r="O11" s="94" t="n">
        <x:v>7</x:v>
      </x:c>
      <x:c r="P11" s="94" t="str">
        <x:v>模拟：Google/Microsoft Ads采购导入</x:v>
      </x:c>
    </x:row>
    <x:row r="12">
      <x:c r="A12" s="92" t="str">
        <x:v>PROC-0011</x:v>
      </x:c>
      <x:c r="B12" s="93" t="n">
        <x:v>46024</x:v>
      </x:c>
      <x:c r="C12" s="94" t="str">
        <x:v>Microsoft Ads</x:v>
      </x:c>
      <x:c r="D12" s="94" t="str">
        <x:v>美国</x:v>
      </x:c>
      <x:c r="E12" s="94" t="str">
        <x:v>MSA-C01</x:v>
      </x:c>
      <x:c r="F12" s="94" t="str">
        <x:v>品牌搜索</x:v>
      </x:c>
      <x:c r="G12" s="94" t="str">
        <x:v>品牌评测词</x:v>
      </x:c>
      <x:c r="H12" s="94" t="str">
        <x:v>移动端</x:v>
      </x:c>
      <x:c r="I12" s="94" t="str">
        <x:v>CPC</x:v>
      </x:c>
      <x:c r="J12" s="95" t="n">
        <x:v>1408</x:v>
      </x:c>
      <x:c r="K12" s="96" t="n">
        <x:f>IFERROR(L12/J12,0)</x:f>
        <x:v>0.05397727272727273</x:v>
      </x:c>
      <x:c r="L12" s="95" t="n">
        <x:v>76</x:v>
      </x:c>
      <x:c r="M12" s="97" t="n">
        <x:v>0.1735</x:v>
      </x:c>
      <x:c r="N12" s="97" t="n">
        <x:f>ROUND(L12*M12,2)</x:f>
        <x:v>13.19</x:v>
      </x:c>
      <x:c r="O12" s="94" t="n">
        <x:v>9</x:v>
      </x:c>
      <x:c r="P12" s="94" t="str">
        <x:v>模拟：Google/Microsoft Ads采购导入</x:v>
      </x:c>
    </x:row>
    <x:row r="13">
      <x:c r="A13" s="92" t="str">
        <x:v>PROC-0012</x:v>
      </x:c>
      <x:c r="B13" s="93" t="n">
        <x:v>46024</x:v>
      </x:c>
      <x:c r="C13" s="94" t="str">
        <x:v>Google Ads</x:v>
      </x:c>
      <x:c r="D13" s="94" t="str">
        <x:v>英国</x:v>
      </x:c>
      <x:c r="E13" s="94" t="str">
        <x:v>GGL-C08</x:v>
      </x:c>
      <x:c r="F13" s="94" t="str">
        <x:v>通用搜索</x:v>
      </x:c>
      <x:c r="G13" s="94" t="str">
        <x:v>热门新品</x:v>
      </x:c>
      <x:c r="H13" s="94" t="str">
        <x:v>桌面端</x:v>
      </x:c>
      <x:c r="I13" s="94" t="str">
        <x:v>CPC</x:v>
      </x:c>
      <x:c r="J13" s="95" t="n">
        <x:v>1238</x:v>
      </x:c>
      <x:c r="K13" s="96" t="n">
        <x:f>IFERROR(L13/J13,0)</x:f>
        <x:v>0.03877221324717286</x:v>
      </x:c>
      <x:c r="L13" s="95" t="n">
        <x:v>48</x:v>
      </x:c>
      <x:c r="M13" s="97" t="n">
        <x:v>0.2604</x:v>
      </x:c>
      <x:c r="N13" s="97" t="n">
        <x:f>ROUND(L13*M13,2)</x:f>
        <x:v>12.5</x:v>
      </x:c>
      <x:c r="O13" s="94" t="n">
        <x:v>6</x:v>
      </x:c>
      <x:c r="P13" s="94" t="str">
        <x:v>模拟：Google/Microsoft Ads采购导入</x:v>
      </x:c>
    </x:row>
    <x:row r="14">
      <x:c r="A14" s="92" t="str">
        <x:v>PROC-0013</x:v>
      </x:c>
      <x:c r="B14" s="93" t="n">
        <x:v>46025</x:v>
      </x:c>
      <x:c r="C14" s="94" t="str">
        <x:v>Google Ads</x:v>
      </x:c>
      <x:c r="D14" s="94" t="str">
        <x:v>英国</x:v>
      </x:c>
      <x:c r="E14" s="94" t="str">
        <x:v>GGL-C13</x:v>
      </x:c>
      <x:c r="F14" s="94" t="str">
        <x:v>购物广告</x:v>
      </x:c>
      <x:c r="G14" s="94" t="str">
        <x:v>快速配送</x:v>
      </x:c>
      <x:c r="H14" s="94" t="str">
        <x:v>移动端</x:v>
      </x:c>
      <x:c r="I14" s="94" t="str">
        <x:v>CPC</x:v>
      </x:c>
      <x:c r="J14" s="95" t="n">
        <x:v>1235</x:v>
      </x:c>
      <x:c r="K14" s="96" t="n">
        <x:f>IFERROR(L14/J14,0)</x:f>
        <x:v>0.03643724696356275</x:v>
      </x:c>
      <x:c r="L14" s="95" t="n">
        <x:v>45</x:v>
      </x:c>
      <x:c r="M14" s="97" t="n">
        <x:v>0.3399</x:v>
      </x:c>
      <x:c r="N14" s="97" t="n">
        <x:f>ROUND(L14*M14,2)</x:f>
        <x:v>15.3</x:v>
      </x:c>
      <x:c r="O14" s="94" t="n">
        <x:v>7</x:v>
      </x:c>
      <x:c r="P14" s="94" t="str">
        <x:v>模拟：Google/Microsoft Ads采购导入</x:v>
      </x:c>
    </x:row>
    <x:row r="15">
      <x:c r="A15" s="92" t="str">
        <x:v>PROC-0014</x:v>
      </x:c>
      <x:c r="B15" s="93" t="n">
        <x:v>46025</x:v>
      </x:c>
      <x:c r="C15" s="94" t="str">
        <x:v>Google Ads</x:v>
      </x:c>
      <x:c r="D15" s="94" t="str">
        <x:v>日本</x:v>
      </x:c>
      <x:c r="E15" s="94" t="str">
        <x:v>GGL-C20</x:v>
      </x:c>
      <x:c r="F15" s="94" t="str">
        <x:v>品牌搜索</x:v>
      </x:c>
      <x:c r="G15" s="94" t="str">
        <x:v>品牌评测词</x:v>
      </x:c>
      <x:c r="H15" s="94" t="str">
        <x:v>移动端</x:v>
      </x:c>
      <x:c r="I15" s="94" t="str">
        <x:v>CPC</x:v>
      </x:c>
      <x:c r="J15" s="95" t="n">
        <x:v>1059</x:v>
      </x:c>
      <x:c r="K15" s="96" t="n">
        <x:f>IFERROR(L15/J15,0)</x:f>
        <x:v>0.05099150141643059</x:v>
      </x:c>
      <x:c r="L15" s="95" t="n">
        <x:v>54</x:v>
      </x:c>
      <x:c r="M15" s="97" t="n">
        <x:v>0.2124</x:v>
      </x:c>
      <x:c r="N15" s="97" t="n">
        <x:f>ROUND(L15*M15,2)</x:f>
        <x:v>11.47</x:v>
      </x:c>
      <x:c r="O15" s="94" t="n">
        <x:v>7</x:v>
      </x:c>
      <x:c r="P15" s="94" t="str">
        <x:v>模拟：Google/Microsoft Ads采购导入</x:v>
      </x:c>
    </x:row>
    <x:row r="16">
      <x:c r="A16" s="92" t="str">
        <x:v>PROC-0015</x:v>
      </x:c>
      <x:c r="B16" s="93" t="n">
        <x:v>46025</x:v>
      </x:c>
      <x:c r="C16" s="94" t="str">
        <x:v>Google Ads</x:v>
      </x:c>
      <x:c r="D16" s="94" t="str">
        <x:v>美国</x:v>
      </x:c>
      <x:c r="E16" s="94" t="str">
        <x:v>GGL-C06</x:v>
      </x:c>
      <x:c r="F16" s="94" t="str">
        <x:v>品牌搜索</x:v>
      </x:c>
      <x:c r="G16" s="94" t="str">
        <x:v>品牌配件词</x:v>
      </x:c>
      <x:c r="H16" s="94" t="str">
        <x:v>平板</x:v>
      </x:c>
      <x:c r="I16" s="94" t="str">
        <x:v>CPC</x:v>
      </x:c>
      <x:c r="J16" s="95" t="n">
        <x:v>927</x:v>
      </x:c>
      <x:c r="K16" s="96" t="n">
        <x:f>IFERROR(L16/J16,0)</x:f>
        <x:v>0.05717367853290183</x:v>
      </x:c>
      <x:c r="L16" s="95" t="n">
        <x:v>53</x:v>
      </x:c>
      <x:c r="M16" s="97" t="n">
        <x:v>0.2573</x:v>
      </x:c>
      <x:c r="N16" s="97" t="n">
        <x:f>ROUND(L16*M16,2)</x:f>
        <x:v>13.64</x:v>
      </x:c>
      <x:c r="O16" s="94" t="n">
        <x:v>10</x:v>
      </x:c>
      <x:c r="P16" s="94" t="str">
        <x:v>模拟：Google/Microsoft Ads采购导入</x:v>
      </x:c>
    </x:row>
    <x:row r="17">
      <x:c r="A17" s="92" t="str">
        <x:v>PROC-0016</x:v>
      </x:c>
      <x:c r="B17" s="93" t="n">
        <x:v>46025</x:v>
      </x:c>
      <x:c r="C17" s="94" t="str">
        <x:v>Google Ads</x:v>
      </x:c>
      <x:c r="D17" s="94" t="str">
        <x:v>日本</x:v>
      </x:c>
      <x:c r="E17" s="94" t="str">
        <x:v>GGL-C11</x:v>
      </x:c>
      <x:c r="F17" s="94" t="str">
        <x:v>购物广告</x:v>
      </x:c>
      <x:c r="G17" s="94" t="str">
        <x:v>畅销商品</x:v>
      </x:c>
      <x:c r="H17" s="94" t="str">
        <x:v>移动端</x:v>
      </x:c>
      <x:c r="I17" s="94" t="str">
        <x:v>CPC</x:v>
      </x:c>
      <x:c r="J17" s="95" t="n">
        <x:v>1470</x:v>
      </x:c>
      <x:c r="K17" s="96" t="n">
        <x:f>IFERROR(L17/J17,0)</x:f>
        <x:v>0.036734693877551024</x:v>
      </x:c>
      <x:c r="L17" s="95" t="n">
        <x:v>54</x:v>
      </x:c>
      <x:c r="M17" s="97" t="n">
        <x:v>0.297</x:v>
      </x:c>
      <x:c r="N17" s="97" t="n">
        <x:f>ROUND(L17*M17,2)</x:f>
        <x:v>16.04</x:v>
      </x:c>
      <x:c r="O17" s="94" t="n">
        <x:v>8</x:v>
      </x:c>
      <x:c r="P17" s="94" t="str">
        <x:v>模拟：Google/Microsoft Ads采购导入</x:v>
      </x:c>
    </x:row>
    <x:row r="18">
      <x:c r="A18" s="92" t="str">
        <x:v>PROC-0017</x:v>
      </x:c>
      <x:c r="B18" s="93" t="n">
        <x:v>46025</x:v>
      </x:c>
      <x:c r="C18" s="94" t="str">
        <x:v>Microsoft Ads</x:v>
      </x:c>
      <x:c r="D18" s="94" t="str">
        <x:v>德国</x:v>
      </x:c>
      <x:c r="E18" s="94" t="str">
        <x:v>MSA-C17</x:v>
      </x:c>
      <x:c r="F18" s="94" t="str">
        <x:v>竞品搜索</x:v>
      </x:c>
      <x:c r="G18" s="94" t="str">
        <x:v>更优选择</x:v>
      </x:c>
      <x:c r="H18" s="94" t="str">
        <x:v>移动端</x:v>
      </x:c>
      <x:c r="I18" s="94" t="str">
        <x:v>CPC</x:v>
      </x:c>
      <x:c r="J18" s="95" t="n">
        <x:v>1109</x:v>
      </x:c>
      <x:c r="K18" s="96" t="n">
        <x:f>IFERROR(L18/J18,0)</x:f>
        <x:v>0.027953110910730387</x:v>
      </x:c>
      <x:c r="L18" s="95" t="n">
        <x:v>31</x:v>
      </x:c>
      <x:c r="M18" s="97" t="n">
        <x:v>0.2674</x:v>
      </x:c>
      <x:c r="N18" s="97" t="n">
        <x:f>ROUND(L18*M18,2)</x:f>
        <x:v>8.29</x:v>
      </x:c>
      <x:c r="O18" s="94" t="n">
        <x:v>6</x:v>
      </x:c>
      <x:c r="P18" s="94" t="str">
        <x:v>模拟：Google/Microsoft Ads采购导入</x:v>
      </x:c>
    </x:row>
    <x:row r="19">
      <x:c r="A19" s="92" t="str">
        <x:v>PROC-0018</x:v>
      </x:c>
      <x:c r="B19" s="93" t="n">
        <x:v>46026</x:v>
      </x:c>
      <x:c r="C19" s="94" t="str">
        <x:v>Microsoft Ads</x:v>
      </x:c>
      <x:c r="D19" s="94" t="str">
        <x:v>德国</x:v>
      </x:c>
      <x:c r="E19" s="94" t="str">
        <x:v>MSA-C24</x:v>
      </x:c>
      <x:c r="F19" s="94" t="str">
        <x:v>竞品搜索</x:v>
      </x:c>
      <x:c r="G19" s="94" t="str">
        <x:v>价格替代</x:v>
      </x:c>
      <x:c r="H19" s="94" t="str">
        <x:v>移动端</x:v>
      </x:c>
      <x:c r="I19" s="94" t="str">
        <x:v>CPC</x:v>
      </x:c>
      <x:c r="J19" s="95" t="n">
        <x:v>1209</x:v>
      </x:c>
      <x:c r="K19" s="96" t="n">
        <x:f>IFERROR(L19/J19,0)</x:f>
        <x:v>0.034739454094292806</x:v>
      </x:c>
      <x:c r="L19" s="95" t="n">
        <x:v>42</x:v>
      </x:c>
      <x:c r="M19" s="97" t="n">
        <x:v>0.2883</x:v>
      </x:c>
      <x:c r="N19" s="97" t="n">
        <x:f>ROUND(L19*M19,2)</x:f>
        <x:v>12.11</x:v>
      </x:c>
      <x:c r="O19" s="94" t="n">
        <x:v>8</x:v>
      </x:c>
      <x:c r="P19" s="94" t="str">
        <x:v>模拟：Google/Microsoft Ads采购导入</x:v>
      </x:c>
    </x:row>
    <x:row r="20">
      <x:c r="A20" s="92" t="str">
        <x:v>PROC-0019</x:v>
      </x:c>
      <x:c r="B20" s="93" t="n">
        <x:v>46026</x:v>
      </x:c>
      <x:c r="C20" s="94" t="str">
        <x:v>Google Ads</x:v>
      </x:c>
      <x:c r="D20" s="94" t="str">
        <x:v>美国</x:v>
      </x:c>
      <x:c r="E20" s="94" t="str">
        <x:v>GGL-C08</x:v>
      </x:c>
      <x:c r="F20" s="94" t="str">
        <x:v>通用搜索</x:v>
      </x:c>
      <x:c r="G20" s="94" t="str">
        <x:v>家庭必备</x:v>
      </x:c>
      <x:c r="H20" s="94" t="str">
        <x:v>桌面端</x:v>
      </x:c>
      <x:c r="I20" s="94" t="str">
        <x:v>CPC</x:v>
      </x:c>
      <x:c r="J20" s="95" t="n">
        <x:v>918</x:v>
      </x:c>
      <x:c r="K20" s="96" t="n">
        <x:f>IFERROR(L20/J20,0)</x:f>
        <x:v>0.037037037037037035</x:v>
      </x:c>
      <x:c r="L20" s="95" t="n">
        <x:v>34</x:v>
      </x:c>
      <x:c r="M20" s="97" t="n">
        <x:v>0.3962</x:v>
      </x:c>
      <x:c r="N20" s="97" t="n">
        <x:f>ROUND(L20*M20,2)</x:f>
        <x:v>13.47</x:v>
      </x:c>
      <x:c r="O20" s="94" t="n">
        <x:v>6</x:v>
      </x:c>
      <x:c r="P20" s="94" t="str">
        <x:v>模拟：Google/Microsoft Ads采购导入</x:v>
      </x:c>
    </x:row>
    <x:row r="21">
      <x:c r="A21" s="92" t="str">
        <x:v>PROC-0020</x:v>
      </x:c>
      <x:c r="B21" s="93" t="n">
        <x:v>46026</x:v>
      </x:c>
      <x:c r="C21" s="94" t="str">
        <x:v>Microsoft Ads</x:v>
      </x:c>
      <x:c r="D21" s="94" t="str">
        <x:v>美国</x:v>
      </x:c>
      <x:c r="E21" s="94" t="str">
        <x:v>MSA-C16</x:v>
      </x:c>
      <x:c r="F21" s="94" t="str">
        <x:v>品牌搜索</x:v>
      </x:c>
      <x:c r="G21" s="94" t="str">
        <x:v>品牌优惠词</x:v>
      </x:c>
      <x:c r="H21" s="94" t="str">
        <x:v>平板</x:v>
      </x:c>
      <x:c r="I21" s="94" t="str">
        <x:v>CPC</x:v>
      </x:c>
      <x:c r="J21" s="95" t="n">
        <x:v>1364</x:v>
      </x:c>
      <x:c r="K21" s="96" t="n">
        <x:f>IFERROR(L21/J21,0)</x:f>
        <x:v>0.06524926686217009</x:v>
      </x:c>
      <x:c r="L21" s="95" t="n">
        <x:v>89</x:v>
      </x:c>
      <x:c r="M21" s="97" t="n">
        <x:v>0.1896</x:v>
      </x:c>
      <x:c r="N21" s="97" t="n">
        <x:f>ROUND(L21*M21,2)</x:f>
        <x:v>16.87</x:v>
      </x:c>
      <x:c r="O21" s="94" t="n">
        <x:v>8</x:v>
      </x:c>
      <x:c r="P21" s="94" t="str">
        <x:v>模拟：Google/Microsoft Ads采购导入</x:v>
      </x:c>
    </x:row>
    <x:row r="22">
      <x:c r="A22" s="92" t="str">
        <x:v>PROC-0021</x:v>
      </x:c>
      <x:c r="B22" s="93" t="n">
        <x:v>46026</x:v>
      </x:c>
      <x:c r="C22" s="94" t="str">
        <x:v>Microsoft Ads</x:v>
      </x:c>
      <x:c r="D22" s="94" t="str">
        <x:v>英国</x:v>
      </x:c>
      <x:c r="E22" s="94" t="str">
        <x:v>MSA-C01</x:v>
      </x:c>
      <x:c r="F22" s="94" t="str">
        <x:v>通用搜索</x:v>
      </x:c>
      <x:c r="G22" s="94" t="str">
        <x:v>家庭必备</x:v>
      </x:c>
      <x:c r="H22" s="94" t="str">
        <x:v>桌面端</x:v>
      </x:c>
      <x:c r="I22" s="94" t="str">
        <x:v>CPC</x:v>
      </x:c>
      <x:c r="J22" s="95" t="n">
        <x:v>758</x:v>
      </x:c>
      <x:c r="K22" s="96" t="n">
        <x:f>IFERROR(L22/J22,0)</x:f>
        <x:v>0.03562005277044855</x:v>
      </x:c>
      <x:c r="L22" s="95" t="n">
        <x:v>27</x:v>
      </x:c>
      <x:c r="M22" s="97" t="n">
        <x:v>0.2003</x:v>
      </x:c>
      <x:c r="N22" s="97" t="n">
        <x:f>ROUND(L22*M22,2)</x:f>
        <x:v>5.41</x:v>
      </x:c>
      <x:c r="O22" s="94" t="n">
        <x:v>8</x:v>
      </x:c>
      <x:c r="P22" s="94" t="str">
        <x:v>模拟：Google/Microsoft Ads采购导入</x:v>
      </x:c>
    </x:row>
    <x:row r="23">
      <x:c r="A23" s="92" t="str">
        <x:v>PROC-0022</x:v>
      </x:c>
      <x:c r="B23" s="93" t="n">
        <x:v>46026</x:v>
      </x:c>
      <x:c r="C23" s="94" t="str">
        <x:v>Google Ads</x:v>
      </x:c>
      <x:c r="D23" s="94" t="str">
        <x:v>英国</x:v>
      </x:c>
      <x:c r="E23" s="94" t="str">
        <x:v>GGL-C06</x:v>
      </x:c>
      <x:c r="F23" s="94" t="str">
        <x:v>购物广告</x:v>
      </x:c>
      <x:c r="G23" s="94" t="str">
        <x:v>畅销商品</x:v>
      </x:c>
      <x:c r="H23" s="94" t="str">
        <x:v>桌面端</x:v>
      </x:c>
      <x:c r="I23" s="94" t="str">
        <x:v>CPC</x:v>
      </x:c>
      <x:c r="J23" s="95" t="n">
        <x:v>1400</x:v>
      </x:c>
      <x:c r="K23" s="96" t="n">
        <x:f>IFERROR(L23/J23,0)</x:f>
        <x:v>0.045714285714285714</x:v>
      </x:c>
      <x:c r="L23" s="95" t="n">
        <x:v>64</x:v>
      </x:c>
      <x:c r="M23" s="97" t="n">
        <x:v>0.3417</x:v>
      </x:c>
      <x:c r="N23" s="97" t="n">
        <x:f>ROUND(L23*M23,2)</x:f>
        <x:v>21.87</x:v>
      </x:c>
      <x:c r="O23" s="94" t="n">
        <x:v>7</x:v>
      </x:c>
      <x:c r="P23" s="94" t="str">
        <x:v>模拟：Google/Microsoft Ads采购导入</x:v>
      </x:c>
    </x:row>
    <x:row r="24">
      <x:c r="A24" s="92" t="str">
        <x:v>PROC-0023</x:v>
      </x:c>
      <x:c r="B24" s="93" t="n">
        <x:v>46026</x:v>
      </x:c>
      <x:c r="C24" s="94" t="str">
        <x:v>Google Ads</x:v>
      </x:c>
      <x:c r="D24" s="94" t="str">
        <x:v>美国</x:v>
      </x:c>
      <x:c r="E24" s="94" t="str">
        <x:v>GGL-C11</x:v>
      </x:c>
      <x:c r="F24" s="94" t="str">
        <x:v>通用搜索</x:v>
      </x:c>
      <x:c r="G24" s="94" t="str">
        <x:v>家庭必备</x:v>
      </x:c>
      <x:c r="H24" s="94" t="str">
        <x:v>桌面端</x:v>
      </x:c>
      <x:c r="I24" s="94" t="str">
        <x:v>CPC</x:v>
      </x:c>
      <x:c r="J24" s="95" t="n">
        <x:v>1063</x:v>
      </x:c>
      <x:c r="K24" s="96" t="n">
        <x:f>IFERROR(L24/J24,0)</x:f>
        <x:v>0.04045155221072436</x:v>
      </x:c>
      <x:c r="L24" s="95" t="n">
        <x:v>43</x:v>
      </x:c>
      <x:c r="M24" s="97" t="n">
        <x:v>0.3368</x:v>
      </x:c>
      <x:c r="N24" s="97" t="n">
        <x:f>ROUND(L24*M24,2)</x:f>
        <x:v>14.48</x:v>
      </x:c>
      <x:c r="O24" s="94" t="n">
        <x:v>6</x:v>
      </x:c>
      <x:c r="P24" s="94" t="str">
        <x:v>模拟：Google/Microsoft Ads采购导入</x:v>
      </x:c>
    </x:row>
    <x:row r="25">
      <x:c r="A25" s="92" t="str">
        <x:v>PROC-0024</x:v>
      </x:c>
      <x:c r="B25" s="93" t="n">
        <x:v>46027</x:v>
      </x:c>
      <x:c r="C25" s="94" t="str">
        <x:v>Microsoft Ads</x:v>
      </x:c>
      <x:c r="D25" s="94" t="str">
        <x:v>日本</x:v>
      </x:c>
      <x:c r="E25" s="94" t="str">
        <x:v>MSA-C18</x:v>
      </x:c>
      <x:c r="F25" s="94" t="str">
        <x:v>购物广告</x:v>
      </x:c>
      <x:c r="G25" s="94" t="str">
        <x:v>快速配送</x:v>
      </x:c>
      <x:c r="H25" s="94" t="str">
        <x:v>移动端</x:v>
      </x:c>
      <x:c r="I25" s="94" t="str">
        <x:v>CPC</x:v>
      </x:c>
      <x:c r="J25" s="95" t="n">
        <x:v>1424</x:v>
      </x:c>
      <x:c r="K25" s="96" t="n">
        <x:f>IFERROR(L25/J25,0)</x:f>
        <x:v>0.0449438202247191</x:v>
      </x:c>
      <x:c r="L25" s="95" t="n">
        <x:v>64</x:v>
      </x:c>
      <x:c r="M25" s="97" t="n">
        <x:v>0.2374</x:v>
      </x:c>
      <x:c r="N25" s="97" t="n">
        <x:f>ROUND(L25*M25,2)</x:f>
        <x:v>15.19</x:v>
      </x:c>
      <x:c r="O25" s="94" t="n">
        <x:v>6</x:v>
      </x:c>
      <x:c r="P25" s="94" t="str">
        <x:v>模拟：Google/Microsoft Ads采购导入</x:v>
      </x:c>
    </x:row>
    <x:row r="26">
      <x:c r="A26" s="92" t="str">
        <x:v>PROC-0025</x:v>
      </x:c>
      <x:c r="B26" s="93" t="n">
        <x:v>46027</x:v>
      </x:c>
      <x:c r="C26" s="94" t="str">
        <x:v>Google Ads</x:v>
      </x:c>
      <x:c r="D26" s="94" t="str">
        <x:v>美国</x:v>
      </x:c>
      <x:c r="E26" s="94" t="str">
        <x:v>GGL-C01</x:v>
      </x:c>
      <x:c r="F26" s="94" t="str">
        <x:v>通用搜索</x:v>
      </x:c>
      <x:c r="G26" s="94" t="str">
        <x:v>高性价比商品</x:v>
      </x:c>
      <x:c r="H26" s="94" t="str">
        <x:v>桌面端</x:v>
      </x:c>
      <x:c r="I26" s="94" t="str">
        <x:v>CPC</x:v>
      </x:c>
      <x:c r="J26" s="95" t="n">
        <x:v>919</x:v>
      </x:c>
      <x:c r="K26" s="96" t="n">
        <x:f>IFERROR(L26/J26,0)</x:f>
        <x:v>0.035908596300326445</x:v>
      </x:c>
      <x:c r="L26" s="95" t="n">
        <x:v>33</x:v>
      </x:c>
      <x:c r="M26" s="97" t="n">
        <x:v>0.2978</x:v>
      </x:c>
      <x:c r="N26" s="97" t="n">
        <x:f>ROUND(L26*M26,2)</x:f>
        <x:v>9.83</x:v>
      </x:c>
      <x:c r="O26" s="94" t="n">
        <x:v>9</x:v>
      </x:c>
      <x:c r="P26" s="94" t="str">
        <x:v>模拟：Google/Microsoft Ads采购导入</x:v>
      </x:c>
    </x:row>
    <x:row r="27">
      <x:c r="A27" s="92" t="str">
        <x:v>PROC-0026</x:v>
      </x:c>
      <x:c r="B27" s="93" t="n">
        <x:v>46027</x:v>
      </x:c>
      <x:c r="C27" s="94" t="str">
        <x:v>Google Ads</x:v>
      </x:c>
      <x:c r="D27" s="94" t="str">
        <x:v>美国</x:v>
      </x:c>
      <x:c r="E27" s="94" t="str">
        <x:v>GGL-C10</x:v>
      </x:c>
      <x:c r="F27" s="94" t="str">
        <x:v>购物广告</x:v>
      </x:c>
      <x:c r="G27" s="94" t="str">
        <x:v>折扣商品</x:v>
      </x:c>
      <x:c r="H27" s="94" t="str">
        <x:v>桌面端</x:v>
      </x:c>
      <x:c r="I27" s="94" t="str">
        <x:v>CPC</x:v>
      </x:c>
      <x:c r="J27" s="95" t="n">
        <x:v>1364</x:v>
      </x:c>
      <x:c r="K27" s="96" t="n">
        <x:f>IFERROR(L27/J27,0)</x:f>
        <x:v>0.0373900293255132</x:v>
      </x:c>
      <x:c r="L27" s="95" t="n">
        <x:v>51</x:v>
      </x:c>
      <x:c r="M27" s="97" t="n">
        <x:v>0.4107</x:v>
      </x:c>
      <x:c r="N27" s="97" t="n">
        <x:f>ROUND(L27*M27,2)</x:f>
        <x:v>20.95</x:v>
      </x:c>
      <x:c r="O27" s="94" t="n">
        <x:v>6</x:v>
      </x:c>
      <x:c r="P27" s="94" t="str">
        <x:v>模拟：Google/Microsoft Ads采购导入</x:v>
      </x:c>
    </x:row>
    <x:row r="28">
      <x:c r="A28" s="92" t="str">
        <x:v>PROC-0027</x:v>
      </x:c>
      <x:c r="B28" s="93" t="n">
        <x:v>46027</x:v>
      </x:c>
      <x:c r="C28" s="94" t="str">
        <x:v>Google Ads</x:v>
      </x:c>
      <x:c r="D28" s="94" t="str">
        <x:v>德国</x:v>
      </x:c>
      <x:c r="E28" s="94" t="str">
        <x:v>GGL-C18</x:v>
      </x:c>
      <x:c r="F28" s="94" t="str">
        <x:v>通用搜索</x:v>
      </x:c>
      <x:c r="G28" s="94" t="str">
        <x:v>热门新品</x:v>
      </x:c>
      <x:c r="H28" s="94" t="str">
        <x:v>平板</x:v>
      </x:c>
      <x:c r="I28" s="94" t="str">
        <x:v>CPC</x:v>
      </x:c>
      <x:c r="J28" s="95" t="n">
        <x:v>620</x:v>
      </x:c>
      <x:c r="K28" s="96" t="n">
        <x:f>IFERROR(L28/J28,0)</x:f>
        <x:v>0.03064516129032258</x:v>
      </x:c>
      <x:c r="L28" s="95" t="n">
        <x:v>19</x:v>
      </x:c>
      <x:c r="M28" s="97" t="n">
        <x:v>0.307</x:v>
      </x:c>
      <x:c r="N28" s="97" t="n">
        <x:f>ROUND(L28*M28,2)</x:f>
        <x:v>5.83</x:v>
      </x:c>
      <x:c r="O28" s="94" t="n">
        <x:v>7</x:v>
      </x:c>
      <x:c r="P28" s="94" t="str">
        <x:v>模拟：Google/Microsoft Ads采购导入</x:v>
      </x:c>
    </x:row>
    <x:row r="29">
      <x:c r="A29" s="92" t="str">
        <x:v>PROC-0028</x:v>
      </x:c>
      <x:c r="B29" s="93" t="n">
        <x:v>46027</x:v>
      </x:c>
      <x:c r="C29" s="94" t="str">
        <x:v>Microsoft Ads</x:v>
      </x:c>
      <x:c r="D29" s="94" t="str">
        <x:v>德国</x:v>
      </x:c>
      <x:c r="E29" s="94" t="str">
        <x:v>MSA-C24</x:v>
      </x:c>
      <x:c r="F29" s="94" t="str">
        <x:v>通用搜索</x:v>
      </x:c>
      <x:c r="G29" s="94" t="str">
        <x:v>高性价比商品</x:v>
      </x:c>
      <x:c r="H29" s="94" t="str">
        <x:v>移动端</x:v>
      </x:c>
      <x:c r="I29" s="94" t="str">
        <x:v>CPC</x:v>
      </x:c>
      <x:c r="J29" s="95" t="n">
        <x:v>1384</x:v>
      </x:c>
      <x:c r="K29" s="96" t="n">
        <x:f>IFERROR(L29/J29,0)</x:f>
        <x:v>0.03757225433526012</x:v>
      </x:c>
      <x:c r="L29" s="95" t="n">
        <x:v>52</x:v>
      </x:c>
      <x:c r="M29" s="97" t="n">
        <x:v>0.2336</x:v>
      </x:c>
      <x:c r="N29" s="97" t="n">
        <x:f>ROUND(L29*M29,2)</x:f>
        <x:v>12.15</x:v>
      </x:c>
      <x:c r="O29" s="94" t="n">
        <x:v>7</x:v>
      </x:c>
      <x:c r="P29" s="94" t="str">
        <x:v>模拟：Google/Microsoft Ads采购导入</x:v>
      </x:c>
    </x:row>
    <x:row r="30">
      <x:c r="A30" s="92" t="str">
        <x:v>PROC-0029</x:v>
      </x:c>
      <x:c r="B30" s="93" t="n">
        <x:v>46028</x:v>
      </x:c>
      <x:c r="C30" s="94" t="str">
        <x:v>Google Ads</x:v>
      </x:c>
      <x:c r="D30" s="94" t="str">
        <x:v>美国</x:v>
      </x:c>
      <x:c r="E30" s="94" t="str">
        <x:v>GGL-C06</x:v>
      </x:c>
      <x:c r="F30" s="94" t="str">
        <x:v>购物广告</x:v>
      </x:c>
      <x:c r="G30" s="94" t="str">
        <x:v>快速配送</x:v>
      </x:c>
      <x:c r="H30" s="94" t="str">
        <x:v>移动端</x:v>
      </x:c>
      <x:c r="I30" s="94" t="str">
        <x:v>CPC</x:v>
      </x:c>
      <x:c r="J30" s="95" t="n">
        <x:v>859</x:v>
      </x:c>
      <x:c r="K30" s="96" t="n">
        <x:f>IFERROR(L30/J30,0)</x:f>
        <x:v>0.050058207217694994</x:v>
      </x:c>
      <x:c r="L30" s="95" t="n">
        <x:v>43</x:v>
      </x:c>
      <x:c r="M30" s="97" t="n">
        <x:v>0.4263</x:v>
      </x:c>
      <x:c r="N30" s="97" t="n">
        <x:f>ROUND(L30*M30,2)</x:f>
        <x:v>18.33</x:v>
      </x:c>
      <x:c r="O30" s="94" t="n">
        <x:v>7</x:v>
      </x:c>
      <x:c r="P30" s="94" t="str">
        <x:v>模拟：Google/Microsoft Ads采购导入</x:v>
      </x:c>
    </x:row>
    <x:row r="31">
      <x:c r="A31" s="92" t="str">
        <x:v>PROC-0030</x:v>
      </x:c>
      <x:c r="B31" s="93" t="n">
        <x:v>46028</x:v>
      </x:c>
      <x:c r="C31" s="94" t="str">
        <x:v>Google Ads</x:v>
      </x:c>
      <x:c r="D31" s="94" t="str">
        <x:v>日本</x:v>
      </x:c>
      <x:c r="E31" s="94" t="str">
        <x:v>GGL-C13</x:v>
      </x:c>
      <x:c r="F31" s="94" t="str">
        <x:v>竞品搜索</x:v>
      </x:c>
      <x:c r="G31" s="94" t="str">
        <x:v>更优选择</x:v>
      </x:c>
      <x:c r="H31" s="94" t="str">
        <x:v>移动端</x:v>
      </x:c>
      <x:c r="I31" s="94" t="str">
        <x:v>CPC</x:v>
      </x:c>
      <x:c r="J31" s="95" t="n">
        <x:v>696</x:v>
      </x:c>
      <x:c r="K31" s="96" t="n">
        <x:f>IFERROR(L31/J31,0)</x:f>
        <x:v>0.03017241379310345</x:v>
      </x:c>
      <x:c r="L31" s="95" t="n">
        <x:v>21</x:v>
      </x:c>
      <x:c r="M31" s="97" t="n">
        <x:v>0.3931</x:v>
      </x:c>
      <x:c r="N31" s="97" t="n">
        <x:f>ROUND(L31*M31,2)</x:f>
        <x:v>8.26</x:v>
      </x:c>
      <x:c r="O31" s="94" t="n">
        <x:v>8</x:v>
      </x:c>
      <x:c r="P31" s="94" t="str">
        <x:v>模拟：Google/Microsoft Ads采购导入</x:v>
      </x:c>
    </x:row>
    <x:row r="32">
      <x:c r="A32" s="92" t="str">
        <x:v>PROC-0031</x:v>
      </x:c>
      <x:c r="B32" s="93" t="n">
        <x:v>46028</x:v>
      </x:c>
      <x:c r="C32" s="94" t="str">
        <x:v>Microsoft Ads</x:v>
      </x:c>
      <x:c r="D32" s="94" t="str">
        <x:v>美国</x:v>
      </x:c>
      <x:c r="E32" s="94" t="str">
        <x:v>MSA-C22</x:v>
      </x:c>
      <x:c r="F32" s="94" t="str">
        <x:v>品牌搜索</x:v>
      </x:c>
      <x:c r="G32" s="94" t="str">
        <x:v>品牌型号词</x:v>
      </x:c>
      <x:c r="H32" s="94" t="str">
        <x:v>桌面端</x:v>
      </x:c>
      <x:c r="I32" s="94" t="str">
        <x:v>CPC</x:v>
      </x:c>
      <x:c r="J32" s="95" t="n">
        <x:v>1047</x:v>
      </x:c>
      <x:c r="K32" s="96" t="n">
        <x:f>IFERROR(L32/J32,0)</x:f>
        <x:v>0.06208213944603629</x:v>
      </x:c>
      <x:c r="L32" s="95" t="n">
        <x:v>65</x:v>
      </x:c>
      <x:c r="M32" s="97" t="n">
        <x:v>0.1798</x:v>
      </x:c>
      <x:c r="N32" s="97" t="n">
        <x:f>ROUND(L32*M32,2)</x:f>
        <x:v>11.69</x:v>
      </x:c>
      <x:c r="O32" s="94" t="n">
        <x:v>10</x:v>
      </x:c>
      <x:c r="P32" s="94" t="str">
        <x:v>模拟：Google/Microsoft Ads采购导入</x:v>
      </x:c>
    </x:row>
    <x:row r="33">
      <x:c r="A33" s="92" t="str">
        <x:v>PROC-0032</x:v>
      </x:c>
      <x:c r="B33" s="93" t="n">
        <x:v>46028</x:v>
      </x:c>
      <x:c r="C33" s="94" t="str">
        <x:v>Microsoft Ads</x:v>
      </x:c>
      <x:c r="D33" s="94" t="str">
        <x:v>英国</x:v>
      </x:c>
      <x:c r="E33" s="94" t="str">
        <x:v>MSA-C06</x:v>
      </x:c>
      <x:c r="F33" s="94" t="str">
        <x:v>购物广告</x:v>
      </x:c>
      <x:c r="G33" s="94" t="str">
        <x:v>畅销商品</x:v>
      </x:c>
      <x:c r="H33" s="94" t="str">
        <x:v>移动端</x:v>
      </x:c>
      <x:c r="I33" s="94" t="str">
        <x:v>CPC</x:v>
      </x:c>
      <x:c r="J33" s="95" t="n">
        <x:v>790</x:v>
      </x:c>
      <x:c r="K33" s="96" t="n">
        <x:f>IFERROR(L33/J33,0)</x:f>
        <x:v>0.043037974683544304</x:v>
      </x:c>
      <x:c r="L33" s="95" t="n">
        <x:v>34</x:v>
      </x:c>
      <x:c r="M33" s="97" t="n">
        <x:v>0.258</x:v>
      </x:c>
      <x:c r="N33" s="97" t="n">
        <x:f>ROUND(L33*M33,2)</x:f>
        <x:v>8.77</x:v>
      </x:c>
      <x:c r="O33" s="94" t="n">
        <x:v>8</x:v>
      </x:c>
      <x:c r="P33" s="94" t="str">
        <x:v>模拟：Google/Microsoft Ads采购导入</x:v>
      </x:c>
    </x:row>
    <x:row r="34">
      <x:c r="A34" s="92" t="str">
        <x:v>PROC-0033</x:v>
      </x:c>
      <x:c r="B34" s="93" t="n">
        <x:v>46028</x:v>
      </x:c>
      <x:c r="C34" s="94" t="str">
        <x:v>Microsoft Ads</x:v>
      </x:c>
      <x:c r="D34" s="94" t="str">
        <x:v>美国</x:v>
      </x:c>
      <x:c r="E34" s="94" t="str">
        <x:v>MSA-C10</x:v>
      </x:c>
      <x:c r="F34" s="94" t="str">
        <x:v>通用搜索</x:v>
      </x:c>
      <x:c r="G34" s="94" t="str">
        <x:v>实用礼物</x:v>
      </x:c>
      <x:c r="H34" s="94" t="str">
        <x:v>桌面端</x:v>
      </x:c>
      <x:c r="I34" s="94" t="str">
        <x:v>CPC</x:v>
      </x:c>
      <x:c r="J34" s="95" t="n">
        <x:v>792</x:v>
      </x:c>
      <x:c r="K34" s="96" t="n">
        <x:f>IFERROR(L34/J34,0)</x:f>
        <x:v>0.03156565656565657</x:v>
      </x:c>
      <x:c r="L34" s="95" t="n">
        <x:v>25</x:v>
      </x:c>
      <x:c r="M34" s="97" t="n">
        <x:v>0.2471</x:v>
      </x:c>
      <x:c r="N34" s="97" t="n">
        <x:f>ROUND(L34*M34,2)</x:f>
        <x:v>6.18</x:v>
      </x:c>
      <x:c r="O34" s="94" t="n">
        <x:v>7</x:v>
      </x:c>
      <x:c r="P34" s="94" t="str">
        <x:v>模拟：Google/Microsoft Ads采购导入</x:v>
      </x:c>
    </x:row>
    <x:row r="35">
      <x:c r="A35" s="92" t="str">
        <x:v>PROC-0034</x:v>
      </x:c>
      <x:c r="B35" s="93" t="n">
        <x:v>46028</x:v>
      </x:c>
      <x:c r="C35" s="94" t="str">
        <x:v>Google Ads</x:v>
      </x:c>
      <x:c r="D35" s="94" t="str">
        <x:v>美国</x:v>
      </x:c>
      <x:c r="E35" s="94" t="str">
        <x:v>GGL-C17</x:v>
      </x:c>
      <x:c r="F35" s="94" t="str">
        <x:v>购物广告</x:v>
      </x:c>
      <x:c r="G35" s="94" t="str">
        <x:v>快速配送</x:v>
      </x:c>
      <x:c r="H35" s="94" t="str">
        <x:v>移动端</x:v>
      </x:c>
      <x:c r="I35" s="94" t="str">
        <x:v>CPC</x:v>
      </x:c>
      <x:c r="J35" s="95" t="n">
        <x:v>733</x:v>
      </x:c>
      <x:c r="K35" s="96" t="n">
        <x:f>IFERROR(L35/J35,0)</x:f>
        <x:v>0.03819918144611187</x:v>
      </x:c>
      <x:c r="L35" s="95" t="n">
        <x:v>28</x:v>
      </x:c>
      <x:c r="M35" s="97" t="n">
        <x:v>0.4014</x:v>
      </x:c>
      <x:c r="N35" s="97" t="n">
        <x:f>ROUND(L35*M35,2)</x:f>
        <x:v>11.24</x:v>
      </x:c>
      <x:c r="O35" s="94" t="n">
        <x:v>8</x:v>
      </x:c>
      <x:c r="P35" s="94" t="str">
        <x:v>模拟：Google/Microsoft Ads采购导入</x:v>
      </x:c>
    </x:row>
    <x:row r="36">
      <x:c r="A36" s="92" t="str">
        <x:v>PROC-0035</x:v>
      </x:c>
      <x:c r="B36" s="93" t="n">
        <x:v>46029</x:v>
      </x:c>
      <x:c r="C36" s="94" t="str">
        <x:v>Google Ads</x:v>
      </x:c>
      <x:c r="D36" s="94" t="str">
        <x:v>美国</x:v>
      </x:c>
      <x:c r="E36" s="94" t="str">
        <x:v>GGL-C02</x:v>
      </x:c>
      <x:c r="F36" s="94" t="str">
        <x:v>通用搜索</x:v>
      </x:c>
      <x:c r="G36" s="94" t="str">
        <x:v>实用礼物</x:v>
      </x:c>
      <x:c r="H36" s="94" t="str">
        <x:v>桌面端</x:v>
      </x:c>
      <x:c r="I36" s="94" t="str">
        <x:v>CPC</x:v>
      </x:c>
      <x:c r="J36" s="95" t="n">
        <x:v>659</x:v>
      </x:c>
      <x:c r="K36" s="96" t="n">
        <x:f>IFERROR(L36/J36,0)</x:f>
        <x:v>0.0409711684370258</x:v>
      </x:c>
      <x:c r="L36" s="95" t="n">
        <x:v>27</x:v>
      </x:c>
      <x:c r="M36" s="97" t="n">
        <x:v>0.3754</x:v>
      </x:c>
      <x:c r="N36" s="97" t="n">
        <x:f>ROUND(L36*M36,2)</x:f>
        <x:v>10.14</x:v>
      </x:c>
      <x:c r="O36" s="94" t="n">
        <x:v>6</x:v>
      </x:c>
      <x:c r="P36" s="94" t="str">
        <x:v>模拟：Google/Microsoft Ads采购导入</x:v>
      </x:c>
    </x:row>
    <x:row r="37">
      <x:c r="A37" s="92" t="str">
        <x:v>PROC-0036</x:v>
      </x:c>
      <x:c r="B37" s="93" t="n">
        <x:v>46029</x:v>
      </x:c>
      <x:c r="C37" s="94" t="str">
        <x:v>Google Ads</x:v>
      </x:c>
      <x:c r="D37" s="94" t="str">
        <x:v>日本</x:v>
      </x:c>
      <x:c r="E37" s="94" t="str">
        <x:v>GGL-C06</x:v>
      </x:c>
      <x:c r="F37" s="94" t="str">
        <x:v>购物广告</x:v>
      </x:c>
      <x:c r="G37" s="94" t="str">
        <x:v>折扣商品</x:v>
      </x:c>
      <x:c r="H37" s="94" t="str">
        <x:v>移动端</x:v>
      </x:c>
      <x:c r="I37" s="94" t="str">
        <x:v>CPC</x:v>
      </x:c>
      <x:c r="J37" s="95" t="n">
        <x:v>1663</x:v>
      </x:c>
      <x:c r="K37" s="96" t="n">
        <x:f>IFERROR(L37/J37,0)</x:f>
        <x:v>0.035478051713770296</x:v>
      </x:c>
      <x:c r="L37" s="95" t="n">
        <x:v>59</x:v>
      </x:c>
      <x:c r="M37" s="97" t="n">
        <x:v>0.24</x:v>
      </x:c>
      <x:c r="N37" s="97" t="n">
        <x:f>ROUND(L37*M37,2)</x:f>
        <x:v>14.16</x:v>
      </x:c>
      <x:c r="O37" s="94" t="n">
        <x:v>8</x:v>
      </x:c>
      <x:c r="P37" s="94" t="str">
        <x:v>模拟：Google/Microsoft Ads采购导入</x:v>
      </x:c>
    </x:row>
    <x:row r="38">
      <x:c r="A38" s="92" t="str">
        <x:v>PROC-0037</x:v>
      </x:c>
      <x:c r="B38" s="93" t="n">
        <x:v>46029</x:v>
      </x:c>
      <x:c r="C38" s="94" t="str">
        <x:v>Google Ads</x:v>
      </x:c>
      <x:c r="D38" s="94" t="str">
        <x:v>日本</x:v>
      </x:c>
      <x:c r="E38" s="94" t="str">
        <x:v>GGL-C13</x:v>
      </x:c>
      <x:c r="F38" s="94" t="str">
        <x:v>购物广告</x:v>
      </x:c>
      <x:c r="G38" s="94" t="str">
        <x:v>快速配送</x:v>
      </x:c>
      <x:c r="H38" s="94" t="str">
        <x:v>移动端</x:v>
      </x:c>
      <x:c r="I38" s="94" t="str">
        <x:v>CPC</x:v>
      </x:c>
      <x:c r="J38" s="95" t="n">
        <x:v>1102</x:v>
      </x:c>
      <x:c r="K38" s="96" t="n">
        <x:f>IFERROR(L38/J38,0)</x:f>
        <x:v>0.034482758620689655</x:v>
      </x:c>
      <x:c r="L38" s="95" t="n">
        <x:v>38</x:v>
      </x:c>
      <x:c r="M38" s="97" t="n">
        <x:v>0.3045</x:v>
      </x:c>
      <x:c r="N38" s="97" t="n">
        <x:f>ROUND(L38*M38,2)</x:f>
        <x:v>11.57</x:v>
      </x:c>
      <x:c r="O38" s="94" t="n">
        <x:v>7</x:v>
      </x:c>
      <x:c r="P38" s="94" t="str">
        <x:v>模拟：Google/Microsoft Ads采购导入</x:v>
      </x:c>
    </x:row>
    <x:row r="39">
      <x:c r="A39" s="92" t="str">
        <x:v>PROC-0038</x:v>
      </x:c>
      <x:c r="B39" s="93" t="n">
        <x:v>46029</x:v>
      </x:c>
      <x:c r="C39" s="94" t="str">
        <x:v>Google Ads</x:v>
      </x:c>
      <x:c r="D39" s="94" t="str">
        <x:v>日本</x:v>
      </x:c>
      <x:c r="E39" s="94" t="str">
        <x:v>GGL-C22</x:v>
      </x:c>
      <x:c r="F39" s="94" t="str">
        <x:v>品牌搜索</x:v>
      </x:c>
      <x:c r="G39" s="94" t="str">
        <x:v>品牌评测词</x:v>
      </x:c>
      <x:c r="H39" s="94" t="str">
        <x:v>移动端</x:v>
      </x:c>
      <x:c r="I39" s="94" t="str">
        <x:v>CPC</x:v>
      </x:c>
      <x:c r="J39" s="95" t="n">
        <x:v>1285</x:v>
      </x:c>
      <x:c r="K39" s="96" t="n">
        <x:f>IFERROR(L39/J39,0)</x:f>
        <x:v>0.045914396887159536</x:v>
      </x:c>
      <x:c r="L39" s="95" t="n">
        <x:v>59</x:v>
      </x:c>
      <x:c r="M39" s="97" t="n">
        <x:v>0.2068</x:v>
      </x:c>
      <x:c r="N39" s="97" t="n">
        <x:f>ROUND(L39*M39,2)</x:f>
        <x:v>12.2</x:v>
      </x:c>
      <x:c r="O39" s="94" t="n">
        <x:v>9</x:v>
      </x:c>
      <x:c r="P39" s="94" t="str">
        <x:v>模拟：Google/Microsoft Ads采购导入</x:v>
      </x:c>
    </x:row>
    <x:row r="40">
      <x:c r="A40" s="92" t="str">
        <x:v>PROC-0039</x:v>
      </x:c>
      <x:c r="B40" s="93" t="n">
        <x:v>46029</x:v>
      </x:c>
      <x:c r="C40" s="94" t="str">
        <x:v>Microsoft Ads</x:v>
      </x:c>
      <x:c r="D40" s="94" t="str">
        <x:v>美国</x:v>
      </x:c>
      <x:c r="E40" s="94" t="str">
        <x:v>MSA-C03</x:v>
      </x:c>
      <x:c r="F40" s="94" t="str">
        <x:v>购物广告</x:v>
      </x:c>
      <x:c r="G40" s="94" t="str">
        <x:v>快速配送</x:v>
      </x:c>
      <x:c r="H40" s="94" t="str">
        <x:v>桌面端</x:v>
      </x:c>
      <x:c r="I40" s="94" t="str">
        <x:v>CPC</x:v>
      </x:c>
      <x:c r="J40" s="95" t="n">
        <x:v>732</x:v>
      </x:c>
      <x:c r="K40" s="96" t="n">
        <x:f>IFERROR(L40/J40,0)</x:f>
        <x:v>0.03961748633879782</x:v>
      </x:c>
      <x:c r="L40" s="95" t="n">
        <x:v>29</x:v>
      </x:c>
      <x:c r="M40" s="97" t="n">
        <x:v>0.2707</x:v>
      </x:c>
      <x:c r="N40" s="97" t="n">
        <x:f>ROUND(L40*M40,2)</x:f>
        <x:v>7.85</x:v>
      </x:c>
      <x:c r="O40" s="94" t="n">
        <x:v>9</x:v>
      </x:c>
      <x:c r="P40" s="94" t="str">
        <x:v>模拟：Google/Microsoft Ads采购导入</x:v>
      </x:c>
    </x:row>
    <x:row r="41">
      <x:c r="A41" s="92" t="str">
        <x:v>PROC-0040</x:v>
      </x:c>
      <x:c r="B41" s="93" t="n">
        <x:v>46030</x:v>
      </x:c>
      <x:c r="C41" s="94" t="str">
        <x:v>Google Ads</x:v>
      </x:c>
      <x:c r="D41" s="94" t="str">
        <x:v>日本</x:v>
      </x:c>
      <x:c r="E41" s="94" t="str">
        <x:v>GGL-C14</x:v>
      </x:c>
      <x:c r="F41" s="94" t="str">
        <x:v>品牌搜索</x:v>
      </x:c>
      <x:c r="G41" s="94" t="str">
        <x:v>品牌配件词</x:v>
      </x:c>
      <x:c r="H41" s="94" t="str">
        <x:v>桌面端</x:v>
      </x:c>
      <x:c r="I41" s="94" t="str">
        <x:v>CPC</x:v>
      </x:c>
      <x:c r="J41" s="95" t="n">
        <x:v>1428</x:v>
      </x:c>
      <x:c r="K41" s="96" t="n">
        <x:f>IFERROR(L41/J41,0)</x:f>
        <x:v>0.04411764705882353</x:v>
      </x:c>
      <x:c r="L41" s="95" t="n">
        <x:v>63</x:v>
      </x:c>
      <x:c r="M41" s="97" t="n">
        <x:v>0.1875</x:v>
      </x:c>
      <x:c r="N41" s="97" t="n">
        <x:f>ROUND(L41*M41,2)</x:f>
        <x:v>11.81</x:v>
      </x:c>
      <x:c r="O41" s="94" t="n">
        <x:v>8</x:v>
      </x:c>
      <x:c r="P41" s="94" t="str">
        <x:v>模拟：Google/Microsoft Ads采购导入</x:v>
      </x:c>
    </x:row>
    <x:row r="42">
      <x:c r="A42" s="92" t="str">
        <x:v>PROC-0041</x:v>
      </x:c>
      <x:c r="B42" s="93" t="n">
        <x:v>46030</x:v>
      </x:c>
      <x:c r="C42" s="94" t="str">
        <x:v>Microsoft Ads</x:v>
      </x:c>
      <x:c r="D42" s="94" t="str">
        <x:v>日本</x:v>
      </x:c>
      <x:c r="E42" s="94" t="str">
        <x:v>MSA-C18</x:v>
      </x:c>
      <x:c r="F42" s="94" t="str">
        <x:v>通用搜索</x:v>
      </x:c>
      <x:c r="G42" s="94" t="str">
        <x:v>家庭必备</x:v>
      </x:c>
      <x:c r="H42" s="94" t="str">
        <x:v>移动端</x:v>
      </x:c>
      <x:c r="I42" s="94" t="str">
        <x:v>CPC</x:v>
      </x:c>
      <x:c r="J42" s="95" t="n">
        <x:v>1107</x:v>
      </x:c>
      <x:c r="K42" s="96" t="n">
        <x:f>IFERROR(L42/J42,0)</x:f>
        <x:v>0.03884372177055104</x:v>
      </x:c>
      <x:c r="L42" s="95" t="n">
        <x:v>43</x:v>
      </x:c>
      <x:c r="M42" s="97" t="n">
        <x:v>0.2334</x:v>
      </x:c>
      <x:c r="N42" s="97" t="n">
        <x:f>ROUND(L42*M42,2)</x:f>
        <x:v>10.04</x:v>
      </x:c>
      <x:c r="O42" s="94" t="n">
        <x:v>7</x:v>
      </x:c>
      <x:c r="P42" s="94" t="str">
        <x:v>模拟：Google/Microsoft Ads采购导入</x:v>
      </x:c>
    </x:row>
    <x:row r="43">
      <x:c r="A43" s="92" t="str">
        <x:v>PROC-0042</x:v>
      </x:c>
      <x:c r="B43" s="93" t="n">
        <x:v>46030</x:v>
      </x:c>
      <x:c r="C43" s="94" t="str">
        <x:v>Google Ads</x:v>
      </x:c>
      <x:c r="D43" s="94" t="str">
        <x:v>日本</x:v>
      </x:c>
      <x:c r="E43" s="94" t="str">
        <x:v>GGL-C01</x:v>
      </x:c>
      <x:c r="F43" s="94" t="str">
        <x:v>竞品搜索</x:v>
      </x:c>
      <x:c r="G43" s="94" t="str">
        <x:v>更优选择</x:v>
      </x:c>
      <x:c r="H43" s="94" t="str">
        <x:v>桌面端</x:v>
      </x:c>
      <x:c r="I43" s="94" t="str">
        <x:v>CPC</x:v>
      </x:c>
      <x:c r="J43" s="95" t="n">
        <x:v>784</x:v>
      </x:c>
      <x:c r="K43" s="96" t="n">
        <x:f>IFERROR(L43/J43,0)</x:f>
        <x:v>0.026785714285714284</x:v>
      </x:c>
      <x:c r="L43" s="95" t="n">
        <x:v>21</x:v>
      </x:c>
      <x:c r="M43" s="97" t="n">
        <x:v>0.4024</x:v>
      </x:c>
      <x:c r="N43" s="97" t="n">
        <x:f>ROUND(L43*M43,2)</x:f>
        <x:v>8.45</x:v>
      </x:c>
      <x:c r="O43" s="94" t="n">
        <x:v>7</x:v>
      </x:c>
      <x:c r="P43" s="94" t="str">
        <x:v>模拟：Google/Microsoft Ads采购导入</x:v>
      </x:c>
    </x:row>
    <x:row r="44">
      <x:c r="A44" s="92" t="str">
        <x:v>PROC-0043</x:v>
      </x:c>
      <x:c r="B44" s="93" t="n">
        <x:v>46030</x:v>
      </x:c>
      <x:c r="C44" s="94" t="str">
        <x:v>Google Ads</x:v>
      </x:c>
      <x:c r="D44" s="94" t="str">
        <x:v>美国</x:v>
      </x:c>
      <x:c r="E44" s="94" t="str">
        <x:v>GGL-C07</x:v>
      </x:c>
      <x:c r="F44" s="94" t="str">
        <x:v>通用搜索</x:v>
      </x:c>
      <x:c r="G44" s="94" t="str">
        <x:v>热门新品</x:v>
      </x:c>
      <x:c r="H44" s="94" t="str">
        <x:v>平板</x:v>
      </x:c>
      <x:c r="I44" s="94" t="str">
        <x:v>CPC</x:v>
      </x:c>
      <x:c r="J44" s="95" t="n">
        <x:v>1029</x:v>
      </x:c>
      <x:c r="K44" s="96" t="n">
        <x:f>IFERROR(L44/J44,0)</x:f>
        <x:v>0.03206997084548105</x:v>
      </x:c>
      <x:c r="L44" s="95" t="n">
        <x:v>33</x:v>
      </x:c>
      <x:c r="M44" s="97" t="n">
        <x:v>0.3739</x:v>
      </x:c>
      <x:c r="N44" s="97" t="n">
        <x:f>ROUND(L44*M44,2)</x:f>
        <x:v>12.34</x:v>
      </x:c>
      <x:c r="O44" s="94" t="n">
        <x:v>8</x:v>
      </x:c>
      <x:c r="P44" s="94" t="str">
        <x:v>模拟：Google/Microsoft Ads采购导入</x:v>
      </x:c>
    </x:row>
    <x:row r="45">
      <x:c r="A45" s="92" t="str">
        <x:v>PROC-0044</x:v>
      </x:c>
      <x:c r="B45" s="93" t="n">
        <x:v>46030</x:v>
      </x:c>
      <x:c r="C45" s="94" t="str">
        <x:v>Google Ads</x:v>
      </x:c>
      <x:c r="D45" s="94" t="str">
        <x:v>美国</x:v>
      </x:c>
      <x:c r="E45" s="94" t="str">
        <x:v>GGL-C15</x:v>
      </x:c>
      <x:c r="F45" s="94" t="str">
        <x:v>品牌搜索</x:v>
      </x:c>
      <x:c r="G45" s="94" t="str">
        <x:v>品牌型号词</x:v>
      </x:c>
      <x:c r="H45" s="94" t="str">
        <x:v>移动端</x:v>
      </x:c>
      <x:c r="I45" s="94" t="str">
        <x:v>CPC</x:v>
      </x:c>
      <x:c r="J45" s="95" t="n">
        <x:v>913</x:v>
      </x:c>
      <x:c r="K45" s="96" t="n">
        <x:f>IFERROR(L45/J45,0)</x:f>
        <x:v>0.056955093099671415</x:v>
      </x:c>
      <x:c r="L45" s="95" t="n">
        <x:v>52</x:v>
      </x:c>
      <x:c r="M45" s="97" t="n">
        <x:v>0.2916</x:v>
      </x:c>
      <x:c r="N45" s="97" t="n">
        <x:f>ROUND(L45*M45,2)</x:f>
        <x:v>15.16</x:v>
      </x:c>
      <x:c r="O45" s="94" t="n">
        <x:v>10</x:v>
      </x:c>
      <x:c r="P45" s="94" t="str">
        <x:v>模拟：Google/Microsoft Ads采购导入</x:v>
      </x:c>
    </x:row>
    <x:row r="46">
      <x:c r="A46" s="92" t="str">
        <x:v>PROC-0045</x:v>
      </x:c>
      <x:c r="B46" s="93" t="n">
        <x:v>46030</x:v>
      </x:c>
      <x:c r="C46" s="94" t="str">
        <x:v>Microsoft Ads</x:v>
      </x:c>
      <x:c r="D46" s="94" t="str">
        <x:v>美国</x:v>
      </x:c>
      <x:c r="E46" s="94" t="str">
        <x:v>MSA-C24</x:v>
      </x:c>
      <x:c r="F46" s="94" t="str">
        <x:v>通用搜索</x:v>
      </x:c>
      <x:c r="G46" s="94" t="str">
        <x:v>家庭必备</x:v>
      </x:c>
      <x:c r="H46" s="94" t="str">
        <x:v>平板</x:v>
      </x:c>
      <x:c r="I46" s="94" t="str">
        <x:v>CPC</x:v>
      </x:c>
      <x:c r="J46" s="95" t="n">
        <x:v>676</x:v>
      </x:c>
      <x:c r="K46" s="96" t="n">
        <x:f>IFERROR(L46/J46,0)</x:f>
        <x:v>0.038461538461538464</x:v>
      </x:c>
      <x:c r="L46" s="95" t="n">
        <x:v>26</x:v>
      </x:c>
      <x:c r="M46" s="97" t="n">
        <x:v>0.2128</x:v>
      </x:c>
      <x:c r="N46" s="97" t="n">
        <x:f>ROUND(L46*M46,2)</x:f>
        <x:v>5.53</x:v>
      </x:c>
      <x:c r="O46" s="94" t="n">
        <x:v>6</x:v>
      </x:c>
      <x:c r="P46" s="94" t="str">
        <x:v>模拟：Google/Microsoft Ads采购导入</x:v>
      </x:c>
    </x:row>
    <x:row r="47">
      <x:c r="A47" s="92" t="str">
        <x:v>PROC-0046</x:v>
      </x:c>
      <x:c r="B47" s="93" t="n">
        <x:v>46031</x:v>
      </x:c>
      <x:c r="C47" s="94" t="str">
        <x:v>Google Ads</x:v>
      </x:c>
      <x:c r="D47" s="94" t="str">
        <x:v>日本</x:v>
      </x:c>
      <x:c r="E47" s="94" t="str">
        <x:v>GGL-C07</x:v>
      </x:c>
      <x:c r="F47" s="94" t="str">
        <x:v>购物广告</x:v>
      </x:c>
      <x:c r="G47" s="94" t="str">
        <x:v>价格比较</x:v>
      </x:c>
      <x:c r="H47" s="94" t="str">
        <x:v>移动端</x:v>
      </x:c>
      <x:c r="I47" s="94" t="str">
        <x:v>CPC</x:v>
      </x:c>
      <x:c r="J47" s="95" t="n">
        <x:v>1079</x:v>
      </x:c>
      <x:c r="K47" s="96" t="n">
        <x:f>IFERROR(L47/J47,0)</x:f>
        <x:v>0.03707136237256719</x:v>
      </x:c>
      <x:c r="L47" s="95" t="n">
        <x:v>40</x:v>
      </x:c>
      <x:c r="M47" s="97" t="n">
        <x:v>0.2388</x:v>
      </x:c>
      <x:c r="N47" s="97" t="n">
        <x:f>ROUND(L47*M47,2)</x:f>
        <x:v>9.55</x:v>
      </x:c>
      <x:c r="O47" s="94" t="n">
        <x:v>6</x:v>
      </x:c>
      <x:c r="P47" s="94" t="str">
        <x:v>模拟：Google/Microsoft Ads采购导入</x:v>
      </x:c>
    </x:row>
    <x:row r="48">
      <x:c r="A48" s="92" t="str">
        <x:v>PROC-0047</x:v>
      </x:c>
      <x:c r="B48" s="93" t="n">
        <x:v>46031</x:v>
      </x:c>
      <x:c r="C48" s="94" t="str">
        <x:v>Google Ads</x:v>
      </x:c>
      <x:c r="D48" s="94" t="str">
        <x:v>英国</x:v>
      </x:c>
      <x:c r="E48" s="94" t="str">
        <x:v>GGL-C11</x:v>
      </x:c>
      <x:c r="F48" s="94" t="str">
        <x:v>通用搜索</x:v>
      </x:c>
      <x:c r="G48" s="94" t="str">
        <x:v>高性价比商品</x:v>
      </x:c>
      <x:c r="H48" s="94" t="str">
        <x:v>移动端</x:v>
      </x:c>
      <x:c r="I48" s="94" t="str">
        <x:v>CPC</x:v>
      </x:c>
      <x:c r="J48" s="95" t="n">
        <x:v>932</x:v>
      </x:c>
      <x:c r="K48" s="96" t="n">
        <x:f>IFERROR(L48/J48,0)</x:f>
        <x:v>0.030042918454935622</x:v>
      </x:c>
      <x:c r="L48" s="95" t="n">
        <x:v>28</x:v>
      </x:c>
      <x:c r="M48" s="97" t="n">
        <x:v>0.3534</x:v>
      </x:c>
      <x:c r="N48" s="97" t="n">
        <x:f>ROUND(L48*M48,2)</x:f>
        <x:v>9.9</x:v>
      </x:c>
      <x:c r="O48" s="94" t="n">
        <x:v>8</x:v>
      </x:c>
      <x:c r="P48" s="94" t="str">
        <x:v>模拟：Google/Microsoft Ads采购导入</x:v>
      </x:c>
    </x:row>
    <x:row r="49">
      <x:c r="A49" s="92" t="str">
        <x:v>PROC-0048</x:v>
      </x:c>
      <x:c r="B49" s="93" t="n">
        <x:v>46031</x:v>
      </x:c>
      <x:c r="C49" s="94" t="str">
        <x:v>Google Ads</x:v>
      </x:c>
      <x:c r="D49" s="94" t="str">
        <x:v>德国</x:v>
      </x:c>
      <x:c r="E49" s="94" t="str">
        <x:v>GGL-C20</x:v>
      </x:c>
      <x:c r="F49" s="94" t="str">
        <x:v>竞品搜索</x:v>
      </x:c>
      <x:c r="G49" s="94" t="str">
        <x:v>竞品评测</x:v>
      </x:c>
      <x:c r="H49" s="94" t="str">
        <x:v>移动端</x:v>
      </x:c>
      <x:c r="I49" s="94" t="str">
        <x:v>CPC</x:v>
      </x:c>
      <x:c r="J49" s="95" t="n">
        <x:v>586</x:v>
      </x:c>
      <x:c r="K49" s="96" t="n">
        <x:f>IFERROR(L49/J49,0)</x:f>
        <x:v>0.032423208191126277</x:v>
      </x:c>
      <x:c r="L49" s="95" t="n">
        <x:v>19</x:v>
      </x:c>
      <x:c r="M49" s="97" t="n">
        <x:v>0.3431</x:v>
      </x:c>
      <x:c r="N49" s="97" t="n">
        <x:f>ROUND(L49*M49,2)</x:f>
        <x:v>6.52</x:v>
      </x:c>
      <x:c r="O49" s="94" t="n">
        <x:v>7</x:v>
      </x:c>
      <x:c r="P49" s="94" t="str">
        <x:v>模拟：Google/Microsoft Ads采购导入</x:v>
      </x:c>
    </x:row>
    <x:row r="50">
      <x:c r="A50" s="92" t="str">
        <x:v>PROC-0049</x:v>
      </x:c>
      <x:c r="B50" s="93" t="n">
        <x:v>46031</x:v>
      </x:c>
      <x:c r="C50" s="94" t="str">
        <x:v>Google Ads</x:v>
      </x:c>
      <x:c r="D50" s="94" t="str">
        <x:v>德国</x:v>
      </x:c>
      <x:c r="E50" s="94" t="str">
        <x:v>GGL-C05</x:v>
      </x:c>
      <x:c r="F50" s="94" t="str">
        <x:v>通用搜索</x:v>
      </x:c>
      <x:c r="G50" s="94" t="str">
        <x:v>高性价比商品</x:v>
      </x:c>
      <x:c r="H50" s="94" t="str">
        <x:v>移动端</x:v>
      </x:c>
      <x:c r="I50" s="94" t="str">
        <x:v>CPC</x:v>
      </x:c>
      <x:c r="J50" s="95" t="n">
        <x:v>1201</x:v>
      </x:c>
      <x:c r="K50" s="96" t="n">
        <x:f>IFERROR(L50/J50,0)</x:f>
        <x:v>0.028309741881765195</x:v>
      </x:c>
      <x:c r="L50" s="95" t="n">
        <x:v>34</x:v>
      </x:c>
      <x:c r="M50" s="97" t="n">
        <x:v>0.3243</x:v>
      </x:c>
      <x:c r="N50" s="97" t="n">
        <x:f>ROUND(L50*M50,2)</x:f>
        <x:v>11.03</x:v>
      </x:c>
      <x:c r="O50" s="94" t="n">
        <x:v>8</x:v>
      </x:c>
      <x:c r="P50" s="94" t="str">
        <x:v>模拟：Google/Microsoft Ads采购导入</x:v>
      </x:c>
    </x:row>
    <x:row r="51">
      <x:c r="A51" s="92" t="str">
        <x:v>PROC-0050</x:v>
      </x:c>
      <x:c r="B51" s="93" t="n">
        <x:v>46031</x:v>
      </x:c>
      <x:c r="C51" s="94" t="str">
        <x:v>Google Ads</x:v>
      </x:c>
      <x:c r="D51" s="94" t="str">
        <x:v>英国</x:v>
      </x:c>
      <x:c r="E51" s="94" t="str">
        <x:v>GGL-C10</x:v>
      </x:c>
      <x:c r="F51" s="94" t="str">
        <x:v>品牌搜索</x:v>
      </x:c>
      <x:c r="G51" s="94" t="str">
        <x:v>品牌型号词</x:v>
      </x:c>
      <x:c r="H51" s="94" t="str">
        <x:v>移动端</x:v>
      </x:c>
      <x:c r="I51" s="94" t="str">
        <x:v>CPC</x:v>
      </x:c>
      <x:c r="J51" s="95" t="n">
        <x:v>953</x:v>
      </x:c>
      <x:c r="K51" s="96" t="n">
        <x:f>IFERROR(L51/J51,0)</x:f>
        <x:v>0.06610703043022036</x:v>
      </x:c>
      <x:c r="L51" s="95" t="n">
        <x:v>63</x:v>
      </x:c>
      <x:c r="M51" s="97" t="n">
        <x:v>0.2052</x:v>
      </x:c>
      <x:c r="N51" s="97" t="n">
        <x:f>ROUND(L51*M51,2)</x:f>
        <x:v>12.93</x:v>
      </x:c>
      <x:c r="O51" s="94" t="n">
        <x:v>7</x:v>
      </x:c>
      <x:c r="P51" s="94" t="str">
        <x:v>模拟：Google/Microsoft Ads采购导入</x:v>
      </x:c>
    </x:row>
    <x:row r="52">
      <x:c r="A52" s="92" t="str">
        <x:v>PROC-0051</x:v>
      </x:c>
      <x:c r="B52" s="93" t="n">
        <x:v>46032</x:v>
      </x:c>
      <x:c r="C52" s="94" t="str">
        <x:v>Microsoft Ads</x:v>
      </x:c>
      <x:c r="D52" s="94" t="str">
        <x:v>日本</x:v>
      </x:c>
      <x:c r="E52" s="94" t="str">
        <x:v>MSA-C15</x:v>
      </x:c>
      <x:c r="F52" s="94" t="str">
        <x:v>品牌搜索</x:v>
      </x:c>
      <x:c r="G52" s="94" t="str">
        <x:v>品牌优惠词</x:v>
      </x:c>
      <x:c r="H52" s="94" t="str">
        <x:v>桌面端</x:v>
      </x:c>
      <x:c r="I52" s="94" t="str">
        <x:v>CPC</x:v>
      </x:c>
      <x:c r="J52" s="95" t="n">
        <x:v>747</x:v>
      </x:c>
      <x:c r="K52" s="96" t="n">
        <x:f>IFERROR(L52/J52,0)</x:f>
        <x:v>0.04819277108433735</x:v>
      </x:c>
      <x:c r="L52" s="95" t="n">
        <x:v>36</x:v>
      </x:c>
      <x:c r="M52" s="97" t="n">
        <x:v>0.1348</x:v>
      </x:c>
      <x:c r="N52" s="97" t="n">
        <x:f>ROUND(L52*M52,2)</x:f>
        <x:v>4.85</x:v>
      </x:c>
      <x:c r="O52" s="94" t="n">
        <x:v>8</x:v>
      </x:c>
      <x:c r="P52" s="94" t="str">
        <x:v>模拟：Google/Microsoft Ads采购导入</x:v>
      </x:c>
    </x:row>
    <x:row r="53">
      <x:c r="A53" s="92" t="str">
        <x:v>PROC-0052</x:v>
      </x:c>
      <x:c r="B53" s="93" t="n">
        <x:v>46032</x:v>
      </x:c>
      <x:c r="C53" s="94" t="str">
        <x:v>Microsoft Ads</x:v>
      </x:c>
      <x:c r="D53" s="94" t="str">
        <x:v>英国</x:v>
      </x:c>
      <x:c r="E53" s="94" t="str">
        <x:v>MSA-C24</x:v>
      </x:c>
      <x:c r="F53" s="94" t="str">
        <x:v>购物广告</x:v>
      </x:c>
      <x:c r="G53" s="94" t="str">
        <x:v>快速配送</x:v>
      </x:c>
      <x:c r="H53" s="94" t="str">
        <x:v>移动端</x:v>
      </x:c>
      <x:c r="I53" s="94" t="str">
        <x:v>CPC</x:v>
      </x:c>
      <x:c r="J53" s="95" t="n">
        <x:v>771</x:v>
      </x:c>
      <x:c r="K53" s="96" t="n">
        <x:f>IFERROR(L53/J53,0)</x:f>
        <x:v>0.04409857328145266</x:v>
      </x:c>
      <x:c r="L53" s="95" t="n">
        <x:v>34</x:v>
      </x:c>
      <x:c r="M53" s="97" t="n">
        <x:v>0.2969</x:v>
      </x:c>
      <x:c r="N53" s="97" t="n">
        <x:f>ROUND(L53*M53,2)</x:f>
        <x:v>10.09</x:v>
      </x:c>
      <x:c r="O53" s="94" t="n">
        <x:v>6</x:v>
      </x:c>
      <x:c r="P53" s="94" t="str">
        <x:v>模拟：Google/Microsoft Ads采购导入</x:v>
      </x:c>
    </x:row>
    <x:row r="54">
      <x:c r="A54" s="92" t="str">
        <x:v>PROC-0053</x:v>
      </x:c>
      <x:c r="B54" s="93" t="n">
        <x:v>46032</x:v>
      </x:c>
      <x:c r="C54" s="94" t="str">
        <x:v>Microsoft Ads</x:v>
      </x:c>
      <x:c r="D54" s="94" t="str">
        <x:v>英国</x:v>
      </x:c>
      <x:c r="E54" s="94" t="str">
        <x:v>MSA-C05</x:v>
      </x:c>
      <x:c r="F54" s="94" t="str">
        <x:v>购物广告</x:v>
      </x:c>
      <x:c r="G54" s="94" t="str">
        <x:v>价格比较</x:v>
      </x:c>
      <x:c r="H54" s="94" t="str">
        <x:v>移动端</x:v>
      </x:c>
      <x:c r="I54" s="94" t="str">
        <x:v>CPC</x:v>
      </x:c>
      <x:c r="J54" s="95" t="n">
        <x:v>1310</x:v>
      </x:c>
      <x:c r="K54" s="96" t="n">
        <x:f>IFERROR(L54/J54,0)</x:f>
        <x:v>0.04885496183206107</x:v>
      </x:c>
      <x:c r="L54" s="95" t="n">
        <x:v>64</x:v>
      </x:c>
      <x:c r="M54" s="97" t="n">
        <x:v>0.2513</x:v>
      </x:c>
      <x:c r="N54" s="97" t="n">
        <x:f>ROUND(L54*M54,2)</x:f>
        <x:v>16.08</x:v>
      </x:c>
      <x:c r="O54" s="94" t="n">
        <x:v>7</x:v>
      </x:c>
      <x:c r="P54" s="94" t="str">
        <x:v>模拟：Google/Microsoft Ads采购导入</x:v>
      </x:c>
    </x:row>
    <x:row r="55">
      <x:c r="A55" s="92" t="str">
        <x:v>PROC-0054</x:v>
      </x:c>
      <x:c r="B55" s="93" t="n">
        <x:v>46032</x:v>
      </x:c>
      <x:c r="C55" s="94" t="str">
        <x:v>Google Ads</x:v>
      </x:c>
      <x:c r="D55" s="94" t="str">
        <x:v>德国</x:v>
      </x:c>
      <x:c r="E55" s="94" t="str">
        <x:v>GGL-C14</x:v>
      </x:c>
      <x:c r="F55" s="94" t="str">
        <x:v>品牌搜索</x:v>
      </x:c>
      <x:c r="G55" s="94" t="str">
        <x:v>品牌评测词</x:v>
      </x:c>
      <x:c r="H55" s="94" t="str">
        <x:v>移动端</x:v>
      </x:c>
      <x:c r="I55" s="94" t="str">
        <x:v>CPC</x:v>
      </x:c>
      <x:c r="J55" s="95" t="n">
        <x:v>1159</x:v>
      </x:c>
      <x:c r="K55" s="96" t="n">
        <x:f>IFERROR(L55/J55,0)</x:f>
        <x:v>0.060396893874029335</x:v>
      </x:c>
      <x:c r="L55" s="95" t="n">
        <x:v>70</x:v>
      </x:c>
      <x:c r="M55" s="97" t="n">
        <x:v>0.2116</x:v>
      </x:c>
      <x:c r="N55" s="97" t="n">
        <x:f>ROUND(L55*M55,2)</x:f>
        <x:v>14.81</x:v>
      </x:c>
      <x:c r="O55" s="94" t="n">
        <x:v>7</x:v>
      </x:c>
      <x:c r="P55" s="94" t="str">
        <x:v>模拟：Google/Microsoft Ads采购导入</x:v>
      </x:c>
    </x:row>
    <x:row r="56">
      <x:c r="A56" s="92" t="str">
        <x:v>PROC-0055</x:v>
      </x:c>
      <x:c r="B56" s="93" t="n">
        <x:v>46032</x:v>
      </x:c>
      <x:c r="C56" s="94" t="str">
        <x:v>Microsoft Ads</x:v>
      </x:c>
      <x:c r="D56" s="94" t="str">
        <x:v>英国</x:v>
      </x:c>
      <x:c r="E56" s="94" t="str">
        <x:v>MSA-C21</x:v>
      </x:c>
      <x:c r="F56" s="94" t="str">
        <x:v>购物广告</x:v>
      </x:c>
      <x:c r="G56" s="94" t="str">
        <x:v>快速配送</x:v>
      </x:c>
      <x:c r="H56" s="94" t="str">
        <x:v>桌面端</x:v>
      </x:c>
      <x:c r="I56" s="94" t="str">
        <x:v>CPC</x:v>
      </x:c>
      <x:c r="J56" s="95" t="n">
        <x:v>739</x:v>
      </x:c>
      <x:c r="K56" s="96" t="n">
        <x:f>IFERROR(L56/J56,0)</x:f>
        <x:v>0.05277401894451962</x:v>
      </x:c>
      <x:c r="L56" s="95" t="n">
        <x:v>39</x:v>
      </x:c>
      <x:c r="M56" s="97" t="n">
        <x:v>0.2144</x:v>
      </x:c>
      <x:c r="N56" s="97" t="n">
        <x:f>ROUND(L56*M56,2)</x:f>
        <x:v>8.36</x:v>
      </x:c>
      <x:c r="O56" s="94" t="n">
        <x:v>6</x:v>
      </x:c>
      <x:c r="P56" s="94" t="str">
        <x:v>模拟：Google/Microsoft Ads采购导入</x:v>
      </x:c>
    </x:row>
    <x:row r="57">
      <x:c r="A57" s="92" t="str">
        <x:v>PROC-0056</x:v>
      </x:c>
      <x:c r="B57" s="93" t="n">
        <x:v>46032</x:v>
      </x:c>
      <x:c r="C57" s="94" t="str">
        <x:v>Microsoft Ads</x:v>
      </x:c>
      <x:c r="D57" s="94" t="str">
        <x:v>美国</x:v>
      </x:c>
      <x:c r="E57" s="94" t="str">
        <x:v>MSA-C05</x:v>
      </x:c>
      <x:c r="F57" s="94" t="str">
        <x:v>竞品搜索</x:v>
      </x:c>
      <x:c r="G57" s="94" t="str">
        <x:v>价格替代</x:v>
      </x:c>
      <x:c r="H57" s="94" t="str">
        <x:v>桌面端</x:v>
      </x:c>
      <x:c r="I57" s="94" t="str">
        <x:v>CPC</x:v>
      </x:c>
      <x:c r="J57" s="95" t="n">
        <x:v>1131</x:v>
      </x:c>
      <x:c r="K57" s="96" t="n">
        <x:f>IFERROR(L57/J57,0)</x:f>
        <x:v>0.03978779840848806</x:v>
      </x:c>
      <x:c r="L57" s="95" t="n">
        <x:v>45</x:v>
      </x:c>
      <x:c r="M57" s="97" t="n">
        <x:v>0.3201</x:v>
      </x:c>
      <x:c r="N57" s="97" t="n">
        <x:f>ROUND(L57*M57,2)</x:f>
        <x:v>14.4</x:v>
      </x:c>
      <x:c r="O57" s="94" t="n">
        <x:v>7</x:v>
      </x:c>
      <x:c r="P57" s="94" t="str">
        <x:v>模拟：Google/Microsoft Ads采购导入</x:v>
      </x:c>
    </x:row>
    <x:row r="58">
      <x:c r="A58" s="92" t="str">
        <x:v>PROC-0057</x:v>
      </x:c>
      <x:c r="B58" s="93" t="n">
        <x:v>46033</x:v>
      </x:c>
      <x:c r="C58" s="94" t="str">
        <x:v>Microsoft Ads</x:v>
      </x:c>
      <x:c r="D58" s="94" t="str">
        <x:v>英国</x:v>
      </x:c>
      <x:c r="E58" s="94" t="str">
        <x:v>MSA-C10</x:v>
      </x:c>
      <x:c r="F58" s="94" t="str">
        <x:v>竞品搜索</x:v>
      </x:c>
      <x:c r="G58" s="94" t="str">
        <x:v>价格替代</x:v>
      </x:c>
      <x:c r="H58" s="94" t="str">
        <x:v>移动端</x:v>
      </x:c>
      <x:c r="I58" s="94" t="str">
        <x:v>CPC</x:v>
      </x:c>
      <x:c r="J58" s="95" t="n">
        <x:v>1163</x:v>
      </x:c>
      <x:c r="K58" s="96" t="n">
        <x:f>IFERROR(L58/J58,0)</x:f>
        <x:v>0.03353396388650043</x:v>
      </x:c>
      <x:c r="L58" s="95" t="n">
        <x:v>39</x:v>
      </x:c>
      <x:c r="M58" s="97" t="n">
        <x:v>0.3358</x:v>
      </x:c>
      <x:c r="N58" s="97" t="n">
        <x:f>ROUND(L58*M58,2)</x:f>
        <x:v>13.1</x:v>
      </x:c>
      <x:c r="O58" s="94" t="n">
        <x:v>6</x:v>
      </x:c>
      <x:c r="P58" s="94" t="str">
        <x:v>模拟：Google/Microsoft Ads采购导入</x:v>
      </x:c>
    </x:row>
    <x:row r="59">
      <x:c r="A59" s="92" t="str">
        <x:v>PROC-0058</x:v>
      </x:c>
      <x:c r="B59" s="93" t="n">
        <x:v>46033</x:v>
      </x:c>
      <x:c r="C59" s="94" t="str">
        <x:v>Google Ads</x:v>
      </x:c>
      <x:c r="D59" s="94" t="str">
        <x:v>德国</x:v>
      </x:c>
      <x:c r="E59" s="94" t="str">
        <x:v>GGL-C16</x:v>
      </x:c>
      <x:c r="F59" s="94" t="str">
        <x:v>购物广告</x:v>
      </x:c>
      <x:c r="G59" s="94" t="str">
        <x:v>折扣商品</x:v>
      </x:c>
      <x:c r="H59" s="94" t="str">
        <x:v>移动端</x:v>
      </x:c>
      <x:c r="I59" s="94" t="str">
        <x:v>CPC</x:v>
      </x:c>
      <x:c r="J59" s="95" t="n">
        <x:v>835</x:v>
      </x:c>
      <x:c r="K59" s="96" t="n">
        <x:f>IFERROR(L59/J59,0)</x:f>
        <x:v>0.03832335329341317</x:v>
      </x:c>
      <x:c r="L59" s="95" t="n">
        <x:v>32</x:v>
      </x:c>
      <x:c r="M59" s="97" t="n">
        <x:v>0.2577</x:v>
      </x:c>
      <x:c r="N59" s="97" t="n">
        <x:f>ROUND(L59*M59,2)</x:f>
        <x:v>8.25</x:v>
      </x:c>
      <x:c r="O59" s="94" t="n">
        <x:v>7</x:v>
      </x:c>
      <x:c r="P59" s="94" t="str">
        <x:v>模拟：Google/Microsoft Ads采购导入</x:v>
      </x:c>
    </x:row>
    <x:row r="60">
      <x:c r="A60" s="92" t="str">
        <x:v>PROC-0059</x:v>
      </x:c>
      <x:c r="B60" s="93" t="n">
        <x:v>46033</x:v>
      </x:c>
      <x:c r="C60" s="94" t="str">
        <x:v>Microsoft Ads</x:v>
      </x:c>
      <x:c r="D60" s="94" t="str">
        <x:v>德国</x:v>
      </x:c>
      <x:c r="E60" s="94" t="str">
        <x:v>MSA-C24</x:v>
      </x:c>
      <x:c r="F60" s="94" t="str">
        <x:v>竞品搜索</x:v>
      </x:c>
      <x:c r="G60" s="94" t="str">
        <x:v>更优选择</x:v>
      </x:c>
      <x:c r="H60" s="94" t="str">
        <x:v>移动端</x:v>
      </x:c>
      <x:c r="I60" s="94" t="str">
        <x:v>CPC</x:v>
      </x:c>
      <x:c r="J60" s="95" t="n">
        <x:v>929</x:v>
      </x:c>
      <x:c r="K60" s="96" t="n">
        <x:f>IFERROR(L60/J60,0)</x:f>
        <x:v>0.031216361679224973</x:v>
      </x:c>
      <x:c r="L60" s="95" t="n">
        <x:v>29</x:v>
      </x:c>
      <x:c r="M60" s="97" t="n">
        <x:v>0.2566</x:v>
      </x:c>
      <x:c r="N60" s="97" t="n">
        <x:f>ROUND(L60*M60,2)</x:f>
        <x:v>7.44</x:v>
      </x:c>
      <x:c r="O60" s="94" t="n">
        <x:v>6</x:v>
      </x:c>
      <x:c r="P60" s="94" t="str">
        <x:v>模拟：Google/Microsoft Ads采购导入</x:v>
      </x:c>
    </x:row>
    <x:row r="61">
      <x:c r="A61" s="92" t="str">
        <x:v>PROC-0060</x:v>
      </x:c>
      <x:c r="B61" s="93" t="n">
        <x:v>46033</x:v>
      </x:c>
      <x:c r="C61" s="94" t="str">
        <x:v>Google Ads</x:v>
      </x:c>
      <x:c r="D61" s="94" t="str">
        <x:v>德国</x:v>
      </x:c>
      <x:c r="E61" s="94" t="str">
        <x:v>GGL-C07</x:v>
      </x:c>
      <x:c r="F61" s="94" t="str">
        <x:v>品牌搜索</x:v>
      </x:c>
      <x:c r="G61" s="94" t="str">
        <x:v>品牌评测词</x:v>
      </x:c>
      <x:c r="H61" s="94" t="str">
        <x:v>移动端</x:v>
      </x:c>
      <x:c r="I61" s="94" t="str">
        <x:v>CPC</x:v>
      </x:c>
      <x:c r="J61" s="95" t="n">
        <x:v>740</x:v>
      </x:c>
      <x:c r="K61" s="96" t="n">
        <x:f>IFERROR(L61/J61,0)</x:f>
        <x:v>0.05810810810810811</x:v>
      </x:c>
      <x:c r="L61" s="95" t="n">
        <x:v>43</x:v>
      </x:c>
      <x:c r="M61" s="97" t="n">
        <x:v>0.2129</x:v>
      </x:c>
      <x:c r="N61" s="97" t="n">
        <x:f>ROUND(L61*M61,2)</x:f>
        <x:v>9.15</x:v>
      </x:c>
      <x:c r="O61" s="94" t="n">
        <x:v>7</x:v>
      </x:c>
      <x:c r="P61" s="94" t="str">
        <x:v>模拟：Google/Microsoft Ads采购导入</x:v>
      </x:c>
    </x:row>
    <x:row r="62">
      <x:c r="A62" s="92" t="str">
        <x:v>PROC-0061</x:v>
      </x:c>
      <x:c r="B62" s="93" t="n">
        <x:v>46033</x:v>
      </x:c>
      <x:c r="C62" s="94" t="str">
        <x:v>Microsoft Ads</x:v>
      </x:c>
      <x:c r="D62" s="94" t="str">
        <x:v>德国</x:v>
      </x:c>
      <x:c r="E62" s="94" t="str">
        <x:v>MSA-C15</x:v>
      </x:c>
      <x:c r="F62" s="94" t="str">
        <x:v>购物广告</x:v>
      </x:c>
      <x:c r="G62" s="94" t="str">
        <x:v>快速配送</x:v>
      </x:c>
      <x:c r="H62" s="94" t="str">
        <x:v>桌面端</x:v>
      </x:c>
      <x:c r="I62" s="94" t="str">
        <x:v>CPC</x:v>
      </x:c>
      <x:c r="J62" s="95" t="n">
        <x:v>929</x:v>
      </x:c>
      <x:c r="K62" s="96" t="n">
        <x:f>IFERROR(L62/J62,0)</x:f>
        <x:v>0.04520990312163617</x:v>
      </x:c>
      <x:c r="L62" s="95" t="n">
        <x:v>42</x:v>
      </x:c>
      <x:c r="M62" s="97" t="n">
        <x:v>0.2184</x:v>
      </x:c>
      <x:c r="N62" s="97" t="n">
        <x:f>ROUND(L62*M62,2)</x:f>
        <x:v>9.17</x:v>
      </x:c>
      <x:c r="O62" s="94" t="n">
        <x:v>8</x:v>
      </x:c>
      <x:c r="P62" s="94" t="str">
        <x:v>模拟：Google/Microsoft Ads采购导入</x:v>
      </x:c>
    </x:row>
    <x:row r="63">
      <x:c r="A63" s="92" t="str">
        <x:v>PROC-0062</x:v>
      </x:c>
      <x:c r="B63" s="93" t="n">
        <x:v>46034</x:v>
      </x:c>
      <x:c r="C63" s="94" t="str">
        <x:v>Google Ads</x:v>
      </x:c>
      <x:c r="D63" s="94" t="str">
        <x:v>英国</x:v>
      </x:c>
      <x:c r="E63" s="94" t="str">
        <x:v>GGL-C22</x:v>
      </x:c>
      <x:c r="F63" s="94" t="str">
        <x:v>通用搜索</x:v>
      </x:c>
      <x:c r="G63" s="94" t="str">
        <x:v>专业精选</x:v>
      </x:c>
      <x:c r="H63" s="94" t="str">
        <x:v>移动端</x:v>
      </x:c>
      <x:c r="I63" s="94" t="str">
        <x:v>CPC</x:v>
      </x:c>
      <x:c r="J63" s="95" t="n">
        <x:v>923</x:v>
      </x:c>
      <x:c r="K63" s="96" t="n">
        <x:f>IFERROR(L63/J63,0)</x:f>
        <x:v>0.0314192849404117</x:v>
      </x:c>
      <x:c r="L63" s="95" t="n">
        <x:v>29</x:v>
      </x:c>
      <x:c r="M63" s="97" t="n">
        <x:v>0.3576</x:v>
      </x:c>
      <x:c r="N63" s="97" t="n">
        <x:f>ROUND(L63*M63,2)</x:f>
        <x:v>10.37</x:v>
      </x:c>
      <x:c r="O63" s="94" t="n">
        <x:v>6</x:v>
      </x:c>
      <x:c r="P63" s="94" t="str">
        <x:v>模拟：Google/Microsoft Ads采购导入</x:v>
      </x:c>
    </x:row>
    <x:row r="64">
      <x:c r="A64" s="92" t="str">
        <x:v>PROC-0063</x:v>
      </x:c>
      <x:c r="B64" s="93" t="n">
        <x:v>46034</x:v>
      </x:c>
      <x:c r="C64" s="94" t="str">
        <x:v>Google Ads</x:v>
      </x:c>
      <x:c r="D64" s="94" t="str">
        <x:v>美国</x:v>
      </x:c>
      <x:c r="E64" s="94" t="str">
        <x:v>GGL-C04</x:v>
      </x:c>
      <x:c r="F64" s="94" t="str">
        <x:v>通用搜索</x:v>
      </x:c>
      <x:c r="G64" s="94" t="str">
        <x:v>高性价比商品</x:v>
      </x:c>
      <x:c r="H64" s="94" t="str">
        <x:v>移动端</x:v>
      </x:c>
      <x:c r="I64" s="94" t="str">
        <x:v>CPC</x:v>
      </x:c>
      <x:c r="J64" s="95" t="n">
        <x:v>844</x:v>
      </x:c>
      <x:c r="K64" s="96" t="n">
        <x:f>IFERROR(L64/J64,0)</x:f>
        <x:v>0.03672985781990521</x:v>
      </x:c>
      <x:c r="L64" s="95" t="n">
        <x:v>31</x:v>
      </x:c>
      <x:c r="M64" s="97" t="n">
        <x:v>0.3144</x:v>
      </x:c>
      <x:c r="N64" s="97" t="n">
        <x:f>ROUND(L64*M64,2)</x:f>
        <x:v>9.75</x:v>
      </x:c>
      <x:c r="O64" s="94" t="n">
        <x:v>7</x:v>
      </x:c>
      <x:c r="P64" s="94" t="str">
        <x:v>模拟：Google/Microsoft Ads采购导入</x:v>
      </x:c>
    </x:row>
    <x:row r="65">
      <x:c r="A65" s="92" t="str">
        <x:v>PROC-0064</x:v>
      </x:c>
      <x:c r="B65" s="93" t="n">
        <x:v>46034</x:v>
      </x:c>
      <x:c r="C65" s="94" t="str">
        <x:v>Google Ads</x:v>
      </x:c>
      <x:c r="D65" s="94" t="str">
        <x:v>美国</x:v>
      </x:c>
      <x:c r="E65" s="94" t="str">
        <x:v>GGL-C14</x:v>
      </x:c>
      <x:c r="F65" s="94" t="str">
        <x:v>通用搜索</x:v>
      </x:c>
      <x:c r="G65" s="94" t="str">
        <x:v>家庭必备</x:v>
      </x:c>
      <x:c r="H65" s="94" t="str">
        <x:v>移动端</x:v>
      </x:c>
      <x:c r="I65" s="94" t="str">
        <x:v>CPC</x:v>
      </x:c>
      <x:c r="J65" s="95" t="n">
        <x:v>920</x:v>
      </x:c>
      <x:c r="K65" s="96" t="n">
        <x:f>IFERROR(L65/J65,0)</x:f>
        <x:v>0.03260869565217391</x:v>
      </x:c>
      <x:c r="L65" s="95" t="n">
        <x:v>30</x:v>
      </x:c>
      <x:c r="M65" s="97" t="n">
        <x:v>0.3574</x:v>
      </x:c>
      <x:c r="N65" s="97" t="n">
        <x:f>ROUND(L65*M65,2)</x:f>
        <x:v>10.72</x:v>
      </x:c>
      <x:c r="O65" s="94" t="n">
        <x:v>7</x:v>
      </x:c>
      <x:c r="P65" s="94" t="str">
        <x:v>模拟：Google/Microsoft Ads采购导入</x:v>
      </x:c>
    </x:row>
    <x:row r="66">
      <x:c r="A66" s="92" t="str">
        <x:v>PROC-0065</x:v>
      </x:c>
      <x:c r="B66" s="93" t="n">
        <x:v>46034</x:v>
      </x:c>
      <x:c r="C66" s="94" t="str">
        <x:v>Microsoft Ads</x:v>
      </x:c>
      <x:c r="D66" s="94" t="str">
        <x:v>英国</x:v>
      </x:c>
      <x:c r="E66" s="94" t="str">
        <x:v>MSA-C20</x:v>
      </x:c>
      <x:c r="F66" s="94" t="str">
        <x:v>通用搜索</x:v>
      </x:c>
      <x:c r="G66" s="94" t="str">
        <x:v>专业精选</x:v>
      </x:c>
      <x:c r="H66" s="94" t="str">
        <x:v>移动端</x:v>
      </x:c>
      <x:c r="I66" s="94" t="str">
        <x:v>CPC</x:v>
      </x:c>
      <x:c r="J66" s="95" t="n">
        <x:v>1364</x:v>
      </x:c>
      <x:c r="K66" s="96" t="n">
        <x:f>IFERROR(L66/J66,0)</x:f>
        <x:v>0.0344574780058651</x:v>
      </x:c>
      <x:c r="L66" s="95" t="n">
        <x:v>47</x:v>
      </x:c>
      <x:c r="M66" s="97" t="n">
        <x:v>0.2382</x:v>
      </x:c>
      <x:c r="N66" s="97" t="n">
        <x:f>ROUND(L66*M66,2)</x:f>
        <x:v>11.2</x:v>
      </x:c>
      <x:c r="O66" s="94" t="n">
        <x:v>8</x:v>
      </x:c>
      <x:c r="P66" s="94" t="str">
        <x:v>模拟：Google/Microsoft Ads采购导入</x:v>
      </x:c>
    </x:row>
    <x:row r="67">
      <x:c r="A67" s="92" t="str">
        <x:v>PROC-0066</x:v>
      </x:c>
      <x:c r="B67" s="93" t="n">
        <x:v>46034</x:v>
      </x:c>
      <x:c r="C67" s="94" t="str">
        <x:v>Google Ads</x:v>
      </x:c>
      <x:c r="D67" s="94" t="str">
        <x:v>日本</x:v>
      </x:c>
      <x:c r="E67" s="94" t="str">
        <x:v>GGL-C04</x:v>
      </x:c>
      <x:c r="F67" s="94" t="str">
        <x:v>购物广告</x:v>
      </x:c>
      <x:c r="G67" s="94" t="str">
        <x:v>高评分商品</x:v>
      </x:c>
      <x:c r="H67" s="94" t="str">
        <x:v>桌面端</x:v>
      </x:c>
      <x:c r="I67" s="94" t="str">
        <x:v>CPC</x:v>
      </x:c>
      <x:c r="J67" s="95" t="n">
        <x:v>809</x:v>
      </x:c>
      <x:c r="K67" s="96" t="n">
        <x:f>IFERROR(L67/J67,0)</x:f>
        <x:v>0.034610630407911</x:v>
      </x:c>
      <x:c r="L67" s="95" t="n">
        <x:v>28</x:v>
      </x:c>
      <x:c r="M67" s="97" t="n">
        <x:v>0.3267</x:v>
      </x:c>
      <x:c r="N67" s="97" t="n">
        <x:f>ROUND(L67*M67,2)</x:f>
        <x:v>9.15</x:v>
      </x:c>
      <x:c r="O67" s="94" t="n">
        <x:v>7</x:v>
      </x:c>
      <x:c r="P67" s="94" t="str">
        <x:v>模拟：Google/Microsoft Ads采购导入</x:v>
      </x:c>
    </x:row>
    <x:row r="68">
      <x:c r="A68" s="92" t="str">
        <x:v>PROC-0067</x:v>
      </x:c>
      <x:c r="B68" s="93" t="n">
        <x:v>46034</x:v>
      </x:c>
      <x:c r="C68" s="94" t="str">
        <x:v>Google Ads</x:v>
      </x:c>
      <x:c r="D68" s="94" t="str">
        <x:v>美国</x:v>
      </x:c>
      <x:c r="E68" s="94" t="str">
        <x:v>GGL-C08</x:v>
      </x:c>
      <x:c r="F68" s="94" t="str">
        <x:v>通用搜索</x:v>
      </x:c>
      <x:c r="G68" s="94" t="str">
        <x:v>家庭必备</x:v>
      </x:c>
      <x:c r="H68" s="94" t="str">
        <x:v>移动端</x:v>
      </x:c>
      <x:c r="I68" s="94" t="str">
        <x:v>CPC</x:v>
      </x:c>
      <x:c r="J68" s="95" t="n">
        <x:v>1478</x:v>
      </x:c>
      <x:c r="K68" s="96" t="n">
        <x:f>IFERROR(L68/J68,0)</x:f>
        <x:v>0.03112313937753721</x:v>
      </x:c>
      <x:c r="L68" s="95" t="n">
        <x:v>46</x:v>
      </x:c>
      <x:c r="M68" s="97" t="n">
        <x:v>0.3505</x:v>
      </x:c>
      <x:c r="N68" s="97" t="n">
        <x:f>ROUND(L68*M68,2)</x:f>
        <x:v>16.12</x:v>
      </x:c>
      <x:c r="O68" s="94" t="n">
        <x:v>7</x:v>
      </x:c>
      <x:c r="P68" s="94" t="str">
        <x:v>模拟：Google/Microsoft Ads采购导入</x:v>
      </x:c>
    </x:row>
    <x:row r="69">
      <x:c r="A69" s="92" t="str">
        <x:v>PROC-0068</x:v>
      </x:c>
      <x:c r="B69" s="93" t="n">
        <x:v>46035</x:v>
      </x:c>
      <x:c r="C69" s="94" t="str">
        <x:v>Google Ads</x:v>
      </x:c>
      <x:c r="D69" s="94" t="str">
        <x:v>美国</x:v>
      </x:c>
      <x:c r="E69" s="94" t="str">
        <x:v>GGL-C18</x:v>
      </x:c>
      <x:c r="F69" s="94" t="str">
        <x:v>竞品搜索</x:v>
      </x:c>
      <x:c r="G69" s="94" t="str">
        <x:v>更优选择</x:v>
      </x:c>
      <x:c r="H69" s="94" t="str">
        <x:v>移动端</x:v>
      </x:c>
      <x:c r="I69" s="94" t="str">
        <x:v>CPC</x:v>
      </x:c>
      <x:c r="J69" s="95" t="n">
        <x:v>1140</x:v>
      </x:c>
      <x:c r="K69" s="96" t="n">
        <x:f>IFERROR(L69/J69,0)</x:f>
        <x:v>0.031578947368421054</x:v>
      </x:c>
      <x:c r="L69" s="95" t="n">
        <x:v>36</x:v>
      </x:c>
      <x:c r="M69" s="97" t="n">
        <x:v>0.3986</x:v>
      </x:c>
      <x:c r="N69" s="97" t="n">
        <x:f>ROUND(L69*M69,2)</x:f>
        <x:v>14.35</x:v>
      </x:c>
      <x:c r="O69" s="94" t="n">
        <x:v>9</x:v>
      </x:c>
      <x:c r="P69" s="94" t="str">
        <x:v>模拟：Google/Microsoft Ads采购导入</x:v>
      </x:c>
    </x:row>
    <x:row r="70">
      <x:c r="A70" s="92" t="str">
        <x:v>PROC-0069</x:v>
      </x:c>
      <x:c r="B70" s="93" t="n">
        <x:v>46035</x:v>
      </x:c>
      <x:c r="C70" s="94" t="str">
        <x:v>Google Ads</x:v>
      </x:c>
      <x:c r="D70" s="94" t="str">
        <x:v>美国</x:v>
      </x:c>
      <x:c r="E70" s="94" t="str">
        <x:v>GGL-C23</x:v>
      </x:c>
      <x:c r="F70" s="94" t="str">
        <x:v>购物广告</x:v>
      </x:c>
      <x:c r="G70" s="94" t="str">
        <x:v>高评分商品</x:v>
      </x:c>
      <x:c r="H70" s="94" t="str">
        <x:v>移动端</x:v>
      </x:c>
      <x:c r="I70" s="94" t="str">
        <x:v>CPC</x:v>
      </x:c>
      <x:c r="J70" s="95" t="n">
        <x:v>1529</x:v>
      </x:c>
      <x:c r="K70" s="96" t="n">
        <x:f>IFERROR(L70/J70,0)</x:f>
        <x:v>0.041203400915631135</x:v>
      </x:c>
      <x:c r="L70" s="95" t="n">
        <x:v>63</x:v>
      </x:c>
      <x:c r="M70" s="97" t="n">
        <x:v>0.4338</x:v>
      </x:c>
      <x:c r="N70" s="97" t="n">
        <x:f>ROUND(L70*M70,2)</x:f>
        <x:v>27.33</x:v>
      </x:c>
      <x:c r="O70" s="94" t="n">
        <x:v>6</x:v>
      </x:c>
      <x:c r="P70" s="94" t="str">
        <x:v>模拟：Google/Microsoft Ads采购导入</x:v>
      </x:c>
    </x:row>
    <x:row r="71">
      <x:c r="A71" s="92" t="str">
        <x:v>PROC-0070</x:v>
      </x:c>
      <x:c r="B71" s="93" t="n">
        <x:v>46035</x:v>
      </x:c>
      <x:c r="C71" s="94" t="str">
        <x:v>Google Ads</x:v>
      </x:c>
      <x:c r="D71" s="94" t="str">
        <x:v>美国</x:v>
      </x:c>
      <x:c r="E71" s="94" t="str">
        <x:v>GGL-C05</x:v>
      </x:c>
      <x:c r="F71" s="94" t="str">
        <x:v>通用搜索</x:v>
      </x:c>
      <x:c r="G71" s="94" t="str">
        <x:v>高性价比商品</x:v>
      </x:c>
      <x:c r="H71" s="94" t="str">
        <x:v>移动端</x:v>
      </x:c>
      <x:c r="I71" s="94" t="str">
        <x:v>CPC</x:v>
      </x:c>
      <x:c r="J71" s="95" t="n">
        <x:v>1416</x:v>
      </x:c>
      <x:c r="K71" s="96" t="n">
        <x:f>IFERROR(L71/J71,0)</x:f>
        <x:v>0.03954802259887006</x:v>
      </x:c>
      <x:c r="L71" s="95" t="n">
        <x:v>56</x:v>
      </x:c>
      <x:c r="M71" s="97" t="n">
        <x:v>0.352</x:v>
      </x:c>
      <x:c r="N71" s="97" t="n">
        <x:f>ROUND(L71*M71,2)</x:f>
        <x:v>19.71</x:v>
      </x:c>
      <x:c r="O71" s="94" t="n">
        <x:v>6</x:v>
      </x:c>
      <x:c r="P71" s="94" t="str">
        <x:v>模拟：Google/Microsoft Ads采购导入</x:v>
      </x:c>
    </x:row>
    <x:row r="72">
      <x:c r="A72" s="92" t="str">
        <x:v>PROC-0071</x:v>
      </x:c>
      <x:c r="B72" s="93" t="n">
        <x:v>46035</x:v>
      </x:c>
      <x:c r="C72" s="94" t="str">
        <x:v>Microsoft Ads</x:v>
      </x:c>
      <x:c r="D72" s="94" t="str">
        <x:v>美国</x:v>
      </x:c>
      <x:c r="E72" s="94" t="str">
        <x:v>MSA-C13</x:v>
      </x:c>
      <x:c r="F72" s="94" t="str">
        <x:v>竞品搜索</x:v>
      </x:c>
      <x:c r="G72" s="94" t="str">
        <x:v>更优选择</x:v>
      </x:c>
      <x:c r="H72" s="94" t="str">
        <x:v>移动端</x:v>
      </x:c>
      <x:c r="I72" s="94" t="str">
        <x:v>CPC</x:v>
      </x:c>
      <x:c r="J72" s="95" t="n">
        <x:v>1171</x:v>
      </x:c>
      <x:c r="K72" s="96" t="n">
        <x:f>IFERROR(L72/J72,0)</x:f>
        <x:v>0.037574722459436376</x:v>
      </x:c>
      <x:c r="L72" s="95" t="n">
        <x:v>44</x:v>
      </x:c>
      <x:c r="M72" s="97" t="n">
        <x:v>0.282</x:v>
      </x:c>
      <x:c r="N72" s="97" t="n">
        <x:f>ROUND(L72*M72,2)</x:f>
        <x:v>12.41</x:v>
      </x:c>
      <x:c r="O72" s="94" t="n">
        <x:v>8</x:v>
      </x:c>
      <x:c r="P72" s="94" t="str">
        <x:v>模拟：Google/Microsoft Ads采购导入</x:v>
      </x:c>
    </x:row>
    <x:row r="73">
      <x:c r="A73" s="92" t="str">
        <x:v>PROC-0072</x:v>
      </x:c>
      <x:c r="B73" s="93" t="n">
        <x:v>46035</x:v>
      </x:c>
      <x:c r="C73" s="94" t="str">
        <x:v>Google Ads</x:v>
      </x:c>
      <x:c r="D73" s="94" t="str">
        <x:v>美国</x:v>
      </x:c>
      <x:c r="E73" s="94" t="str">
        <x:v>GGL-C19</x:v>
      </x:c>
      <x:c r="F73" s="94" t="str">
        <x:v>通用搜索</x:v>
      </x:c>
      <x:c r="G73" s="94" t="str">
        <x:v>高性价比商品</x:v>
      </x:c>
      <x:c r="H73" s="94" t="str">
        <x:v>桌面端</x:v>
      </x:c>
      <x:c r="I73" s="94" t="str">
        <x:v>CPC</x:v>
      </x:c>
      <x:c r="J73" s="95" t="n">
        <x:v>1325</x:v>
      </x:c>
      <x:c r="K73" s="96" t="n">
        <x:f>IFERROR(L73/J73,0)</x:f>
        <x:v>0.033962264150943396</x:v>
      </x:c>
      <x:c r="L73" s="95" t="n">
        <x:v>45</x:v>
      </x:c>
      <x:c r="M73" s="97" t="n">
        <x:v>0.2898</x:v>
      </x:c>
      <x:c r="N73" s="97" t="n">
        <x:f>ROUND(L73*M73,2)</x:f>
        <x:v>13.04</x:v>
      </x:c>
      <x:c r="O73" s="94" t="n">
        <x:v>7</x:v>
      </x:c>
      <x:c r="P73" s="94" t="str">
        <x:v>模拟：Google/Microsoft Ads采购导入</x:v>
      </x:c>
    </x:row>
    <x:row r="74">
      <x:c r="A74" s="92" t="str">
        <x:v>PROC-0073</x:v>
      </x:c>
      <x:c r="B74" s="93" t="n">
        <x:v>46036</x:v>
      </x:c>
      <x:c r="C74" s="94" t="str">
        <x:v>Google Ads</x:v>
      </x:c>
      <x:c r="D74" s="94" t="str">
        <x:v>美国</x:v>
      </x:c>
      <x:c r="E74" s="94" t="str">
        <x:v>GGL-C05</x:v>
      </x:c>
      <x:c r="F74" s="94" t="str">
        <x:v>购物广告</x:v>
      </x:c>
      <x:c r="G74" s="94" t="str">
        <x:v>价格比较</x:v>
      </x:c>
      <x:c r="H74" s="94" t="str">
        <x:v>移动端</x:v>
      </x:c>
      <x:c r="I74" s="94" t="str">
        <x:v>CPC</x:v>
      </x:c>
      <x:c r="J74" s="95" t="n">
        <x:v>988</x:v>
      </x:c>
      <x:c r="K74" s="96" t="n">
        <x:f>IFERROR(L74/J74,0)</x:f>
        <x:v>0.04554655870445344</x:v>
      </x:c>
      <x:c r="L74" s="95" t="n">
        <x:v>45</x:v>
      </x:c>
      <x:c r="M74" s="97" t="n">
        <x:v>0.3053</x:v>
      </x:c>
      <x:c r="N74" s="97" t="n">
        <x:f>ROUND(L74*M74,2)</x:f>
        <x:v>13.74</x:v>
      </x:c>
      <x:c r="O74" s="94" t="n">
        <x:v>7</x:v>
      </x:c>
      <x:c r="P74" s="94" t="str">
        <x:v>模拟：Google/Microsoft Ads采购导入</x:v>
      </x:c>
    </x:row>
    <x:row r="75">
      <x:c r="A75" s="92" t="str">
        <x:v>PROC-0074</x:v>
      </x:c>
      <x:c r="B75" s="93" t="n">
        <x:v>46036</x:v>
      </x:c>
      <x:c r="C75" s="94" t="str">
        <x:v>Microsoft Ads</x:v>
      </x:c>
      <x:c r="D75" s="94" t="str">
        <x:v>英国</x:v>
      </x:c>
      <x:c r="E75" s="94" t="str">
        <x:v>MSA-C11</x:v>
      </x:c>
      <x:c r="F75" s="94" t="str">
        <x:v>购物广告</x:v>
      </x:c>
      <x:c r="G75" s="94" t="str">
        <x:v>畅销商品</x:v>
      </x:c>
      <x:c r="H75" s="94" t="str">
        <x:v>移动端</x:v>
      </x:c>
      <x:c r="I75" s="94" t="str">
        <x:v>CPC</x:v>
      </x:c>
      <x:c r="J75" s="95" t="n">
        <x:v>1695</x:v>
      </x:c>
      <x:c r="K75" s="96" t="n">
        <x:f>IFERROR(L75/J75,0)</x:f>
        <x:v>0.03775811209439528</x:v>
      </x:c>
      <x:c r="L75" s="95" t="n">
        <x:v>64</x:v>
      </x:c>
      <x:c r="M75" s="97" t="n">
        <x:v>0.3008</x:v>
      </x:c>
      <x:c r="N75" s="97" t="n">
        <x:f>ROUND(L75*M75,2)</x:f>
        <x:v>19.25</x:v>
      </x:c>
      <x:c r="O75" s="94" t="n">
        <x:v>8</x:v>
      </x:c>
      <x:c r="P75" s="94" t="str">
        <x:v>模拟：Google/Microsoft Ads采购导入</x:v>
      </x:c>
    </x:row>
    <x:row r="76">
      <x:c r="A76" s="92" t="str">
        <x:v>PROC-0075</x:v>
      </x:c>
      <x:c r="B76" s="93" t="n">
        <x:v>46036</x:v>
      </x:c>
      <x:c r="C76" s="94" t="str">
        <x:v>Google Ads</x:v>
      </x:c>
      <x:c r="D76" s="94" t="str">
        <x:v>日本</x:v>
      </x:c>
      <x:c r="E76" s="94" t="str">
        <x:v>GGL-C18</x:v>
      </x:c>
      <x:c r="F76" s="94" t="str">
        <x:v>通用搜索</x:v>
      </x:c>
      <x:c r="G76" s="94" t="str">
        <x:v>专业精选</x:v>
      </x:c>
      <x:c r="H76" s="94" t="str">
        <x:v>平板</x:v>
      </x:c>
      <x:c r="I76" s="94" t="str">
        <x:v>CPC</x:v>
      </x:c>
      <x:c r="J76" s="95" t="n">
        <x:v>1029</x:v>
      </x:c>
      <x:c r="K76" s="96" t="n">
        <x:f>IFERROR(L76/J76,0)</x:f>
        <x:v>0.03304178814382896</x:v>
      </x:c>
      <x:c r="L76" s="95" t="n">
        <x:v>34</x:v>
      </x:c>
      <x:c r="M76" s="97" t="n">
        <x:v>0.2652</x:v>
      </x:c>
      <x:c r="N76" s="97" t="n">
        <x:f>ROUND(L76*M76,2)</x:f>
        <x:v>9.02</x:v>
      </x:c>
      <x:c r="O76" s="94" t="n">
        <x:v>9</x:v>
      </x:c>
      <x:c r="P76" s="94" t="str">
        <x:v>模拟：Google/Microsoft Ads采购导入</x:v>
      </x:c>
    </x:row>
    <x:row r="77">
      <x:c r="A77" s="92" t="str">
        <x:v>PROC-0076</x:v>
      </x:c>
      <x:c r="B77" s="93" t="n">
        <x:v>46036</x:v>
      </x:c>
      <x:c r="C77" s="94" t="str">
        <x:v>Google Ads</x:v>
      </x:c>
      <x:c r="D77" s="94" t="str">
        <x:v>英国</x:v>
      </x:c>
      <x:c r="E77" s="94" t="str">
        <x:v>GGL-C23</x:v>
      </x:c>
      <x:c r="F77" s="94" t="str">
        <x:v>通用搜索</x:v>
      </x:c>
      <x:c r="G77" s="94" t="str">
        <x:v>家庭必备</x:v>
      </x:c>
      <x:c r="H77" s="94" t="str">
        <x:v>移动端</x:v>
      </x:c>
      <x:c r="I77" s="94" t="str">
        <x:v>CPC</x:v>
      </x:c>
      <x:c r="J77" s="95" t="n">
        <x:v>914</x:v>
      </x:c>
      <x:c r="K77" s="96" t="n">
        <x:f>IFERROR(L77/J77,0)</x:f>
        <x:v>0.037199124726477024</x:v>
      </x:c>
      <x:c r="L77" s="95" t="n">
        <x:v>34</x:v>
      </x:c>
      <x:c r="M77" s="97" t="n">
        <x:v>0.2821</x:v>
      </x:c>
      <x:c r="N77" s="97" t="n">
        <x:f>ROUND(L77*M77,2)</x:f>
        <x:v>9.59</x:v>
      </x:c>
      <x:c r="O77" s="94" t="n">
        <x:v>9</x:v>
      </x:c>
      <x:c r="P77" s="94" t="str">
        <x:v>模拟：Google/Microsoft Ads采购导入</x:v>
      </x:c>
    </x:row>
    <x:row r="78">
      <x:c r="A78" s="92" t="str">
        <x:v>PROC-0077</x:v>
      </x:c>
      <x:c r="B78" s="93" t="n">
        <x:v>46036</x:v>
      </x:c>
      <x:c r="C78" s="94" t="str">
        <x:v>Microsoft Ads</x:v>
      </x:c>
      <x:c r="D78" s="94" t="str">
        <x:v>美国</x:v>
      </x:c>
      <x:c r="E78" s="94" t="str">
        <x:v>MSA-C07</x:v>
      </x:c>
      <x:c r="F78" s="94" t="str">
        <x:v>竞品搜索</x:v>
      </x:c>
      <x:c r="G78" s="94" t="str">
        <x:v>更优选择</x:v>
      </x:c>
      <x:c r="H78" s="94" t="str">
        <x:v>移动端</x:v>
      </x:c>
      <x:c r="I78" s="94" t="str">
        <x:v>CPC</x:v>
      </x:c>
      <x:c r="J78" s="95" t="n">
        <x:v>1009</x:v>
      </x:c>
      <x:c r="K78" s="96" t="n">
        <x:f>IFERROR(L78/J78,0)</x:f>
        <x:v>0.03270564915758176</x:v>
      </x:c>
      <x:c r="L78" s="95" t="n">
        <x:v>33</x:v>
      </x:c>
      <x:c r="M78" s="97" t="n">
        <x:v>0.3111</x:v>
      </x:c>
      <x:c r="N78" s="97" t="n">
        <x:f>ROUND(L78*M78,2)</x:f>
        <x:v>10.27</x:v>
      </x:c>
      <x:c r="O78" s="94" t="n">
        <x:v>6</x:v>
      </x:c>
      <x:c r="P78" s="94" t="str">
        <x:v>模拟：Google/Microsoft Ads采购导入</x:v>
      </x:c>
    </x:row>
    <x:row r="79">
      <x:c r="A79" s="92" t="str">
        <x:v>PROC-0078</x:v>
      </x:c>
      <x:c r="B79" s="93" t="n">
        <x:v>46036</x:v>
      </x:c>
      <x:c r="C79" s="94" t="str">
        <x:v>Microsoft Ads</x:v>
      </x:c>
      <x:c r="D79" s="94" t="str">
        <x:v>英国</x:v>
      </x:c>
      <x:c r="E79" s="94" t="str">
        <x:v>MSA-C15</x:v>
      </x:c>
      <x:c r="F79" s="94" t="str">
        <x:v>购物广告</x:v>
      </x:c>
      <x:c r="G79" s="94" t="str">
        <x:v>价格比较</x:v>
      </x:c>
      <x:c r="H79" s="94" t="str">
        <x:v>移动端</x:v>
      </x:c>
      <x:c r="I79" s="94" t="str">
        <x:v>CPC</x:v>
      </x:c>
      <x:c r="J79" s="95" t="n">
        <x:v>973</x:v>
      </x:c>
      <x:c r="K79" s="96" t="n">
        <x:f>IFERROR(L79/J79,0)</x:f>
        <x:v>0.0421377183967112</x:v>
      </x:c>
      <x:c r="L79" s="95" t="n">
        <x:v>41</x:v>
      </x:c>
      <x:c r="M79" s="97" t="n">
        <x:v>0.3014</x:v>
      </x:c>
      <x:c r="N79" s="97" t="n">
        <x:f>ROUND(L79*M79,2)</x:f>
        <x:v>12.36</x:v>
      </x:c>
      <x:c r="O79" s="94" t="n">
        <x:v>7</x:v>
      </x:c>
      <x:c r="P79" s="94" t="str">
        <x:v>模拟：Google/Microsoft Ads采购导入</x:v>
      </x:c>
    </x:row>
    <x:row r="80">
      <x:c r="A80" s="92" t="str">
        <x:v>PROC-0079</x:v>
      </x:c>
      <x:c r="B80" s="93" t="n">
        <x:v>46037</x:v>
      </x:c>
      <x:c r="C80" s="94" t="str">
        <x:v>Google Ads</x:v>
      </x:c>
      <x:c r="D80" s="94" t="str">
        <x:v>美国</x:v>
      </x:c>
      <x:c r="E80" s="94" t="str">
        <x:v>GGL-C19</x:v>
      </x:c>
      <x:c r="F80" s="94" t="str">
        <x:v>竞品搜索</x:v>
      </x:c>
      <x:c r="G80" s="94" t="str">
        <x:v>替代品比较</x:v>
      </x:c>
      <x:c r="H80" s="94" t="str">
        <x:v>桌面端</x:v>
      </x:c>
      <x:c r="I80" s="94" t="str">
        <x:v>CPC</x:v>
      </x:c>
      <x:c r="J80" s="95" t="n">
        <x:v>838</x:v>
      </x:c>
      <x:c r="K80" s="96" t="n">
        <x:f>IFERROR(L80/J80,0)</x:f>
        <x:v>0.029832935560859187</x:v>
      </x:c>
      <x:c r="L80" s="95" t="n">
        <x:v>25</x:v>
      </x:c>
      <x:c r="M80" s="97" t="n">
        <x:v>0.4901</x:v>
      </x:c>
      <x:c r="N80" s="97" t="n">
        <x:f>ROUND(L80*M80,2)</x:f>
        <x:v>12.25</x:v>
      </x:c>
      <x:c r="O80" s="94" t="n">
        <x:v>7</x:v>
      </x:c>
      <x:c r="P80" s="94" t="str">
        <x:v>模拟：Google/Microsoft Ads采购导入</x:v>
      </x:c>
    </x:row>
    <x:row r="81">
      <x:c r="A81" s="92" t="str">
        <x:v>PROC-0080</x:v>
      </x:c>
      <x:c r="B81" s="93" t="n">
        <x:v>46037</x:v>
      </x:c>
      <x:c r="C81" s="94" t="str">
        <x:v>Google Ads</x:v>
      </x:c>
      <x:c r="D81" s="94" t="str">
        <x:v>英国</x:v>
      </x:c>
      <x:c r="E81" s="94" t="str">
        <x:v>GGL-C05</x:v>
      </x:c>
      <x:c r="F81" s="94" t="str">
        <x:v>购物广告</x:v>
      </x:c>
      <x:c r="G81" s="94" t="str">
        <x:v>畅销商品</x:v>
      </x:c>
      <x:c r="H81" s="94" t="str">
        <x:v>桌面端</x:v>
      </x:c>
      <x:c r="I81" s="94" t="str">
        <x:v>CPC</x:v>
      </x:c>
      <x:c r="J81" s="95" t="n">
        <x:v>1323</x:v>
      </x:c>
      <x:c r="K81" s="96" t="n">
        <x:f>IFERROR(L81/J81,0)</x:f>
        <x:v>0.03779289493575208</x:v>
      </x:c>
      <x:c r="L81" s="95" t="n">
        <x:v>50</x:v>
      </x:c>
      <x:c r="M81" s="97" t="n">
        <x:v>0.3438</x:v>
      </x:c>
      <x:c r="N81" s="97" t="n">
        <x:f>ROUND(L81*M81,2)</x:f>
        <x:v>17.19</x:v>
      </x:c>
      <x:c r="O81" s="94" t="n">
        <x:v>6</x:v>
      </x:c>
      <x:c r="P81" s="94" t="str">
        <x:v>模拟：Google/Microsoft Ads采购导入</x:v>
      </x:c>
    </x:row>
    <x:row r="82">
      <x:c r="A82" s="92" t="str">
        <x:v>PROC-0081</x:v>
      </x:c>
      <x:c r="B82" s="93" t="n">
        <x:v>46037</x:v>
      </x:c>
      <x:c r="C82" s="94" t="str">
        <x:v>Microsoft Ads</x:v>
      </x:c>
      <x:c r="D82" s="94" t="str">
        <x:v>美国</x:v>
      </x:c>
      <x:c r="E82" s="94" t="str">
        <x:v>MSA-C11</x:v>
      </x:c>
      <x:c r="F82" s="94" t="str">
        <x:v>通用搜索</x:v>
      </x:c>
      <x:c r="G82" s="94" t="str">
        <x:v>专业精选</x:v>
      </x:c>
      <x:c r="H82" s="94" t="str">
        <x:v>移动端</x:v>
      </x:c>
      <x:c r="I82" s="94" t="str">
        <x:v>CPC</x:v>
      </x:c>
      <x:c r="J82" s="95" t="n">
        <x:v>1179</x:v>
      </x:c>
      <x:c r="K82" s="96" t="n">
        <x:f>IFERROR(L82/J82,0)</x:f>
        <x:v>0.0364715860899067</x:v>
      </x:c>
      <x:c r="L82" s="95" t="n">
        <x:v>43</x:v>
      </x:c>
      <x:c r="M82" s="97" t="n">
        <x:v>0.2218</x:v>
      </x:c>
      <x:c r="N82" s="97" t="n">
        <x:f>ROUND(L82*M82,2)</x:f>
        <x:v>9.54</x:v>
      </x:c>
      <x:c r="O82" s="94" t="n">
        <x:v>7</x:v>
      </x:c>
      <x:c r="P82" s="94" t="str">
        <x:v>模拟：Google/Microsoft Ads采购导入</x:v>
      </x:c>
    </x:row>
    <x:row r="83">
      <x:c r="A83" s="92" t="str">
        <x:v>PROC-0082</x:v>
      </x:c>
      <x:c r="B83" s="93" t="n">
        <x:v>46037</x:v>
      </x:c>
      <x:c r="C83" s="94" t="str">
        <x:v>Google Ads</x:v>
      </x:c>
      <x:c r="D83" s="94" t="str">
        <x:v>日本</x:v>
      </x:c>
      <x:c r="E83" s="94" t="str">
        <x:v>GGL-C18</x:v>
      </x:c>
      <x:c r="F83" s="94" t="str">
        <x:v>通用搜索</x:v>
      </x:c>
      <x:c r="G83" s="94" t="str">
        <x:v>家庭必备</x:v>
      </x:c>
      <x:c r="H83" s="94" t="str">
        <x:v>桌面端</x:v>
      </x:c>
      <x:c r="I83" s="94" t="str">
        <x:v>CPC</x:v>
      </x:c>
      <x:c r="J83" s="95" t="n">
        <x:v>1246</x:v>
      </x:c>
      <x:c r="K83" s="96" t="n">
        <x:f>IFERROR(L83/J83,0)</x:f>
        <x:v>0.03130016051364366</x:v>
      </x:c>
      <x:c r="L83" s="95" t="n">
        <x:v>39</x:v>
      </x:c>
      <x:c r="M83" s="97" t="n">
        <x:v>0.2726</x:v>
      </x:c>
      <x:c r="N83" s="97" t="n">
        <x:f>ROUND(L83*M83,2)</x:f>
        <x:v>10.63</x:v>
      </x:c>
      <x:c r="O83" s="94" t="n">
        <x:v>7</x:v>
      </x:c>
      <x:c r="P83" s="94" t="str">
        <x:v>模拟：Google/Microsoft Ads采购导入</x:v>
      </x:c>
    </x:row>
    <x:row r="84">
      <x:c r="A84" s="92" t="str">
        <x:v>PROC-0083</x:v>
      </x:c>
      <x:c r="B84" s="93" t="n">
        <x:v>46037</x:v>
      </x:c>
      <x:c r="C84" s="94" t="str">
        <x:v>Google Ads</x:v>
      </x:c>
      <x:c r="D84" s="94" t="str">
        <x:v>日本</x:v>
      </x:c>
      <x:c r="E84" s="94" t="str">
        <x:v>GGL-C01</x:v>
      </x:c>
      <x:c r="F84" s="94" t="str">
        <x:v>购物广告</x:v>
      </x:c>
      <x:c r="G84" s="94" t="str">
        <x:v>高评分商品</x:v>
      </x:c>
      <x:c r="H84" s="94" t="str">
        <x:v>移动端</x:v>
      </x:c>
      <x:c r="I84" s="94" t="str">
        <x:v>CPC</x:v>
      </x:c>
      <x:c r="J84" s="95" t="n">
        <x:v>1604</x:v>
      </x:c>
      <x:c r="K84" s="96" t="n">
        <x:f>IFERROR(L84/J84,0)</x:f>
        <x:v>0.03740648379052369</x:v>
      </x:c>
      <x:c r="L84" s="95" t="n">
        <x:v>60</x:v>
      </x:c>
      <x:c r="M84" s="97" t="n">
        <x:v>0.3306</x:v>
      </x:c>
      <x:c r="N84" s="97" t="n">
        <x:f>ROUND(L84*M84,2)</x:f>
        <x:v>19.84</x:v>
      </x:c>
      <x:c r="O84" s="94" t="n">
        <x:v>7</x:v>
      </x:c>
      <x:c r="P84" s="94" t="str">
        <x:v>模拟：Google/Microsoft Ads采购导入</x:v>
      </x:c>
    </x:row>
    <x:row r="85">
      <x:c r="A85" s="92" t="str">
        <x:v>PROC-0084</x:v>
      </x:c>
      <x:c r="B85" s="93" t="n">
        <x:v>46038</x:v>
      </x:c>
      <x:c r="C85" s="94" t="str">
        <x:v>Microsoft Ads</x:v>
      </x:c>
      <x:c r="D85" s="94" t="str">
        <x:v>日本</x:v>
      </x:c>
      <x:c r="E85" s="94" t="str">
        <x:v>MSA-C06</x:v>
      </x:c>
      <x:c r="F85" s="94" t="str">
        <x:v>通用搜索</x:v>
      </x:c>
      <x:c r="G85" s="94" t="str">
        <x:v>实用礼物</x:v>
      </x:c>
      <x:c r="H85" s="94" t="str">
        <x:v>移动端</x:v>
      </x:c>
      <x:c r="I85" s="94" t="str">
        <x:v>CPC</x:v>
      </x:c>
      <x:c r="J85" s="95" t="n">
        <x:v>1255</x:v>
      </x:c>
      <x:c r="K85" s="96" t="n">
        <x:f>IFERROR(L85/J85,0)</x:f>
        <x:v>0.031075697211155377</x:v>
      </x:c>
      <x:c r="L85" s="95" t="n">
        <x:v>39</x:v>
      </x:c>
      <x:c r="M85" s="97" t="n">
        <x:v>0.1972</x:v>
      </x:c>
      <x:c r="N85" s="97" t="n">
        <x:f>ROUND(L85*M85,2)</x:f>
        <x:v>7.69</x:v>
      </x:c>
      <x:c r="O85" s="94" t="n">
        <x:v>8</x:v>
      </x:c>
      <x:c r="P85" s="94" t="str">
        <x:v>模拟：Google/Microsoft Ads采购导入</x:v>
      </x:c>
    </x:row>
    <x:row r="86">
      <x:c r="A86" s="92" t="str">
        <x:v>PROC-0085</x:v>
      </x:c>
      <x:c r="B86" s="93" t="n">
        <x:v>46038</x:v>
      </x:c>
      <x:c r="C86" s="94" t="str">
        <x:v>Microsoft Ads</x:v>
      </x:c>
      <x:c r="D86" s="94" t="str">
        <x:v>德国</x:v>
      </x:c>
      <x:c r="E86" s="94" t="str">
        <x:v>MSA-C17</x:v>
      </x:c>
      <x:c r="F86" s="94" t="str">
        <x:v>品牌搜索</x:v>
      </x:c>
      <x:c r="G86" s="94" t="str">
        <x:v>品牌配件词</x:v>
      </x:c>
      <x:c r="H86" s="94" t="str">
        <x:v>桌面端</x:v>
      </x:c>
      <x:c r="I86" s="94" t="str">
        <x:v>CPC</x:v>
      </x:c>
      <x:c r="J86" s="95" t="n">
        <x:v>1148</x:v>
      </x:c>
      <x:c r="K86" s="96" t="n">
        <x:f>IFERROR(L86/J86,0)</x:f>
        <x:v>0.05574912891986063</x:v>
      </x:c>
      <x:c r="L86" s="95" t="n">
        <x:v>64</x:v>
      </x:c>
      <x:c r="M86" s="97" t="n">
        <x:v>0.1644</x:v>
      </x:c>
      <x:c r="N86" s="97" t="n">
        <x:f>ROUND(L86*M86,2)</x:f>
        <x:v>10.52</x:v>
      </x:c>
      <x:c r="O86" s="94" t="n">
        <x:v>8</x:v>
      </x:c>
      <x:c r="P86" s="94" t="str">
        <x:v>模拟：Google/Microsoft Ads采购导入</x:v>
      </x:c>
    </x:row>
    <x:row r="87">
      <x:c r="A87" s="92" t="str">
        <x:v>PROC-0086</x:v>
      </x:c>
      <x:c r="B87" s="93" t="n">
        <x:v>46038</x:v>
      </x:c>
      <x:c r="C87" s="94" t="str">
        <x:v>Google Ads</x:v>
      </x:c>
      <x:c r="D87" s="94" t="str">
        <x:v>日本</x:v>
      </x:c>
      <x:c r="E87" s="94" t="str">
        <x:v>GGL-C23</x:v>
      </x:c>
      <x:c r="F87" s="94" t="str">
        <x:v>竞品搜索</x:v>
      </x:c>
      <x:c r="G87" s="94" t="str">
        <x:v>替代品比较</x:v>
      </x:c>
      <x:c r="H87" s="94" t="str">
        <x:v>移动端</x:v>
      </x:c>
      <x:c r="I87" s="94" t="str">
        <x:v>CPC</x:v>
      </x:c>
      <x:c r="J87" s="95" t="n">
        <x:v>754</x:v>
      </x:c>
      <x:c r="K87" s="96" t="n">
        <x:f>IFERROR(L87/J87,0)</x:f>
        <x:v>0.027851458885941646</x:v>
      </x:c>
      <x:c r="L87" s="95" t="n">
        <x:v>21</x:v>
      </x:c>
      <x:c r="M87" s="97" t="n">
        <x:v>0.304</x:v>
      </x:c>
      <x:c r="N87" s="97" t="n">
        <x:f>ROUND(L87*M87,2)</x:f>
        <x:v>6.38</x:v>
      </x:c>
      <x:c r="O87" s="94" t="n">
        <x:v>9</x:v>
      </x:c>
      <x:c r="P87" s="94" t="str">
        <x:v>模拟：Google/Microsoft Ads采购导入</x:v>
      </x:c>
    </x:row>
    <x:row r="88">
      <x:c r="A88" s="92" t="str">
        <x:v>PROC-0087</x:v>
      </x:c>
      <x:c r="B88" s="93" t="n">
        <x:v>46038</x:v>
      </x:c>
      <x:c r="C88" s="94" t="str">
        <x:v>Google Ads</x:v>
      </x:c>
      <x:c r="D88" s="94" t="str">
        <x:v>日本</x:v>
      </x:c>
      <x:c r="E88" s="94" t="str">
        <x:v>GGL-C03</x:v>
      </x:c>
      <x:c r="F88" s="94" t="str">
        <x:v>品牌搜索</x:v>
      </x:c>
      <x:c r="G88" s="94" t="str">
        <x:v>品牌购买词</x:v>
      </x:c>
      <x:c r="H88" s="94" t="str">
        <x:v>移动端</x:v>
      </x:c>
      <x:c r="I88" s="94" t="str">
        <x:v>CPC</x:v>
      </x:c>
      <x:c r="J88" s="95" t="n">
        <x:v>1341</x:v>
      </x:c>
      <x:c r="K88" s="96" t="n">
        <x:f>IFERROR(L88/J88,0)</x:f>
        <x:v>0.054436987322893364</x:v>
      </x:c>
      <x:c r="L88" s="95" t="n">
        <x:v>73</x:v>
      </x:c>
      <x:c r="M88" s="97" t="n">
        <x:v>0.2202</x:v>
      </x:c>
      <x:c r="N88" s="97" t="n">
        <x:f>ROUND(L88*M88,2)</x:f>
        <x:v>16.07</x:v>
      </x:c>
      <x:c r="O88" s="94" t="n">
        <x:v>7</x:v>
      </x:c>
      <x:c r="P88" s="94" t="str">
        <x:v>模拟：Google/Microsoft Ads采购导入</x:v>
      </x:c>
    </x:row>
    <x:row r="89">
      <x:c r="A89" s="92" t="str">
        <x:v>PROC-0088</x:v>
      </x:c>
      <x:c r="B89" s="93" t="n">
        <x:v>46038</x:v>
      </x:c>
      <x:c r="C89" s="94" t="str">
        <x:v>Microsoft Ads</x:v>
      </x:c>
      <x:c r="D89" s="94" t="str">
        <x:v>日本</x:v>
      </x:c>
      <x:c r="E89" s="94" t="str">
        <x:v>MSA-C12</x:v>
      </x:c>
      <x:c r="F89" s="94" t="str">
        <x:v>购物广告</x:v>
      </x:c>
      <x:c r="G89" s="94" t="str">
        <x:v>价格比较</x:v>
      </x:c>
      <x:c r="H89" s="94" t="str">
        <x:v>移动端</x:v>
      </x:c>
      <x:c r="I89" s="94" t="str">
        <x:v>CPC</x:v>
      </x:c>
      <x:c r="J89" s="95" t="n">
        <x:v>1219</x:v>
      </x:c>
      <x:c r="K89" s="96" t="n">
        <x:f>IFERROR(L89/J89,0)</x:f>
        <x:v>0.034454470877768664</x:v>
      </x:c>
      <x:c r="L89" s="95" t="n">
        <x:v>42</x:v>
      </x:c>
      <x:c r="M89" s="97" t="n">
        <x:v>0.2507</x:v>
      </x:c>
      <x:c r="N89" s="97" t="n">
        <x:f>ROUND(L89*M89,2)</x:f>
        <x:v>10.53</x:v>
      </x:c>
      <x:c r="O89" s="94" t="n">
        <x:v>7</x:v>
      </x:c>
      <x:c r="P89" s="94" t="str">
        <x:v>模拟：Google/Microsoft Ads采购导入</x:v>
      </x:c>
    </x:row>
    <x:row r="90">
      <x:c r="A90" s="92" t="str">
        <x:v>PROC-0089</x:v>
      </x:c>
      <x:c r="B90" s="93" t="n">
        <x:v>46038</x:v>
      </x:c>
      <x:c r="C90" s="94" t="str">
        <x:v>Microsoft Ads</x:v>
      </x:c>
      <x:c r="D90" s="94" t="str">
        <x:v>英国</x:v>
      </x:c>
      <x:c r="E90" s="94" t="str">
        <x:v>MSA-C17</x:v>
      </x:c>
      <x:c r="F90" s="94" t="str">
        <x:v>通用搜索</x:v>
      </x:c>
      <x:c r="G90" s="94" t="str">
        <x:v>实用礼物</x:v>
      </x:c>
      <x:c r="H90" s="94" t="str">
        <x:v>移动端</x:v>
      </x:c>
      <x:c r="I90" s="94" t="str">
        <x:v>CPC</x:v>
      </x:c>
      <x:c r="J90" s="95" t="n">
        <x:v>718</x:v>
      </x:c>
      <x:c r="K90" s="96" t="n">
        <x:f>IFERROR(L90/J90,0)</x:f>
        <x:v>0.0403899721448468</x:v>
      </x:c>
      <x:c r="L90" s="95" t="n">
        <x:v>29</x:v>
      </x:c>
      <x:c r="M90" s="97" t="n">
        <x:v>0.2034</x:v>
      </x:c>
      <x:c r="N90" s="97" t="n">
        <x:f>ROUND(L90*M90,2)</x:f>
        <x:v>5.9</x:v>
      </x:c>
      <x:c r="O90" s="94" t="n">
        <x:v>8</x:v>
      </x:c>
      <x:c r="P90" s="94" t="str">
        <x:v>模拟：Google/Microsoft Ads采购导入</x:v>
      </x:c>
    </x:row>
    <x:row r="91">
      <x:c r="A91" s="92" t="str">
        <x:v>PROC-0090</x:v>
      </x:c>
      <x:c r="B91" s="93" t="n">
        <x:v>46039</x:v>
      </x:c>
      <x:c r="C91" s="94" t="str">
        <x:v>Microsoft Ads</x:v>
      </x:c>
      <x:c r="D91" s="94" t="str">
        <x:v>英国</x:v>
      </x:c>
      <x:c r="E91" s="94" t="str">
        <x:v>MSA-C03</x:v>
      </x:c>
      <x:c r="F91" s="94" t="str">
        <x:v>通用搜索</x:v>
      </x:c>
      <x:c r="G91" s="94" t="str">
        <x:v>家庭必备</x:v>
      </x:c>
      <x:c r="H91" s="94" t="str">
        <x:v>移动端</x:v>
      </x:c>
      <x:c r="I91" s="94" t="str">
        <x:v>CPC</x:v>
      </x:c>
      <x:c r="J91" s="95" t="n">
        <x:v>828</x:v>
      </x:c>
      <x:c r="K91" s="96" t="n">
        <x:f>IFERROR(L91/J91,0)</x:f>
        <x:v>0.03743961352657005</x:v>
      </x:c>
      <x:c r="L91" s="95" t="n">
        <x:v>31</x:v>
      </x:c>
      <x:c r="M91" s="97" t="n">
        <x:v>0.1992</x:v>
      </x:c>
      <x:c r="N91" s="97" t="n">
        <x:f>ROUND(L91*M91,2)</x:f>
        <x:v>6.18</x:v>
      </x:c>
      <x:c r="O91" s="94" t="n">
        <x:v>7</x:v>
      </x:c>
      <x:c r="P91" s="94" t="str">
        <x:v>模拟：Google/Microsoft Ads采购导入</x:v>
      </x:c>
    </x:row>
    <x:row r="92">
      <x:c r="A92" s="92" t="str">
        <x:v>PROC-0091</x:v>
      </x:c>
      <x:c r="B92" s="93" t="n">
        <x:v>46039</x:v>
      </x:c>
      <x:c r="C92" s="94" t="str">
        <x:v>Microsoft Ads</x:v>
      </x:c>
      <x:c r="D92" s="94" t="str">
        <x:v>美国</x:v>
      </x:c>
      <x:c r="E92" s="94" t="str">
        <x:v>MSA-C08</x:v>
      </x:c>
      <x:c r="F92" s="94" t="str">
        <x:v>通用搜索</x:v>
      </x:c>
      <x:c r="G92" s="94" t="str">
        <x:v>高性价比商品</x:v>
      </x:c>
      <x:c r="H92" s="94" t="str">
        <x:v>移动端</x:v>
      </x:c>
      <x:c r="I92" s="94" t="str">
        <x:v>CPC</x:v>
      </x:c>
      <x:c r="J92" s="95" t="n">
        <x:v>1453</x:v>
      </x:c>
      <x:c r="K92" s="96" t="n">
        <x:f>IFERROR(L92/J92,0)</x:f>
        <x:v>0.03716448726772195</x:v>
      </x:c>
      <x:c r="L92" s="95" t="n">
        <x:v>54</x:v>
      </x:c>
      <x:c r="M92" s="97" t="n">
        <x:v>0.2416</x:v>
      </x:c>
      <x:c r="N92" s="97" t="n">
        <x:f>ROUND(L92*M92,2)</x:f>
        <x:v>13.05</x:v>
      </x:c>
      <x:c r="O92" s="94" t="n">
        <x:v>6</x:v>
      </x:c>
      <x:c r="P92" s="94" t="str">
        <x:v>模拟：Google/Microsoft Ads采购导入</x:v>
      </x:c>
    </x:row>
    <x:row r="93">
      <x:c r="A93" s="92" t="str">
        <x:v>PROC-0092</x:v>
      </x:c>
      <x:c r="B93" s="93" t="n">
        <x:v>46039</x:v>
      </x:c>
      <x:c r="C93" s="94" t="str">
        <x:v>Microsoft Ads</x:v>
      </x:c>
      <x:c r="D93" s="94" t="str">
        <x:v>日本</x:v>
      </x:c>
      <x:c r="E93" s="94" t="str">
        <x:v>MSA-C18</x:v>
      </x:c>
      <x:c r="F93" s="94" t="str">
        <x:v>竞品搜索</x:v>
      </x:c>
      <x:c r="G93" s="94" t="str">
        <x:v>替代品比较</x:v>
      </x:c>
      <x:c r="H93" s="94" t="str">
        <x:v>移动端</x:v>
      </x:c>
      <x:c r="I93" s="94" t="str">
        <x:v>CPC</x:v>
      </x:c>
      <x:c r="J93" s="95" t="n">
        <x:v>985</x:v>
      </x:c>
      <x:c r="K93" s="96" t="n">
        <x:f>IFERROR(L93/J93,0)</x:f>
        <x:v>0.03553299492385787</x:v>
      </x:c>
      <x:c r="L93" s="95" t="n">
        <x:v>35</x:v>
      </x:c>
      <x:c r="M93" s="97" t="n">
        <x:v>0.3097</x:v>
      </x:c>
      <x:c r="N93" s="97" t="n">
        <x:f>ROUND(L93*M93,2)</x:f>
        <x:v>10.84</x:v>
      </x:c>
      <x:c r="O93" s="94" t="n">
        <x:v>8</x:v>
      </x:c>
      <x:c r="P93" s="94" t="str">
        <x:v>模拟：Google/Microsoft Ads采购导入</x:v>
      </x:c>
    </x:row>
    <x:row r="94">
      <x:c r="A94" s="92" t="str">
        <x:v>PROC-0093</x:v>
      </x:c>
      <x:c r="B94" s="93" t="n">
        <x:v>46039</x:v>
      </x:c>
      <x:c r="C94" s="94" t="str">
        <x:v>Microsoft Ads</x:v>
      </x:c>
      <x:c r="D94" s="94" t="str">
        <x:v>美国</x:v>
      </x:c>
      <x:c r="E94" s="94" t="str">
        <x:v>MSA-C21</x:v>
      </x:c>
      <x:c r="F94" s="94" t="str">
        <x:v>品牌搜索</x:v>
      </x:c>
      <x:c r="G94" s="94" t="str">
        <x:v>品牌评测词</x:v>
      </x:c>
      <x:c r="H94" s="94" t="str">
        <x:v>移动端</x:v>
      </x:c>
      <x:c r="I94" s="94" t="str">
        <x:v>CPC</x:v>
      </x:c>
      <x:c r="J94" s="95" t="n">
        <x:v>1095</x:v>
      </x:c>
      <x:c r="K94" s="96" t="n">
        <x:f>IFERROR(L94/J94,0)</x:f>
        <x:v>0.052968036529680365</x:v>
      </x:c>
      <x:c r="L94" s="95" t="n">
        <x:v>58</x:v>
      </x:c>
      <x:c r="M94" s="97" t="n">
        <x:v>0.1719</x:v>
      </x:c>
      <x:c r="N94" s="97" t="n">
        <x:f>ROUND(L94*M94,2)</x:f>
        <x:v>9.97</x:v>
      </x:c>
      <x:c r="O94" s="94" t="n">
        <x:v>7</x:v>
      </x:c>
      <x:c r="P94" s="94" t="str">
        <x:v>模拟：Google/Microsoft Ads采购导入</x:v>
      </x:c>
    </x:row>
    <x:row r="95">
      <x:c r="A95" s="92" t="str">
        <x:v>PROC-0094</x:v>
      </x:c>
      <x:c r="B95" s="93" t="n">
        <x:v>46039</x:v>
      </x:c>
      <x:c r="C95" s="94" t="str">
        <x:v>Google Ads</x:v>
      </x:c>
      <x:c r="D95" s="94" t="str">
        <x:v>美国</x:v>
      </x:c>
      <x:c r="E95" s="94" t="str">
        <x:v>GGL-C06</x:v>
      </x:c>
      <x:c r="F95" s="94" t="str">
        <x:v>购物广告</x:v>
      </x:c>
      <x:c r="G95" s="94" t="str">
        <x:v>快速配送</x:v>
      </x:c>
      <x:c r="H95" s="94" t="str">
        <x:v>桌面端</x:v>
      </x:c>
      <x:c r="I95" s="94" t="str">
        <x:v>CPC</x:v>
      </x:c>
      <x:c r="J95" s="95" t="n">
        <x:v>1094</x:v>
      </x:c>
      <x:c r="K95" s="96" t="n">
        <x:f>IFERROR(L95/J95,0)</x:f>
        <x:v>0.05210237659963437</x:v>
      </x:c>
      <x:c r="L95" s="95" t="n">
        <x:v>57</x:v>
      </x:c>
      <x:c r="M95" s="97" t="n">
        <x:v>0.4211</x:v>
      </x:c>
      <x:c r="N95" s="97" t="n">
        <x:f>ROUND(L95*M95,2)</x:f>
        <x:v>24</x:v>
      </x:c>
      <x:c r="O95" s="94" t="n">
        <x:v>6</x:v>
      </x:c>
      <x:c r="P95" s="94" t="str">
        <x:v>模拟：Google/Microsoft Ads采购导入</x:v>
      </x:c>
    </x:row>
    <x:row r="96">
      <x:c r="A96" s="92" t="str">
        <x:v>PROC-0095</x:v>
      </x:c>
      <x:c r="B96" s="93" t="n">
        <x:v>46040</x:v>
      </x:c>
      <x:c r="C96" s="94" t="str">
        <x:v>Google Ads</x:v>
      </x:c>
      <x:c r="D96" s="94" t="str">
        <x:v>美国</x:v>
      </x:c>
      <x:c r="E96" s="94" t="str">
        <x:v>GGL-C12</x:v>
      </x:c>
      <x:c r="F96" s="94" t="str">
        <x:v>品牌搜索</x:v>
      </x:c>
      <x:c r="G96" s="94" t="str">
        <x:v>品牌优惠词</x:v>
      </x:c>
      <x:c r="H96" s="94" t="str">
        <x:v>桌面端</x:v>
      </x:c>
      <x:c r="I96" s="94" t="str">
        <x:v>CPC</x:v>
      </x:c>
      <x:c r="J96" s="95" t="n">
        <x:v>816</x:v>
      </x:c>
      <x:c r="K96" s="96" t="n">
        <x:f>IFERROR(L96/J96,0)</x:f>
        <x:v>0.049019607843137254</x:v>
      </x:c>
      <x:c r="L96" s="95" t="n">
        <x:v>40</x:v>
      </x:c>
      <x:c r="M96" s="97" t="n">
        <x:v>0.2473</x:v>
      </x:c>
      <x:c r="N96" s="97" t="n">
        <x:f>ROUND(L96*M96,2)</x:f>
        <x:v>9.89</x:v>
      </x:c>
      <x:c r="O96" s="94" t="n">
        <x:v>10</x:v>
      </x:c>
      <x:c r="P96" s="94" t="str">
        <x:v>模拟：Google/Microsoft Ads采购导入</x:v>
      </x:c>
    </x:row>
    <x:row r="97">
      <x:c r="A97" s="92" t="str">
        <x:v>PROC-0096</x:v>
      </x:c>
      <x:c r="B97" s="93" t="n">
        <x:v>46040</x:v>
      </x:c>
      <x:c r="C97" s="94" t="str">
        <x:v>Google Ads</x:v>
      </x:c>
      <x:c r="D97" s="94" t="str">
        <x:v>美国</x:v>
      </x:c>
      <x:c r="E97" s="94" t="str">
        <x:v>GGL-C21</x:v>
      </x:c>
      <x:c r="F97" s="94" t="str">
        <x:v>竞品搜索</x:v>
      </x:c>
      <x:c r="G97" s="94" t="str">
        <x:v>价格替代</x:v>
      </x:c>
      <x:c r="H97" s="94" t="str">
        <x:v>移动端</x:v>
      </x:c>
      <x:c r="I97" s="94" t="str">
        <x:v>CPC</x:v>
      </x:c>
      <x:c r="J97" s="95" t="n">
        <x:v>1174</x:v>
      </x:c>
      <x:c r="K97" s="96" t="n">
        <x:f>IFERROR(L97/J97,0)</x:f>
        <x:v>0.036626916524701875</x:v>
      </x:c>
      <x:c r="L97" s="95" t="n">
        <x:v>43</x:v>
      </x:c>
      <x:c r="M97" s="97" t="n">
        <x:v>0.4141</x:v>
      </x:c>
      <x:c r="N97" s="97" t="n">
        <x:f>ROUND(L97*M97,2)</x:f>
        <x:v>17.81</x:v>
      </x:c>
      <x:c r="O97" s="94" t="n">
        <x:v>8</x:v>
      </x:c>
      <x:c r="P97" s="94" t="str">
        <x:v>模拟：Google/Microsoft Ads采购导入</x:v>
      </x:c>
    </x:row>
    <x:row r="98">
      <x:c r="A98" s="92" t="str">
        <x:v>PROC-0097</x:v>
      </x:c>
      <x:c r="B98" s="93" t="n">
        <x:v>46040</x:v>
      </x:c>
      <x:c r="C98" s="94" t="str">
        <x:v>Microsoft Ads</x:v>
      </x:c>
      <x:c r="D98" s="94" t="str">
        <x:v>美国</x:v>
      </x:c>
      <x:c r="E98" s="94" t="str">
        <x:v>MSA-C02</x:v>
      </x:c>
      <x:c r="F98" s="94" t="str">
        <x:v>品牌搜索</x:v>
      </x:c>
      <x:c r="G98" s="94" t="str">
        <x:v>品牌优惠词</x:v>
      </x:c>
      <x:c r="H98" s="94" t="str">
        <x:v>移动端</x:v>
      </x:c>
      <x:c r="I98" s="94" t="str">
        <x:v>CPC</x:v>
      </x:c>
      <x:c r="J98" s="95" t="n">
        <x:v>954</x:v>
      </x:c>
      <x:c r="K98" s="96" t="n">
        <x:f>IFERROR(L98/J98,0)</x:f>
        <x:v>0.06918238993710692</x:v>
      </x:c>
      <x:c r="L98" s="95" t="n">
        <x:v>66</x:v>
      </x:c>
      <x:c r="M98" s="97" t="n">
        <x:v>0.1968</x:v>
      </x:c>
      <x:c r="N98" s="97" t="n">
        <x:f>ROUND(L98*M98,2)</x:f>
        <x:v>12.99</x:v>
      </x:c>
      <x:c r="O98" s="94" t="n">
        <x:v>9</x:v>
      </x:c>
      <x:c r="P98" s="94" t="str">
        <x:v>模拟：Google/Microsoft Ads采购导入</x:v>
      </x:c>
    </x:row>
    <x:row r="99">
      <x:c r="A99" s="92" t="str">
        <x:v>PROC-0098</x:v>
      </x:c>
      <x:c r="B99" s="93" t="n">
        <x:v>46040</x:v>
      </x:c>
      <x:c r="C99" s="94" t="str">
        <x:v>Microsoft Ads</x:v>
      </x:c>
      <x:c r="D99" s="94" t="str">
        <x:v>美国</x:v>
      </x:c>
      <x:c r="E99" s="94" t="str">
        <x:v>MSA-C11</x:v>
      </x:c>
      <x:c r="F99" s="94" t="str">
        <x:v>品牌搜索</x:v>
      </x:c>
      <x:c r="G99" s="94" t="str">
        <x:v>品牌评测词</x:v>
      </x:c>
      <x:c r="H99" s="94" t="str">
        <x:v>桌面端</x:v>
      </x:c>
      <x:c r="I99" s="94" t="str">
        <x:v>CPC</x:v>
      </x:c>
      <x:c r="J99" s="95" t="n">
        <x:v>984</x:v>
      </x:c>
      <x:c r="K99" s="96" t="n">
        <x:f>IFERROR(L99/J99,0)</x:f>
        <x:v>0.06910569105691057</x:v>
      </x:c>
      <x:c r="L99" s="95" t="n">
        <x:v>68</x:v>
      </x:c>
      <x:c r="M99" s="97" t="n">
        <x:v>0.2196</x:v>
      </x:c>
      <x:c r="N99" s="97" t="n">
        <x:f>ROUND(L99*M99,2)</x:f>
        <x:v>14.93</x:v>
      </x:c>
      <x:c r="O99" s="94" t="n">
        <x:v>7</x:v>
      </x:c>
      <x:c r="P99" s="94" t="str">
        <x:v>模拟：Google/Microsoft Ads采购导入</x:v>
      </x:c>
    </x:row>
    <x:row r="100">
      <x:c r="A100" s="92" t="str">
        <x:v>PROC-0099</x:v>
      </x:c>
      <x:c r="B100" s="93" t="n">
        <x:v>46040</x:v>
      </x:c>
      <x:c r="C100" s="94" t="str">
        <x:v>Google Ads</x:v>
      </x:c>
      <x:c r="D100" s="94" t="str">
        <x:v>德国</x:v>
      </x:c>
      <x:c r="E100" s="94" t="str">
        <x:v>GGL-C16</x:v>
      </x:c>
      <x:c r="F100" s="94" t="str">
        <x:v>通用搜索</x:v>
      </x:c>
      <x:c r="G100" s="94" t="str">
        <x:v>实用礼物</x:v>
      </x:c>
      <x:c r="H100" s="94" t="str">
        <x:v>移动端</x:v>
      </x:c>
      <x:c r="I100" s="94" t="str">
        <x:v>CPC</x:v>
      </x:c>
      <x:c r="J100" s="95" t="n">
        <x:v>797</x:v>
      </x:c>
      <x:c r="K100" s="96" t="n">
        <x:f>IFERROR(L100/J100,0)</x:f>
        <x:v>0.03262233375156838</x:v>
      </x:c>
      <x:c r="L100" s="95" t="n">
        <x:v>26</x:v>
      </x:c>
      <x:c r="M100" s="97" t="n">
        <x:v>0.2885</x:v>
      </x:c>
      <x:c r="N100" s="97" t="n">
        <x:f>ROUND(L100*M100,2)</x:f>
        <x:v>7.5</x:v>
      </x:c>
      <x:c r="O100" s="94" t="n">
        <x:v>7</x:v>
      </x:c>
      <x:c r="P100" s="94" t="str">
        <x:v>模拟：Google/Microsoft Ads采购导入</x:v>
      </x:c>
    </x:row>
    <x:row r="101">
      <x:c r="A101" s="92" t="str">
        <x:v>PROC-0100</x:v>
      </x:c>
      <x:c r="B101" s="93" t="n">
        <x:v>46040</x:v>
      </x:c>
      <x:c r="C101" s="94" t="str">
        <x:v>Google Ads</x:v>
      </x:c>
      <x:c r="D101" s="94" t="str">
        <x:v>美国</x:v>
      </x:c>
      <x:c r="E101" s="94" t="str">
        <x:v>GGL-C01</x:v>
      </x:c>
      <x:c r="F101" s="94" t="str">
        <x:v>品牌搜索</x:v>
      </x:c>
      <x:c r="G101" s="94" t="str">
        <x:v>品牌购买词</x:v>
      </x:c>
      <x:c r="H101" s="94" t="str">
        <x:v>移动端</x:v>
      </x:c>
      <x:c r="I101" s="94" t="str">
        <x:v>CPC</x:v>
      </x:c>
      <x:c r="J101" s="95" t="n">
        <x:v>1318</x:v>
      </x:c>
      <x:c r="K101" s="96" t="n">
        <x:f>IFERROR(L101/J101,0)</x:f>
        <x:v>0.06828528072837632</x:v>
      </x:c>
      <x:c r="L101" s="95" t="n">
        <x:v>90</x:v>
      </x:c>
      <x:c r="M101" s="97" t="n">
        <x:v>0.2758</x:v>
      </x:c>
      <x:c r="N101" s="97" t="n">
        <x:f>ROUND(L101*M101,2)</x:f>
        <x:v>24.82</x:v>
      </x:c>
      <x:c r="O101" s="94" t="n">
        <x:v>7</x:v>
      </x:c>
      <x:c r="P101" s="94" t="str">
        <x:v>模拟：Google/Microsoft Ads采购导入</x:v>
      </x:c>
    </x:row>
    <x:row r="102">
      <x:c r="A102" s="92" t="str">
        <x:v>PROC-0101</x:v>
      </x:c>
      <x:c r="B102" s="93" t="n">
        <x:v>46041</x:v>
      </x:c>
      <x:c r="C102" s="94" t="str">
        <x:v>Microsoft Ads</x:v>
      </x:c>
      <x:c r="D102" s="94" t="str">
        <x:v>德国</x:v>
      </x:c>
      <x:c r="E102" s="94" t="str">
        <x:v>MSA-C06</x:v>
      </x:c>
      <x:c r="F102" s="94" t="str">
        <x:v>通用搜索</x:v>
      </x:c>
      <x:c r="G102" s="94" t="str">
        <x:v>热门新品</x:v>
      </x:c>
      <x:c r="H102" s="94" t="str">
        <x:v>移动端</x:v>
      </x:c>
      <x:c r="I102" s="94" t="str">
        <x:v>CPC</x:v>
      </x:c>
      <x:c r="J102" s="95" t="n">
        <x:v>842</x:v>
      </x:c>
      <x:c r="K102" s="96" t="n">
        <x:f>IFERROR(L102/J102,0)</x:f>
        <x:v>0.030878859857482184</x:v>
      </x:c>
      <x:c r="L102" s="95" t="n">
        <x:v>26</x:v>
      </x:c>
      <x:c r="M102" s="97" t="n">
        <x:v>0.2268</x:v>
      </x:c>
      <x:c r="N102" s="97" t="n">
        <x:f>ROUND(L102*M102,2)</x:f>
        <x:v>5.9</x:v>
      </x:c>
      <x:c r="O102" s="94" t="n">
        <x:v>6</x:v>
      </x:c>
      <x:c r="P102" s="94" t="str">
        <x:v>模拟：Google/Microsoft Ads采购导入</x:v>
      </x:c>
    </x:row>
    <x:row r="103">
      <x:c r="A103" s="92" t="str">
        <x:v>PROC-0102</x:v>
      </x:c>
      <x:c r="B103" s="93" t="n">
        <x:v>46041</x:v>
      </x:c>
      <x:c r="C103" s="94" t="str">
        <x:v>Microsoft Ads</x:v>
      </x:c>
      <x:c r="D103" s="94" t="str">
        <x:v>德国</x:v>
      </x:c>
      <x:c r="E103" s="94" t="str">
        <x:v>MSA-C15</x:v>
      </x:c>
      <x:c r="F103" s="94" t="str">
        <x:v>购物广告</x:v>
      </x:c>
      <x:c r="G103" s="94" t="str">
        <x:v>高评分商品</x:v>
      </x:c>
      <x:c r="H103" s="94" t="str">
        <x:v>移动端</x:v>
      </x:c>
      <x:c r="I103" s="94" t="str">
        <x:v>CPC</x:v>
      </x:c>
      <x:c r="J103" s="95" t="n">
        <x:v>824</x:v>
      </x:c>
      <x:c r="K103" s="96" t="n">
        <x:f>IFERROR(L103/J103,0)</x:f>
        <x:v>0.04611650485436893</x:v>
      </x:c>
      <x:c r="L103" s="95" t="n">
        <x:v>38</x:v>
      </x:c>
      <x:c r="M103" s="97" t="n">
        <x:v>0.23</x:v>
      </x:c>
      <x:c r="N103" s="97" t="n">
        <x:f>ROUND(L103*M103,2)</x:f>
        <x:v>8.74</x:v>
      </x:c>
      <x:c r="O103" s="94" t="n">
        <x:v>8</x:v>
      </x:c>
      <x:c r="P103" s="94" t="str">
        <x:v>模拟：Google/Microsoft Ads采购导入</x:v>
      </x:c>
    </x:row>
    <x:row r="104">
      <x:c r="A104" s="92" t="str">
        <x:v>PROC-0103</x:v>
      </x:c>
      <x:c r="B104" s="93" t="n">
        <x:v>46041</x:v>
      </x:c>
      <x:c r="C104" s="94" t="str">
        <x:v>Google Ads</x:v>
      </x:c>
      <x:c r="D104" s="94" t="str">
        <x:v>美国</x:v>
      </x:c>
      <x:c r="E104" s="94" t="str">
        <x:v>GGL-C21</x:v>
      </x:c>
      <x:c r="F104" s="94" t="str">
        <x:v>通用搜索</x:v>
      </x:c>
      <x:c r="G104" s="94" t="str">
        <x:v>高性价比商品</x:v>
      </x:c>
      <x:c r="H104" s="94" t="str">
        <x:v>桌面端</x:v>
      </x:c>
      <x:c r="I104" s="94" t="str">
        <x:v>CPC</x:v>
      </x:c>
      <x:c r="J104" s="95" t="n">
        <x:v>732</x:v>
      </x:c>
      <x:c r="K104" s="96" t="n">
        <x:f>IFERROR(L104/J104,0)</x:f>
        <x:v>0.03415300546448088</x:v>
      </x:c>
      <x:c r="L104" s="95" t="n">
        <x:v>25</x:v>
      </x:c>
      <x:c r="M104" s="97" t="n">
        <x:v>0.2979</x:v>
      </x:c>
      <x:c r="N104" s="97" t="n">
        <x:f>ROUND(L104*M104,2)</x:f>
        <x:v>7.45</x:v>
      </x:c>
      <x:c r="O104" s="94" t="n">
        <x:v>8</x:v>
      </x:c>
      <x:c r="P104" s="94" t="str">
        <x:v>模拟：Google/Microsoft Ads采购导入</x:v>
      </x:c>
    </x:row>
    <x:row r="105">
      <x:c r="A105" s="92" t="str">
        <x:v>PROC-0104</x:v>
      </x:c>
      <x:c r="B105" s="93" t="n">
        <x:v>46041</x:v>
      </x:c>
      <x:c r="C105" s="94" t="str">
        <x:v>Microsoft Ads</x:v>
      </x:c>
      <x:c r="D105" s="94" t="str">
        <x:v>美国</x:v>
      </x:c>
      <x:c r="E105" s="94" t="str">
        <x:v>MSA-C05</x:v>
      </x:c>
      <x:c r="F105" s="94" t="str">
        <x:v>通用搜索</x:v>
      </x:c>
      <x:c r="G105" s="94" t="str">
        <x:v>专业精选</x:v>
      </x:c>
      <x:c r="H105" s="94" t="str">
        <x:v>移动端</x:v>
      </x:c>
      <x:c r="I105" s="94" t="str">
        <x:v>CPC</x:v>
      </x:c>
      <x:c r="J105" s="95" t="n">
        <x:v>1061</x:v>
      </x:c>
      <x:c r="K105" s="96" t="n">
        <x:f>IFERROR(L105/J105,0)</x:f>
        <x:v>0.04052780395852969</x:v>
      </x:c>
      <x:c r="L105" s="95" t="n">
        <x:v>43</x:v>
      </x:c>
      <x:c r="M105" s="97" t="n">
        <x:v>0.2152</x:v>
      </x:c>
      <x:c r="N105" s="97" t="n">
        <x:f>ROUND(L105*M105,2)</x:f>
        <x:v>9.25</x:v>
      </x:c>
      <x:c r="O105" s="94" t="n">
        <x:v>8</x:v>
      </x:c>
      <x:c r="P105" s="94" t="str">
        <x:v>模拟：Google/Microsoft Ads采购导入</x:v>
      </x:c>
    </x:row>
    <x:row r="106">
      <x:c r="A106" s="92" t="str">
        <x:v>PROC-0105</x:v>
      </x:c>
      <x:c r="B106" s="93" t="n">
        <x:v>46041</x:v>
      </x:c>
      <x:c r="C106" s="94" t="str">
        <x:v>Microsoft Ads</x:v>
      </x:c>
      <x:c r="D106" s="94" t="str">
        <x:v>日本</x:v>
      </x:c>
      <x:c r="E106" s="94" t="str">
        <x:v>MSA-C09</x:v>
      </x:c>
      <x:c r="F106" s="94" t="str">
        <x:v>竞品搜索</x:v>
      </x:c>
      <x:c r="G106" s="94" t="str">
        <x:v>同类产品对比</x:v>
      </x:c>
      <x:c r="H106" s="94" t="str">
        <x:v>移动端</x:v>
      </x:c>
      <x:c r="I106" s="94" t="str">
        <x:v>CPC</x:v>
      </x:c>
      <x:c r="J106" s="95" t="n">
        <x:v>733</x:v>
      </x:c>
      <x:c r="K106" s="96" t="n">
        <x:f>IFERROR(L106/J106,0)</x:f>
        <x:v>0.030013642564802184</x:v>
      </x:c>
      <x:c r="L106" s="95" t="n">
        <x:v>22</x:v>
      </x:c>
      <x:c r="M106" s="97" t="n">
        <x:v>0.3038</x:v>
      </x:c>
      <x:c r="N106" s="97" t="n">
        <x:f>ROUND(L106*M106,2)</x:f>
        <x:v>6.68</x:v>
      </x:c>
      <x:c r="O106" s="94" t="n">
        <x:v>7</x:v>
      </x:c>
      <x:c r="P106" s="94" t="str">
        <x:v>模拟：Google/Microsoft Ads采购导入</x:v>
      </x:c>
    </x:row>
    <x:row r="107">
      <x:c r="A107" s="92" t="str">
        <x:v>PROC-0106</x:v>
      </x:c>
      <x:c r="B107" s="93" t="n">
        <x:v>46042</x:v>
      </x:c>
      <x:c r="C107" s="94" t="str">
        <x:v>Microsoft Ads</x:v>
      </x:c>
      <x:c r="D107" s="94" t="str">
        <x:v>美国</x:v>
      </x:c>
      <x:c r="E107" s="94" t="str">
        <x:v>MSA-C19</x:v>
      </x:c>
      <x:c r="F107" s="94" t="str">
        <x:v>购物广告</x:v>
      </x:c>
      <x:c r="G107" s="94" t="str">
        <x:v>快速配送</x:v>
      </x:c>
      <x:c r="H107" s="94" t="str">
        <x:v>桌面端</x:v>
      </x:c>
      <x:c r="I107" s="94" t="str">
        <x:v>CPC</x:v>
      </x:c>
      <x:c r="J107" s="95" t="n">
        <x:v>1108</x:v>
      </x:c>
      <x:c r="K107" s="96" t="n">
        <x:f>IFERROR(L107/J107,0)</x:f>
        <x:v>0.05054151624548736</x:v>
      </x:c>
      <x:c r="L107" s="95" t="n">
        <x:v>56</x:v>
      </x:c>
      <x:c r="M107" s="97" t="n">
        <x:v>0.2457</x:v>
      </x:c>
      <x:c r="N107" s="97" t="n">
        <x:f>ROUND(L107*M107,2)</x:f>
        <x:v>13.76</x:v>
      </x:c>
      <x:c r="O107" s="94" t="n">
        <x:v>7</x:v>
      </x:c>
      <x:c r="P107" s="94" t="str">
        <x:v>模拟：Google/Microsoft Ads采购导入</x:v>
      </x:c>
    </x:row>
    <x:row r="108">
      <x:c r="A108" s="92" t="str">
        <x:v>PROC-0107</x:v>
      </x:c>
      <x:c r="B108" s="93" t="n">
        <x:v>46042</x:v>
      </x:c>
      <x:c r="C108" s="94" t="str">
        <x:v>Microsoft Ads</x:v>
      </x:c>
      <x:c r="D108" s="94" t="str">
        <x:v>美国</x:v>
      </x:c>
      <x:c r="E108" s="94" t="str">
        <x:v>MSA-C01</x:v>
      </x:c>
      <x:c r="F108" s="94" t="str">
        <x:v>购物广告</x:v>
      </x:c>
      <x:c r="G108" s="94" t="str">
        <x:v>高评分商品</x:v>
      </x:c>
      <x:c r="H108" s="94" t="str">
        <x:v>桌面端</x:v>
      </x:c>
      <x:c r="I108" s="94" t="str">
        <x:v>CPC</x:v>
      </x:c>
      <x:c r="J108" s="95" t="n">
        <x:v>1352</x:v>
      </x:c>
      <x:c r="K108" s="96" t="n">
        <x:f>IFERROR(L108/J108,0)</x:f>
        <x:v>0.045118343195266274</x:v>
      </x:c>
      <x:c r="L108" s="95" t="n">
        <x:v>61</x:v>
      </x:c>
      <x:c r="M108" s="97" t="n">
        <x:v>0.2507</x:v>
      </x:c>
      <x:c r="N108" s="97" t="n">
        <x:f>ROUND(L108*M108,2)</x:f>
        <x:v>15.29</x:v>
      </x:c>
      <x:c r="O108" s="94" t="n">
        <x:v>8</x:v>
      </x:c>
      <x:c r="P108" s="94" t="str">
        <x:v>模拟：Google/Microsoft Ads采购导入</x:v>
      </x:c>
    </x:row>
    <x:row r="109">
      <x:c r="A109" s="92" t="str">
        <x:v>PROC-0108</x:v>
      </x:c>
      <x:c r="B109" s="93" t="n">
        <x:v>46042</x:v>
      </x:c>
      <x:c r="C109" s="94" t="str">
        <x:v>Google Ads</x:v>
      </x:c>
      <x:c r="D109" s="94" t="str">
        <x:v>德国</x:v>
      </x:c>
      <x:c r="E109" s="94" t="str">
        <x:v>GGL-C07</x:v>
      </x:c>
      <x:c r="F109" s="94" t="str">
        <x:v>品牌搜索</x:v>
      </x:c>
      <x:c r="G109" s="94" t="str">
        <x:v>品牌评测词</x:v>
      </x:c>
      <x:c r="H109" s="94" t="str">
        <x:v>移动端</x:v>
      </x:c>
      <x:c r="I109" s="94" t="str">
        <x:v>CPC</x:v>
      </x:c>
      <x:c r="J109" s="95" t="n">
        <x:v>740</x:v>
      </x:c>
      <x:c r="K109" s="96" t="n">
        <x:f>IFERROR(L109/J109,0)</x:f>
        <x:v>0.05</x:v>
      </x:c>
      <x:c r="L109" s="95" t="n">
        <x:v>37</x:v>
      </x:c>
      <x:c r="M109" s="97" t="n">
        <x:v>0.172</x:v>
      </x:c>
      <x:c r="N109" s="97" t="n">
        <x:f>ROUND(L109*M109,2)</x:f>
        <x:v>6.36</x:v>
      </x:c>
      <x:c r="O109" s="94" t="n">
        <x:v>9</x:v>
      </x:c>
      <x:c r="P109" s="94" t="str">
        <x:v>模拟：Google/Microsoft Ads采购导入</x:v>
      </x:c>
    </x:row>
    <x:row r="110">
      <x:c r="A110" s="92" t="str">
        <x:v>PROC-0109</x:v>
      </x:c>
      <x:c r="B110" s="93" t="n">
        <x:v>46042</x:v>
      </x:c>
      <x:c r="C110" s="94" t="str">
        <x:v>Google Ads</x:v>
      </x:c>
      <x:c r="D110" s="94" t="str">
        <x:v>英国</x:v>
      </x:c>
      <x:c r="E110" s="94" t="str">
        <x:v>GGL-C14</x:v>
      </x:c>
      <x:c r="F110" s="94" t="str">
        <x:v>通用搜索</x:v>
      </x:c>
      <x:c r="G110" s="94" t="str">
        <x:v>专业精选</x:v>
      </x:c>
      <x:c r="H110" s="94" t="str">
        <x:v>桌面端</x:v>
      </x:c>
      <x:c r="I110" s="94" t="str">
        <x:v>CPC</x:v>
      </x:c>
      <x:c r="J110" s="95" t="n">
        <x:v>1440</x:v>
      </x:c>
      <x:c r="K110" s="96" t="n">
        <x:f>IFERROR(L110/J110,0)</x:f>
        <x:v>0.04097222222222222</x:v>
      </x:c>
      <x:c r="L110" s="95" t="n">
        <x:v>59</x:v>
      </x:c>
      <x:c r="M110" s="97" t="n">
        <x:v>0.264</x:v>
      </x:c>
      <x:c r="N110" s="97" t="n">
        <x:f>ROUND(L110*M110,2)</x:f>
        <x:v>15.58</x:v>
      </x:c>
      <x:c r="O110" s="94" t="n">
        <x:v>6</x:v>
      </x:c>
      <x:c r="P110" s="94" t="str">
        <x:v>模拟：Google/Microsoft Ads采购导入</x:v>
      </x:c>
    </x:row>
    <x:row r="111">
      <x:c r="A111" s="92" t="str">
        <x:v>PROC-0110</x:v>
      </x:c>
      <x:c r="B111" s="93" t="n">
        <x:v>46042</x:v>
      </x:c>
      <x:c r="C111" s="94" t="str">
        <x:v>Google Ads</x:v>
      </x:c>
      <x:c r="D111" s="94" t="str">
        <x:v>美国</x:v>
      </x:c>
      <x:c r="E111" s="94" t="str">
        <x:v>GGL-C24</x:v>
      </x:c>
      <x:c r="F111" s="94" t="str">
        <x:v>通用搜索</x:v>
      </x:c>
      <x:c r="G111" s="94" t="str">
        <x:v>家庭必备</x:v>
      </x:c>
      <x:c r="H111" s="94" t="str">
        <x:v>桌面端</x:v>
      </x:c>
      <x:c r="I111" s="94" t="str">
        <x:v>CPC</x:v>
      </x:c>
      <x:c r="J111" s="95" t="n">
        <x:v>1165</x:v>
      </x:c>
      <x:c r="K111" s="96" t="n">
        <x:f>IFERROR(L111/J111,0)</x:f>
        <x:v>0.03175965665236052</x:v>
      </x:c>
      <x:c r="L111" s="95" t="n">
        <x:v>37</x:v>
      </x:c>
      <x:c r="M111" s="97" t="n">
        <x:v>0.29</x:v>
      </x:c>
      <x:c r="N111" s="97" t="n">
        <x:f>ROUND(L111*M111,2)</x:f>
        <x:v>10.73</x:v>
      </x:c>
      <x:c r="O111" s="94" t="n">
        <x:v>6</x:v>
      </x:c>
      <x:c r="P111" s="94" t="str">
        <x:v>模拟：Google/Microsoft Ads采购导入</x:v>
      </x:c>
    </x:row>
    <x:row r="112">
      <x:c r="A112" s="92" t="str">
        <x:v>PROC-0111</x:v>
      </x:c>
      <x:c r="B112" s="93" t="n">
        <x:v>46042</x:v>
      </x:c>
      <x:c r="C112" s="94" t="str">
        <x:v>Microsoft Ads</x:v>
      </x:c>
      <x:c r="D112" s="94" t="str">
        <x:v>美国</x:v>
      </x:c>
      <x:c r="E112" s="94" t="str">
        <x:v>MSA-C04</x:v>
      </x:c>
      <x:c r="F112" s="94" t="str">
        <x:v>通用搜索</x:v>
      </x:c>
      <x:c r="G112" s="94" t="str">
        <x:v>热门新品</x:v>
      </x:c>
      <x:c r="H112" s="94" t="str">
        <x:v>移动端</x:v>
      </x:c>
      <x:c r="I112" s="94" t="str">
        <x:v>CPC</x:v>
      </x:c>
      <x:c r="J112" s="95" t="n">
        <x:v>1052</x:v>
      </x:c>
      <x:c r="K112" s="96" t="n">
        <x:f>IFERROR(L112/J112,0)</x:f>
        <x:v>0.03231939163498099</x:v>
      </x:c>
      <x:c r="L112" s="95" t="n">
        <x:v>34</x:v>
      </x:c>
      <x:c r="M112" s="97" t="n">
        <x:v>0.2535</x:v>
      </x:c>
      <x:c r="N112" s="97" t="n">
        <x:f>ROUND(L112*M112,2)</x:f>
        <x:v>8.62</x:v>
      </x:c>
      <x:c r="O112" s="94" t="n">
        <x:v>7</x:v>
      </x:c>
      <x:c r="P112" s="94" t="str">
        <x:v>模拟：Google/Microsoft Ads采购导入</x:v>
      </x:c>
    </x:row>
    <x:row r="113">
      <x:c r="A113" s="92" t="str">
        <x:v>PROC-0112</x:v>
      </x:c>
      <x:c r="B113" s="93" t="n">
        <x:v>46043</x:v>
      </x:c>
      <x:c r="C113" s="94" t="str">
        <x:v>Microsoft Ads</x:v>
      </x:c>
      <x:c r="D113" s="94" t="str">
        <x:v>日本</x:v>
      </x:c>
      <x:c r="E113" s="94" t="str">
        <x:v>MSA-C14</x:v>
      </x:c>
      <x:c r="F113" s="94" t="str">
        <x:v>通用搜索</x:v>
      </x:c>
      <x:c r="G113" s="94" t="str">
        <x:v>家庭必备</x:v>
      </x:c>
      <x:c r="H113" s="94" t="str">
        <x:v>移动端</x:v>
      </x:c>
      <x:c r="I113" s="94" t="str">
        <x:v>CPC</x:v>
      </x:c>
      <x:c r="J113" s="95" t="n">
        <x:v>1136</x:v>
      </x:c>
      <x:c r="K113" s="96" t="n">
        <x:f>IFERROR(L113/J113,0)</x:f>
        <x:v>0.03609154929577465</x:v>
      </x:c>
      <x:c r="L113" s="95" t="n">
        <x:v>41</x:v>
      </x:c>
      <x:c r="M113" s="97" t="n">
        <x:v>0.1881</x:v>
      </x:c>
      <x:c r="N113" s="97" t="n">
        <x:f>ROUND(L113*M113,2)</x:f>
        <x:v>7.71</x:v>
      </x:c>
      <x:c r="O113" s="94" t="n">
        <x:v>8</x:v>
      </x:c>
      <x:c r="P113" s="94" t="str">
        <x:v>模拟：Google/Microsoft Ads采购导入</x:v>
      </x:c>
    </x:row>
    <x:row r="114">
      <x:c r="A114" s="92" t="str">
        <x:v>PROC-0113</x:v>
      </x:c>
      <x:c r="B114" s="93" t="n">
        <x:v>46043</x:v>
      </x:c>
      <x:c r="C114" s="94" t="str">
        <x:v>Microsoft Ads</x:v>
      </x:c>
      <x:c r="D114" s="94" t="str">
        <x:v>美国</x:v>
      </x:c>
      <x:c r="E114" s="94" t="str">
        <x:v>MSA-C17</x:v>
      </x:c>
      <x:c r="F114" s="94" t="str">
        <x:v>竞品搜索</x:v>
      </x:c>
      <x:c r="G114" s="94" t="str">
        <x:v>价格替代</x:v>
      </x:c>
      <x:c r="H114" s="94" t="str">
        <x:v>移动端</x:v>
      </x:c>
      <x:c r="I114" s="94" t="str">
        <x:v>CPC</x:v>
      </x:c>
      <x:c r="J114" s="95" t="n">
        <x:v>1153</x:v>
      </x:c>
      <x:c r="K114" s="96" t="n">
        <x:f>IFERROR(L114/J114,0)</x:f>
        <x:v>0.030355594102341718</x:v>
      </x:c>
      <x:c r="L114" s="95" t="n">
        <x:v>35</x:v>
      </x:c>
      <x:c r="M114" s="97" t="n">
        <x:v>0.4024</x:v>
      </x:c>
      <x:c r="N114" s="97" t="n">
        <x:f>ROUND(L114*M114,2)</x:f>
        <x:v>14.08</x:v>
      </x:c>
      <x:c r="O114" s="94" t="n">
        <x:v>8</x:v>
      </x:c>
      <x:c r="P114" s="94" t="str">
        <x:v>模拟：Google/Microsoft Ads采购导入</x:v>
      </x:c>
    </x:row>
    <x:row r="115">
      <x:c r="A115" s="92" t="str">
        <x:v>PROC-0114</x:v>
      </x:c>
      <x:c r="B115" s="93" t="n">
        <x:v>46043</x:v>
      </x:c>
      <x:c r="C115" s="94" t="str">
        <x:v>Microsoft Ads</x:v>
      </x:c>
      <x:c r="D115" s="94" t="str">
        <x:v>日本</x:v>
      </x:c>
      <x:c r="E115" s="94" t="str">
        <x:v>MSA-C01</x:v>
      </x:c>
      <x:c r="F115" s="94" t="str">
        <x:v>购物广告</x:v>
      </x:c>
      <x:c r="G115" s="94" t="str">
        <x:v>快速配送</x:v>
      </x:c>
      <x:c r="H115" s="94" t="str">
        <x:v>桌面端</x:v>
      </x:c>
      <x:c r="I115" s="94" t="str">
        <x:v>CPC</x:v>
      </x:c>
      <x:c r="J115" s="95" t="n">
        <x:v>1392</x:v>
      </x:c>
      <x:c r="K115" s="96" t="n">
        <x:f>IFERROR(L115/J115,0)</x:f>
        <x:v>0.040948275862068964</x:v>
      </x:c>
      <x:c r="L115" s="95" t="n">
        <x:v>57</x:v>
      </x:c>
      <x:c r="M115" s="97" t="n">
        <x:v>0.2277</x:v>
      </x:c>
      <x:c r="N115" s="97" t="n">
        <x:f>ROUND(L115*M115,2)</x:f>
        <x:v>12.98</x:v>
      </x:c>
      <x:c r="O115" s="94" t="n">
        <x:v>8</x:v>
      </x:c>
      <x:c r="P115" s="94" t="str">
        <x:v>模拟：Google/Microsoft Ads采购导入</x:v>
      </x:c>
    </x:row>
    <x:row r="116">
      <x:c r="A116" s="92" t="str">
        <x:v>PROC-0115</x:v>
      </x:c>
      <x:c r="B116" s="93" t="n">
        <x:v>46043</x:v>
      </x:c>
      <x:c r="C116" s="94" t="str">
        <x:v>Microsoft Ads</x:v>
      </x:c>
      <x:c r="D116" s="94" t="str">
        <x:v>美国</x:v>
      </x:c>
      <x:c r="E116" s="94" t="str">
        <x:v>MSA-C07</x:v>
      </x:c>
      <x:c r="F116" s="94" t="str">
        <x:v>竞品搜索</x:v>
      </x:c>
      <x:c r="G116" s="94" t="str">
        <x:v>价格替代</x:v>
      </x:c>
      <x:c r="H116" s="94" t="str">
        <x:v>移动端</x:v>
      </x:c>
      <x:c r="I116" s="94" t="str">
        <x:v>CPC</x:v>
      </x:c>
      <x:c r="J116" s="95" t="n">
        <x:v>977</x:v>
      </x:c>
      <x:c r="K116" s="96" t="n">
        <x:f>IFERROR(L116/J116,0)</x:f>
        <x:v>0.037871033776867964</x:v>
      </x:c>
      <x:c r="L116" s="95" t="n">
        <x:v>37</x:v>
      </x:c>
      <x:c r="M116" s="97" t="n">
        <x:v>0.3956</x:v>
      </x:c>
      <x:c r="N116" s="97" t="n">
        <x:f>ROUND(L116*M116,2)</x:f>
        <x:v>14.64</x:v>
      </x:c>
      <x:c r="O116" s="94" t="n">
        <x:v>9</x:v>
      </x:c>
      <x:c r="P116" s="94" t="str">
        <x:v>模拟：Google/Microsoft Ads采购导入</x:v>
      </x:c>
    </x:row>
    <x:row r="117">
      <x:c r="A117" s="92" t="str">
        <x:v>PROC-0116</x:v>
      </x:c>
      <x:c r="B117" s="93" t="n">
        <x:v>46043</x:v>
      </x:c>
      <x:c r="C117" s="94" t="str">
        <x:v>Google Ads</x:v>
      </x:c>
      <x:c r="D117" s="94" t="str">
        <x:v>日本</x:v>
      </x:c>
      <x:c r="E117" s="94" t="str">
        <x:v>GGL-C15</x:v>
      </x:c>
      <x:c r="F117" s="94" t="str">
        <x:v>通用搜索</x:v>
      </x:c>
      <x:c r="G117" s="94" t="str">
        <x:v>家庭必备</x:v>
      </x:c>
      <x:c r="H117" s="94" t="str">
        <x:v>桌面端</x:v>
      </x:c>
      <x:c r="I117" s="94" t="str">
        <x:v>CPC</x:v>
      </x:c>
      <x:c r="J117" s="95" t="n">
        <x:v>773</x:v>
      </x:c>
      <x:c r="K117" s="96" t="n">
        <x:f>IFERROR(L117/J117,0)</x:f>
        <x:v>0.03363518758085381</x:v>
      </x:c>
      <x:c r="L117" s="95" t="n">
        <x:v>26</x:v>
      </x:c>
      <x:c r="M117" s="97" t="n">
        <x:v>0.2221</x:v>
      </x:c>
      <x:c r="N117" s="97" t="n">
        <x:f>ROUND(L117*M117,2)</x:f>
        <x:v>5.77</x:v>
      </x:c>
      <x:c r="O117" s="94" t="n">
        <x:v>6</x:v>
      </x:c>
      <x:c r="P117" s="94" t="str">
        <x:v>模拟：Google/Microsoft Ads采购导入</x:v>
      </x:c>
    </x:row>
    <x:row r="118">
      <x:c r="A118" s="92" t="str">
        <x:v>PROC-0117</x:v>
      </x:c>
      <x:c r="B118" s="93" t="n">
        <x:v>46043</x:v>
      </x:c>
      <x:c r="C118" s="94" t="str">
        <x:v>Google Ads</x:v>
      </x:c>
      <x:c r="D118" s="94" t="str">
        <x:v>英国</x:v>
      </x:c>
      <x:c r="E118" s="94" t="str">
        <x:v>GGL-C01</x:v>
      </x:c>
      <x:c r="F118" s="94" t="str">
        <x:v>品牌搜索</x:v>
      </x:c>
      <x:c r="G118" s="94" t="str">
        <x:v>品牌型号词</x:v>
      </x:c>
      <x:c r="H118" s="94" t="str">
        <x:v>移动端</x:v>
      </x:c>
      <x:c r="I118" s="94" t="str">
        <x:v>CPC</x:v>
      </x:c>
      <x:c r="J118" s="95" t="n">
        <x:v>787</x:v>
      </x:c>
      <x:c r="K118" s="96" t="n">
        <x:f>IFERROR(L118/J118,0)</x:f>
        <x:v>0.054637865311308764</x:v>
      </x:c>
      <x:c r="L118" s="95" t="n">
        <x:v>43</x:v>
      </x:c>
      <x:c r="M118" s="97" t="n">
        <x:v>0.2483</x:v>
      </x:c>
      <x:c r="N118" s="97" t="n">
        <x:f>ROUND(L118*M118,2)</x:f>
        <x:v>10.68</x:v>
      </x:c>
      <x:c r="O118" s="94" t="n">
        <x:v>10</x:v>
      </x:c>
      <x:c r="P118" s="94" t="str">
        <x:v>模拟：Google/Microsoft Ads采购导入</x:v>
      </x:c>
    </x:row>
    <x:row r="119">
      <x:c r="A119" s="92" t="str">
        <x:v>PROC-0118</x:v>
      </x:c>
      <x:c r="B119" s="93" t="n">
        <x:v>46044</x:v>
      </x:c>
      <x:c r="C119" s="94" t="str">
        <x:v>Google Ads</x:v>
      </x:c>
      <x:c r="D119" s="94" t="str">
        <x:v>日本</x:v>
      </x:c>
      <x:c r="E119" s="94" t="str">
        <x:v>GGL-C06</x:v>
      </x:c>
      <x:c r="F119" s="94" t="str">
        <x:v>购物广告</x:v>
      </x:c>
      <x:c r="G119" s="94" t="str">
        <x:v>折扣商品</x:v>
      </x:c>
      <x:c r="H119" s="94" t="str">
        <x:v>桌面端</x:v>
      </x:c>
      <x:c r="I119" s="94" t="str">
        <x:v>CPC</x:v>
      </x:c>
      <x:c r="J119" s="95" t="n">
        <x:v>1016</x:v>
      </x:c>
      <x:c r="K119" s="96" t="n">
        <x:f>IFERROR(L119/J119,0)</x:f>
        <x:v>0.04429133858267716</x:v>
      </x:c>
      <x:c r="L119" s="95" t="n">
        <x:v>45</x:v>
      </x:c>
      <x:c r="M119" s="97" t="n">
        <x:v>0.336</x:v>
      </x:c>
      <x:c r="N119" s="97" t="n">
        <x:f>ROUND(L119*M119,2)</x:f>
        <x:v>15.12</x:v>
      </x:c>
      <x:c r="O119" s="94" t="n">
        <x:v>8</x:v>
      </x:c>
      <x:c r="P119" s="94" t="str">
        <x:v>模拟：Google/Microsoft Ads采购导入</x:v>
      </x:c>
    </x:row>
    <x:row r="120">
      <x:c r="A120" s="92" t="str">
        <x:v>PROC-0119</x:v>
      </x:c>
      <x:c r="B120" s="93" t="n">
        <x:v>46044</x:v>
      </x:c>
      <x:c r="C120" s="94" t="str">
        <x:v>Google Ads</x:v>
      </x:c>
      <x:c r="D120" s="94" t="str">
        <x:v>英国</x:v>
      </x:c>
      <x:c r="E120" s="94" t="str">
        <x:v>GGL-C12</x:v>
      </x:c>
      <x:c r="F120" s="94" t="str">
        <x:v>品牌搜索</x:v>
      </x:c>
      <x:c r="G120" s="94" t="str">
        <x:v>品牌优惠词</x:v>
      </x:c>
      <x:c r="H120" s="94" t="str">
        <x:v>移动端</x:v>
      </x:c>
      <x:c r="I120" s="94" t="str">
        <x:v>CPC</x:v>
      </x:c>
      <x:c r="J120" s="95" t="n">
        <x:v>1227</x:v>
      </x:c>
      <x:c r="K120" s="96" t="n">
        <x:f>IFERROR(L120/J120,0)</x:f>
        <x:v>0.05460472697636512</x:v>
      </x:c>
      <x:c r="L120" s="95" t="n">
        <x:v>67</x:v>
      </x:c>
      <x:c r="M120" s="97" t="n">
        <x:v>0.1894</x:v>
      </x:c>
      <x:c r="N120" s="97" t="n">
        <x:f>ROUND(L120*M120,2)</x:f>
        <x:v>12.69</x:v>
      </x:c>
      <x:c r="O120" s="94" t="n">
        <x:v>10</x:v>
      </x:c>
      <x:c r="P120" s="94" t="str">
        <x:v>模拟：Google/Microsoft Ads采购导入</x:v>
      </x:c>
    </x:row>
    <x:row r="121">
      <x:c r="A121" s="92" t="str">
        <x:v>PROC-0120</x:v>
      </x:c>
      <x:c r="B121" s="93" t="n">
        <x:v>46044</x:v>
      </x:c>
      <x:c r="C121" s="94" t="str">
        <x:v>Google Ads</x:v>
      </x:c>
      <x:c r="D121" s="94" t="str">
        <x:v>英国</x:v>
      </x:c>
      <x:c r="E121" s="94" t="str">
        <x:v>GGL-C22</x:v>
      </x:c>
      <x:c r="F121" s="94" t="str">
        <x:v>竞品搜索</x:v>
      </x:c>
      <x:c r="G121" s="94" t="str">
        <x:v>替代品比较</x:v>
      </x:c>
      <x:c r="H121" s="94" t="str">
        <x:v>平板</x:v>
      </x:c>
      <x:c r="I121" s="94" t="str">
        <x:v>CPC</x:v>
      </x:c>
      <x:c r="J121" s="95" t="n">
        <x:v>818</x:v>
      </x:c>
      <x:c r="K121" s="96" t="n">
        <x:f>IFERROR(L121/J121,0)</x:f>
        <x:v>0.035452322738386305</x:v>
      </x:c>
      <x:c r="L121" s="95" t="n">
        <x:v>29</x:v>
      </x:c>
      <x:c r="M121" s="97" t="n">
        <x:v>0.4059</x:v>
      </x:c>
      <x:c r="N121" s="97" t="n">
        <x:f>ROUND(L121*M121,2)</x:f>
        <x:v>11.77</x:v>
      </x:c>
      <x:c r="O121" s="94" t="n">
        <x:v>6</x:v>
      </x:c>
      <x:c r="P121" s="94" t="str">
        <x:v>模拟：Google/Microsoft Ads采购导入</x:v>
      </x:c>
    </x:row>
    <x:row r="122">
      <x:c r="A122" s="92" t="str">
        <x:v>PROC-0121</x:v>
      </x:c>
      <x:c r="B122" s="93" t="n">
        <x:v>46044</x:v>
      </x:c>
      <x:c r="C122" s="94" t="str">
        <x:v>Google Ads</x:v>
      </x:c>
      <x:c r="D122" s="94" t="str">
        <x:v>日本</x:v>
      </x:c>
      <x:c r="E122" s="94" t="str">
        <x:v>GGL-C04</x:v>
      </x:c>
      <x:c r="F122" s="94" t="str">
        <x:v>通用搜索</x:v>
      </x:c>
      <x:c r="G122" s="94" t="str">
        <x:v>实用礼物</x:v>
      </x:c>
      <x:c r="H122" s="94" t="str">
        <x:v>平板</x:v>
      </x:c>
      <x:c r="I122" s="94" t="str">
        <x:v>CPC</x:v>
      </x:c>
      <x:c r="J122" s="95" t="n">
        <x:v>758</x:v>
      </x:c>
      <x:c r="K122" s="96" t="n">
        <x:f>IFERROR(L122/J122,0)</x:f>
        <x:v>0.03562005277044855</x:v>
      </x:c>
      <x:c r="L122" s="95" t="n">
        <x:v>27</x:v>
      </x:c>
      <x:c r="M122" s="97" t="n">
        <x:v>0.268</x:v>
      </x:c>
      <x:c r="N122" s="97" t="n">
        <x:f>ROUND(L122*M122,2)</x:f>
        <x:v>7.24</x:v>
      </x:c>
      <x:c r="O122" s="94" t="n">
        <x:v>8</x:v>
      </x:c>
      <x:c r="P122" s="94" t="str">
        <x:v>模拟：Google/Microsoft Ads采购导入</x:v>
      </x:c>
    </x:row>
    <x:row r="123">
      <x:c r="A123" s="92" t="str">
        <x:v>PROC-0122</x:v>
      </x:c>
      <x:c r="B123" s="93" t="n">
        <x:v>46044</x:v>
      </x:c>
      <x:c r="C123" s="94" t="str">
        <x:v>Google Ads</x:v>
      </x:c>
      <x:c r="D123" s="94" t="str">
        <x:v>日本</x:v>
      </x:c>
      <x:c r="E123" s="94" t="str">
        <x:v>GGL-C11</x:v>
      </x:c>
      <x:c r="F123" s="94" t="str">
        <x:v>购物广告</x:v>
      </x:c>
      <x:c r="G123" s="94" t="str">
        <x:v>畅销商品</x:v>
      </x:c>
      <x:c r="H123" s="94" t="str">
        <x:v>移动端</x:v>
      </x:c>
      <x:c r="I123" s="94" t="str">
        <x:v>CPC</x:v>
      </x:c>
      <x:c r="J123" s="95" t="n">
        <x:v>1526</x:v>
      </x:c>
      <x:c r="K123" s="96" t="n">
        <x:f>IFERROR(L123/J123,0)</x:f>
        <x:v>0.03473132372214941</x:v>
      </x:c>
      <x:c r="L123" s="95" t="n">
        <x:v>53</x:v>
      </x:c>
      <x:c r="M123" s="97" t="n">
        <x:v>0.318</x:v>
      </x:c>
      <x:c r="N123" s="97" t="n">
        <x:f>ROUND(L123*M123,2)</x:f>
        <x:v>16.85</x:v>
      </x:c>
      <x:c r="O123" s="94" t="n">
        <x:v>8</x:v>
      </x:c>
      <x:c r="P123" s="94" t="str">
        <x:v>模拟：Google/Microsoft Ads采购导入</x:v>
      </x:c>
    </x:row>
    <x:row r="124">
      <x:c r="A124" s="92" t="str">
        <x:v>PROC-0123</x:v>
      </x:c>
      <x:c r="B124" s="93" t="n">
        <x:v>46045</x:v>
      </x:c>
      <x:c r="C124" s="94" t="str">
        <x:v>Microsoft Ads</x:v>
      </x:c>
      <x:c r="D124" s="94" t="str">
        <x:v>美国</x:v>
      </x:c>
      <x:c r="E124" s="94" t="str">
        <x:v>MSA-C16</x:v>
      </x:c>
      <x:c r="F124" s="94" t="str">
        <x:v>通用搜索</x:v>
      </x:c>
      <x:c r="G124" s="94" t="str">
        <x:v>实用礼物</x:v>
      </x:c>
      <x:c r="H124" s="94" t="str">
        <x:v>桌面端</x:v>
      </x:c>
      <x:c r="I124" s="94" t="str">
        <x:v>CPC</x:v>
      </x:c>
      <x:c r="J124" s="95" t="n">
        <x:v>1286</x:v>
      </x:c>
      <x:c r="K124" s="96" t="n">
        <x:f>IFERROR(L124/J124,0)</x:f>
        <x:v>0.038102643856920686</x:v>
      </x:c>
      <x:c r="L124" s="95" t="n">
        <x:v>49</x:v>
      </x:c>
      <x:c r="M124" s="97" t="n">
        <x:v>0.2185</x:v>
      </x:c>
      <x:c r="N124" s="97" t="n">
        <x:f>ROUND(L124*M124,2)</x:f>
        <x:v>10.71</x:v>
      </x:c>
      <x:c r="O124" s="94" t="n">
        <x:v>8</x:v>
      </x:c>
      <x:c r="P124" s="94" t="str">
        <x:v>模拟：Google/Microsoft Ads采购导入</x:v>
      </x:c>
    </x:row>
    <x:row r="125">
      <x:c r="A125" s="92" t="str">
        <x:v>PROC-0124</x:v>
      </x:c>
      <x:c r="B125" s="93" t="n">
        <x:v>46045</x:v>
      </x:c>
      <x:c r="C125" s="94" t="str">
        <x:v>Google Ads</x:v>
      </x:c>
      <x:c r="D125" s="94" t="str">
        <x:v>美国</x:v>
      </x:c>
      <x:c r="E125" s="94" t="str">
        <x:v>GGL-C23</x:v>
      </x:c>
      <x:c r="F125" s="94" t="str">
        <x:v>通用搜索</x:v>
      </x:c>
      <x:c r="G125" s="94" t="str">
        <x:v>家庭必备</x:v>
      </x:c>
      <x:c r="H125" s="94" t="str">
        <x:v>移动端</x:v>
      </x:c>
      <x:c r="I125" s="94" t="str">
        <x:v>CPC</x:v>
      </x:c>
      <x:c r="J125" s="95" t="n">
        <x:v>1168</x:v>
      </x:c>
      <x:c r="K125" s="96" t="n">
        <x:f>IFERROR(L125/J125,0)</x:f>
        <x:v>0.04195205479452055</x:v>
      </x:c>
      <x:c r="L125" s="95" t="n">
        <x:v>49</x:v>
      </x:c>
      <x:c r="M125" s="97" t="n">
        <x:v>0.3886</x:v>
      </x:c>
      <x:c r="N125" s="97" t="n">
        <x:f>ROUND(L125*M125,2)</x:f>
        <x:v>19.04</x:v>
      </x:c>
      <x:c r="O125" s="94" t="n">
        <x:v>7</x:v>
      </x:c>
      <x:c r="P125" s="94" t="str">
        <x:v>模拟：Google/Microsoft Ads采购导入</x:v>
      </x:c>
    </x:row>
    <x:row r="126">
      <x:c r="A126" s="92" t="str">
        <x:v>PROC-0125</x:v>
      </x:c>
      <x:c r="B126" s="93" t="n">
        <x:v>46045</x:v>
      </x:c>
      <x:c r="C126" s="94" t="str">
        <x:v>Google Ads</x:v>
      </x:c>
      <x:c r="D126" s="94" t="str">
        <x:v>美国</x:v>
      </x:c>
      <x:c r="E126" s="94" t="str">
        <x:v>GGL-C09</x:v>
      </x:c>
      <x:c r="F126" s="94" t="str">
        <x:v>购物广告</x:v>
      </x:c>
      <x:c r="G126" s="94" t="str">
        <x:v>价格比较</x:v>
      </x:c>
      <x:c r="H126" s="94" t="str">
        <x:v>移动端</x:v>
      </x:c>
      <x:c r="I126" s="94" t="str">
        <x:v>CPC</x:v>
      </x:c>
      <x:c r="J126" s="95" t="n">
        <x:v>983</x:v>
      </x:c>
      <x:c r="K126" s="96" t="n">
        <x:f>IFERROR(L126/J126,0)</x:f>
        <x:v>0.04577822990844354</x:v>
      </x:c>
      <x:c r="L126" s="95" t="n">
        <x:v>45</x:v>
      </x:c>
      <x:c r="M126" s="97" t="n">
        <x:v>0.4297</x:v>
      </x:c>
      <x:c r="N126" s="97" t="n">
        <x:f>ROUND(L126*M126,2)</x:f>
        <x:v>19.34</x:v>
      </x:c>
      <x:c r="O126" s="94" t="n">
        <x:v>8</x:v>
      </x:c>
      <x:c r="P126" s="94" t="str">
        <x:v>模拟：Google/Microsoft Ads采购导入</x:v>
      </x:c>
    </x:row>
    <x:row r="127">
      <x:c r="A127" s="92" t="str">
        <x:v>PROC-0126</x:v>
      </x:c>
      <x:c r="B127" s="93" t="n">
        <x:v>46045</x:v>
      </x:c>
      <x:c r="C127" s="94" t="str">
        <x:v>Microsoft Ads</x:v>
      </x:c>
      <x:c r="D127" s="94" t="str">
        <x:v>美国</x:v>
      </x:c>
      <x:c r="E127" s="94" t="str">
        <x:v>MSA-C13</x:v>
      </x:c>
      <x:c r="F127" s="94" t="str">
        <x:v>通用搜索</x:v>
      </x:c>
      <x:c r="G127" s="94" t="str">
        <x:v>家庭必备</x:v>
      </x:c>
      <x:c r="H127" s="94" t="str">
        <x:v>移动端</x:v>
      </x:c>
      <x:c r="I127" s="94" t="str">
        <x:v>CPC</x:v>
      </x:c>
      <x:c r="J127" s="95" t="n">
        <x:v>1165</x:v>
      </x:c>
      <x:c r="K127" s="96" t="n">
        <x:f>IFERROR(L127/J127,0)</x:f>
        <x:v>0.04206008583690987</x:v>
      </x:c>
      <x:c r="L127" s="95" t="n">
        <x:v>49</x:v>
      </x:c>
      <x:c r="M127" s="97" t="n">
        <x:v>0.2587</x:v>
      </x:c>
      <x:c r="N127" s="97" t="n">
        <x:f>ROUND(L127*M127,2)</x:f>
        <x:v>12.68</x:v>
      </x:c>
      <x:c r="O127" s="94" t="n">
        <x:v>6</x:v>
      </x:c>
      <x:c r="P127" s="94" t="str">
        <x:v>模拟：Google/Microsoft Ads采购导入</x:v>
      </x:c>
    </x:row>
    <x:row r="128">
      <x:c r="A128" s="92" t="str">
        <x:v>PROC-0127</x:v>
      </x:c>
      <x:c r="B128" s="93" t="n">
        <x:v>46045</x:v>
      </x:c>
      <x:c r="C128" s="94" t="str">
        <x:v>Google Ads</x:v>
      </x:c>
      <x:c r="D128" s="94" t="str">
        <x:v>美国</x:v>
      </x:c>
      <x:c r="E128" s="94" t="str">
        <x:v>GGL-C22</x:v>
      </x:c>
      <x:c r="F128" s="94" t="str">
        <x:v>品牌搜索</x:v>
      </x:c>
      <x:c r="G128" s="94" t="str">
        <x:v>品牌评测词</x:v>
      </x:c>
      <x:c r="H128" s="94" t="str">
        <x:v>桌面端</x:v>
      </x:c>
      <x:c r="I128" s="94" t="str">
        <x:v>CPC</x:v>
      </x:c>
      <x:c r="J128" s="95" t="n">
        <x:v>980</x:v>
      </x:c>
      <x:c r="K128" s="96" t="n">
        <x:f>IFERROR(L128/J128,0)</x:f>
        <x:v>0.05408163265306123</x:v>
      </x:c>
      <x:c r="L128" s="95" t="n">
        <x:v>53</x:v>
      </x:c>
      <x:c r="M128" s="97" t="n">
        <x:v>0.2731</x:v>
      </x:c>
      <x:c r="N128" s="97" t="n">
        <x:f>ROUND(L128*M128,2)</x:f>
        <x:v>14.47</x:v>
      </x:c>
      <x:c r="O128" s="94" t="n">
        <x:v>7</x:v>
      </x:c>
      <x:c r="P128" s="94" t="str">
        <x:v>模拟：Google/Microsoft Ads采购导入</x:v>
      </x:c>
    </x:row>
    <x:row r="129">
      <x:c r="A129" s="92" t="str">
        <x:v>PROC-0128</x:v>
      </x:c>
      <x:c r="B129" s="93" t="n">
        <x:v>46045</x:v>
      </x:c>
      <x:c r="C129" s="94" t="str">
        <x:v>Google Ads</x:v>
      </x:c>
      <x:c r="D129" s="94" t="str">
        <x:v>德国</x:v>
      </x:c>
      <x:c r="E129" s="94" t="str">
        <x:v>GGL-C03</x:v>
      </x:c>
      <x:c r="F129" s="94" t="str">
        <x:v>品牌搜索</x:v>
      </x:c>
      <x:c r="G129" s="94" t="str">
        <x:v>品牌评测词</x:v>
      </x:c>
      <x:c r="H129" s="94" t="str">
        <x:v>移动端</x:v>
      </x:c>
      <x:c r="I129" s="94" t="str">
        <x:v>CPC</x:v>
      </x:c>
      <x:c r="J129" s="95" t="n">
        <x:v>635</x:v>
      </x:c>
      <x:c r="K129" s="96" t="n">
        <x:f>IFERROR(L129/J129,0)</x:f>
        <x:v>0.05354330708661417</x:v>
      </x:c>
      <x:c r="L129" s="95" t="n">
        <x:v>34</x:v>
      </x:c>
      <x:c r="M129" s="97" t="n">
        <x:v>0.2166</x:v>
      </x:c>
      <x:c r="N129" s="97" t="n">
        <x:f>ROUND(L129*M129,2)</x:f>
        <x:v>7.36</x:v>
      </x:c>
      <x:c r="O129" s="94" t="n">
        <x:v>8</x:v>
      </x:c>
      <x:c r="P129" s="94" t="str">
        <x:v>模拟：Google/Microsoft Ads采购导入</x:v>
      </x:c>
    </x:row>
    <x:row r="130">
      <x:c r="A130" s="92" t="str">
        <x:v>PROC-0129</x:v>
      </x:c>
      <x:c r="B130" s="93" t="n">
        <x:v>46046</x:v>
      </x:c>
      <x:c r="C130" s="94" t="str">
        <x:v>Google Ads</x:v>
      </x:c>
      <x:c r="D130" s="94" t="str">
        <x:v>美国</x:v>
      </x:c>
      <x:c r="E130" s="94" t="str">
        <x:v>GGL-C13</x:v>
      </x:c>
      <x:c r="F130" s="94" t="str">
        <x:v>通用搜索</x:v>
      </x:c>
      <x:c r="G130" s="94" t="str">
        <x:v>家庭必备</x:v>
      </x:c>
      <x:c r="H130" s="94" t="str">
        <x:v>移动端</x:v>
      </x:c>
      <x:c r="I130" s="94" t="str">
        <x:v>CPC</x:v>
      </x:c>
      <x:c r="J130" s="95" t="n">
        <x:v>1067</x:v>
      </x:c>
      <x:c r="K130" s="96" t="n">
        <x:f>IFERROR(L130/J130,0)</x:f>
        <x:v>0.04217432052483599</x:v>
      </x:c>
      <x:c r="L130" s="95" t="n">
        <x:v>45</x:v>
      </x:c>
      <x:c r="M130" s="97" t="n">
        <x:v>0.322</x:v>
      </x:c>
      <x:c r="N130" s="97" t="n">
        <x:f>ROUND(L130*M130,2)</x:f>
        <x:v>14.49</x:v>
      </x:c>
      <x:c r="O130" s="94" t="n">
        <x:v>8</x:v>
      </x:c>
      <x:c r="P130" s="94" t="str">
        <x:v>模拟：Google/Microsoft Ads采购导入</x:v>
      </x:c>
    </x:row>
    <x:row r="131">
      <x:c r="A131" s="92" t="str">
        <x:v>PROC-0130</x:v>
      </x:c>
      <x:c r="B131" s="93" t="n">
        <x:v>46046</x:v>
      </x:c>
      <x:c r="C131" s="94" t="str">
        <x:v>Microsoft Ads</x:v>
      </x:c>
      <x:c r="D131" s="94" t="str">
        <x:v>日本</x:v>
      </x:c>
      <x:c r="E131" s="94" t="str">
        <x:v>MSA-C17</x:v>
      </x:c>
      <x:c r="F131" s="94" t="str">
        <x:v>购物广告</x:v>
      </x:c>
      <x:c r="G131" s="94" t="str">
        <x:v>高评分商品</x:v>
      </x:c>
      <x:c r="H131" s="94" t="str">
        <x:v>移动端</x:v>
      </x:c>
      <x:c r="I131" s="94" t="str">
        <x:v>CPC</x:v>
      </x:c>
      <x:c r="J131" s="95" t="n">
        <x:v>1405</x:v>
      </x:c>
      <x:c r="K131" s="96" t="n">
        <x:f>IFERROR(L131/J131,0)</x:f>
        <x:v>0.044839857651245554</x:v>
      </x:c>
      <x:c r="L131" s="95" t="n">
        <x:v>63</x:v>
      </x:c>
      <x:c r="M131" s="97" t="n">
        <x:v>0.2241</x:v>
      </x:c>
      <x:c r="N131" s="97" t="n">
        <x:f>ROUND(L131*M131,2)</x:f>
        <x:v>14.12</x:v>
      </x:c>
      <x:c r="O131" s="94" t="n">
        <x:v>7</x:v>
      </x:c>
      <x:c r="P131" s="94" t="str">
        <x:v>模拟：Google/Microsoft Ads采购导入</x:v>
      </x:c>
    </x:row>
    <x:row r="132">
      <x:c r="A132" s="92" t="str">
        <x:v>PROC-0131</x:v>
      </x:c>
      <x:c r="B132" s="93" t="n">
        <x:v>46046</x:v>
      </x:c>
      <x:c r="C132" s="94" t="str">
        <x:v>Google Ads</x:v>
      </x:c>
      <x:c r="D132" s="94" t="str">
        <x:v>德国</x:v>
      </x:c>
      <x:c r="E132" s="94" t="str">
        <x:v>GGL-C01</x:v>
      </x:c>
      <x:c r="F132" s="94" t="str">
        <x:v>竞品搜索</x:v>
      </x:c>
      <x:c r="G132" s="94" t="str">
        <x:v>竞品评测</x:v>
      </x:c>
      <x:c r="H132" s="94" t="str">
        <x:v>移动端</x:v>
      </x:c>
      <x:c r="I132" s="94" t="str">
        <x:v>CPC</x:v>
      </x:c>
      <x:c r="J132" s="95" t="n">
        <x:v>688</x:v>
      </x:c>
      <x:c r="K132" s="96" t="n">
        <x:f>IFERROR(L132/J132,0)</x:f>
        <x:v>0.03197674418604651</x:v>
      </x:c>
      <x:c r="L132" s="95" t="n">
        <x:v>22</x:v>
      </x:c>
      <x:c r="M132" s="97" t="n">
        <x:v>0.3805</x:v>
      </x:c>
      <x:c r="N132" s="97" t="n">
        <x:f>ROUND(L132*M132,2)</x:f>
        <x:v>8.37</x:v>
      </x:c>
      <x:c r="O132" s="94" t="n">
        <x:v>7</x:v>
      </x:c>
      <x:c r="P132" s="94" t="str">
        <x:v>模拟：Google/Microsoft Ads采购导入</x:v>
      </x:c>
    </x:row>
    <x:row r="133">
      <x:c r="A133" s="92" t="str">
        <x:v>PROC-0132</x:v>
      </x:c>
      <x:c r="B133" s="93" t="n">
        <x:v>46046</x:v>
      </x:c>
      <x:c r="C133" s="94" t="str">
        <x:v>Microsoft Ads</x:v>
      </x:c>
      <x:c r="D133" s="94" t="str">
        <x:v>英国</x:v>
      </x:c>
      <x:c r="E133" s="94" t="str">
        <x:v>MSA-C10</x:v>
      </x:c>
      <x:c r="F133" s="94" t="str">
        <x:v>通用搜索</x:v>
      </x:c>
      <x:c r="G133" s="94" t="str">
        <x:v>高性价比商品</x:v>
      </x:c>
      <x:c r="H133" s="94" t="str">
        <x:v>桌面端</x:v>
      </x:c>
      <x:c r="I133" s="94" t="str">
        <x:v>CPC</x:v>
      </x:c>
      <x:c r="J133" s="95" t="n">
        <x:v>1091</x:v>
      </x:c>
      <x:c r="K133" s="96" t="n">
        <x:f>IFERROR(L133/J133,0)</x:f>
        <x:v>0.034830430797433545</x:v>
      </x:c>
      <x:c r="L133" s="95" t="n">
        <x:v>38</x:v>
      </x:c>
      <x:c r="M133" s="97" t="n">
        <x:v>0.2463</x:v>
      </x:c>
      <x:c r="N133" s="97" t="n">
        <x:f>ROUND(L133*M133,2)</x:f>
        <x:v>9.36</x:v>
      </x:c>
      <x:c r="O133" s="94" t="n">
        <x:v>7</x:v>
      </x:c>
      <x:c r="P133" s="94" t="str">
        <x:v>模拟：Google/Microsoft Ads采购导入</x:v>
      </x:c>
    </x:row>
    <x:row r="134">
      <x:c r="A134" s="92" t="str">
        <x:v>PROC-0133</x:v>
      </x:c>
      <x:c r="B134" s="93" t="n">
        <x:v>46046</x:v>
      </x:c>
      <x:c r="C134" s="94" t="str">
        <x:v>Google Ads</x:v>
      </x:c>
      <x:c r="D134" s="94" t="str">
        <x:v>德国</x:v>
      </x:c>
      <x:c r="E134" s="94" t="str">
        <x:v>GGL-C15</x:v>
      </x:c>
      <x:c r="F134" s="94" t="str">
        <x:v>品牌搜索</x:v>
      </x:c>
      <x:c r="G134" s="94" t="str">
        <x:v>品牌评测词</x:v>
      </x:c>
      <x:c r="H134" s="94" t="str">
        <x:v>移动端</x:v>
      </x:c>
      <x:c r="I134" s="94" t="str">
        <x:v>CPC</x:v>
      </x:c>
      <x:c r="J134" s="95" t="n">
        <x:v>1084</x:v>
      </x:c>
      <x:c r="K134" s="96" t="n">
        <x:f>IFERROR(L134/J134,0)</x:f>
        <x:v>0.04981549815498155</x:v>
      </x:c>
      <x:c r="L134" s="95" t="n">
        <x:v>54</x:v>
      </x:c>
      <x:c r="M134" s="97" t="n">
        <x:v>0.2087</x:v>
      </x:c>
      <x:c r="N134" s="97" t="n">
        <x:f>ROUND(L134*M134,2)</x:f>
        <x:v>11.27</x:v>
      </x:c>
      <x:c r="O134" s="94" t="n">
        <x:v>7</x:v>
      </x:c>
      <x:c r="P134" s="94" t="str">
        <x:v>模拟：Google/Microsoft Ads采购导入</x:v>
      </x:c>
    </x:row>
    <x:row r="135">
      <x:c r="A135" s="92" t="str">
        <x:v>PROC-0134</x:v>
      </x:c>
      <x:c r="B135" s="93" t="n">
        <x:v>46047</x:v>
      </x:c>
      <x:c r="C135" s="94" t="str">
        <x:v>Google Ads</x:v>
      </x:c>
      <x:c r="D135" s="94" t="str">
        <x:v>美国</x:v>
      </x:c>
      <x:c r="E135" s="94" t="str">
        <x:v>GGL-C20</x:v>
      </x:c>
      <x:c r="F135" s="94" t="str">
        <x:v>品牌搜索</x:v>
      </x:c>
      <x:c r="G135" s="94" t="str">
        <x:v>品牌评测词</x:v>
      </x:c>
      <x:c r="H135" s="94" t="str">
        <x:v>移动端</x:v>
      </x:c>
      <x:c r="I135" s="94" t="str">
        <x:v>CPC</x:v>
      </x:c>
      <x:c r="J135" s="95" t="n">
        <x:v>951</x:v>
      </x:c>
      <x:c r="K135" s="96" t="n">
        <x:f>IFERROR(L135/J135,0)</x:f>
        <x:v>0.058885383806519455</x:v>
      </x:c>
      <x:c r="L135" s="95" t="n">
        <x:v>56</x:v>
      </x:c>
      <x:c r="M135" s="97" t="n">
        <x:v>0.2605</x:v>
      </x:c>
      <x:c r="N135" s="97" t="n">
        <x:f>ROUND(L135*M135,2)</x:f>
        <x:v>14.59</x:v>
      </x:c>
      <x:c r="O135" s="94" t="n">
        <x:v>10</x:v>
      </x:c>
      <x:c r="P135" s="94" t="str">
        <x:v>模拟：Google/Microsoft Ads采购导入</x:v>
      </x:c>
    </x:row>
    <x:row r="136">
      <x:c r="A136" s="92" t="str">
        <x:v>PROC-0135</x:v>
      </x:c>
      <x:c r="B136" s="93" t="n">
        <x:v>46047</x:v>
      </x:c>
      <x:c r="C136" s="94" t="str">
        <x:v>Google Ads</x:v>
      </x:c>
      <x:c r="D136" s="94" t="str">
        <x:v>美国</x:v>
      </x:c>
      <x:c r="E136" s="94" t="str">
        <x:v>GGL-C07</x:v>
      </x:c>
      <x:c r="F136" s="94" t="str">
        <x:v>品牌搜索</x:v>
      </x:c>
      <x:c r="G136" s="94" t="str">
        <x:v>品牌型号词</x:v>
      </x:c>
      <x:c r="H136" s="94" t="str">
        <x:v>桌面端</x:v>
      </x:c>
      <x:c r="I136" s="94" t="str">
        <x:v>CPC</x:v>
      </x:c>
      <x:c r="J136" s="95" t="n">
        <x:v>875</x:v>
      </x:c>
      <x:c r="K136" s="96" t="n">
        <x:f>IFERROR(L136/J136,0)</x:f>
        <x:v>0.054857142857142854</x:v>
      </x:c>
      <x:c r="L136" s="95" t="n">
        <x:v>48</x:v>
      </x:c>
      <x:c r="M136" s="97" t="n">
        <x:v>0.2644</x:v>
      </x:c>
      <x:c r="N136" s="97" t="n">
        <x:f>ROUND(L136*M136,2)</x:f>
        <x:v>12.69</x:v>
      </x:c>
      <x:c r="O136" s="94" t="n">
        <x:v>10</x:v>
      </x:c>
      <x:c r="P136" s="94" t="str">
        <x:v>模拟：Google/Microsoft Ads采购导入</x:v>
      </x:c>
    </x:row>
    <x:row r="137">
      <x:c r="A137" s="92" t="str">
        <x:v>PROC-0136</x:v>
      </x:c>
      <x:c r="B137" s="93" t="n">
        <x:v>46047</x:v>
      </x:c>
      <x:c r="C137" s="94" t="str">
        <x:v>Google Ads</x:v>
      </x:c>
      <x:c r="D137" s="94" t="str">
        <x:v>美国</x:v>
      </x:c>
      <x:c r="E137" s="94" t="str">
        <x:v>GGL-C11</x:v>
      </x:c>
      <x:c r="F137" s="94" t="str">
        <x:v>品牌搜索</x:v>
      </x:c>
      <x:c r="G137" s="94" t="str">
        <x:v>品牌型号词</x:v>
      </x:c>
      <x:c r="H137" s="94" t="str">
        <x:v>移动端</x:v>
      </x:c>
      <x:c r="I137" s="94" t="str">
        <x:v>CPC</x:v>
      </x:c>
      <x:c r="J137" s="95" t="n">
        <x:v>1233</x:v>
      </x:c>
      <x:c r="K137" s="96" t="n">
        <x:f>IFERROR(L137/J137,0)</x:f>
        <x:v>0.0535279805352798</x:v>
      </x:c>
      <x:c r="L137" s="95" t="n">
        <x:v>66</x:v>
      </x:c>
      <x:c r="M137" s="97" t="n">
        <x:v>0.2492</x:v>
      </x:c>
      <x:c r="N137" s="97" t="n">
        <x:f>ROUND(L137*M137,2)</x:f>
        <x:v>16.45</x:v>
      </x:c>
      <x:c r="O137" s="94" t="n">
        <x:v>7</x:v>
      </x:c>
      <x:c r="P137" s="94" t="str">
        <x:v>模拟：Google/Microsoft Ads采购导入</x:v>
      </x:c>
    </x:row>
    <x:row r="138">
      <x:c r="A138" s="92" t="str">
        <x:v>PROC-0137</x:v>
      </x:c>
      <x:c r="B138" s="93" t="n">
        <x:v>46047</x:v>
      </x:c>
      <x:c r="C138" s="94" t="str">
        <x:v>Google Ads</x:v>
      </x:c>
      <x:c r="D138" s="94" t="str">
        <x:v>德国</x:v>
      </x:c>
      <x:c r="E138" s="94" t="str">
        <x:v>GGL-C19</x:v>
      </x:c>
      <x:c r="F138" s="94" t="str">
        <x:v>通用搜索</x:v>
      </x:c>
      <x:c r="G138" s="94" t="str">
        <x:v>热门新品</x:v>
      </x:c>
      <x:c r="H138" s="94" t="str">
        <x:v>移动端</x:v>
      </x:c>
      <x:c r="I138" s="94" t="str">
        <x:v>CPC</x:v>
      </x:c>
      <x:c r="J138" s="95" t="n">
        <x:v>1333</x:v>
      </x:c>
      <x:c r="K138" s="96" t="n">
        <x:f>IFERROR(L138/J138,0)</x:f>
        <x:v>0.03075768942235559</x:v>
      </x:c>
      <x:c r="L138" s="95" t="n">
        <x:v>41</x:v>
      </x:c>
      <x:c r="M138" s="97" t="n">
        <x:v>0.3019</x:v>
      </x:c>
      <x:c r="N138" s="97" t="n">
        <x:f>ROUND(L138*M138,2)</x:f>
        <x:v>12.38</x:v>
      </x:c>
      <x:c r="O138" s="94" t="n">
        <x:v>8</x:v>
      </x:c>
      <x:c r="P138" s="94" t="str">
        <x:v>模拟：Google/Microsoft Ads采购导入</x:v>
      </x:c>
    </x:row>
    <x:row r="139">
      <x:c r="A139" s="92" t="str">
        <x:v>PROC-0138</x:v>
      </x:c>
      <x:c r="B139" s="93" t="n">
        <x:v>46047</x:v>
      </x:c>
      <x:c r="C139" s="94" t="str">
        <x:v>Microsoft Ads</x:v>
      </x:c>
      <x:c r="D139" s="94" t="str">
        <x:v>英国</x:v>
      </x:c>
      <x:c r="E139" s="94" t="str">
        <x:v>MSA-C24</x:v>
      </x:c>
      <x:c r="F139" s="94" t="str">
        <x:v>购物广告</x:v>
      </x:c>
      <x:c r="G139" s="94" t="str">
        <x:v>快速配送</x:v>
      </x:c>
      <x:c r="H139" s="94" t="str">
        <x:v>桌面端</x:v>
      </x:c>
      <x:c r="I139" s="94" t="str">
        <x:v>CPC</x:v>
      </x:c>
      <x:c r="J139" s="95" t="n">
        <x:v>1574</x:v>
      </x:c>
      <x:c r="K139" s="96" t="n">
        <x:f>IFERROR(L139/J139,0)</x:f>
        <x:v>0.045743329097839895</x:v>
      </x:c>
      <x:c r="L139" s="95" t="n">
        <x:v>72</x:v>
      </x:c>
      <x:c r="M139" s="97" t="n">
        <x:v>0.2156</x:v>
      </x:c>
      <x:c r="N139" s="97" t="n">
        <x:f>ROUND(L139*M139,2)</x:f>
        <x:v>15.52</x:v>
      </x:c>
      <x:c r="O139" s="94" t="n">
        <x:v>6</x:v>
      </x:c>
      <x:c r="P139" s="94" t="str">
        <x:v>模拟：Google/Microsoft Ads采购导入</x:v>
      </x:c>
    </x:row>
    <x:row r="140">
      <x:c r="A140" s="92" t="str">
        <x:v>PROC-0139</x:v>
      </x:c>
      <x:c r="B140" s="93" t="n">
        <x:v>46047</x:v>
      </x:c>
      <x:c r="C140" s="94" t="str">
        <x:v>Microsoft Ads</x:v>
      </x:c>
      <x:c r="D140" s="94" t="str">
        <x:v>德国</x:v>
      </x:c>
      <x:c r="E140" s="94" t="str">
        <x:v>MSA-C11</x:v>
      </x:c>
      <x:c r="F140" s="94" t="str">
        <x:v>竞品搜索</x:v>
      </x:c>
      <x:c r="G140" s="94" t="str">
        <x:v>同类产品对比</x:v>
      </x:c>
      <x:c r="H140" s="94" t="str">
        <x:v>移动端</x:v>
      </x:c>
      <x:c r="I140" s="94" t="str">
        <x:v>CPC</x:v>
      </x:c>
      <x:c r="J140" s="95" t="n">
        <x:v>926</x:v>
      </x:c>
      <x:c r="K140" s="96" t="n">
        <x:f>IFERROR(L140/J140,0)</x:f>
        <x:v>0.03023758099352052</x:v>
      </x:c>
      <x:c r="L140" s="95" t="n">
        <x:v>28</x:v>
      </x:c>
      <x:c r="M140" s="97" t="n">
        <x:v>0.2701</x:v>
      </x:c>
      <x:c r="N140" s="97" t="n">
        <x:f>ROUND(L140*M140,2)</x:f>
        <x:v>7.56</x:v>
      </x:c>
      <x:c r="O140" s="94" t="n">
        <x:v>6</x:v>
      </x:c>
      <x:c r="P140" s="94" t="str">
        <x:v>模拟：Google/Microsoft Ads采购导入</x:v>
      </x:c>
    </x:row>
    <x:row r="141">
      <x:c r="A141" s="92" t="str">
        <x:v>PROC-0140</x:v>
      </x:c>
      <x:c r="B141" s="93" t="n">
        <x:v>46048</x:v>
      </x:c>
      <x:c r="C141" s="94" t="str">
        <x:v>Microsoft Ads</x:v>
      </x:c>
      <x:c r="D141" s="94" t="str">
        <x:v>美国</x:v>
      </x:c>
      <x:c r="E141" s="94" t="str">
        <x:v>MSA-C17</x:v>
      </x:c>
      <x:c r="F141" s="94" t="str">
        <x:v>购物广告</x:v>
      </x:c>
      <x:c r="G141" s="94" t="str">
        <x:v>畅销商品</x:v>
      </x:c>
      <x:c r="H141" s="94" t="str">
        <x:v>桌面端</x:v>
      </x:c>
      <x:c r="I141" s="94" t="str">
        <x:v>CPC</x:v>
      </x:c>
      <x:c r="J141" s="95" t="n">
        <x:v>1193</x:v>
      </x:c>
      <x:c r="K141" s="96" t="n">
        <x:f>IFERROR(L141/J141,0)</x:f>
        <x:v>0.04694048616932104</x:v>
      </x:c>
      <x:c r="L141" s="95" t="n">
        <x:v>56</x:v>
      </x:c>
      <x:c r="M141" s="97" t="n">
        <x:v>0.3134</x:v>
      </x:c>
      <x:c r="N141" s="97" t="n">
        <x:f>ROUND(L141*M141,2)</x:f>
        <x:v>17.55</x:v>
      </x:c>
      <x:c r="O141" s="94" t="n">
        <x:v>8</x:v>
      </x:c>
      <x:c r="P141" s="94" t="str">
        <x:v>模拟：Google/Microsoft Ads采购导入</x:v>
      </x:c>
    </x:row>
    <x:row r="142">
      <x:c r="A142" s="92" t="str">
        <x:v>PROC-0141</x:v>
      </x:c>
      <x:c r="B142" s="93" t="n">
        <x:v>46048</x:v>
      </x:c>
      <x:c r="C142" s="94" t="str">
        <x:v>Microsoft Ads</x:v>
      </x:c>
      <x:c r="D142" s="94" t="str">
        <x:v>英国</x:v>
      </x:c>
      <x:c r="E142" s="94" t="str">
        <x:v>MSA-C21</x:v>
      </x:c>
      <x:c r="F142" s="94" t="str">
        <x:v>购物广告</x:v>
      </x:c>
      <x:c r="G142" s="94" t="str">
        <x:v>快速配送</x:v>
      </x:c>
      <x:c r="H142" s="94" t="str">
        <x:v>移动端</x:v>
      </x:c>
      <x:c r="I142" s="94" t="str">
        <x:v>CPC</x:v>
      </x:c>
      <x:c r="J142" s="95" t="n">
        <x:v>795</x:v>
      </x:c>
      <x:c r="K142" s="96" t="n">
        <x:f>IFERROR(L142/J142,0)</x:f>
        <x:v>0.03773584905660377</x:v>
      </x:c>
      <x:c r="L142" s="95" t="n">
        <x:v>30</x:v>
      </x:c>
      <x:c r="M142" s="97" t="n">
        <x:v>0.2242</x:v>
      </x:c>
      <x:c r="N142" s="97" t="n">
        <x:f>ROUND(L142*M142,2)</x:f>
        <x:v>6.73</x:v>
      </x:c>
      <x:c r="O142" s="94" t="n">
        <x:v>8</x:v>
      </x:c>
      <x:c r="P142" s="94" t="str">
        <x:v>模拟：Google/Microsoft Ads采购导入</x:v>
      </x:c>
    </x:row>
    <x:row r="143">
      <x:c r="A143" s="92" t="str">
        <x:v>PROC-0142</x:v>
      </x:c>
      <x:c r="B143" s="93" t="n">
        <x:v>46048</x:v>
      </x:c>
      <x:c r="C143" s="94" t="str">
        <x:v>Microsoft Ads</x:v>
      </x:c>
      <x:c r="D143" s="94" t="str">
        <x:v>美国</x:v>
      </x:c>
      <x:c r="E143" s="94" t="str">
        <x:v>MSA-C04</x:v>
      </x:c>
      <x:c r="F143" s="94" t="str">
        <x:v>通用搜索</x:v>
      </x:c>
      <x:c r="G143" s="94" t="str">
        <x:v>热门新品</x:v>
      </x:c>
      <x:c r="H143" s="94" t="str">
        <x:v>桌面端</x:v>
      </x:c>
      <x:c r="I143" s="94" t="str">
        <x:v>CPC</x:v>
      </x:c>
      <x:c r="J143" s="95" t="n">
        <x:v>710</x:v>
      </x:c>
      <x:c r="K143" s="96" t="n">
        <x:f>IFERROR(L143/J143,0)</x:f>
        <x:v>0.03380281690140845</x:v>
      </x:c>
      <x:c r="L143" s="95" t="n">
        <x:v>24</x:v>
      </x:c>
      <x:c r="M143" s="97" t="n">
        <x:v>0.2148</x:v>
      </x:c>
      <x:c r="N143" s="97" t="n">
        <x:f>ROUND(L143*M143,2)</x:f>
        <x:v>5.16</x:v>
      </x:c>
      <x:c r="O143" s="94" t="n">
        <x:v>8</x:v>
      </x:c>
      <x:c r="P143" s="94" t="str">
        <x:v>模拟：Google/Microsoft Ads采购导入</x:v>
      </x:c>
    </x:row>
    <x:row r="144">
      <x:c r="A144" s="92" t="str">
        <x:v>PROC-0143</x:v>
      </x:c>
      <x:c r="B144" s="93" t="n">
        <x:v>46048</x:v>
      </x:c>
      <x:c r="C144" s="94" t="str">
        <x:v>Microsoft Ads</x:v>
      </x:c>
      <x:c r="D144" s="94" t="str">
        <x:v>德国</x:v>
      </x:c>
      <x:c r="E144" s="94" t="str">
        <x:v>MSA-C15</x:v>
      </x:c>
      <x:c r="F144" s="94" t="str">
        <x:v>品牌搜索</x:v>
      </x:c>
      <x:c r="G144" s="94" t="str">
        <x:v>品牌评测词</x:v>
      </x:c>
      <x:c r="H144" s="94" t="str">
        <x:v>移动端</x:v>
      </x:c>
      <x:c r="I144" s="94" t="str">
        <x:v>CPC</x:v>
      </x:c>
      <x:c r="J144" s="95" t="n">
        <x:v>1349</x:v>
      </x:c>
      <x:c r="K144" s="96" t="n">
        <x:f>IFERROR(L144/J144,0)</x:f>
        <x:v>0.05782060785767235</x:v>
      </x:c>
      <x:c r="L144" s="95" t="n">
        <x:v>78</x:v>
      </x:c>
      <x:c r="M144" s="97" t="n">
        <x:v>0.138</x:v>
      </x:c>
      <x:c r="N144" s="97" t="n">
        <x:f>ROUND(L144*M144,2)</x:f>
        <x:v>10.76</x:v>
      </x:c>
      <x:c r="O144" s="94" t="n">
        <x:v>10</x:v>
      </x:c>
      <x:c r="P144" s="94" t="str">
        <x:v>模拟：Google/Microsoft Ads采购导入</x:v>
      </x:c>
    </x:row>
    <x:row r="145">
      <x:c r="A145" s="92" t="str">
        <x:v>PROC-0144</x:v>
      </x:c>
      <x:c r="B145" s="93" t="n">
        <x:v>46048</x:v>
      </x:c>
      <x:c r="C145" s="94" t="str">
        <x:v>Google Ads</x:v>
      </x:c>
      <x:c r="D145" s="94" t="str">
        <x:v>英国</x:v>
      </x:c>
      <x:c r="E145" s="94" t="str">
        <x:v>GGL-C21</x:v>
      </x:c>
      <x:c r="F145" s="94" t="str">
        <x:v>竞品搜索</x:v>
      </x:c>
      <x:c r="G145" s="94" t="str">
        <x:v>竞品评测</x:v>
      </x:c>
      <x:c r="H145" s="94" t="str">
        <x:v>移动端</x:v>
      </x:c>
      <x:c r="I145" s="94" t="str">
        <x:v>CPC</x:v>
      </x:c>
      <x:c r="J145" s="95" t="n">
        <x:v>1150</x:v>
      </x:c>
      <x:c r="K145" s="96" t="n">
        <x:f>IFERROR(L145/J145,0)</x:f>
        <x:v>0.028695652173913042</x:v>
      </x:c>
      <x:c r="L145" s="95" t="n">
        <x:v>33</x:v>
      </x:c>
      <x:c r="M145" s="97" t="n">
        <x:v>0.3874</x:v>
      </x:c>
      <x:c r="N145" s="97" t="n">
        <x:f>ROUND(L145*M145,2)</x:f>
        <x:v>12.78</x:v>
      </x:c>
      <x:c r="O145" s="94" t="n">
        <x:v>7</x:v>
      </x:c>
      <x:c r="P145" s="94" t="str">
        <x:v>模拟：Google/Microsoft Ads采购导入</x:v>
      </x:c>
    </x:row>
    <x:row r="146">
      <x:c r="A146" s="92" t="str">
        <x:v>PROC-0145</x:v>
      </x:c>
      <x:c r="B146" s="93" t="n">
        <x:v>46049</x:v>
      </x:c>
      <x:c r="C146" s="94" t="str">
        <x:v>Google Ads</x:v>
      </x:c>
      <x:c r="D146" s="94" t="str">
        <x:v>德国</x:v>
      </x:c>
      <x:c r="E146" s="94" t="str">
        <x:v>GGL-C04</x:v>
      </x:c>
      <x:c r="F146" s="94" t="str">
        <x:v>通用搜索</x:v>
      </x:c>
      <x:c r="G146" s="94" t="str">
        <x:v>专业精选</x:v>
      </x:c>
      <x:c r="H146" s="94" t="str">
        <x:v>桌面端</x:v>
      </x:c>
      <x:c r="I146" s="94" t="str">
        <x:v>CPC</x:v>
      </x:c>
      <x:c r="J146" s="95" t="n">
        <x:v>749</x:v>
      </x:c>
      <x:c r="K146" s="96" t="n">
        <x:f>IFERROR(L146/J146,0)</x:f>
        <x:v>0.036048064085447265</x:v>
      </x:c>
      <x:c r="L146" s="95" t="n">
        <x:v>27</x:v>
      </x:c>
      <x:c r="M146" s="97" t="n">
        <x:v>0.2708</x:v>
      </x:c>
      <x:c r="N146" s="97" t="n">
        <x:f>ROUND(L146*M146,2)</x:f>
        <x:v>7.31</x:v>
      </x:c>
      <x:c r="O146" s="94" t="n">
        <x:v>6</x:v>
      </x:c>
      <x:c r="P146" s="94" t="str">
        <x:v>模拟：Google/Microsoft Ads采购导入</x:v>
      </x:c>
    </x:row>
    <x:row r="147">
      <x:c r="A147" s="92" t="str">
        <x:v>PROC-0146</x:v>
      </x:c>
      <x:c r="B147" s="93" t="n">
        <x:v>46049</x:v>
      </x:c>
      <x:c r="C147" s="94" t="str">
        <x:v>Google Ads</x:v>
      </x:c>
      <x:c r="D147" s="94" t="str">
        <x:v>英国</x:v>
      </x:c>
      <x:c r="E147" s="94" t="str">
        <x:v>GGL-C08</x:v>
      </x:c>
      <x:c r="F147" s="94" t="str">
        <x:v>竞品搜索</x:v>
      </x:c>
      <x:c r="G147" s="94" t="str">
        <x:v>更优选择</x:v>
      </x:c>
      <x:c r="H147" s="94" t="str">
        <x:v>移动端</x:v>
      </x:c>
      <x:c r="I147" s="94" t="str">
        <x:v>CPC</x:v>
      </x:c>
      <x:c r="J147" s="95" t="n">
        <x:v>527</x:v>
      </x:c>
      <x:c r="K147" s="96" t="n">
        <x:f>IFERROR(L147/J147,0)</x:f>
        <x:v>0.03415559772296015</x:v>
      </x:c>
      <x:c r="L147" s="95" t="n">
        <x:v>18</x:v>
      </x:c>
      <x:c r="M147" s="97" t="n">
        <x:v>0.3864</x:v>
      </x:c>
      <x:c r="N147" s="97" t="n">
        <x:f>ROUND(L147*M147,2)</x:f>
        <x:v>6.96</x:v>
      </x:c>
      <x:c r="O147" s="94" t="n">
        <x:v>8</x:v>
      </x:c>
      <x:c r="P147" s="94" t="str">
        <x:v>模拟：Google/Microsoft Ads采购导入</x:v>
      </x:c>
    </x:row>
    <x:row r="148">
      <x:c r="A148" s="92" t="str">
        <x:v>PROC-0147</x:v>
      </x:c>
      <x:c r="B148" s="93" t="n">
        <x:v>46049</x:v>
      </x:c>
      <x:c r="C148" s="94" t="str">
        <x:v>Google Ads</x:v>
      </x:c>
      <x:c r="D148" s="94" t="str">
        <x:v>英国</x:v>
      </x:c>
      <x:c r="E148" s="94" t="str">
        <x:v>GGL-C15</x:v>
      </x:c>
      <x:c r="F148" s="94" t="str">
        <x:v>购物广告</x:v>
      </x:c>
      <x:c r="G148" s="94" t="str">
        <x:v>高评分商品</x:v>
      </x:c>
      <x:c r="H148" s="94" t="str">
        <x:v>移动端</x:v>
      </x:c>
      <x:c r="I148" s="94" t="str">
        <x:v>CPC</x:v>
      </x:c>
      <x:c r="J148" s="95" t="n">
        <x:v>1549</x:v>
      </x:c>
      <x:c r="K148" s="96" t="n">
        <x:f>IFERROR(L148/J148,0)</x:f>
        <x:v>0.03744351194318916</x:v>
      </x:c>
      <x:c r="L148" s="95" t="n">
        <x:v>58</x:v>
      </x:c>
      <x:c r="M148" s="97" t="n">
        <x:v>0.3163</x:v>
      </x:c>
      <x:c r="N148" s="97" t="n">
        <x:f>ROUND(L148*M148,2)</x:f>
        <x:v>18.35</x:v>
      </x:c>
      <x:c r="O148" s="94" t="n">
        <x:v>8</x:v>
      </x:c>
      <x:c r="P148" s="94" t="str">
        <x:v>模拟：Google/Microsoft Ads采购导入</x:v>
      </x:c>
    </x:row>
    <x:row r="149">
      <x:c r="A149" s="92" t="str">
        <x:v>PROC-0148</x:v>
      </x:c>
      <x:c r="B149" s="93" t="n">
        <x:v>46049</x:v>
      </x:c>
      <x:c r="C149" s="94" t="str">
        <x:v>Google Ads</x:v>
      </x:c>
      <x:c r="D149" s="94" t="str">
        <x:v>德国</x:v>
      </x:c>
      <x:c r="E149" s="94" t="str">
        <x:v>GGL-C22</x:v>
      </x:c>
      <x:c r="F149" s="94" t="str">
        <x:v>购物广告</x:v>
      </x:c>
      <x:c r="G149" s="94" t="str">
        <x:v>快速配送</x:v>
      </x:c>
      <x:c r="H149" s="94" t="str">
        <x:v>平板</x:v>
      </x:c>
      <x:c r="I149" s="94" t="str">
        <x:v>CPC</x:v>
      </x:c>
      <x:c r="J149" s="95" t="n">
        <x:v>816</x:v>
      </x:c>
      <x:c r="K149" s="96" t="n">
        <x:f>IFERROR(L149/J149,0)</x:f>
        <x:v>0.03799019607843137</x:v>
      </x:c>
      <x:c r="L149" s="95" t="n">
        <x:v>31</x:v>
      </x:c>
      <x:c r="M149" s="97" t="n">
        <x:v>0.3122</x:v>
      </x:c>
      <x:c r="N149" s="97" t="n">
        <x:f>ROUND(L149*M149,2)</x:f>
        <x:v>9.68</x:v>
      </x:c>
      <x:c r="O149" s="94" t="n">
        <x:v>6</x:v>
      </x:c>
      <x:c r="P149" s="94" t="str">
        <x:v>模拟：Google/Microsoft Ads采购导入</x:v>
      </x:c>
    </x:row>
    <x:row r="150">
      <x:c r="A150" s="92" t="str">
        <x:v>PROC-0149</x:v>
      </x:c>
      <x:c r="B150" s="93" t="n">
        <x:v>46049</x:v>
      </x:c>
      <x:c r="C150" s="94" t="str">
        <x:v>Microsoft Ads</x:v>
      </x:c>
      <x:c r="D150" s="94" t="str">
        <x:v>日本</x:v>
      </x:c>
      <x:c r="E150" s="94" t="str">
        <x:v>MSA-C06</x:v>
      </x:c>
      <x:c r="F150" s="94" t="str">
        <x:v>竞品搜索</x:v>
      </x:c>
      <x:c r="G150" s="94" t="str">
        <x:v>竞品评测</x:v>
      </x:c>
      <x:c r="H150" s="94" t="str">
        <x:v>移动端</x:v>
      </x:c>
      <x:c r="I150" s="94" t="str">
        <x:v>CPC</x:v>
      </x:c>
      <x:c r="J150" s="95" t="n">
        <x:v>531</x:v>
      </x:c>
      <x:c r="K150" s="96" t="n">
        <x:f>IFERROR(L150/J150,0)</x:f>
        <x:v>0.030131826741996232</x:v>
      </x:c>
      <x:c r="L150" s="95" t="n">
        <x:v>16</x:v>
      </x:c>
      <x:c r="M150" s="97" t="n">
        <x:v>0.248</x:v>
      </x:c>
      <x:c r="N150" s="97" t="n">
        <x:f>ROUND(L150*M150,2)</x:f>
        <x:v>3.97</x:v>
      </x:c>
      <x:c r="O150" s="94" t="n">
        <x:v>7</x:v>
      </x:c>
      <x:c r="P150" s="94" t="str">
        <x:v>模拟：Google/Microsoft Ads采购导入</x:v>
      </x:c>
    </x:row>
    <x:row r="151">
      <x:c r="A151" s="92" t="str">
        <x:v>PROC-0150</x:v>
      </x:c>
      <x:c r="B151" s="93" t="n">
        <x:v>46049</x:v>
      </x:c>
      <x:c r="C151" s="94" t="str">
        <x:v>Google Ads</x:v>
      </x:c>
      <x:c r="D151" s="94" t="str">
        <x:v>美国</x:v>
      </x:c>
      <x:c r="E151" s="94" t="str">
        <x:v>GGL-C14</x:v>
      </x:c>
      <x:c r="F151" s="94" t="str">
        <x:v>品牌搜索</x:v>
      </x:c>
      <x:c r="G151" s="94" t="str">
        <x:v>品牌购买词</x:v>
      </x:c>
      <x:c r="H151" s="94" t="str">
        <x:v>桌面端</x:v>
      </x:c>
      <x:c r="I151" s="94" t="str">
        <x:v>CPC</x:v>
      </x:c>
      <x:c r="J151" s="95" t="n">
        <x:v>1437</x:v>
      </x:c>
      <x:c r="K151" s="96" t="n">
        <x:f>IFERROR(L151/J151,0)</x:f>
        <x:v>0.05775922059846903</x:v>
      </x:c>
      <x:c r="L151" s="95" t="n">
        <x:v>83</x:v>
      </x:c>
      <x:c r="M151" s="97" t="n">
        <x:v>0.2569</x:v>
      </x:c>
      <x:c r="N151" s="97" t="n">
        <x:f>ROUND(L151*M151,2)</x:f>
        <x:v>21.32</x:v>
      </x:c>
      <x:c r="O151" s="94" t="n">
        <x:v>9</x:v>
      </x:c>
      <x:c r="P151" s="94" t="str">
        <x:v>模拟：Google/Microsoft Ads采购导入</x:v>
      </x:c>
    </x:row>
    <x:row r="152">
      <x:c r="A152" s="92" t="str">
        <x:v>PROC-0151</x:v>
      </x:c>
      <x:c r="B152" s="93" t="n">
        <x:v>46050</x:v>
      </x:c>
      <x:c r="C152" s="94" t="str">
        <x:v>Microsoft Ads</x:v>
      </x:c>
      <x:c r="D152" s="94" t="str">
        <x:v>美国</x:v>
      </x:c>
      <x:c r="E152" s="94" t="str">
        <x:v>MSA-C21</x:v>
      </x:c>
      <x:c r="F152" s="94" t="str">
        <x:v>购物广告</x:v>
      </x:c>
      <x:c r="G152" s="94" t="str">
        <x:v>畅销商品</x:v>
      </x:c>
      <x:c r="H152" s="94" t="str">
        <x:v>移动端</x:v>
      </x:c>
      <x:c r="I152" s="94" t="str">
        <x:v>CPC</x:v>
      </x:c>
      <x:c r="J152" s="95" t="n">
        <x:v>1129</x:v>
      </x:c>
      <x:c r="K152" s="96" t="n">
        <x:f>IFERROR(L152/J152,0)</x:f>
        <x:v>0.04162976085031001</x:v>
      </x:c>
      <x:c r="L152" s="95" t="n">
        <x:v>47</x:v>
      </x:c>
      <x:c r="M152" s="97" t="n">
        <x:v>0.2652</x:v>
      </x:c>
      <x:c r="N152" s="97" t="n">
        <x:f>ROUND(L152*M152,2)</x:f>
        <x:v>12.46</x:v>
      </x:c>
      <x:c r="O152" s="94" t="n">
        <x:v>7</x:v>
      </x:c>
      <x:c r="P152" s="94" t="str">
        <x:v>模拟：Google/Microsoft Ads采购导入</x:v>
      </x:c>
    </x:row>
    <x:row r="153">
      <x:c r="A153" s="92" t="str">
        <x:v>PROC-0152</x:v>
      </x:c>
      <x:c r="B153" s="93" t="n">
        <x:v>46050</x:v>
      </x:c>
      <x:c r="C153" s="94" t="str">
        <x:v>Google Ads</x:v>
      </x:c>
      <x:c r="D153" s="94" t="str">
        <x:v>英国</x:v>
      </x:c>
      <x:c r="E153" s="94" t="str">
        <x:v>GGL-C05</x:v>
      </x:c>
      <x:c r="F153" s="94" t="str">
        <x:v>通用搜索</x:v>
      </x:c>
      <x:c r="G153" s="94" t="str">
        <x:v>实用礼物</x:v>
      </x:c>
      <x:c r="H153" s="94" t="str">
        <x:v>桌面端</x:v>
      </x:c>
      <x:c r="I153" s="94" t="str">
        <x:v>CPC</x:v>
      </x:c>
      <x:c r="J153" s="95" t="n">
        <x:v>1246</x:v>
      </x:c>
      <x:c r="K153" s="96" t="n">
        <x:f>IFERROR(L153/J153,0)</x:f>
        <x:v>0.038523274478330656</x:v>
      </x:c>
      <x:c r="L153" s="95" t="n">
        <x:v>48</x:v>
      </x:c>
      <x:c r="M153" s="97" t="n">
        <x:v>0.2791</x:v>
      </x:c>
      <x:c r="N153" s="97" t="n">
        <x:f>ROUND(L153*M153,2)</x:f>
        <x:v>13.4</x:v>
      </x:c>
      <x:c r="O153" s="94" t="n">
        <x:v>6</x:v>
      </x:c>
      <x:c r="P153" s="94" t="str">
        <x:v>模拟：Google/Microsoft Ads采购导入</x:v>
      </x:c>
    </x:row>
    <x:row r="154">
      <x:c r="A154" s="92" t="str">
        <x:v>PROC-0153</x:v>
      </x:c>
      <x:c r="B154" s="93" t="n">
        <x:v>46050</x:v>
      </x:c>
      <x:c r="C154" s="94" t="str">
        <x:v>Microsoft Ads</x:v>
      </x:c>
      <x:c r="D154" s="94" t="str">
        <x:v>德国</x:v>
      </x:c>
      <x:c r="E154" s="94" t="str">
        <x:v>MSA-C11</x:v>
      </x:c>
      <x:c r="F154" s="94" t="str">
        <x:v>通用搜索</x:v>
      </x:c>
      <x:c r="G154" s="94" t="str">
        <x:v>高性价比商品</x:v>
      </x:c>
      <x:c r="H154" s="94" t="str">
        <x:v>桌面端</x:v>
      </x:c>
      <x:c r="I154" s="94" t="str">
        <x:v>CPC</x:v>
      </x:c>
      <x:c r="J154" s="95" t="n">
        <x:v>673</x:v>
      </x:c>
      <x:c r="K154" s="96" t="n">
        <x:f>IFERROR(L154/J154,0)</x:f>
        <x:v>0.03417533432392273</x:v>
      </x:c>
      <x:c r="L154" s="95" t="n">
        <x:v>23</x:v>
      </x:c>
      <x:c r="M154" s="97" t="n">
        <x:v>0.2117</x:v>
      </x:c>
      <x:c r="N154" s="97" t="n">
        <x:f>ROUND(L154*M154,2)</x:f>
        <x:v>4.87</x:v>
      </x:c>
      <x:c r="O154" s="94" t="n">
        <x:v>6</x:v>
      </x:c>
      <x:c r="P154" s="94" t="str">
        <x:v>模拟：Google/Microsoft Ads采购导入</x:v>
      </x:c>
    </x:row>
    <x:row r="155">
      <x:c r="A155" s="92" t="str">
        <x:v>PROC-0154</x:v>
      </x:c>
      <x:c r="B155" s="93" t="n">
        <x:v>46050</x:v>
      </x:c>
      <x:c r="C155" s="94" t="str">
        <x:v>Google Ads</x:v>
      </x:c>
      <x:c r="D155" s="94" t="str">
        <x:v>德国</x:v>
      </x:c>
      <x:c r="E155" s="94" t="str">
        <x:v>GGL-C19</x:v>
      </x:c>
      <x:c r="F155" s="94" t="str">
        <x:v>品牌搜索</x:v>
      </x:c>
      <x:c r="G155" s="94" t="str">
        <x:v>品牌优惠词</x:v>
      </x:c>
      <x:c r="H155" s="94" t="str">
        <x:v>桌面端</x:v>
      </x:c>
      <x:c r="I155" s="94" t="str">
        <x:v>CPC</x:v>
      </x:c>
      <x:c r="J155" s="95" t="n">
        <x:v>858</x:v>
      </x:c>
      <x:c r="K155" s="96" t="n">
        <x:f>IFERROR(L155/J155,0)</x:f>
        <x:v>0.06526806526806526</x:v>
      </x:c>
      <x:c r="L155" s="95" t="n">
        <x:v>56</x:v>
      </x:c>
      <x:c r="M155" s="97" t="n">
        <x:v>0.221</x:v>
      </x:c>
      <x:c r="N155" s="97" t="n">
        <x:f>ROUND(L155*M155,2)</x:f>
        <x:v>12.38</x:v>
      </x:c>
      <x:c r="O155" s="94" t="n">
        <x:v>10</x:v>
      </x:c>
      <x:c r="P155" s="94" t="str">
        <x:v>模拟：Google/Microsoft Ads采购导入</x:v>
      </x:c>
    </x:row>
    <x:row r="156">
      <x:c r="A156" s="92" t="str">
        <x:v>PROC-0155</x:v>
      </x:c>
      <x:c r="B156" s="93" t="n">
        <x:v>46050</x:v>
      </x:c>
      <x:c r="C156" s="94" t="str">
        <x:v>Google Ads</x:v>
      </x:c>
      <x:c r="D156" s="94" t="str">
        <x:v>美国</x:v>
      </x:c>
      <x:c r="E156" s="94" t="str">
        <x:v>GGL-C23</x:v>
      </x:c>
      <x:c r="F156" s="94" t="str">
        <x:v>品牌搜索</x:v>
      </x:c>
      <x:c r="G156" s="94" t="str">
        <x:v>品牌配件词</x:v>
      </x:c>
      <x:c r="H156" s="94" t="str">
        <x:v>移动端</x:v>
      </x:c>
      <x:c r="I156" s="94" t="str">
        <x:v>CPC</x:v>
      </x:c>
      <x:c r="J156" s="95" t="n">
        <x:v>1350</x:v>
      </x:c>
      <x:c r="K156" s="96" t="n">
        <x:f>IFERROR(L156/J156,0)</x:f>
        <x:v>0.061481481481481484</x:v>
      </x:c>
      <x:c r="L156" s="95" t="n">
        <x:v>83</x:v>
      </x:c>
      <x:c r="M156" s="97" t="n">
        <x:v>0.2201</x:v>
      </x:c>
      <x:c r="N156" s="97" t="n">
        <x:f>ROUND(L156*M156,2)</x:f>
        <x:v>18.27</x:v>
      </x:c>
      <x:c r="O156" s="94" t="n">
        <x:v>7</x:v>
      </x:c>
      <x:c r="P156" s="94" t="str">
        <x:v>模拟：Google/Microsoft Ads采购导入</x:v>
      </x:c>
    </x:row>
    <x:row r="157">
      <x:c r="A157" s="92" t="str">
        <x:v>PROC-0156</x:v>
      </x:c>
      <x:c r="B157" s="93" t="n">
        <x:v>46051</x:v>
      </x:c>
      <x:c r="C157" s="94" t="str">
        <x:v>Microsoft Ads</x:v>
      </x:c>
      <x:c r="D157" s="94" t="str">
        <x:v>德国</x:v>
      </x:c>
      <x:c r="E157" s="94" t="str">
        <x:v>MSA-C07</x:v>
      </x:c>
      <x:c r="F157" s="94" t="str">
        <x:v>购物广告</x:v>
      </x:c>
      <x:c r="G157" s="94" t="str">
        <x:v>高评分商品</x:v>
      </x:c>
      <x:c r="H157" s="94" t="str">
        <x:v>移动端</x:v>
      </x:c>
      <x:c r="I157" s="94" t="str">
        <x:v>CPC</x:v>
      </x:c>
      <x:c r="J157" s="95" t="n">
        <x:v>1494</x:v>
      </x:c>
      <x:c r="K157" s="96" t="n">
        <x:f>IFERROR(L157/J157,0)</x:f>
        <x:v>0.048862115127175365</x:v>
      </x:c>
      <x:c r="L157" s="95" t="n">
        <x:v>73</x:v>
      </x:c>
      <x:c r="M157" s="97" t="n">
        <x:v>0.2546</x:v>
      </x:c>
      <x:c r="N157" s="97" t="n">
        <x:f>ROUND(L157*M157,2)</x:f>
        <x:v>18.59</x:v>
      </x:c>
      <x:c r="O157" s="94" t="n">
        <x:v>7</x:v>
      </x:c>
      <x:c r="P157" s="94" t="str">
        <x:v>模拟：Google/Microsoft Ads采购导入</x:v>
      </x:c>
    </x:row>
    <x:row r="158">
      <x:c r="A158" s="92" t="str">
        <x:v>PROC-0157</x:v>
      </x:c>
      <x:c r="B158" s="93" t="n">
        <x:v>46051</x:v>
      </x:c>
      <x:c r="C158" s="94" t="str">
        <x:v>Google Ads</x:v>
      </x:c>
      <x:c r="D158" s="94" t="str">
        <x:v>英国</x:v>
      </x:c>
      <x:c r="E158" s="94" t="str">
        <x:v>GGL-C15</x:v>
      </x:c>
      <x:c r="F158" s="94" t="str">
        <x:v>购物广告</x:v>
      </x:c>
      <x:c r="G158" s="94" t="str">
        <x:v>高评分商品</x:v>
      </x:c>
      <x:c r="H158" s="94" t="str">
        <x:v>桌面端</x:v>
      </x:c>
      <x:c r="I158" s="94" t="str">
        <x:v>CPC</x:v>
      </x:c>
      <x:c r="J158" s="95" t="n">
        <x:v>795</x:v>
      </x:c>
      <x:c r="K158" s="96" t="n">
        <x:f>IFERROR(L158/J158,0)</x:f>
        <x:v>0.04654088050314465</x:v>
      </x:c>
      <x:c r="L158" s="95" t="n">
        <x:v>37</x:v>
      </x:c>
      <x:c r="M158" s="97" t="n">
        <x:v>0.3039</x:v>
      </x:c>
      <x:c r="N158" s="97" t="n">
        <x:f>ROUND(L158*M158,2)</x:f>
        <x:v>11.24</x:v>
      </x:c>
      <x:c r="O158" s="94" t="n">
        <x:v>8</x:v>
      </x:c>
      <x:c r="P158" s="94" t="str">
        <x:v>模拟：Google/Microsoft Ads采购导入</x:v>
      </x:c>
    </x:row>
    <x:row r="159">
      <x:c r="A159" s="92" t="str">
        <x:v>PROC-0158</x:v>
      </x:c>
      <x:c r="B159" s="93" t="n">
        <x:v>46051</x:v>
      </x:c>
      <x:c r="C159" s="94" t="str">
        <x:v>Microsoft Ads</x:v>
      </x:c>
      <x:c r="D159" s="94" t="str">
        <x:v>德国</x:v>
      </x:c>
      <x:c r="E159" s="94" t="str">
        <x:v>MSA-C22</x:v>
      </x:c>
      <x:c r="F159" s="94" t="str">
        <x:v>品牌搜索</x:v>
      </x:c>
      <x:c r="G159" s="94" t="str">
        <x:v>品牌型号词</x:v>
      </x:c>
      <x:c r="H159" s="94" t="str">
        <x:v>移动端</x:v>
      </x:c>
      <x:c r="I159" s="94" t="str">
        <x:v>CPC</x:v>
      </x:c>
      <x:c r="J159" s="95" t="n">
        <x:v>1377</x:v>
      </x:c>
      <x:c r="K159" s="96" t="n">
        <x:f>IFERROR(L159/J159,0)</x:f>
        <x:v>0.05156136528685548</x:v>
      </x:c>
      <x:c r="L159" s="95" t="n">
        <x:v>71</x:v>
      </x:c>
      <x:c r="M159" s="97" t="n">
        <x:v>0.1657</x:v>
      </x:c>
      <x:c r="N159" s="97" t="n">
        <x:f>ROUND(L159*M159,2)</x:f>
        <x:v>11.76</x:v>
      </x:c>
      <x:c r="O159" s="94" t="n">
        <x:v>9</x:v>
      </x:c>
      <x:c r="P159" s="94" t="str">
        <x:v>模拟：Google/Microsoft Ads采购导入</x:v>
      </x:c>
    </x:row>
    <x:row r="160">
      <x:c r="A160" s="92" t="str">
        <x:v>PROC-0159</x:v>
      </x:c>
      <x:c r="B160" s="93" t="n">
        <x:v>46051</x:v>
      </x:c>
      <x:c r="C160" s="94" t="str">
        <x:v>Microsoft Ads</x:v>
      </x:c>
      <x:c r="D160" s="94" t="str">
        <x:v>英国</x:v>
      </x:c>
      <x:c r="E160" s="94" t="str">
        <x:v>MSA-C05</x:v>
      </x:c>
      <x:c r="F160" s="94" t="str">
        <x:v>通用搜索</x:v>
      </x:c>
      <x:c r="G160" s="94" t="str">
        <x:v>热门新品</x:v>
      </x:c>
      <x:c r="H160" s="94" t="str">
        <x:v>移动端</x:v>
      </x:c>
      <x:c r="I160" s="94" t="str">
        <x:v>CPC</x:v>
      </x:c>
      <x:c r="J160" s="95" t="n">
        <x:v>1139</x:v>
      </x:c>
      <x:c r="K160" s="96" t="n">
        <x:f>IFERROR(L160/J160,0)</x:f>
        <x:v>0.03687445127304653</x:v>
      </x:c>
      <x:c r="L160" s="95" t="n">
        <x:v>42</x:v>
      </x:c>
      <x:c r="M160" s="97" t="n">
        <x:v>0.2293</x:v>
      </x:c>
      <x:c r="N160" s="97" t="n">
        <x:f>ROUND(L160*M160,2)</x:f>
        <x:v>9.63</x:v>
      </x:c>
      <x:c r="O160" s="94" t="n">
        <x:v>8</x:v>
      </x:c>
      <x:c r="P160" s="94" t="str">
        <x:v>模拟：Google/Microsoft Ads采购导入</x:v>
      </x:c>
    </x:row>
    <x:row r="161">
      <x:c r="A161" s="92" t="str">
        <x:v>PROC-0160</x:v>
      </x:c>
      <x:c r="B161" s="93" t="n">
        <x:v>46051</x:v>
      </x:c>
      <x:c r="C161" s="94" t="str">
        <x:v>Microsoft Ads</x:v>
      </x:c>
      <x:c r="D161" s="94" t="str">
        <x:v>日本</x:v>
      </x:c>
      <x:c r="E161" s="94" t="str">
        <x:v>MSA-C13</x:v>
      </x:c>
      <x:c r="F161" s="94" t="str">
        <x:v>购物广告</x:v>
      </x:c>
      <x:c r="G161" s="94" t="str">
        <x:v>折扣商品</x:v>
      </x:c>
      <x:c r="H161" s="94" t="str">
        <x:v>移动端</x:v>
      </x:c>
      <x:c r="I161" s="94" t="str">
        <x:v>CPC</x:v>
      </x:c>
      <x:c r="J161" s="95" t="n">
        <x:v>1213</x:v>
      </x:c>
      <x:c r="K161" s="96" t="n">
        <x:f>IFERROR(L161/J161,0)</x:f>
        <x:v>0.0403957131079967</x:v>
      </x:c>
      <x:c r="L161" s="95" t="n">
        <x:v>49</x:v>
      </x:c>
      <x:c r="M161" s="97" t="n">
        <x:v>0.2221</x:v>
      </x:c>
      <x:c r="N161" s="97" t="n">
        <x:f>ROUND(L161*M161,2)</x:f>
        <x:v>10.88</x:v>
      </x:c>
      <x:c r="O161" s="94" t="n">
        <x:v>8</x:v>
      </x:c>
      <x:c r="P161" s="94" t="str">
        <x:v>模拟：Google/Microsoft Ads采购导入</x:v>
      </x:c>
    </x:row>
    <x:row r="162">
      <x:c r="A162" s="92" t="str">
        <x:v>PROC-0161</x:v>
      </x:c>
      <x:c r="B162" s="93" t="n">
        <x:v>46051</x:v>
      </x:c>
      <x:c r="C162" s="94" t="str">
        <x:v>Google Ads</x:v>
      </x:c>
      <x:c r="D162" s="94" t="str">
        <x:v>美国</x:v>
      </x:c>
      <x:c r="E162" s="94" t="str">
        <x:v>GGL-C20</x:v>
      </x:c>
      <x:c r="F162" s="94" t="str">
        <x:v>通用搜索</x:v>
      </x:c>
      <x:c r="G162" s="94" t="str">
        <x:v>高性价比商品</x:v>
      </x:c>
      <x:c r="H162" s="94" t="str">
        <x:v>移动端</x:v>
      </x:c>
      <x:c r="I162" s="94" t="str">
        <x:v>CPC</x:v>
      </x:c>
      <x:c r="J162" s="95" t="n">
        <x:v>1280</x:v>
      </x:c>
      <x:c r="K162" s="96" t="n">
        <x:f>IFERROR(L162/J162,0)</x:f>
        <x:v>0.0390625</x:v>
      </x:c>
      <x:c r="L162" s="95" t="n">
        <x:v>50</x:v>
      </x:c>
      <x:c r="M162" s="97" t="n">
        <x:v>0.3806</x:v>
      </x:c>
      <x:c r="N162" s="97" t="n">
        <x:f>ROUND(L162*M162,2)</x:f>
        <x:v>19.03</x:v>
      </x:c>
      <x:c r="O162" s="94" t="n">
        <x:v>7</x:v>
      </x:c>
      <x:c r="P162" s="94" t="str">
        <x:v>模拟：Google/Microsoft Ads采购导入</x:v>
      </x:c>
    </x:row>
    <x:row r="163">
      <x:c r="A163" s="92" t="str">
        <x:v>PROC-0162</x:v>
      </x:c>
      <x:c r="B163" s="93" t="n">
        <x:v>46052</x:v>
      </x:c>
      <x:c r="C163" s="94" t="str">
        <x:v>Google Ads</x:v>
      </x:c>
      <x:c r="D163" s="94" t="str">
        <x:v>日本</x:v>
      </x:c>
      <x:c r="E163" s="94" t="str">
        <x:v>GGL-C03</x:v>
      </x:c>
      <x:c r="F163" s="94" t="str">
        <x:v>购物广告</x:v>
      </x:c>
      <x:c r="G163" s="94" t="str">
        <x:v>快速配送</x:v>
      </x:c>
      <x:c r="H163" s="94" t="str">
        <x:v>移动端</x:v>
      </x:c>
      <x:c r="I163" s="94" t="str">
        <x:v>CPC</x:v>
      </x:c>
      <x:c r="J163" s="95" t="n">
        <x:v>830</x:v>
      </x:c>
      <x:c r="K163" s="96" t="n">
        <x:f>IFERROR(L163/J163,0)</x:f>
        <x:v>0.04216867469879518</x:v>
      </x:c>
      <x:c r="L163" s="95" t="n">
        <x:v>35</x:v>
      </x:c>
      <x:c r="M163" s="97" t="n">
        <x:v>0.2803</x:v>
      </x:c>
      <x:c r="N163" s="97" t="n">
        <x:f>ROUND(L163*M163,2)</x:f>
        <x:v>9.81</x:v>
      </x:c>
      <x:c r="O163" s="94" t="n">
        <x:v>7</x:v>
      </x:c>
      <x:c r="P163" s="94" t="str">
        <x:v>模拟：Google/Microsoft Ads采购导入</x:v>
      </x:c>
    </x:row>
    <x:row r="164">
      <x:c r="A164" s="92" t="str">
        <x:v>PROC-0163</x:v>
      </x:c>
      <x:c r="B164" s="93" t="n">
        <x:v>46052</x:v>
      </x:c>
      <x:c r="C164" s="94" t="str">
        <x:v>Microsoft Ads</x:v>
      </x:c>
      <x:c r="D164" s="94" t="str">
        <x:v>日本</x:v>
      </x:c>
      <x:c r="E164" s="94" t="str">
        <x:v>MSA-C08</x:v>
      </x:c>
      <x:c r="F164" s="94" t="str">
        <x:v>购物广告</x:v>
      </x:c>
      <x:c r="G164" s="94" t="str">
        <x:v>畅销商品</x:v>
      </x:c>
      <x:c r="H164" s="94" t="str">
        <x:v>移动端</x:v>
      </x:c>
      <x:c r="I164" s="94" t="str">
        <x:v>CPC</x:v>
      </x:c>
      <x:c r="J164" s="95" t="n">
        <x:v>1228</x:v>
      </x:c>
      <x:c r="K164" s="96" t="n">
        <x:f>IFERROR(L164/J164,0)</x:f>
        <x:v>0.03908794788273615</x:v>
      </x:c>
      <x:c r="L164" s="95" t="n">
        <x:v>48</x:v>
      </x:c>
      <x:c r="M164" s="97" t="n">
        <x:v>0.2379</x:v>
      </x:c>
      <x:c r="N164" s="97" t="n">
        <x:f>ROUND(L164*M164,2)</x:f>
        <x:v>11.42</x:v>
      </x:c>
      <x:c r="O164" s="94" t="n">
        <x:v>8</x:v>
      </x:c>
      <x:c r="P164" s="94" t="str">
        <x:v>模拟：Google/Microsoft Ads采购导入</x:v>
      </x:c>
    </x:row>
    <x:row r="165">
      <x:c r="A165" s="92" t="str">
        <x:v>PROC-0164</x:v>
      </x:c>
      <x:c r="B165" s="93" t="n">
        <x:v>46052</x:v>
      </x:c>
      <x:c r="C165" s="94" t="str">
        <x:v>Google Ads</x:v>
      </x:c>
      <x:c r="D165" s="94" t="str">
        <x:v>英国</x:v>
      </x:c>
      <x:c r="E165" s="94" t="str">
        <x:v>GGL-C17</x:v>
      </x:c>
      <x:c r="F165" s="94" t="str">
        <x:v>购物广告</x:v>
      </x:c>
      <x:c r="G165" s="94" t="str">
        <x:v>折扣商品</x:v>
      </x:c>
      <x:c r="H165" s="94" t="str">
        <x:v>移动端</x:v>
      </x:c>
      <x:c r="I165" s="94" t="str">
        <x:v>CPC</x:v>
      </x:c>
      <x:c r="J165" s="95" t="n">
        <x:v>750</x:v>
      </x:c>
      <x:c r="K165" s="96" t="n">
        <x:f>IFERROR(L165/J165,0)</x:f>
        <x:v>0.050666666666666665</x:v>
      </x:c>
      <x:c r="L165" s="95" t="n">
        <x:v>38</x:v>
      </x:c>
      <x:c r="M165" s="97" t="n">
        <x:v>0.2884</x:v>
      </x:c>
      <x:c r="N165" s="97" t="n">
        <x:f>ROUND(L165*M165,2)</x:f>
        <x:v>10.96</x:v>
      </x:c>
      <x:c r="O165" s="94" t="n">
        <x:v>6</x:v>
      </x:c>
      <x:c r="P165" s="94" t="str">
        <x:v>模拟：Google/Microsoft Ads采购导入</x:v>
      </x:c>
    </x:row>
    <x:row r="166">
      <x:c r="A166" s="92" t="str">
        <x:v>PROC-0165</x:v>
      </x:c>
      <x:c r="B166" s="93" t="n">
        <x:v>46052</x:v>
      </x:c>
      <x:c r="C166" s="94" t="str">
        <x:v>Microsoft Ads</x:v>
      </x:c>
      <x:c r="D166" s="94" t="str">
        <x:v>英国</x:v>
      </x:c>
      <x:c r="E166" s="94" t="str">
        <x:v>MSA-C22</x:v>
      </x:c>
      <x:c r="F166" s="94" t="str">
        <x:v>品牌搜索</x:v>
      </x:c>
      <x:c r="G166" s="94" t="str">
        <x:v>品牌配件词</x:v>
      </x:c>
      <x:c r="H166" s="94" t="str">
        <x:v>移动端</x:v>
      </x:c>
      <x:c r="I166" s="94" t="str">
        <x:v>CPC</x:v>
      </x:c>
      <x:c r="J166" s="95" t="n">
        <x:v>1390</x:v>
      </x:c>
      <x:c r="K166" s="96" t="n">
        <x:f>IFERROR(L166/J166,0)</x:f>
        <x:v>0.06330935251798561</x:v>
      </x:c>
      <x:c r="L166" s="95" t="n">
        <x:v>88</x:v>
      </x:c>
      <x:c r="M166" s="97" t="n">
        <x:v>0.1956</x:v>
      </x:c>
      <x:c r="N166" s="97" t="n">
        <x:f>ROUND(L166*M166,2)</x:f>
        <x:v>17.21</x:v>
      </x:c>
      <x:c r="O166" s="94" t="n">
        <x:v>9</x:v>
      </x:c>
      <x:c r="P166" s="94" t="str">
        <x:v>模拟：Google/Microsoft Ads采购导入</x:v>
      </x:c>
    </x:row>
    <x:row r="167">
      <x:c r="A167" s="92" t="str">
        <x:v>PROC-0166</x:v>
      </x:c>
      <x:c r="B167" s="93" t="n">
        <x:v>46052</x:v>
      </x:c>
      <x:c r="C167" s="94" t="str">
        <x:v>Microsoft Ads</x:v>
      </x:c>
      <x:c r="D167" s="94" t="str">
        <x:v>美国</x:v>
      </x:c>
      <x:c r="E167" s="94" t="str">
        <x:v>MSA-C04</x:v>
      </x:c>
      <x:c r="F167" s="94" t="str">
        <x:v>竞品搜索</x:v>
      </x:c>
      <x:c r="G167" s="94" t="str">
        <x:v>价格替代</x:v>
      </x:c>
      <x:c r="H167" s="94" t="str">
        <x:v>桌面端</x:v>
      </x:c>
      <x:c r="I167" s="94" t="str">
        <x:v>CPC</x:v>
      </x:c>
      <x:c r="J167" s="95" t="n">
        <x:v>577</x:v>
      </x:c>
      <x:c r="K167" s="96" t="n">
        <x:f>IFERROR(L167/J167,0)</x:f>
        <x:v>0.03986135181975736</x:v>
      </x:c>
      <x:c r="L167" s="95" t="n">
        <x:v>23</x:v>
      </x:c>
      <x:c r="M167" s="97" t="n">
        <x:v>0.335</x:v>
      </x:c>
      <x:c r="N167" s="97" t="n">
        <x:f>ROUND(L167*M167,2)</x:f>
        <x:v>7.71</x:v>
      </x:c>
      <x:c r="O167" s="94" t="n">
        <x:v>9</x:v>
      </x:c>
      <x:c r="P167" s="94" t="str">
        <x:v>模拟：Google/Microsoft Ads采购导入</x:v>
      </x:c>
    </x:row>
    <x:row r="168">
      <x:c r="A168" s="92" t="str">
        <x:v>PROC-0167</x:v>
      </x:c>
      <x:c r="B168" s="93" t="n">
        <x:v>46053</x:v>
      </x:c>
      <x:c r="C168" s="94" t="str">
        <x:v>Google Ads</x:v>
      </x:c>
      <x:c r="D168" s="94" t="str">
        <x:v>德国</x:v>
      </x:c>
      <x:c r="E168" s="94" t="str">
        <x:v>GGL-C13</x:v>
      </x:c>
      <x:c r="F168" s="94" t="str">
        <x:v>品牌搜索</x:v>
      </x:c>
      <x:c r="G168" s="94" t="str">
        <x:v>品牌配件词</x:v>
      </x:c>
      <x:c r="H168" s="94" t="str">
        <x:v>移动端</x:v>
      </x:c>
      <x:c r="I168" s="94" t="str">
        <x:v>CPC</x:v>
      </x:c>
      <x:c r="J168" s="95" t="n">
        <x:v>851</x:v>
      </x:c>
      <x:c r="K168" s="96" t="n">
        <x:f>IFERROR(L168/J168,0)</x:f>
        <x:v>0.04935370152761457</x:v>
      </x:c>
      <x:c r="L168" s="95" t="n">
        <x:v>42</x:v>
      </x:c>
      <x:c r="M168" s="97" t="n">
        <x:v>0.1839</x:v>
      </x:c>
      <x:c r="N168" s="97" t="n">
        <x:f>ROUND(L168*M168,2)</x:f>
        <x:v>7.72</x:v>
      </x:c>
      <x:c r="O168" s="94" t="n">
        <x:v>9</x:v>
      </x:c>
      <x:c r="P168" s="94" t="str">
        <x:v>模拟：Google/Microsoft Ads采购导入</x:v>
      </x:c>
    </x:row>
    <x:row r="169">
      <x:c r="A169" s="92" t="str">
        <x:v>PROC-0168</x:v>
      </x:c>
      <x:c r="B169" s="93" t="n">
        <x:v>46053</x:v>
      </x:c>
      <x:c r="C169" s="94" t="str">
        <x:v>Google Ads</x:v>
      </x:c>
      <x:c r="D169" s="94" t="str">
        <x:v>美国</x:v>
      </x:c>
      <x:c r="E169" s="94" t="str">
        <x:v>GGL-C18</x:v>
      </x:c>
      <x:c r="F169" s="94" t="str">
        <x:v>通用搜索</x:v>
      </x:c>
      <x:c r="G169" s="94" t="str">
        <x:v>家庭必备</x:v>
      </x:c>
      <x:c r="H169" s="94" t="str">
        <x:v>移动端</x:v>
      </x:c>
      <x:c r="I169" s="94" t="str">
        <x:v>CPC</x:v>
      </x:c>
      <x:c r="J169" s="95" t="n">
        <x:v>1127</x:v>
      </x:c>
      <x:c r="K169" s="96" t="n">
        <x:f>IFERROR(L169/J169,0)</x:f>
        <x:v>0.03992901508429459</x:v>
      </x:c>
      <x:c r="L169" s="95" t="n">
        <x:v>45</x:v>
      </x:c>
      <x:c r="M169" s="97" t="n">
        <x:v>0.2981</x:v>
      </x:c>
      <x:c r="N169" s="97" t="n">
        <x:f>ROUND(L169*M169,2)</x:f>
        <x:v>13.41</x:v>
      </x:c>
      <x:c r="O169" s="94" t="n">
        <x:v>8</x:v>
      </x:c>
      <x:c r="P169" s="94" t="str">
        <x:v>模拟：Google/Microsoft Ads采购导入</x:v>
      </x:c>
    </x:row>
    <x:row r="170">
      <x:c r="A170" s="92" t="str">
        <x:v>PROC-0169</x:v>
      </x:c>
      <x:c r="B170" s="93" t="n">
        <x:v>46053</x:v>
      </x:c>
      <x:c r="C170" s="94" t="str">
        <x:v>Google Ads</x:v>
      </x:c>
      <x:c r="D170" s="94" t="str">
        <x:v>德国</x:v>
      </x:c>
      <x:c r="E170" s="94" t="str">
        <x:v>GGL-C01</x:v>
      </x:c>
      <x:c r="F170" s="94" t="str">
        <x:v>品牌搜索</x:v>
      </x:c>
      <x:c r="G170" s="94" t="str">
        <x:v>品牌配件词</x:v>
      </x:c>
      <x:c r="H170" s="94" t="str">
        <x:v>移动端</x:v>
      </x:c>
      <x:c r="I170" s="94" t="str">
        <x:v>CPC</x:v>
      </x:c>
      <x:c r="J170" s="95" t="n">
        <x:v>955</x:v>
      </x:c>
      <x:c r="K170" s="96" t="n">
        <x:f>IFERROR(L170/J170,0)</x:f>
        <x:v>0.04607329842931937</x:v>
      </x:c>
      <x:c r="L170" s="95" t="n">
        <x:v>44</x:v>
      </x:c>
      <x:c r="M170" s="97" t="n">
        <x:v>0.2108</x:v>
      </x:c>
      <x:c r="N170" s="97" t="n">
        <x:f>ROUND(L170*M170,2)</x:f>
        <x:v>9.28</x:v>
      </x:c>
      <x:c r="O170" s="94" t="n">
        <x:v>9</x:v>
      </x:c>
      <x:c r="P170" s="94" t="str">
        <x:v>模拟：Google/Microsoft Ads采购导入</x:v>
      </x:c>
    </x:row>
    <x:row r="171">
      <x:c r="A171" s="92" t="str">
        <x:v>PROC-0170</x:v>
      </x:c>
      <x:c r="B171" s="93" t="n">
        <x:v>46053</x:v>
      </x:c>
      <x:c r="C171" s="94" t="str">
        <x:v>Google Ads</x:v>
      </x:c>
      <x:c r="D171" s="94" t="str">
        <x:v>英国</x:v>
      </x:c>
      <x:c r="E171" s="94" t="str">
        <x:v>GGL-C09</x:v>
      </x:c>
      <x:c r="F171" s="94" t="str">
        <x:v>购物广告</x:v>
      </x:c>
      <x:c r="G171" s="94" t="str">
        <x:v>价格比较</x:v>
      </x:c>
      <x:c r="H171" s="94" t="str">
        <x:v>移动端</x:v>
      </x:c>
      <x:c r="I171" s="94" t="str">
        <x:v>CPC</x:v>
      </x:c>
      <x:c r="J171" s="95" t="n">
        <x:v>1369</x:v>
      </x:c>
      <x:c r="K171" s="96" t="n">
        <x:f>IFERROR(L171/J171,0)</x:f>
        <x:v>0.042366691015339665</x:v>
      </x:c>
      <x:c r="L171" s="95" t="n">
        <x:v>58</x:v>
      </x:c>
      <x:c r="M171" s="97" t="n">
        <x:v>0.2841</x:v>
      </x:c>
      <x:c r="N171" s="97" t="n">
        <x:f>ROUND(L171*M171,2)</x:f>
        <x:v>16.48</x:v>
      </x:c>
      <x:c r="O171" s="94" t="n">
        <x:v>8</x:v>
      </x:c>
      <x:c r="P171" s="94" t="str">
        <x:v>模拟：Google/Microsoft Ads采购导入</x:v>
      </x:c>
    </x:row>
    <x:row r="172">
      <x:c r="A172" s="92" t="str">
        <x:v>PROC-0171</x:v>
      </x:c>
      <x:c r="B172" s="93" t="n">
        <x:v>46053</x:v>
      </x:c>
      <x:c r="C172" s="94" t="str">
        <x:v>Google Ads</x:v>
      </x:c>
      <x:c r="D172" s="94" t="str">
        <x:v>美国</x:v>
      </x:c>
      <x:c r="E172" s="94" t="str">
        <x:v>GGL-C15</x:v>
      </x:c>
      <x:c r="F172" s="94" t="str">
        <x:v>购物广告</x:v>
      </x:c>
      <x:c r="G172" s="94" t="str">
        <x:v>高评分商品</x:v>
      </x:c>
      <x:c r="H172" s="94" t="str">
        <x:v>移动端</x:v>
      </x:c>
      <x:c r="I172" s="94" t="str">
        <x:v>CPC</x:v>
      </x:c>
      <x:c r="J172" s="95" t="n">
        <x:v>1331</x:v>
      </x:c>
      <x:c r="K172" s="96" t="n">
        <x:f>IFERROR(L172/J172,0)</x:f>
        <x:v>0.0405709992486852</x:v>
      </x:c>
      <x:c r="L172" s="95" t="n">
        <x:v>54</x:v>
      </x:c>
      <x:c r="M172" s="97" t="n">
        <x:v>0.3942</x:v>
      </x:c>
      <x:c r="N172" s="97" t="n">
        <x:f>ROUND(L172*M172,2)</x:f>
        <x:v>21.29</x:v>
      </x:c>
      <x:c r="O172" s="94" t="n">
        <x:v>6</x:v>
      </x:c>
      <x:c r="P172" s="94" t="str">
        <x:v>模拟：Google/Microsoft Ads采购导入</x:v>
      </x:c>
    </x:row>
    <x:row r="173">
      <x:c r="A173" s="92" t="str">
        <x:v>PROC-0172</x:v>
      </x:c>
      <x:c r="B173" s="93" t="n">
        <x:v>46053</x:v>
      </x:c>
      <x:c r="C173" s="94" t="str">
        <x:v>Google Ads</x:v>
      </x:c>
      <x:c r="D173" s="94" t="str">
        <x:v>英国</x:v>
      </x:c>
      <x:c r="E173" s="94" t="str">
        <x:v>GGL-C22</x:v>
      </x:c>
      <x:c r="F173" s="94" t="str">
        <x:v>通用搜索</x:v>
      </x:c>
      <x:c r="G173" s="94" t="str">
        <x:v>家庭必备</x:v>
      </x:c>
      <x:c r="H173" s="94" t="str">
        <x:v>移动端</x:v>
      </x:c>
      <x:c r="I173" s="94" t="str">
        <x:v>CPC</x:v>
      </x:c>
      <x:c r="J173" s="95" t="n">
        <x:v>1254</x:v>
      </x:c>
      <x:c r="K173" s="96" t="n">
        <x:f>IFERROR(L173/J173,0)</x:f>
        <x:v>0.03349282296650718</x:v>
      </x:c>
      <x:c r="L173" s="95" t="n">
        <x:v>42</x:v>
      </x:c>
      <x:c r="M173" s="97" t="n">
        <x:v>0.3071</x:v>
      </x:c>
      <x:c r="N173" s="97" t="n">
        <x:f>ROUND(L173*M173,2)</x:f>
        <x:v>12.9</x:v>
      </x:c>
      <x:c r="O173" s="94" t="n">
        <x:v>8</x:v>
      </x:c>
      <x:c r="P173" s="94" t="str">
        <x:v>模拟：Google/Microsoft Ads采购导入</x:v>
      </x:c>
    </x:row>
    <x:row r="174">
      <x:c r="A174" s="92" t="str">
        <x:v>PROC-0173</x:v>
      </x:c>
      <x:c r="B174" s="93" t="n">
        <x:v>46054</x:v>
      </x:c>
      <x:c r="C174" s="94" t="str">
        <x:v>Microsoft Ads</x:v>
      </x:c>
      <x:c r="D174" s="94" t="str">
        <x:v>德国</x:v>
      </x:c>
      <x:c r="E174" s="94" t="str">
        <x:v>MSA-C06</x:v>
      </x:c>
      <x:c r="F174" s="94" t="str">
        <x:v>竞品搜索</x:v>
      </x:c>
      <x:c r="G174" s="94" t="str">
        <x:v>同类产品对比</x:v>
      </x:c>
      <x:c r="H174" s="94" t="str">
        <x:v>移动端</x:v>
      </x:c>
      <x:c r="I174" s="94" t="str">
        <x:v>CPC</x:v>
      </x:c>
      <x:c r="J174" s="95" t="n">
        <x:v>1012</x:v>
      </x:c>
      <x:c r="K174" s="96" t="n">
        <x:f>IFERROR(L174/J174,0)</x:f>
        <x:v>0.03458498023715415</x:v>
      </x:c>
      <x:c r="L174" s="95" t="n">
        <x:v>35</x:v>
      </x:c>
      <x:c r="M174" s="97" t="n">
        <x:v>0.3158</x:v>
      </x:c>
      <x:c r="N174" s="97" t="n">
        <x:f>ROUND(L174*M174,2)</x:f>
        <x:v>11.05</x:v>
      </x:c>
      <x:c r="O174" s="94" t="n">
        <x:v>8</x:v>
      </x:c>
      <x:c r="P174" s="94" t="str">
        <x:v>模拟：Google/Microsoft Ads采购导入</x:v>
      </x:c>
    </x:row>
    <x:row r="175">
      <x:c r="A175" s="92" t="str">
        <x:v>PROC-0174</x:v>
      </x:c>
      <x:c r="B175" s="93" t="n">
        <x:v>46054</x:v>
      </x:c>
      <x:c r="C175" s="94" t="str">
        <x:v>Google Ads</x:v>
      </x:c>
      <x:c r="D175" s="94" t="str">
        <x:v>英国</x:v>
      </x:c>
      <x:c r="E175" s="94" t="str">
        <x:v>GGL-C12</x:v>
      </x:c>
      <x:c r="F175" s="94" t="str">
        <x:v>竞品搜索</x:v>
      </x:c>
      <x:c r="G175" s="94" t="str">
        <x:v>替代品比较</x:v>
      </x:c>
      <x:c r="H175" s="94" t="str">
        <x:v>平板</x:v>
      </x:c>
      <x:c r="I175" s="94" t="str">
        <x:v>CPC</x:v>
      </x:c>
      <x:c r="J175" s="95" t="n">
        <x:v>1001</x:v>
      </x:c>
      <x:c r="K175" s="96" t="n">
        <x:f>IFERROR(L175/J175,0)</x:f>
        <x:v>0.03596403596403597</x:v>
      </x:c>
      <x:c r="L175" s="95" t="n">
        <x:v>36</x:v>
      </x:c>
      <x:c r="M175" s="97" t="n">
        <x:v>0.401</x:v>
      </x:c>
      <x:c r="N175" s="97" t="n">
        <x:f>ROUND(L175*M175,2)</x:f>
        <x:v>14.44</x:v>
      </x:c>
      <x:c r="O175" s="94" t="n">
        <x:v>9</x:v>
      </x:c>
      <x:c r="P175" s="94" t="str">
        <x:v>模拟：Google/Microsoft Ads采购导入</x:v>
      </x:c>
    </x:row>
    <x:row r="176">
      <x:c r="A176" s="92" t="str">
        <x:v>PROC-0175</x:v>
      </x:c>
      <x:c r="B176" s="93" t="n">
        <x:v>46054</x:v>
      </x:c>
      <x:c r="C176" s="94" t="str">
        <x:v>Google Ads</x:v>
      </x:c>
      <x:c r="D176" s="94" t="str">
        <x:v>美国</x:v>
      </x:c>
      <x:c r="E176" s="94" t="str">
        <x:v>GGL-C22</x:v>
      </x:c>
      <x:c r="F176" s="94" t="str">
        <x:v>通用搜索</x:v>
      </x:c>
      <x:c r="G176" s="94" t="str">
        <x:v>家庭必备</x:v>
      </x:c>
      <x:c r="H176" s="94" t="str">
        <x:v>平板</x:v>
      </x:c>
      <x:c r="I176" s="94" t="str">
        <x:v>CPC</x:v>
      </x:c>
      <x:c r="J176" s="95" t="n">
        <x:v>923</x:v>
      </x:c>
      <x:c r="K176" s="96" t="n">
        <x:f>IFERROR(L176/J176,0)</x:f>
        <x:v>0.03683640303358613</x:v>
      </x:c>
      <x:c r="L176" s="95" t="n">
        <x:v>34</x:v>
      </x:c>
      <x:c r="M176" s="97" t="n">
        <x:v>0.3931</x:v>
      </x:c>
      <x:c r="N176" s="97" t="n">
        <x:f>ROUND(L176*M176,2)</x:f>
        <x:v>13.37</x:v>
      </x:c>
      <x:c r="O176" s="94" t="n">
        <x:v>8</x:v>
      </x:c>
      <x:c r="P176" s="94" t="str">
        <x:v>模拟：Google/Microsoft Ads采购导入</x:v>
      </x:c>
    </x:row>
    <x:row r="177">
      <x:c r="A177" s="92" t="str">
        <x:v>PROC-0176</x:v>
      </x:c>
      <x:c r="B177" s="93" t="n">
        <x:v>46054</x:v>
      </x:c>
      <x:c r="C177" s="94" t="str">
        <x:v>Google Ads</x:v>
      </x:c>
      <x:c r="D177" s="94" t="str">
        <x:v>美国</x:v>
      </x:c>
      <x:c r="E177" s="94" t="str">
        <x:v>GGL-C05</x:v>
      </x:c>
      <x:c r="F177" s="94" t="str">
        <x:v>通用搜索</x:v>
      </x:c>
      <x:c r="G177" s="94" t="str">
        <x:v>专业精选</x:v>
      </x:c>
      <x:c r="H177" s="94" t="str">
        <x:v>移动端</x:v>
      </x:c>
      <x:c r="I177" s="94" t="str">
        <x:v>CPC</x:v>
      </x:c>
      <x:c r="J177" s="95" t="n">
        <x:v>1088</x:v>
      </x:c>
      <x:c r="K177" s="96" t="n">
        <x:f>IFERROR(L177/J177,0)</x:f>
        <x:v>0.03768382352941176</x:v>
      </x:c>
      <x:c r="L177" s="95" t="n">
        <x:v>41</x:v>
      </x:c>
      <x:c r="M177" s="97" t="n">
        <x:v>0.2983</x:v>
      </x:c>
      <x:c r="N177" s="97" t="n">
        <x:f>ROUND(L177*M177,2)</x:f>
        <x:v>12.23</x:v>
      </x:c>
      <x:c r="O177" s="94" t="n">
        <x:v>8</x:v>
      </x:c>
      <x:c r="P177" s="94" t="str">
        <x:v>模拟：Google/Microsoft Ads采购导入</x:v>
      </x:c>
    </x:row>
    <x:row r="178">
      <x:c r="A178" s="92" t="str">
        <x:v>PROC-0177</x:v>
      </x:c>
      <x:c r="B178" s="93" t="n">
        <x:v>46054</x:v>
      </x:c>
      <x:c r="C178" s="94" t="str">
        <x:v>Google Ads</x:v>
      </x:c>
      <x:c r="D178" s="94" t="str">
        <x:v>德国</x:v>
      </x:c>
      <x:c r="E178" s="94" t="str">
        <x:v>GGL-C12</x:v>
      </x:c>
      <x:c r="F178" s="94" t="str">
        <x:v>通用搜索</x:v>
      </x:c>
      <x:c r="G178" s="94" t="str">
        <x:v>高性价比商品</x:v>
      </x:c>
      <x:c r="H178" s="94" t="str">
        <x:v>移动端</x:v>
      </x:c>
      <x:c r="I178" s="94" t="str">
        <x:v>CPC</x:v>
      </x:c>
      <x:c r="J178" s="95" t="n">
        <x:v>644</x:v>
      </x:c>
      <x:c r="K178" s="96" t="n">
        <x:f>IFERROR(L178/J178,0)</x:f>
        <x:v>0.040372670807453416</x:v>
      </x:c>
      <x:c r="L178" s="95" t="n">
        <x:v>26</x:v>
      </x:c>
      <x:c r="M178" s="97" t="n">
        <x:v>0.3137</x:v>
      </x:c>
      <x:c r="N178" s="97" t="n">
        <x:f>ROUND(L178*M178,2)</x:f>
        <x:v>8.16</x:v>
      </x:c>
      <x:c r="O178" s="94" t="n">
        <x:v>7</x:v>
      </x:c>
      <x:c r="P178" s="94" t="str">
        <x:v>模拟：Google/Microsoft Ads采购导入</x:v>
      </x:c>
    </x:row>
    <x:row r="179">
      <x:c r="A179" s="92" t="str">
        <x:v>PROC-0178</x:v>
      </x:c>
      <x:c r="B179" s="93" t="n">
        <x:v>46055</x:v>
      </x:c>
      <x:c r="C179" s="94" t="str">
        <x:v>Microsoft Ads</x:v>
      </x:c>
      <x:c r="D179" s="94" t="str">
        <x:v>美国</x:v>
      </x:c>
      <x:c r="E179" s="94" t="str">
        <x:v>MSA-C17</x:v>
      </x:c>
      <x:c r="F179" s="94" t="str">
        <x:v>通用搜索</x:v>
      </x:c>
      <x:c r="G179" s="94" t="str">
        <x:v>实用礼物</x:v>
      </x:c>
      <x:c r="H179" s="94" t="str">
        <x:v>移动端</x:v>
      </x:c>
      <x:c r="I179" s="94" t="str">
        <x:v>CPC</x:v>
      </x:c>
      <x:c r="J179" s="95" t="n">
        <x:v>1030</x:v>
      </x:c>
      <x:c r="K179" s="96" t="n">
        <x:f>IFERROR(L179/J179,0)</x:f>
        <x:v>0.04174757281553398</x:v>
      </x:c>
      <x:c r="L179" s="95" t="n">
        <x:v>43</x:v>
      </x:c>
      <x:c r="M179" s="97" t="n">
        <x:v>0.2699</x:v>
      </x:c>
      <x:c r="N179" s="97" t="n">
        <x:f>ROUND(L179*M179,2)</x:f>
        <x:v>11.61</x:v>
      </x:c>
      <x:c r="O179" s="94" t="n">
        <x:v>8</x:v>
      </x:c>
      <x:c r="P179" s="94" t="str">
        <x:v>模拟：Google/Microsoft Ads采购导入</x:v>
      </x:c>
    </x:row>
    <x:row r="180">
      <x:c r="A180" s="92" t="str">
        <x:v>PROC-0179</x:v>
      </x:c>
      <x:c r="B180" s="93" t="n">
        <x:v>46055</x:v>
      </x:c>
      <x:c r="C180" s="94" t="str">
        <x:v>Google Ads</x:v>
      </x:c>
      <x:c r="D180" s="94" t="str">
        <x:v>美国</x:v>
      </x:c>
      <x:c r="E180" s="94" t="str">
        <x:v>GGL-C23</x:v>
      </x:c>
      <x:c r="F180" s="94" t="str">
        <x:v>竞品搜索</x:v>
      </x:c>
      <x:c r="G180" s="94" t="str">
        <x:v>替代品比较</x:v>
      </x:c>
      <x:c r="H180" s="94" t="str">
        <x:v>桌面端</x:v>
      </x:c>
      <x:c r="I180" s="94" t="str">
        <x:v>CPC</x:v>
      </x:c>
      <x:c r="J180" s="95" t="n">
        <x:v>617</x:v>
      </x:c>
      <x:c r="K180" s="96" t="n">
        <x:f>IFERROR(L180/J180,0)</x:f>
        <x:v>0.03079416531604538</x:v>
      </x:c>
      <x:c r="L180" s="95" t="n">
        <x:v>19</x:v>
      </x:c>
      <x:c r="M180" s="97" t="n">
        <x:v>0.4821</x:v>
      </x:c>
      <x:c r="N180" s="97" t="n">
        <x:f>ROUND(L180*M180,2)</x:f>
        <x:v>9.16</x:v>
      </x:c>
      <x:c r="O180" s="94" t="n">
        <x:v>6</x:v>
      </x:c>
      <x:c r="P180" s="94" t="str">
        <x:v>模拟：Google/Microsoft Ads采购导入</x:v>
      </x:c>
    </x:row>
    <x:row r="181">
      <x:c r="A181" s="92" t="str">
        <x:v>PROC-0180</x:v>
      </x:c>
      <x:c r="B181" s="93" t="n">
        <x:v>46055</x:v>
      </x:c>
      <x:c r="C181" s="94" t="str">
        <x:v>Google Ads</x:v>
      </x:c>
      <x:c r="D181" s="94" t="str">
        <x:v>美国</x:v>
      </x:c>
      <x:c r="E181" s="94" t="str">
        <x:v>GGL-C06</x:v>
      </x:c>
      <x:c r="F181" s="94" t="str">
        <x:v>通用搜索</x:v>
      </x:c>
      <x:c r="G181" s="94" t="str">
        <x:v>热门新品</x:v>
      </x:c>
      <x:c r="H181" s="94" t="str">
        <x:v>桌面端</x:v>
      </x:c>
      <x:c r="I181" s="94" t="str">
        <x:v>CPC</x:v>
      </x:c>
      <x:c r="J181" s="95" t="n">
        <x:v>848</x:v>
      </x:c>
      <x:c r="K181" s="96" t="n">
        <x:f>IFERROR(L181/J181,0)</x:f>
        <x:v>0.036556603773584904</x:v>
      </x:c>
      <x:c r="L181" s="95" t="n">
        <x:v>31</x:v>
      </x:c>
      <x:c r="M181" s="97" t="n">
        <x:v>0.3453</x:v>
      </x:c>
      <x:c r="N181" s="97" t="n">
        <x:f>ROUND(L181*M181,2)</x:f>
        <x:v>10.7</x:v>
      </x:c>
      <x:c r="O181" s="94" t="n">
        <x:v>6</x:v>
      </x:c>
      <x:c r="P181" s="94" t="str">
        <x:v>模拟：Google/Microsoft Ads采购导入</x:v>
      </x:c>
    </x:row>
    <x:row r="182">
      <x:c r="A182" s="92" t="str">
        <x:v>PROC-0181</x:v>
      </x:c>
      <x:c r="B182" s="93" t="n">
        <x:v>46055</x:v>
      </x:c>
      <x:c r="C182" s="94" t="str">
        <x:v>Microsoft Ads</x:v>
      </x:c>
      <x:c r="D182" s="94" t="str">
        <x:v>美国</x:v>
      </x:c>
      <x:c r="E182" s="94" t="str">
        <x:v>MSA-C15</x:v>
      </x:c>
      <x:c r="F182" s="94" t="str">
        <x:v>购物广告</x:v>
      </x:c>
      <x:c r="G182" s="94" t="str">
        <x:v>折扣商品</x:v>
      </x:c>
      <x:c r="H182" s="94" t="str">
        <x:v>移动端</x:v>
      </x:c>
      <x:c r="I182" s="94" t="str">
        <x:v>CPC</x:v>
      </x:c>
      <x:c r="J182" s="95" t="n">
        <x:v>830</x:v>
      </x:c>
      <x:c r="K182" s="96" t="n">
        <x:f>IFERROR(L182/J182,0)</x:f>
        <x:v>0.05060240963855422</x:v>
      </x:c>
      <x:c r="L182" s="95" t="n">
        <x:v>42</x:v>
      </x:c>
      <x:c r="M182" s="97" t="n">
        <x:v>0.2424</x:v>
      </x:c>
      <x:c r="N182" s="97" t="n">
        <x:f>ROUND(L182*M182,2)</x:f>
        <x:v>10.18</x:v>
      </x:c>
      <x:c r="O182" s="94" t="n">
        <x:v>8</x:v>
      </x:c>
      <x:c r="P182" s="94" t="str">
        <x:v>模拟：Google/Microsoft Ads采购导入</x:v>
      </x:c>
    </x:row>
    <x:row r="183">
      <x:c r="A183" s="92" t="str">
        <x:v>PROC-0182</x:v>
      </x:c>
      <x:c r="B183" s="93" t="n">
        <x:v>46055</x:v>
      </x:c>
      <x:c r="C183" s="94" t="str">
        <x:v>Microsoft Ads</x:v>
      </x:c>
      <x:c r="D183" s="94" t="str">
        <x:v>英国</x:v>
      </x:c>
      <x:c r="E183" s="94" t="str">
        <x:v>MSA-C24</x:v>
      </x:c>
      <x:c r="F183" s="94" t="str">
        <x:v>品牌搜索</x:v>
      </x:c>
      <x:c r="G183" s="94" t="str">
        <x:v>品牌配件词</x:v>
      </x:c>
      <x:c r="H183" s="94" t="str">
        <x:v>移动端</x:v>
      </x:c>
      <x:c r="I183" s="94" t="str">
        <x:v>CPC</x:v>
      </x:c>
      <x:c r="J183" s="95" t="n">
        <x:v>1253</x:v>
      </x:c>
      <x:c r="K183" s="96" t="n">
        <x:f>IFERROR(L183/J183,0)</x:f>
        <x:v>0.04948124501197127</x:v>
      </x:c>
      <x:c r="L183" s="95" t="n">
        <x:v>62</x:v>
      </x:c>
      <x:c r="M183" s="97" t="n">
        <x:v>0.1712</x:v>
      </x:c>
      <x:c r="N183" s="97" t="n">
        <x:f>ROUND(L183*M183,2)</x:f>
        <x:v>10.61</x:v>
      </x:c>
      <x:c r="O183" s="94" t="n">
        <x:v>7</x:v>
      </x:c>
      <x:c r="P183" s="94" t="str">
        <x:v>模拟：Google/Microsoft Ads采购导入</x:v>
      </x:c>
    </x:row>
    <x:row r="184">
      <x:c r="A184" s="92" t="str">
        <x:v>PROC-0183</x:v>
      </x:c>
      <x:c r="B184" s="93" t="n">
        <x:v>46055</x:v>
      </x:c>
      <x:c r="C184" s="94" t="str">
        <x:v>Google Ads</x:v>
      </x:c>
      <x:c r="D184" s="94" t="str">
        <x:v>英国</x:v>
      </x:c>
      <x:c r="E184" s="94" t="str">
        <x:v>GGL-C06</x:v>
      </x:c>
      <x:c r="F184" s="94" t="str">
        <x:v>购物广告</x:v>
      </x:c>
      <x:c r="G184" s="94" t="str">
        <x:v>价格比较</x:v>
      </x:c>
      <x:c r="H184" s="94" t="str">
        <x:v>移动端</x:v>
      </x:c>
      <x:c r="I184" s="94" t="str">
        <x:v>CPC</x:v>
      </x:c>
      <x:c r="J184" s="95" t="n">
        <x:v>1226</x:v>
      </x:c>
      <x:c r="K184" s="96" t="n">
        <x:f>IFERROR(L184/J184,0)</x:f>
        <x:v>0.040783034257748776</x:v>
      </x:c>
      <x:c r="L184" s="95" t="n">
        <x:v>50</x:v>
      </x:c>
      <x:c r="M184" s="97" t="n">
        <x:v>0.3399</x:v>
      </x:c>
      <x:c r="N184" s="97" t="n">
        <x:f>ROUND(L184*M184,2)</x:f>
        <x:v>16.99</x:v>
      </x:c>
      <x:c r="O184" s="94" t="n">
        <x:v>7</x:v>
      </x:c>
      <x:c r="P184" s="94" t="str">
        <x:v>模拟：Google/Microsoft Ads采购导入</x:v>
      </x:c>
    </x:row>
    <x:row r="185">
      <x:c r="A185" s="92" t="str">
        <x:v>PROC-0184</x:v>
      </x:c>
      <x:c r="B185" s="93" t="n">
        <x:v>46056</x:v>
      </x:c>
      <x:c r="C185" s="94" t="str">
        <x:v>Microsoft Ads</x:v>
      </x:c>
      <x:c r="D185" s="94" t="str">
        <x:v>日本</x:v>
      </x:c>
      <x:c r="E185" s="94" t="str">
        <x:v>MSA-C13</x:v>
      </x:c>
      <x:c r="F185" s="94" t="str">
        <x:v>竞品搜索</x:v>
      </x:c>
      <x:c r="G185" s="94" t="str">
        <x:v>价格替代</x:v>
      </x:c>
      <x:c r="H185" s="94" t="str">
        <x:v>桌面端</x:v>
      </x:c>
      <x:c r="I185" s="94" t="str">
        <x:v>CPC</x:v>
      </x:c>
      <x:c r="J185" s="95" t="n">
        <x:v>717</x:v>
      </x:c>
      <x:c r="K185" s="96" t="n">
        <x:f>IFERROR(L185/J185,0)</x:f>
        <x:v>0.026499302649930265</x:v>
      </x:c>
      <x:c r="L185" s="95" t="n">
        <x:v>19</x:v>
      </x:c>
      <x:c r="M185" s="97" t="n">
        <x:v>0.2612</x:v>
      </x:c>
      <x:c r="N185" s="97" t="n">
        <x:f>ROUND(L185*M185,2)</x:f>
        <x:v>4.96</x:v>
      </x:c>
      <x:c r="O185" s="94" t="n">
        <x:v>8</x:v>
      </x:c>
      <x:c r="P185" s="94" t="str">
        <x:v>模拟：Google/Microsoft Ads采购导入</x:v>
      </x:c>
    </x:row>
    <x:row r="186">
      <x:c r="A186" s="92" t="str">
        <x:v>PROC-0185</x:v>
      </x:c>
      <x:c r="B186" s="93" t="n">
        <x:v>46056</x:v>
      </x:c>
      <x:c r="C186" s="94" t="str">
        <x:v>Google Ads</x:v>
      </x:c>
      <x:c r="D186" s="94" t="str">
        <x:v>美国</x:v>
      </x:c>
      <x:c r="E186" s="94" t="str">
        <x:v>GGL-C21</x:v>
      </x:c>
      <x:c r="F186" s="94" t="str">
        <x:v>购物广告</x:v>
      </x:c>
      <x:c r="G186" s="94" t="str">
        <x:v>畅销商品</x:v>
      </x:c>
      <x:c r="H186" s="94" t="str">
        <x:v>移动端</x:v>
      </x:c>
      <x:c r="I186" s="94" t="str">
        <x:v>CPC</x:v>
      </x:c>
      <x:c r="J186" s="95" t="n">
        <x:v>825</x:v>
      </x:c>
      <x:c r="K186" s="96" t="n">
        <x:f>IFERROR(L186/J186,0)</x:f>
        <x:v>0.03878787878787879</x:v>
      </x:c>
      <x:c r="L186" s="95" t="n">
        <x:v>32</x:v>
      </x:c>
      <x:c r="M186" s="97" t="n">
        <x:v>0.4327</x:v>
      </x:c>
      <x:c r="N186" s="97" t="n">
        <x:f>ROUND(L186*M186,2)</x:f>
        <x:v>13.85</x:v>
      </x:c>
      <x:c r="O186" s="94" t="n">
        <x:v>7</x:v>
      </x:c>
      <x:c r="P186" s="94" t="str">
        <x:v>模拟：Google/Microsoft Ads采购导入</x:v>
      </x:c>
    </x:row>
    <x:row r="187">
      <x:c r="A187" s="92" t="str">
        <x:v>PROC-0186</x:v>
      </x:c>
      <x:c r="B187" s="93" t="n">
        <x:v>46056</x:v>
      </x:c>
      <x:c r="C187" s="94" t="str">
        <x:v>Google Ads</x:v>
      </x:c>
      <x:c r="D187" s="94" t="str">
        <x:v>德国</x:v>
      </x:c>
      <x:c r="E187" s="94" t="str">
        <x:v>GGL-C03</x:v>
      </x:c>
      <x:c r="F187" s="94" t="str">
        <x:v>购物广告</x:v>
      </x:c>
      <x:c r="G187" s="94" t="str">
        <x:v>快速配送</x:v>
      </x:c>
      <x:c r="H187" s="94" t="str">
        <x:v>移动端</x:v>
      </x:c>
      <x:c r="I187" s="94" t="str">
        <x:v>CPC</x:v>
      </x:c>
      <x:c r="J187" s="95" t="n">
        <x:v>913</x:v>
      </x:c>
      <x:c r="K187" s="96" t="n">
        <x:f>IFERROR(L187/J187,0)</x:f>
        <x:v>0.04819277108433735</x:v>
      </x:c>
      <x:c r="L187" s="95" t="n">
        <x:v>44</x:v>
      </x:c>
      <x:c r="M187" s="97" t="n">
        <x:v>0.2613</x:v>
      </x:c>
      <x:c r="N187" s="97" t="n">
        <x:f>ROUND(L187*M187,2)</x:f>
        <x:v>11.5</x:v>
      </x:c>
      <x:c r="O187" s="94" t="n">
        <x:v>9</x:v>
      </x:c>
      <x:c r="P187" s="94" t="str">
        <x:v>模拟：Google/Microsoft Ads采购导入</x:v>
      </x:c>
    </x:row>
    <x:row r="188">
      <x:c r="A188" s="92" t="str">
        <x:v>PROC-0187</x:v>
      </x:c>
      <x:c r="B188" s="93" t="n">
        <x:v>46056</x:v>
      </x:c>
      <x:c r="C188" s="94" t="str">
        <x:v>Google Ads</x:v>
      </x:c>
      <x:c r="D188" s="94" t="str">
        <x:v>美国</x:v>
      </x:c>
      <x:c r="E188" s="94" t="str">
        <x:v>GGL-C08</x:v>
      </x:c>
      <x:c r="F188" s="94" t="str">
        <x:v>购物广告</x:v>
      </x:c>
      <x:c r="G188" s="94" t="str">
        <x:v>折扣商品</x:v>
      </x:c>
      <x:c r="H188" s="94" t="str">
        <x:v>移动端</x:v>
      </x:c>
      <x:c r="I188" s="94" t="str">
        <x:v>CPC</x:v>
      </x:c>
      <x:c r="J188" s="95" t="n">
        <x:v>1596</x:v>
      </x:c>
      <x:c r="K188" s="96" t="n">
        <x:f>IFERROR(L188/J188,0)</x:f>
        <x:v>0.047619047619047616</x:v>
      </x:c>
      <x:c r="L188" s="95" t="n">
        <x:v>76</x:v>
      </x:c>
      <x:c r="M188" s="97" t="n">
        <x:v>0.3544</x:v>
      </x:c>
      <x:c r="N188" s="97" t="n">
        <x:f>ROUND(L188*M188,2)</x:f>
        <x:v>26.93</x:v>
      </x:c>
      <x:c r="O188" s="94" t="n">
        <x:v>8</x:v>
      </x:c>
      <x:c r="P188" s="94" t="str">
        <x:v>模拟：Google/Microsoft Ads采购导入</x:v>
      </x:c>
    </x:row>
    <x:row r="189">
      <x:c r="A189" s="92" t="str">
        <x:v>PROC-0188</x:v>
      </x:c>
      <x:c r="B189" s="93" t="n">
        <x:v>46056</x:v>
      </x:c>
      <x:c r="C189" s="94" t="str">
        <x:v>Google Ads</x:v>
      </x:c>
      <x:c r="D189" s="94" t="str">
        <x:v>美国</x:v>
      </x:c>
      <x:c r="E189" s="94" t="str">
        <x:v>GGL-C15</x:v>
      </x:c>
      <x:c r="F189" s="94" t="str">
        <x:v>购物广告</x:v>
      </x:c>
      <x:c r="G189" s="94" t="str">
        <x:v>价格比较</x:v>
      </x:c>
      <x:c r="H189" s="94" t="str">
        <x:v>移动端</x:v>
      </x:c>
      <x:c r="I189" s="94" t="str">
        <x:v>CPC</x:v>
      </x:c>
      <x:c r="J189" s="95" t="n">
        <x:v>867</x:v>
      </x:c>
      <x:c r="K189" s="96" t="n">
        <x:f>IFERROR(L189/J189,0)</x:f>
        <x:v>0.04267589388696655</x:v>
      </x:c>
      <x:c r="L189" s="95" t="n">
        <x:v>37</x:v>
      </x:c>
      <x:c r="M189" s="97" t="n">
        <x:v>0.424</x:v>
      </x:c>
      <x:c r="N189" s="97" t="n">
        <x:f>ROUND(L189*M189,2)</x:f>
        <x:v>15.69</x:v>
      </x:c>
      <x:c r="O189" s="94" t="n">
        <x:v>8</x:v>
      </x:c>
      <x:c r="P189" s="94" t="str">
        <x:v>模拟：Google/Microsoft Ads采购导入</x:v>
      </x:c>
    </x:row>
    <x:row r="190">
      <x:c r="A190" s="92" t="str">
        <x:v>PROC-0189</x:v>
      </x:c>
      <x:c r="B190" s="93" t="n">
        <x:v>46057</x:v>
      </x:c>
      <x:c r="C190" s="94" t="str">
        <x:v>Microsoft Ads</x:v>
      </x:c>
      <x:c r="D190" s="94" t="str">
        <x:v>美国</x:v>
      </x:c>
      <x:c r="E190" s="94" t="str">
        <x:v>MSA-C24</x:v>
      </x:c>
      <x:c r="F190" s="94" t="str">
        <x:v>购物广告</x:v>
      </x:c>
      <x:c r="G190" s="94" t="str">
        <x:v>折扣商品</x:v>
      </x:c>
      <x:c r="H190" s="94" t="str">
        <x:v>移动端</x:v>
      </x:c>
      <x:c r="I190" s="94" t="str">
        <x:v>CPC</x:v>
      </x:c>
      <x:c r="J190" s="95" t="n">
        <x:v>1201</x:v>
      </x:c>
      <x:c r="K190" s="96" t="n">
        <x:f>IFERROR(L190/J190,0)</x:f>
        <x:v>0.051623646960865945</x:v>
      </x:c>
      <x:c r="L190" s="95" t="n">
        <x:v>62</x:v>
      </x:c>
      <x:c r="M190" s="97" t="n">
        <x:v>0.2692</x:v>
      </x:c>
      <x:c r="N190" s="97" t="n">
        <x:f>ROUND(L190*M190,2)</x:f>
        <x:v>16.69</x:v>
      </x:c>
      <x:c r="O190" s="94" t="n">
        <x:v>7</x:v>
      </x:c>
      <x:c r="P190" s="94" t="str">
        <x:v>模拟：Google/Microsoft Ads采购导入</x:v>
      </x:c>
    </x:row>
    <x:row r="191">
      <x:c r="A191" s="92" t="str">
        <x:v>PROC-0190</x:v>
      </x:c>
      <x:c r="B191" s="93" t="n">
        <x:v>46057</x:v>
      </x:c>
      <x:c r="C191" s="94" t="str">
        <x:v>Microsoft Ads</x:v>
      </x:c>
      <x:c r="D191" s="94" t="str">
        <x:v>美国</x:v>
      </x:c>
      <x:c r="E191" s="94" t="str">
        <x:v>MSA-C08</x:v>
      </x:c>
      <x:c r="F191" s="94" t="str">
        <x:v>购物广告</x:v>
      </x:c>
      <x:c r="G191" s="94" t="str">
        <x:v>折扣商品</x:v>
      </x:c>
      <x:c r="H191" s="94" t="str">
        <x:v>移动端</x:v>
      </x:c>
      <x:c r="I191" s="94" t="str">
        <x:v>CPC</x:v>
      </x:c>
      <x:c r="J191" s="95" t="n">
        <x:v>733</x:v>
      </x:c>
      <x:c r="K191" s="96" t="n">
        <x:f>IFERROR(L191/J191,0)</x:f>
        <x:v>0.04229195088676671</x:v>
      </x:c>
      <x:c r="L191" s="95" t="n">
        <x:v>31</x:v>
      </x:c>
      <x:c r="M191" s="97" t="n">
        <x:v>0.3138</x:v>
      </x:c>
      <x:c r="N191" s="97" t="n">
        <x:f>ROUND(L191*M191,2)</x:f>
        <x:v>9.73</x:v>
      </x:c>
      <x:c r="O191" s="94" t="n">
        <x:v>6</x:v>
      </x:c>
      <x:c r="P191" s="94" t="str">
        <x:v>模拟：Google/Microsoft Ads采购导入</x:v>
      </x:c>
    </x:row>
    <x:row r="192">
      <x:c r="A192" s="92" t="str">
        <x:v>PROC-0191</x:v>
      </x:c>
      <x:c r="B192" s="93" t="n">
        <x:v>46057</x:v>
      </x:c>
      <x:c r="C192" s="94" t="str">
        <x:v>Microsoft Ads</x:v>
      </x:c>
      <x:c r="D192" s="94" t="str">
        <x:v>日本</x:v>
      </x:c>
      <x:c r="E192" s="94" t="str">
        <x:v>MSA-C15</x:v>
      </x:c>
      <x:c r="F192" s="94" t="str">
        <x:v>通用搜索</x:v>
      </x:c>
      <x:c r="G192" s="94" t="str">
        <x:v>专业精选</x:v>
      </x:c>
      <x:c r="H192" s="94" t="str">
        <x:v>桌面端</x:v>
      </x:c>
      <x:c r="I192" s="94" t="str">
        <x:v>CPC</x:v>
      </x:c>
      <x:c r="J192" s="95" t="n">
        <x:v>1184</x:v>
      </x:c>
      <x:c r="K192" s="96" t="n">
        <x:f>IFERROR(L192/J192,0)</x:f>
        <x:v>0.036317567567567564</x:v>
      </x:c>
      <x:c r="L192" s="95" t="n">
        <x:v>43</x:v>
      </x:c>
      <x:c r="M192" s="97" t="n">
        <x:v>0.1689</x:v>
      </x:c>
      <x:c r="N192" s="97" t="n">
        <x:f>ROUND(L192*M192,2)</x:f>
        <x:v>7.26</x:v>
      </x:c>
      <x:c r="O192" s="94" t="n">
        <x:v>8</x:v>
      </x:c>
      <x:c r="P192" s="94" t="str">
        <x:v>模拟：Google/Microsoft Ads采购导入</x:v>
      </x:c>
    </x:row>
    <x:row r="193">
      <x:c r="A193" s="92" t="str">
        <x:v>PROC-0192</x:v>
      </x:c>
      <x:c r="B193" s="93" t="n">
        <x:v>46057</x:v>
      </x:c>
      <x:c r="C193" s="94" t="str">
        <x:v>Google Ads</x:v>
      </x:c>
      <x:c r="D193" s="94" t="str">
        <x:v>英国</x:v>
      </x:c>
      <x:c r="E193" s="94" t="str">
        <x:v>GGL-C22</x:v>
      </x:c>
      <x:c r="F193" s="94" t="str">
        <x:v>购物广告</x:v>
      </x:c>
      <x:c r="G193" s="94" t="str">
        <x:v>价格比较</x:v>
      </x:c>
      <x:c r="H193" s="94" t="str">
        <x:v>桌面端</x:v>
      </x:c>
      <x:c r="I193" s="94" t="str">
        <x:v>CPC</x:v>
      </x:c>
      <x:c r="J193" s="95" t="n">
        <x:v>1265</x:v>
      </x:c>
      <x:c r="K193" s="96" t="n">
        <x:f>IFERROR(L193/J193,0)</x:f>
        <x:v>0.03873517786561265</x:v>
      </x:c>
      <x:c r="L193" s="95" t="n">
        <x:v>49</x:v>
      </x:c>
      <x:c r="M193" s="97" t="n">
        <x:v>0.302</x:v>
      </x:c>
      <x:c r="N193" s="97" t="n">
        <x:f>ROUND(L193*M193,2)</x:f>
        <x:v>14.8</x:v>
      </x:c>
      <x:c r="O193" s="94" t="n">
        <x:v>6</x:v>
      </x:c>
      <x:c r="P193" s="94" t="str">
        <x:v>模拟：Google/Microsoft Ads采购导入</x:v>
      </x:c>
    </x:row>
    <x:row r="194">
      <x:c r="A194" s="92" t="str">
        <x:v>PROC-0193</x:v>
      </x:c>
      <x:c r="B194" s="93" t="n">
        <x:v>46057</x:v>
      </x:c>
      <x:c r="C194" s="94" t="str">
        <x:v>Google Ads</x:v>
      </x:c>
      <x:c r="D194" s="94" t="str">
        <x:v>英国</x:v>
      </x:c>
      <x:c r="E194" s="94" t="str">
        <x:v>GGL-C02</x:v>
      </x:c>
      <x:c r="F194" s="94" t="str">
        <x:v>品牌搜索</x:v>
      </x:c>
      <x:c r="G194" s="94" t="str">
        <x:v>品牌评测词</x:v>
      </x:c>
      <x:c r="H194" s="94" t="str">
        <x:v>桌面端</x:v>
      </x:c>
      <x:c r="I194" s="94" t="str">
        <x:v>CPC</x:v>
      </x:c>
      <x:c r="J194" s="95" t="n">
        <x:v>1333</x:v>
      </x:c>
      <x:c r="K194" s="96" t="n">
        <x:f>IFERROR(L194/J194,0)</x:f>
        <x:v>0.06151537884471118</x:v>
      </x:c>
      <x:c r="L194" s="95" t="n">
        <x:v>82</x:v>
      </x:c>
      <x:c r="M194" s="97" t="n">
        <x:v>0.1916</x:v>
      </x:c>
      <x:c r="N194" s="97" t="n">
        <x:f>ROUND(L194*M194,2)</x:f>
        <x:v>15.71</x:v>
      </x:c>
      <x:c r="O194" s="94" t="n">
        <x:v>8</x:v>
      </x:c>
      <x:c r="P194" s="94" t="str">
        <x:v>模拟：Google/Microsoft Ads采购导入</x:v>
      </x:c>
    </x:row>
    <x:row r="195">
      <x:c r="A195" s="92" t="str">
        <x:v>PROC-0194</x:v>
      </x:c>
      <x:c r="B195" s="93" t="n">
        <x:v>46057</x:v>
      </x:c>
      <x:c r="C195" s="94" t="str">
        <x:v>Google Ads</x:v>
      </x:c>
      <x:c r="D195" s="94" t="str">
        <x:v>美国</x:v>
      </x:c>
      <x:c r="E195" s="94" t="str">
        <x:v>GGL-C12</x:v>
      </x:c>
      <x:c r="F195" s="94" t="str">
        <x:v>通用搜索</x:v>
      </x:c>
      <x:c r="G195" s="94" t="str">
        <x:v>热门新品</x:v>
      </x:c>
      <x:c r="H195" s="94" t="str">
        <x:v>移动端</x:v>
      </x:c>
      <x:c r="I195" s="94" t="str">
        <x:v>CPC</x:v>
      </x:c>
      <x:c r="J195" s="95" t="n">
        <x:v>1364</x:v>
      </x:c>
      <x:c r="K195" s="96" t="n">
        <x:f>IFERROR(L195/J195,0)</x:f>
        <x:v>0.03519061583577713</x:v>
      </x:c>
      <x:c r="L195" s="95" t="n">
        <x:v>48</x:v>
      </x:c>
      <x:c r="M195" s="97" t="n">
        <x:v>0.3866</x:v>
      </x:c>
      <x:c r="N195" s="97" t="n">
        <x:f>ROUND(L195*M195,2)</x:f>
        <x:v>18.56</x:v>
      </x:c>
      <x:c r="O195" s="94" t="n">
        <x:v>6</x:v>
      </x:c>
      <x:c r="P195" s="94" t="str">
        <x:v>模拟：Google/Microsoft Ads采购导入</x:v>
      </x:c>
    </x:row>
    <x:row r="196">
      <x:c r="A196" s="92" t="str">
        <x:v>PROC-0195</x:v>
      </x:c>
      <x:c r="B196" s="93" t="n">
        <x:v>46058</x:v>
      </x:c>
      <x:c r="C196" s="94" t="str">
        <x:v>Google Ads</x:v>
      </x:c>
      <x:c r="D196" s="94" t="str">
        <x:v>日本</x:v>
      </x:c>
      <x:c r="E196" s="94" t="str">
        <x:v>GGL-C16</x:v>
      </x:c>
      <x:c r="F196" s="94" t="str">
        <x:v>购物广告</x:v>
      </x:c>
      <x:c r="G196" s="94" t="str">
        <x:v>高评分商品</x:v>
      </x:c>
      <x:c r="H196" s="94" t="str">
        <x:v>移动端</x:v>
      </x:c>
      <x:c r="I196" s="94" t="str">
        <x:v>CPC</x:v>
      </x:c>
      <x:c r="J196" s="95" t="n">
        <x:v>1610</x:v>
      </x:c>
      <x:c r="K196" s="96" t="n">
        <x:f>IFERROR(L196/J196,0)</x:f>
        <x:v>0.04472049689440994</x:v>
      </x:c>
      <x:c r="L196" s="95" t="n">
        <x:v>72</x:v>
      </x:c>
      <x:c r="M196" s="97" t="n">
        <x:v>0.3178</x:v>
      </x:c>
      <x:c r="N196" s="97" t="n">
        <x:f>ROUND(L196*M196,2)</x:f>
        <x:v>22.88</x:v>
      </x:c>
      <x:c r="O196" s="94" t="n">
        <x:v>7</x:v>
      </x:c>
      <x:c r="P196" s="94" t="str">
        <x:v>模拟：Google/Microsoft Ads采购导入</x:v>
      </x:c>
    </x:row>
    <x:row r="197">
      <x:c r="A197" s="92" t="str">
        <x:v>PROC-0196</x:v>
      </x:c>
      <x:c r="B197" s="93" t="n">
        <x:v>46058</x:v>
      </x:c>
      <x:c r="C197" s="94" t="str">
        <x:v>Google Ads</x:v>
      </x:c>
      <x:c r="D197" s="94" t="str">
        <x:v>德国</x:v>
      </x:c>
      <x:c r="E197" s="94" t="str">
        <x:v>GGL-C24</x:v>
      </x:c>
      <x:c r="F197" s="94" t="str">
        <x:v>购物广告</x:v>
      </x:c>
      <x:c r="G197" s="94" t="str">
        <x:v>畅销商品</x:v>
      </x:c>
      <x:c r="H197" s="94" t="str">
        <x:v>桌面端</x:v>
      </x:c>
      <x:c r="I197" s="94" t="str">
        <x:v>CPC</x:v>
      </x:c>
      <x:c r="J197" s="95" t="n">
        <x:v>1345</x:v>
      </x:c>
      <x:c r="K197" s="96" t="n">
        <x:f>IFERROR(L197/J197,0)</x:f>
        <x:v>0.048327137546468404</x:v>
      </x:c>
      <x:c r="L197" s="95" t="n">
        <x:v>65</x:v>
      </x:c>
      <x:c r="M197" s="97" t="n">
        <x:v>0.2626</x:v>
      </x:c>
      <x:c r="N197" s="97" t="n">
        <x:f>ROUND(L197*M197,2)</x:f>
        <x:v>17.07</x:v>
      </x:c>
      <x:c r="O197" s="94" t="n">
        <x:v>8</x:v>
      </x:c>
      <x:c r="P197" s="94" t="str">
        <x:v>模拟：Google/Microsoft Ads采购导入</x:v>
      </x:c>
    </x:row>
    <x:row r="198">
      <x:c r="A198" s="92" t="str">
        <x:v>PROC-0197</x:v>
      </x:c>
      <x:c r="B198" s="93" t="n">
        <x:v>46058</x:v>
      </x:c>
      <x:c r="C198" s="94" t="str">
        <x:v>Google Ads</x:v>
      </x:c>
      <x:c r="D198" s="94" t="str">
        <x:v>美国</x:v>
      </x:c>
      <x:c r="E198" s="94" t="str">
        <x:v>GGL-C05</x:v>
      </x:c>
      <x:c r="F198" s="94" t="str">
        <x:v>通用搜索</x:v>
      </x:c>
      <x:c r="G198" s="94" t="str">
        <x:v>家庭必备</x:v>
      </x:c>
      <x:c r="H198" s="94" t="str">
        <x:v>移动端</x:v>
      </x:c>
      <x:c r="I198" s="94" t="str">
        <x:v>CPC</x:v>
      </x:c>
      <x:c r="J198" s="95" t="n">
        <x:v>811</x:v>
      </x:c>
      <x:c r="K198" s="96" t="n">
        <x:f>IFERROR(L198/J198,0)</x:f>
        <x:v>0.030826140567200986</x:v>
      </x:c>
      <x:c r="L198" s="95" t="n">
        <x:v>25</x:v>
      </x:c>
      <x:c r="M198" s="97" t="n">
        <x:v>0.3826</x:v>
      </x:c>
      <x:c r="N198" s="97" t="n">
        <x:f>ROUND(L198*M198,2)</x:f>
        <x:v>9.57</x:v>
      </x:c>
      <x:c r="O198" s="94" t="n">
        <x:v>8</x:v>
      </x:c>
      <x:c r="P198" s="94" t="str">
        <x:v>模拟：Google/Microsoft Ads采购导入</x:v>
      </x:c>
    </x:row>
    <x:row r="199">
      <x:c r="A199" s="92" t="str">
        <x:v>PROC-0198</x:v>
      </x:c>
      <x:c r="B199" s="93" t="n">
        <x:v>46058</x:v>
      </x:c>
      <x:c r="C199" s="94" t="str">
        <x:v>Google Ads</x:v>
      </x:c>
      <x:c r="D199" s="94" t="str">
        <x:v>德国</x:v>
      </x:c>
      <x:c r="E199" s="94" t="str">
        <x:v>GGL-C15</x:v>
      </x:c>
      <x:c r="F199" s="94" t="str">
        <x:v>通用搜索</x:v>
      </x:c>
      <x:c r="G199" s="94" t="str">
        <x:v>实用礼物</x:v>
      </x:c>
      <x:c r="H199" s="94" t="str">
        <x:v>移动端</x:v>
      </x:c>
      <x:c r="I199" s="94" t="str">
        <x:v>CPC</x:v>
      </x:c>
      <x:c r="J199" s="95" t="n">
        <x:v>1433</x:v>
      </x:c>
      <x:c r="K199" s="96" t="n">
        <x:f>IFERROR(L199/J199,0)</x:f>
        <x:v>0.028611304954640614</x:v>
      </x:c>
      <x:c r="L199" s="95" t="n">
        <x:v>41</x:v>
      </x:c>
      <x:c r="M199" s="97" t="n">
        <x:v>0.299</x:v>
      </x:c>
      <x:c r="N199" s="97" t="n">
        <x:f>ROUND(L199*M199,2)</x:f>
        <x:v>12.26</x:v>
      </x:c>
      <x:c r="O199" s="94" t="n">
        <x:v>7</x:v>
      </x:c>
      <x:c r="P199" s="94" t="str">
        <x:v>模拟：Google/Microsoft Ads采购导入</x:v>
      </x:c>
    </x:row>
    <x:row r="200">
      <x:c r="A200" s="92" t="str">
        <x:v>PROC-0199</x:v>
      </x:c>
      <x:c r="B200" s="93" t="n">
        <x:v>46058</x:v>
      </x:c>
      <x:c r="C200" s="94" t="str">
        <x:v>Microsoft Ads</x:v>
      </x:c>
      <x:c r="D200" s="94" t="str">
        <x:v>美国</x:v>
      </x:c>
      <x:c r="E200" s="94" t="str">
        <x:v>MSA-C23</x:v>
      </x:c>
      <x:c r="F200" s="94" t="str">
        <x:v>购物广告</x:v>
      </x:c>
      <x:c r="G200" s="94" t="str">
        <x:v>畅销商品</x:v>
      </x:c>
      <x:c r="H200" s="94" t="str">
        <x:v>移动端</x:v>
      </x:c>
      <x:c r="I200" s="94" t="str">
        <x:v>CPC</x:v>
      </x:c>
      <x:c r="J200" s="95" t="n">
        <x:v>1190</x:v>
      </x:c>
      <x:c r="K200" s="96" t="n">
        <x:f>IFERROR(L200/J200,0)</x:f>
        <x:v>0.05042016806722689</x:v>
      </x:c>
      <x:c r="L200" s="95" t="n">
        <x:v>60</x:v>
      </x:c>
      <x:c r="M200" s="97" t="n">
        <x:v>0.2879</x:v>
      </x:c>
      <x:c r="N200" s="97" t="n">
        <x:f>ROUND(L200*M200,2)</x:f>
        <x:v>17.27</x:v>
      </x:c>
      <x:c r="O200" s="94" t="n">
        <x:v>8</x:v>
      </x:c>
      <x:c r="P200" s="94" t="str">
        <x:v>模拟：Google/Microsoft Ads采购导入</x:v>
      </x:c>
    </x:row>
    <x:row r="201">
      <x:c r="A201" s="92" t="str">
        <x:v>PROC-0200</x:v>
      </x:c>
      <x:c r="B201" s="93" t="n">
        <x:v>46059</x:v>
      </x:c>
      <x:c r="C201" s="94" t="str">
        <x:v>Microsoft Ads</x:v>
      </x:c>
      <x:c r="D201" s="94" t="str">
        <x:v>日本</x:v>
      </x:c>
      <x:c r="E201" s="94" t="str">
        <x:v>MSA-C06</x:v>
      </x:c>
      <x:c r="F201" s="94" t="str">
        <x:v>购物广告</x:v>
      </x:c>
      <x:c r="G201" s="94" t="str">
        <x:v>折扣商品</x:v>
      </x:c>
      <x:c r="H201" s="94" t="str">
        <x:v>桌面端</x:v>
      </x:c>
      <x:c r="I201" s="94" t="str">
        <x:v>CPC</x:v>
      </x:c>
      <x:c r="J201" s="95" t="n">
        <x:v>1558</x:v>
      </x:c>
      <x:c r="K201" s="96" t="n">
        <x:f>IFERROR(L201/J201,0)</x:f>
        <x:v>0.036585365853658534</x:v>
      </x:c>
      <x:c r="L201" s="95" t="n">
        <x:v>57</x:v>
      </x:c>
      <x:c r="M201" s="97" t="n">
        <x:v>0.2228</x:v>
      </x:c>
      <x:c r="N201" s="97" t="n">
        <x:f>ROUND(L201*M201,2)</x:f>
        <x:v>12.7</x:v>
      </x:c>
      <x:c r="O201" s="94" t="n">
        <x:v>8</x:v>
      </x:c>
      <x:c r="P201" s="94" t="str">
        <x:v>模拟：Google/Microsoft Ads采购导入</x:v>
      </x:c>
    </x:row>
    <x:row r="202">
      <x:c r="A202" s="92" t="str">
        <x:v>PROC-0201</x:v>
      </x:c>
      <x:c r="B202" s="93" t="n">
        <x:v>46059</x:v>
      </x:c>
      <x:c r="C202" s="94" t="str">
        <x:v>Microsoft Ads</x:v>
      </x:c>
      <x:c r="D202" s="94" t="str">
        <x:v>美国</x:v>
      </x:c>
      <x:c r="E202" s="94" t="str">
        <x:v>MSA-C11</x:v>
      </x:c>
      <x:c r="F202" s="94" t="str">
        <x:v>竞品搜索</x:v>
      </x:c>
      <x:c r="G202" s="94" t="str">
        <x:v>价格替代</x:v>
      </x:c>
      <x:c r="H202" s="94" t="str">
        <x:v>移动端</x:v>
      </x:c>
      <x:c r="I202" s="94" t="str">
        <x:v>CPC</x:v>
      </x:c>
      <x:c r="J202" s="95" t="n">
        <x:v>1050</x:v>
      </x:c>
      <x:c r="K202" s="96" t="n">
        <x:f>IFERROR(L202/J202,0)</x:f>
        <x:v>0.030476190476190476</x:v>
      </x:c>
      <x:c r="L202" s="95" t="n">
        <x:v>32</x:v>
      </x:c>
      <x:c r="M202" s="97" t="n">
        <x:v>0.2831</x:v>
      </x:c>
      <x:c r="N202" s="97" t="n">
        <x:f>ROUND(L202*M202,2)</x:f>
        <x:v>9.06</x:v>
      </x:c>
      <x:c r="O202" s="94" t="n">
        <x:v>6</x:v>
      </x:c>
      <x:c r="P202" s="94" t="str">
        <x:v>模拟：Google/Microsoft Ads采购导入</x:v>
      </x:c>
    </x:row>
    <x:row r="203">
      <x:c r="A203" s="92" t="str">
        <x:v>PROC-0202</x:v>
      </x:c>
      <x:c r="B203" s="93" t="n">
        <x:v>46059</x:v>
      </x:c>
      <x:c r="C203" s="94" t="str">
        <x:v>Microsoft Ads</x:v>
      </x:c>
      <x:c r="D203" s="94" t="str">
        <x:v>日本</x:v>
      </x:c>
      <x:c r="E203" s="94" t="str">
        <x:v>MSA-C17</x:v>
      </x:c>
      <x:c r="F203" s="94" t="str">
        <x:v>竞品搜索</x:v>
      </x:c>
      <x:c r="G203" s="94" t="str">
        <x:v>同类产品对比</x:v>
      </x:c>
      <x:c r="H203" s="94" t="str">
        <x:v>桌面端</x:v>
      </x:c>
      <x:c r="I203" s="94" t="str">
        <x:v>CPC</x:v>
      </x:c>
      <x:c r="J203" s="95" t="n">
        <x:v>1021</x:v>
      </x:c>
      <x:c r="K203" s="96" t="n">
        <x:f>IFERROR(L203/J203,0)</x:f>
        <x:v>0.03330068560235064</x:v>
      </x:c>
      <x:c r="L203" s="95" t="n">
        <x:v>34</x:v>
      </x:c>
      <x:c r="M203" s="97" t="n">
        <x:v>0.2491</x:v>
      </x:c>
      <x:c r="N203" s="97" t="n">
        <x:f>ROUND(L203*M203,2)</x:f>
        <x:v>8.47</x:v>
      </x:c>
      <x:c r="O203" s="94" t="n">
        <x:v>7</x:v>
      </x:c>
      <x:c r="P203" s="94" t="str">
        <x:v>模拟：Google/Microsoft Ads采购导入</x:v>
      </x:c>
    </x:row>
    <x:row r="204">
      <x:c r="A204" s="92" t="str">
        <x:v>PROC-0203</x:v>
      </x:c>
      <x:c r="B204" s="93" t="n">
        <x:v>46059</x:v>
      </x:c>
      <x:c r="C204" s="94" t="str">
        <x:v>Google Ads</x:v>
      </x:c>
      <x:c r="D204" s="94" t="str">
        <x:v>日本</x:v>
      </x:c>
      <x:c r="E204" s="94" t="str">
        <x:v>GGL-C23</x:v>
      </x:c>
      <x:c r="F204" s="94" t="str">
        <x:v>购物广告</x:v>
      </x:c>
      <x:c r="G204" s="94" t="str">
        <x:v>高评分商品</x:v>
      </x:c>
      <x:c r="H204" s="94" t="str">
        <x:v>移动端</x:v>
      </x:c>
      <x:c r="I204" s="94" t="str">
        <x:v>CPC</x:v>
      </x:c>
      <x:c r="J204" s="95" t="n">
        <x:v>958</x:v>
      </x:c>
      <x:c r="K204" s="96" t="n">
        <x:f>IFERROR(L204/J204,0)</x:f>
        <x:v>0.04488517745302714</x:v>
      </x:c>
      <x:c r="L204" s="95" t="n">
        <x:v>43</x:v>
      </x:c>
      <x:c r="M204" s="97" t="n">
        <x:v>0.321</x:v>
      </x:c>
      <x:c r="N204" s="97" t="n">
        <x:f>ROUND(L204*M204,2)</x:f>
        <x:v>13.8</x:v>
      </x:c>
      <x:c r="O204" s="94" t="n">
        <x:v>8</x:v>
      </x:c>
      <x:c r="P204" s="94" t="str">
        <x:v>模拟：Google/Microsoft Ads采购导入</x:v>
      </x:c>
    </x:row>
    <x:row r="205">
      <x:c r="A205" s="92" t="str">
        <x:v>PROC-0204</x:v>
      </x:c>
      <x:c r="B205" s="93" t="n">
        <x:v>46059</x:v>
      </x:c>
      <x:c r="C205" s="94" t="str">
        <x:v>Google Ads</x:v>
      </x:c>
      <x:c r="D205" s="94" t="str">
        <x:v>美国</x:v>
      </x:c>
      <x:c r="E205" s="94" t="str">
        <x:v>GGL-C08</x:v>
      </x:c>
      <x:c r="F205" s="94" t="str">
        <x:v>通用搜索</x:v>
      </x:c>
      <x:c r="G205" s="94" t="str">
        <x:v>家庭必备</x:v>
      </x:c>
      <x:c r="H205" s="94" t="str">
        <x:v>桌面端</x:v>
      </x:c>
      <x:c r="I205" s="94" t="str">
        <x:v>CPC</x:v>
      </x:c>
      <x:c r="J205" s="95" t="n">
        <x:v>1129</x:v>
      </x:c>
      <x:c r="K205" s="96" t="n">
        <x:f>IFERROR(L205/J205,0)</x:f>
        <x:v>0.042515500442869794</x:v>
      </x:c>
      <x:c r="L205" s="95" t="n">
        <x:v>48</x:v>
      </x:c>
      <x:c r="M205" s="97" t="n">
        <x:v>0.3633</x:v>
      </x:c>
      <x:c r="N205" s="97" t="n">
        <x:f>ROUND(L205*M205,2)</x:f>
        <x:v>17.44</x:v>
      </x:c>
      <x:c r="O205" s="94" t="n">
        <x:v>6</x:v>
      </x:c>
      <x:c r="P205" s="94" t="str">
        <x:v>模拟：Google/Microsoft Ads采购导入</x:v>
      </x:c>
    </x:row>
    <x:row r="206">
      <x:c r="A206" s="92" t="str">
        <x:v>PROC-0205</x:v>
      </x:c>
      <x:c r="B206" s="93" t="n">
        <x:v>46059</x:v>
      </x:c>
      <x:c r="C206" s="94" t="str">
        <x:v>Google Ads</x:v>
      </x:c>
      <x:c r="D206" s="94" t="str">
        <x:v>美国</x:v>
      </x:c>
      <x:c r="E206" s="94" t="str">
        <x:v>GGL-C16</x:v>
      </x:c>
      <x:c r="F206" s="94" t="str">
        <x:v>购物广告</x:v>
      </x:c>
      <x:c r="G206" s="94" t="str">
        <x:v>高评分商品</x:v>
      </x:c>
      <x:c r="H206" s="94" t="str">
        <x:v>移动端</x:v>
      </x:c>
      <x:c r="I206" s="94" t="str">
        <x:v>CPC</x:v>
      </x:c>
      <x:c r="J206" s="95" t="n">
        <x:v>1020</x:v>
      </x:c>
      <x:c r="K206" s="96" t="n">
        <x:f>IFERROR(L206/J206,0)</x:f>
        <x:v>0.04803921568627451</x:v>
      </x:c>
      <x:c r="L206" s="95" t="n">
        <x:v>49</x:v>
      </x:c>
      <x:c r="M206" s="97" t="n">
        <x:v>0.3839</x:v>
      </x:c>
      <x:c r="N206" s="97" t="n">
        <x:f>ROUND(L206*M206,2)</x:f>
        <x:v>18.81</x:v>
      </x:c>
      <x:c r="O206" s="94" t="n">
        <x:v>8</x:v>
      </x:c>
      <x:c r="P206" s="94" t="str">
        <x:v>模拟：Google/Microsoft Ads采购导入</x:v>
      </x:c>
    </x:row>
    <x:row r="207">
      <x:c r="A207" s="92" t="str">
        <x:v>PROC-0206</x:v>
      </x:c>
      <x:c r="B207" s="93" t="n">
        <x:v>46060</x:v>
      </x:c>
      <x:c r="C207" s="94" t="str">
        <x:v>Microsoft Ads</x:v>
      </x:c>
      <x:c r="D207" s="94" t="str">
        <x:v>德国</x:v>
      </x:c>
      <x:c r="E207" s="94" t="str">
        <x:v>MSA-C24</x:v>
      </x:c>
      <x:c r="F207" s="94" t="str">
        <x:v>购物广告</x:v>
      </x:c>
      <x:c r="G207" s="94" t="str">
        <x:v>高评分商品</x:v>
      </x:c>
      <x:c r="H207" s="94" t="str">
        <x:v>移动端</x:v>
      </x:c>
      <x:c r="I207" s="94" t="str">
        <x:v>CPC</x:v>
      </x:c>
      <x:c r="J207" s="95" t="n">
        <x:v>1573</x:v>
      </x:c>
      <x:c r="K207" s="96" t="n">
        <x:f>IFERROR(L207/J207,0)</x:f>
        <x:v>0.04895104895104895</x:v>
      </x:c>
      <x:c r="L207" s="95" t="n">
        <x:v>77</x:v>
      </x:c>
      <x:c r="M207" s="97" t="n">
        <x:v>0.2539</x:v>
      </x:c>
      <x:c r="N207" s="97" t="n">
        <x:f>ROUND(L207*M207,2)</x:f>
        <x:v>19.55</x:v>
      </x:c>
      <x:c r="O207" s="94" t="n">
        <x:v>9</x:v>
      </x:c>
      <x:c r="P207" s="94" t="str">
        <x:v>模拟：Google/Microsoft Ads采购导入</x:v>
      </x:c>
    </x:row>
    <x:row r="208">
      <x:c r="A208" s="92" t="str">
        <x:v>PROC-0207</x:v>
      </x:c>
      <x:c r="B208" s="93" t="n">
        <x:v>46060</x:v>
      </x:c>
      <x:c r="C208" s="94" t="str">
        <x:v>Google Ads</x:v>
      </x:c>
      <x:c r="D208" s="94" t="str">
        <x:v>美国</x:v>
      </x:c>
      <x:c r="E208" s="94" t="str">
        <x:v>GGL-C06</x:v>
      </x:c>
      <x:c r="F208" s="94" t="str">
        <x:v>竞品搜索</x:v>
      </x:c>
      <x:c r="G208" s="94" t="str">
        <x:v>更优选择</x:v>
      </x:c>
      <x:c r="H208" s="94" t="str">
        <x:v>移动端</x:v>
      </x:c>
      <x:c r="I208" s="94" t="str">
        <x:v>CPC</x:v>
      </x:c>
      <x:c r="J208" s="95" t="n">
        <x:v>666</x:v>
      </x:c>
      <x:c r="K208" s="96" t="n">
        <x:f>IFERROR(L208/J208,0)</x:f>
        <x:v>0.03453453453453453</x:v>
      </x:c>
      <x:c r="L208" s="95" t="n">
        <x:v>23</x:v>
      </x:c>
      <x:c r="M208" s="97" t="n">
        <x:v>0.5202</x:v>
      </x:c>
      <x:c r="N208" s="97" t="n">
        <x:f>ROUND(L208*M208,2)</x:f>
        <x:v>11.96</x:v>
      </x:c>
      <x:c r="O208" s="94" t="n">
        <x:v>6</x:v>
      </x:c>
      <x:c r="P208" s="94" t="str">
        <x:v>模拟：Google/Microsoft Ads采购导入</x:v>
      </x:c>
    </x:row>
    <x:row r="209">
      <x:c r="A209" s="92" t="str">
        <x:v>PROC-0208</x:v>
      </x:c>
      <x:c r="B209" s="93" t="n">
        <x:v>46060</x:v>
      </x:c>
      <x:c r="C209" s="94" t="str">
        <x:v>Google Ads</x:v>
      </x:c>
      <x:c r="D209" s="94" t="str">
        <x:v>德国</x:v>
      </x:c>
      <x:c r="E209" s="94" t="str">
        <x:v>GGL-C10</x:v>
      </x:c>
      <x:c r="F209" s="94" t="str">
        <x:v>通用搜索</x:v>
      </x:c>
      <x:c r="G209" s="94" t="str">
        <x:v>高性价比商品</x:v>
      </x:c>
      <x:c r="H209" s="94" t="str">
        <x:v>桌面端</x:v>
      </x:c>
      <x:c r="I209" s="94" t="str">
        <x:v>CPC</x:v>
      </x:c>
      <x:c r="J209" s="95" t="n">
        <x:v>1167</x:v>
      </x:c>
      <x:c r="K209" s="96" t="n">
        <x:f>IFERROR(L209/J209,0)</x:f>
        <x:v>0.03427592116538132</x:v>
      </x:c>
      <x:c r="L209" s="95" t="n">
        <x:v>40</x:v>
      </x:c>
      <x:c r="M209" s="97" t="n">
        <x:v>0.3136</x:v>
      </x:c>
      <x:c r="N209" s="97" t="n">
        <x:f>ROUND(L209*M209,2)</x:f>
        <x:v>12.54</x:v>
      </x:c>
      <x:c r="O209" s="94" t="n">
        <x:v>9</x:v>
      </x:c>
      <x:c r="P209" s="94" t="str">
        <x:v>模拟：Google/Microsoft Ads采购导入</x:v>
      </x:c>
    </x:row>
    <x:row r="210">
      <x:c r="A210" s="92" t="str">
        <x:v>PROC-0209</x:v>
      </x:c>
      <x:c r="B210" s="93" t="n">
        <x:v>46060</x:v>
      </x:c>
      <x:c r="C210" s="94" t="str">
        <x:v>Google Ads</x:v>
      </x:c>
      <x:c r="D210" s="94" t="str">
        <x:v>英国</x:v>
      </x:c>
      <x:c r="E210" s="94" t="str">
        <x:v>GGL-C17</x:v>
      </x:c>
      <x:c r="F210" s="94" t="str">
        <x:v>通用搜索</x:v>
      </x:c>
      <x:c r="G210" s="94" t="str">
        <x:v>家庭必备</x:v>
      </x:c>
      <x:c r="H210" s="94" t="str">
        <x:v>桌面端</x:v>
      </x:c>
      <x:c r="I210" s="94" t="str">
        <x:v>CPC</x:v>
      </x:c>
      <x:c r="J210" s="95" t="n">
        <x:v>783</x:v>
      </x:c>
      <x:c r="K210" s="96" t="n">
        <x:f>IFERROR(L210/J210,0)</x:f>
        <x:v>0.035759897828863345</x:v>
      </x:c>
      <x:c r="L210" s="95" t="n">
        <x:v>28</x:v>
      </x:c>
      <x:c r="M210" s="97" t="n">
        <x:v>0.2614</x:v>
      </x:c>
      <x:c r="N210" s="97" t="n">
        <x:f>ROUND(L210*M210,2)</x:f>
        <x:v>7.32</x:v>
      </x:c>
      <x:c r="O210" s="94" t="n">
        <x:v>9</x:v>
      </x:c>
      <x:c r="P210" s="94" t="str">
        <x:v>模拟：Google/Microsoft Ads采购导入</x:v>
      </x:c>
    </x:row>
    <x:row r="211">
      <x:c r="A211" s="92" t="str">
        <x:v>PROC-0210</x:v>
      </x:c>
      <x:c r="B211" s="93" t="n">
        <x:v>46060</x:v>
      </x:c>
      <x:c r="C211" s="94" t="str">
        <x:v>Google Ads</x:v>
      </x:c>
      <x:c r="D211" s="94" t="str">
        <x:v>美国</x:v>
      </x:c>
      <x:c r="E211" s="94" t="str">
        <x:v>GGL-C01</x:v>
      </x:c>
      <x:c r="F211" s="94" t="str">
        <x:v>品牌搜索</x:v>
      </x:c>
      <x:c r="G211" s="94" t="str">
        <x:v>品牌购买词</x:v>
      </x:c>
      <x:c r="H211" s="94" t="str">
        <x:v>桌面端</x:v>
      </x:c>
      <x:c r="I211" s="94" t="str">
        <x:v>CPC</x:v>
      </x:c>
      <x:c r="J211" s="95" t="n">
        <x:v>1419</x:v>
      </x:c>
      <x:c r="K211" s="96" t="n">
        <x:f>IFERROR(L211/J211,0)</x:f>
        <x:v>0.05496828752642706</x:v>
      </x:c>
      <x:c r="L211" s="95" t="n">
        <x:v>78</x:v>
      </x:c>
      <x:c r="M211" s="97" t="n">
        <x:v>0.2747</x:v>
      </x:c>
      <x:c r="N211" s="97" t="n">
        <x:f>ROUND(L211*M211,2)</x:f>
        <x:v>21.43</x:v>
      </x:c>
      <x:c r="O211" s="94" t="n">
        <x:v>8</x:v>
      </x:c>
      <x:c r="P211" s="94" t="str">
        <x:v>模拟：Google/Microsoft Ads采购导入</x:v>
      </x:c>
    </x:row>
    <x:row r="212">
      <x:c r="A212" s="92" t="str">
        <x:v>PROC-0211</x:v>
      </x:c>
      <x:c r="B212" s="93" t="n">
        <x:v>46061</x:v>
      </x:c>
      <x:c r="C212" s="94" t="str">
        <x:v>Microsoft Ads</x:v>
      </x:c>
      <x:c r="D212" s="94" t="str">
        <x:v>美国</x:v>
      </x:c>
      <x:c r="E212" s="94" t="str">
        <x:v>MSA-C08</x:v>
      </x:c>
      <x:c r="F212" s="94" t="str">
        <x:v>通用搜索</x:v>
      </x:c>
      <x:c r="G212" s="94" t="str">
        <x:v>家庭必备</x:v>
      </x:c>
      <x:c r="H212" s="94" t="str">
        <x:v>移动端</x:v>
      </x:c>
      <x:c r="I212" s="94" t="str">
        <x:v>CPC</x:v>
      </x:c>
      <x:c r="J212" s="95" t="n">
        <x:v>879</x:v>
      </x:c>
      <x:c r="K212" s="96" t="n">
        <x:f>IFERROR(L212/J212,0)</x:f>
        <x:v>0.03640500568828214</x:v>
      </x:c>
      <x:c r="L212" s="95" t="n">
        <x:v>32</x:v>
      </x:c>
      <x:c r="M212" s="97" t="n">
        <x:v>0.2722</x:v>
      </x:c>
      <x:c r="N212" s="97" t="n">
        <x:f>ROUND(L212*M212,2)</x:f>
        <x:v>8.71</x:v>
      </x:c>
      <x:c r="O212" s="94" t="n">
        <x:v>9</x:v>
      </x:c>
      <x:c r="P212" s="94" t="str">
        <x:v>模拟：Google/Microsoft Ads采购导入</x:v>
      </x:c>
    </x:row>
    <x:row r="213">
      <x:c r="A213" s="92" t="str">
        <x:v>PROC-0212</x:v>
      </x:c>
      <x:c r="B213" s="93" t="n">
        <x:v>46061</x:v>
      </x:c>
      <x:c r="C213" s="94" t="str">
        <x:v>Google Ads</x:v>
      </x:c>
      <x:c r="D213" s="94" t="str">
        <x:v>德国</x:v>
      </x:c>
      <x:c r="E213" s="94" t="str">
        <x:v>GGL-C15</x:v>
      </x:c>
      <x:c r="F213" s="94" t="str">
        <x:v>购物广告</x:v>
      </x:c>
      <x:c r="G213" s="94" t="str">
        <x:v>快速配送</x:v>
      </x:c>
      <x:c r="H213" s="94" t="str">
        <x:v>桌面端</x:v>
      </x:c>
      <x:c r="I213" s="94" t="str">
        <x:v>CPC</x:v>
      </x:c>
      <x:c r="J213" s="95" t="n">
        <x:v>1027</x:v>
      </x:c>
      <x:c r="K213" s="96" t="n">
        <x:f>IFERROR(L213/J213,0)</x:f>
        <x:v>0.03602726387536514</x:v>
      </x:c>
      <x:c r="L213" s="95" t="n">
        <x:v>37</x:v>
      </x:c>
      <x:c r="M213" s="97" t="n">
        <x:v>0.2984</x:v>
      </x:c>
      <x:c r="N213" s="97" t="n">
        <x:f>ROUND(L213*M213,2)</x:f>
        <x:v>11.04</x:v>
      </x:c>
      <x:c r="O213" s="94" t="n">
        <x:v>7</x:v>
      </x:c>
      <x:c r="P213" s="94" t="str">
        <x:v>模拟：Google/Microsoft Ads采购导入</x:v>
      </x:c>
    </x:row>
    <x:row r="214">
      <x:c r="A214" s="92" t="str">
        <x:v>PROC-0213</x:v>
      </x:c>
      <x:c r="B214" s="93" t="n">
        <x:v>46061</x:v>
      </x:c>
      <x:c r="C214" s="94" t="str">
        <x:v>Google Ads</x:v>
      </x:c>
      <x:c r="D214" s="94" t="str">
        <x:v>英国</x:v>
      </x:c>
      <x:c r="E214" s="94" t="str">
        <x:v>GGL-C01</x:v>
      </x:c>
      <x:c r="F214" s="94" t="str">
        <x:v>通用搜索</x:v>
      </x:c>
      <x:c r="G214" s="94" t="str">
        <x:v>专业精选</x:v>
      </x:c>
      <x:c r="H214" s="94" t="str">
        <x:v>桌面端</x:v>
      </x:c>
      <x:c r="I214" s="94" t="str">
        <x:v>CPC</x:v>
      </x:c>
      <x:c r="J214" s="95" t="n">
        <x:v>949</x:v>
      </x:c>
      <x:c r="K214" s="96" t="n">
        <x:f>IFERROR(L214/J214,0)</x:f>
        <x:v>0.030558482613277135</x:v>
      </x:c>
      <x:c r="L214" s="95" t="n">
        <x:v>29</x:v>
      </x:c>
      <x:c r="M214" s="97" t="n">
        <x:v>0.3292</x:v>
      </x:c>
      <x:c r="N214" s="97" t="n">
        <x:f>ROUND(L214*M214,2)</x:f>
        <x:v>9.55</x:v>
      </x:c>
      <x:c r="O214" s="94" t="n">
        <x:v>8</x:v>
      </x:c>
      <x:c r="P214" s="94" t="str">
        <x:v>模拟：Google/Microsoft Ads采购导入</x:v>
      </x:c>
    </x:row>
    <x:row r="215">
      <x:c r="A215" s="92" t="str">
        <x:v>PROC-0214</x:v>
      </x:c>
      <x:c r="B215" s="93" t="n">
        <x:v>46061</x:v>
      </x:c>
      <x:c r="C215" s="94" t="str">
        <x:v>Google Ads</x:v>
      </x:c>
      <x:c r="D215" s="94" t="str">
        <x:v>美国</x:v>
      </x:c>
      <x:c r="E215" s="94" t="str">
        <x:v>GGL-C05</x:v>
      </x:c>
      <x:c r="F215" s="94" t="str">
        <x:v>通用搜索</x:v>
      </x:c>
      <x:c r="G215" s="94" t="str">
        <x:v>专业精选</x:v>
      </x:c>
      <x:c r="H215" s="94" t="str">
        <x:v>移动端</x:v>
      </x:c>
      <x:c r="I215" s="94" t="str">
        <x:v>CPC</x:v>
      </x:c>
      <x:c r="J215" s="95" t="n">
        <x:v>1024</x:v>
      </x:c>
      <x:c r="K215" s="96" t="n">
        <x:f>IFERROR(L215/J215,0)</x:f>
        <x:v>0.0322265625</x:v>
      </x:c>
      <x:c r="L215" s="95" t="n">
        <x:v>33</x:v>
      </x:c>
      <x:c r="M215" s="97" t="n">
        <x:v>0.3476</x:v>
      </x:c>
      <x:c r="N215" s="97" t="n">
        <x:f>ROUND(L215*M215,2)</x:f>
        <x:v>11.47</x:v>
      </x:c>
      <x:c r="O215" s="94" t="n">
        <x:v>8</x:v>
      </x:c>
      <x:c r="P215" s="94" t="str">
        <x:v>模拟：Google/Microsoft Ads采购导入</x:v>
      </x:c>
    </x:row>
    <x:row r="216">
      <x:c r="A216" s="92" t="str">
        <x:v>PROC-0215</x:v>
      </x:c>
      <x:c r="B216" s="93" t="n">
        <x:v>46061</x:v>
      </x:c>
      <x:c r="C216" s="94" t="str">
        <x:v>Microsoft Ads</x:v>
      </x:c>
      <x:c r="D216" s="94" t="str">
        <x:v>英国</x:v>
      </x:c>
      <x:c r="E216" s="94" t="str">
        <x:v>MSA-C14</x:v>
      </x:c>
      <x:c r="F216" s="94" t="str">
        <x:v>通用搜索</x:v>
      </x:c>
      <x:c r="G216" s="94" t="str">
        <x:v>专业精选</x:v>
      </x:c>
      <x:c r="H216" s="94" t="str">
        <x:v>移动端</x:v>
      </x:c>
      <x:c r="I216" s="94" t="str">
        <x:v>CPC</x:v>
      </x:c>
      <x:c r="J216" s="95" t="n">
        <x:v>909</x:v>
      </x:c>
      <x:c r="K216" s="96" t="n">
        <x:f>IFERROR(L216/J216,0)</x:f>
        <x:v>0.039603960396039604</x:v>
      </x:c>
      <x:c r="L216" s="95" t="n">
        <x:v>36</x:v>
      </x:c>
      <x:c r="M216" s="97" t="n">
        <x:v>0.2235</x:v>
      </x:c>
      <x:c r="N216" s="97" t="n">
        <x:f>ROUND(L216*M216,2)</x:f>
        <x:v>8.05</x:v>
      </x:c>
      <x:c r="O216" s="94" t="n">
        <x:v>6</x:v>
      </x:c>
      <x:c r="P216" s="94" t="str">
        <x:v>模拟：Google/Microsoft Ads采购导入</x:v>
      </x:c>
    </x:row>
    <x:row r="217">
      <x:c r="A217" s="92" t="str">
        <x:v>PROC-0216</x:v>
      </x:c>
      <x:c r="B217" s="93" t="n">
        <x:v>46061</x:v>
      </x:c>
      <x:c r="C217" s="94" t="str">
        <x:v>Microsoft Ads</x:v>
      </x:c>
      <x:c r="D217" s="94" t="str">
        <x:v>美国</x:v>
      </x:c>
      <x:c r="E217" s="94" t="str">
        <x:v>MSA-C18</x:v>
      </x:c>
      <x:c r="F217" s="94" t="str">
        <x:v>竞品搜索</x:v>
      </x:c>
      <x:c r="G217" s="94" t="str">
        <x:v>价格替代</x:v>
      </x:c>
      <x:c r="H217" s="94" t="str">
        <x:v>桌面端</x:v>
      </x:c>
      <x:c r="I217" s="94" t="str">
        <x:v>CPC</x:v>
      </x:c>
      <x:c r="J217" s="95" t="n">
        <x:v>1202</x:v>
      </x:c>
      <x:c r="K217" s="96" t="n">
        <x:f>IFERROR(L217/J217,0)</x:f>
        <x:v>0.029118136439267885</x:v>
      </x:c>
      <x:c r="L217" s="95" t="n">
        <x:v>35</x:v>
      </x:c>
      <x:c r="M217" s="97" t="n">
        <x:v>0.3426</x:v>
      </x:c>
      <x:c r="N217" s="97" t="n">
        <x:f>ROUND(L217*M217,2)</x:f>
        <x:v>11.99</x:v>
      </x:c>
      <x:c r="O217" s="94" t="n">
        <x:v>6</x:v>
      </x:c>
      <x:c r="P217" s="94" t="str">
        <x:v>模拟：Google/Microsoft Ads采购导入</x:v>
      </x:c>
    </x:row>
    <x:row r="218">
      <x:c r="A218" s="92" t="str">
        <x:v>PROC-0217</x:v>
      </x:c>
      <x:c r="B218" s="93" t="n">
        <x:v>46062</x:v>
      </x:c>
      <x:c r="C218" s="94" t="str">
        <x:v>Microsoft Ads</x:v>
      </x:c>
      <x:c r="D218" s="94" t="str">
        <x:v>日本</x:v>
      </x:c>
      <x:c r="E218" s="94" t="str">
        <x:v>MSA-C01</x:v>
      </x:c>
      <x:c r="F218" s="94" t="str">
        <x:v>品牌搜索</x:v>
      </x:c>
      <x:c r="G218" s="94" t="str">
        <x:v>品牌购买词</x:v>
      </x:c>
      <x:c r="H218" s="94" t="str">
        <x:v>桌面端</x:v>
      </x:c>
      <x:c r="I218" s="94" t="str">
        <x:v>CPC</x:v>
      </x:c>
      <x:c r="J218" s="95" t="n">
        <x:v>1464</x:v>
      </x:c>
      <x:c r="K218" s="96" t="n">
        <x:f>IFERROR(L218/J218,0)</x:f>
        <x:v>0.04781420765027322</x:v>
      </x:c>
      <x:c r="L218" s="95" t="n">
        <x:v>70</x:v>
      </x:c>
      <x:c r="M218" s="97" t="n">
        <x:v>0.1514</x:v>
      </x:c>
      <x:c r="N218" s="97" t="n">
        <x:f>ROUND(L218*M218,2)</x:f>
        <x:v>10.6</x:v>
      </x:c>
      <x:c r="O218" s="94" t="n">
        <x:v>7</x:v>
      </x:c>
      <x:c r="P218" s="94" t="str">
        <x:v>模拟：Google/Microsoft Ads采购导入</x:v>
      </x:c>
    </x:row>
    <x:row r="219">
      <x:c r="A219" s="92" t="str">
        <x:v>PROC-0218</x:v>
      </x:c>
      <x:c r="B219" s="93" t="n">
        <x:v>46062</x:v>
      </x:c>
      <x:c r="C219" s="94" t="str">
        <x:v>Google Ads</x:v>
      </x:c>
      <x:c r="D219" s="94" t="str">
        <x:v>英国</x:v>
      </x:c>
      <x:c r="E219" s="94" t="str">
        <x:v>GGL-C11</x:v>
      </x:c>
      <x:c r="F219" s="94" t="str">
        <x:v>品牌搜索</x:v>
      </x:c>
      <x:c r="G219" s="94" t="str">
        <x:v>品牌评测词</x:v>
      </x:c>
      <x:c r="H219" s="94" t="str">
        <x:v>平板</x:v>
      </x:c>
      <x:c r="I219" s="94" t="str">
        <x:v>CPC</x:v>
      </x:c>
      <x:c r="J219" s="95" t="n">
        <x:v>658</x:v>
      </x:c>
      <x:c r="K219" s="96" t="n">
        <x:f>IFERROR(L219/J219,0)</x:f>
        <x:v>0.05319148936170213</x:v>
      </x:c>
      <x:c r="L219" s="95" t="n">
        <x:v>35</x:v>
      </x:c>
      <x:c r="M219" s="97" t="n">
        <x:v>0.2538</x:v>
      </x:c>
      <x:c r="N219" s="97" t="n">
        <x:f>ROUND(L219*M219,2)</x:f>
        <x:v>8.88</x:v>
      </x:c>
      <x:c r="O219" s="94" t="n">
        <x:v>8</x:v>
      </x:c>
      <x:c r="P219" s="94" t="str">
        <x:v>模拟：Google/Microsoft Ads采购导入</x:v>
      </x:c>
    </x:row>
    <x:row r="220">
      <x:c r="A220" s="92" t="str">
        <x:v>PROC-0219</x:v>
      </x:c>
      <x:c r="B220" s="93" t="n">
        <x:v>46062</x:v>
      </x:c>
      <x:c r="C220" s="94" t="str">
        <x:v>Google Ads</x:v>
      </x:c>
      <x:c r="D220" s="94" t="str">
        <x:v>美国</x:v>
      </x:c>
      <x:c r="E220" s="94" t="str">
        <x:v>GGL-C17</x:v>
      </x:c>
      <x:c r="F220" s="94" t="str">
        <x:v>购物广告</x:v>
      </x:c>
      <x:c r="G220" s="94" t="str">
        <x:v>畅销商品</x:v>
      </x:c>
      <x:c r="H220" s="94" t="str">
        <x:v>移动端</x:v>
      </x:c>
      <x:c r="I220" s="94" t="str">
        <x:v>CPC</x:v>
      </x:c>
      <x:c r="J220" s="95" t="n">
        <x:v>1275</x:v>
      </x:c>
      <x:c r="K220" s="96" t="n">
        <x:f>IFERROR(L220/J220,0)</x:f>
        <x:v>0.047058823529411764</x:v>
      </x:c>
      <x:c r="L220" s="95" t="n">
        <x:v>60</x:v>
      </x:c>
      <x:c r="M220" s="97" t="n">
        <x:v>0.4122</x:v>
      </x:c>
      <x:c r="N220" s="97" t="n">
        <x:f>ROUND(L220*M220,2)</x:f>
        <x:v>24.73</x:v>
      </x:c>
      <x:c r="O220" s="94" t="n">
        <x:v>6</x:v>
      </x:c>
      <x:c r="P220" s="94" t="str">
        <x:v>模拟：Google/Microsoft Ads采购导入</x:v>
      </x:c>
    </x:row>
    <x:row r="221">
      <x:c r="A221" s="92" t="str">
        <x:v>PROC-0220</x:v>
      </x:c>
      <x:c r="B221" s="93" t="n">
        <x:v>46062</x:v>
      </x:c>
      <x:c r="C221" s="94" t="str">
        <x:v>Google Ads</x:v>
      </x:c>
      <x:c r="D221" s="94" t="str">
        <x:v>美国</x:v>
      </x:c>
      <x:c r="E221" s="94" t="str">
        <x:v>GGL-C24</x:v>
      </x:c>
      <x:c r="F221" s="94" t="str">
        <x:v>品牌搜索</x:v>
      </x:c>
      <x:c r="G221" s="94" t="str">
        <x:v>品牌优惠词</x:v>
      </x:c>
      <x:c r="H221" s="94" t="str">
        <x:v>移动端</x:v>
      </x:c>
      <x:c r="I221" s="94" t="str">
        <x:v>CPC</x:v>
      </x:c>
      <x:c r="J221" s="95" t="n">
        <x:v>816</x:v>
      </x:c>
      <x:c r="K221" s="96" t="n">
        <x:f>IFERROR(L221/J221,0)</x:f>
        <x:v>0.058823529411764705</x:v>
      </x:c>
      <x:c r="L221" s="95" t="n">
        <x:v>48</x:v>
      </x:c>
      <x:c r="M221" s="97" t="n">
        <x:v>0.2581</x:v>
      </x:c>
      <x:c r="N221" s="97" t="n">
        <x:f>ROUND(L221*M221,2)</x:f>
        <x:v>12.39</x:v>
      </x:c>
      <x:c r="O221" s="94" t="n">
        <x:v>8</x:v>
      </x:c>
      <x:c r="P221" s="94" t="str">
        <x:v>模拟：Google/Microsoft Ads采购导入</x:v>
      </x:c>
    </x:row>
    <x:row r="222">
      <x:c r="A222" s="92" t="str">
        <x:v>PROC-0221</x:v>
      </x:c>
      <x:c r="B222" s="93" t="n">
        <x:v>46062</x:v>
      </x:c>
      <x:c r="C222" s="94" t="str">
        <x:v>Google Ads</x:v>
      </x:c>
      <x:c r="D222" s="94" t="str">
        <x:v>德国</x:v>
      </x:c>
      <x:c r="E222" s="94" t="str">
        <x:v>GGL-C05</x:v>
      </x:c>
      <x:c r="F222" s="94" t="str">
        <x:v>竞品搜索</x:v>
      </x:c>
      <x:c r="G222" s="94" t="str">
        <x:v>价格替代</x:v>
      </x:c>
      <x:c r="H222" s="94" t="str">
        <x:v>移动端</x:v>
      </x:c>
      <x:c r="I222" s="94" t="str">
        <x:v>CPC</x:v>
      </x:c>
      <x:c r="J222" s="95" t="n">
        <x:v>956</x:v>
      </x:c>
      <x:c r="K222" s="96" t="n">
        <x:f>IFERROR(L222/J222,0)</x:f>
        <x:v>0.032426778242677826</x:v>
      </x:c>
      <x:c r="L222" s="95" t="n">
        <x:v>31</x:v>
      </x:c>
      <x:c r="M222" s="97" t="n">
        <x:v>0.4113</x:v>
      </x:c>
      <x:c r="N222" s="97" t="n">
        <x:f>ROUND(L222*M222,2)</x:f>
        <x:v>12.75</x:v>
      </x:c>
      <x:c r="O222" s="94" t="n">
        <x:v>7</x:v>
      </x:c>
      <x:c r="P222" s="94" t="str">
        <x:v>模拟：Google/Microsoft Ads采购导入</x:v>
      </x:c>
    </x:row>
    <x:row r="223">
      <x:c r="A223" s="92" t="str">
        <x:v>PROC-0222</x:v>
      </x:c>
      <x:c r="B223" s="93" t="n">
        <x:v>46063</x:v>
      </x:c>
      <x:c r="C223" s="94" t="str">
        <x:v>Google Ads</x:v>
      </x:c>
      <x:c r="D223" s="94" t="str">
        <x:v>英国</x:v>
      </x:c>
      <x:c r="E223" s="94" t="str">
        <x:v>GGL-C13</x:v>
      </x:c>
      <x:c r="F223" s="94" t="str">
        <x:v>通用搜索</x:v>
      </x:c>
      <x:c r="G223" s="94" t="str">
        <x:v>实用礼物</x:v>
      </x:c>
      <x:c r="H223" s="94" t="str">
        <x:v>移动端</x:v>
      </x:c>
      <x:c r="I223" s="94" t="str">
        <x:v>CPC</x:v>
      </x:c>
      <x:c r="J223" s="95" t="n">
        <x:v>1136</x:v>
      </x:c>
      <x:c r="K223" s="96" t="n">
        <x:f>IFERROR(L223/J223,0)</x:f>
        <x:v>0.03609154929577465</x:v>
      </x:c>
      <x:c r="L223" s="95" t="n">
        <x:v>41</x:v>
      </x:c>
      <x:c r="M223" s="97" t="n">
        <x:v>0.33</x:v>
      </x:c>
      <x:c r="N223" s="97" t="n">
        <x:f>ROUND(L223*M223,2)</x:f>
        <x:v>13.53</x:v>
      </x:c>
      <x:c r="O223" s="94" t="n">
        <x:v>7</x:v>
      </x:c>
      <x:c r="P223" s="94" t="str">
        <x:v>模拟：Google/Microsoft Ads采购导入</x:v>
      </x:c>
    </x:row>
    <x:row r="224">
      <x:c r="A224" s="92" t="str">
        <x:v>PROC-0223</x:v>
      </x:c>
      <x:c r="B224" s="93" t="n">
        <x:v>46063</x:v>
      </x:c>
      <x:c r="C224" s="94" t="str">
        <x:v>Microsoft Ads</x:v>
      </x:c>
      <x:c r="D224" s="94" t="str">
        <x:v>美国</x:v>
      </x:c>
      <x:c r="E224" s="94" t="str">
        <x:v>MSA-C21</x:v>
      </x:c>
      <x:c r="F224" s="94" t="str">
        <x:v>购物广告</x:v>
      </x:c>
      <x:c r="G224" s="94" t="str">
        <x:v>快速配送</x:v>
      </x:c>
      <x:c r="H224" s="94" t="str">
        <x:v>移动端</x:v>
      </x:c>
      <x:c r="I224" s="94" t="str">
        <x:v>CPC</x:v>
      </x:c>
      <x:c r="J224" s="95" t="n">
        <x:v>911</x:v>
      </x:c>
      <x:c r="K224" s="96" t="n">
        <x:f>IFERROR(L224/J224,0)</x:f>
        <x:v>0.04610318331503842</x:v>
      </x:c>
      <x:c r="L224" s="95" t="n">
        <x:v>42</x:v>
      </x:c>
      <x:c r="M224" s="97" t="n">
        <x:v>0.3192</x:v>
      </x:c>
      <x:c r="N224" s="97" t="n">
        <x:f>ROUND(L224*M224,2)</x:f>
        <x:v>13.41</x:v>
      </x:c>
      <x:c r="O224" s="94" t="n">
        <x:v>9</x:v>
      </x:c>
      <x:c r="P224" s="94" t="str">
        <x:v>模拟：Google/Microsoft Ads采购导入</x:v>
      </x:c>
    </x:row>
    <x:row r="225">
      <x:c r="A225" s="92" t="str">
        <x:v>PROC-0224</x:v>
      </x:c>
      <x:c r="B225" s="93" t="n">
        <x:v>46063</x:v>
      </x:c>
      <x:c r="C225" s="94" t="str">
        <x:v>Google Ads</x:v>
      </x:c>
      <x:c r="D225" s="94" t="str">
        <x:v>美国</x:v>
      </x:c>
      <x:c r="E225" s="94" t="str">
        <x:v>GGL-C02</x:v>
      </x:c>
      <x:c r="F225" s="94" t="str">
        <x:v>购物广告</x:v>
      </x:c>
      <x:c r="G225" s="94" t="str">
        <x:v>折扣商品</x:v>
      </x:c>
      <x:c r="H225" s="94" t="str">
        <x:v>平板</x:v>
      </x:c>
      <x:c r="I225" s="94" t="str">
        <x:v>CPC</x:v>
      </x:c>
      <x:c r="J225" s="95" t="n">
        <x:v>1405</x:v>
      </x:c>
      <x:c r="K225" s="96" t="n">
        <x:f>IFERROR(L225/J225,0)</x:f>
        <x:v>0.05338078291814947</x:v>
      </x:c>
      <x:c r="L225" s="95" t="n">
        <x:v>75</x:v>
      </x:c>
      <x:c r="M225" s="97" t="n">
        <x:v>0.4243</x:v>
      </x:c>
      <x:c r="N225" s="97" t="n">
        <x:f>ROUND(L225*M225,2)</x:f>
        <x:v>31.82</x:v>
      </x:c>
      <x:c r="O225" s="94" t="n">
        <x:v>8</x:v>
      </x:c>
      <x:c r="P225" s="94" t="str">
        <x:v>模拟：Google/Microsoft Ads采购导入</x:v>
      </x:c>
    </x:row>
    <x:row r="226">
      <x:c r="A226" s="92" t="str">
        <x:v>PROC-0225</x:v>
      </x:c>
      <x:c r="B226" s="93" t="n">
        <x:v>46063</x:v>
      </x:c>
      <x:c r="C226" s="94" t="str">
        <x:v>Microsoft Ads</x:v>
      </x:c>
      <x:c r="D226" s="94" t="str">
        <x:v>美国</x:v>
      </x:c>
      <x:c r="E226" s="94" t="str">
        <x:v>MSA-C13</x:v>
      </x:c>
      <x:c r="F226" s="94" t="str">
        <x:v>品牌搜索</x:v>
      </x:c>
      <x:c r="G226" s="94" t="str">
        <x:v>品牌配件词</x:v>
      </x:c>
      <x:c r="H226" s="94" t="str">
        <x:v>桌面端</x:v>
      </x:c>
      <x:c r="I226" s="94" t="str">
        <x:v>CPC</x:v>
      </x:c>
      <x:c r="J226" s="95" t="n">
        <x:v>1223</x:v>
      </x:c>
      <x:c r="K226" s="96" t="n">
        <x:f>IFERROR(L226/J226,0)</x:f>
        <x:v>0.0580539656582175</x:v>
      </x:c>
      <x:c r="L226" s="95" t="n">
        <x:v>71</x:v>
      </x:c>
      <x:c r="M226" s="97" t="n">
        <x:v>0.1704</x:v>
      </x:c>
      <x:c r="N226" s="97" t="n">
        <x:f>ROUND(L226*M226,2)</x:f>
        <x:v>12.1</x:v>
      </x:c>
      <x:c r="O226" s="94" t="n">
        <x:v>8</x:v>
      </x:c>
      <x:c r="P226" s="94" t="str">
        <x:v>模拟：Google/Microsoft Ads采购导入</x:v>
      </x:c>
    </x:row>
    <x:row r="227">
      <x:c r="A227" s="92" t="str">
        <x:v>PROC-0226</x:v>
      </x:c>
      <x:c r="B227" s="93" t="n">
        <x:v>46063</x:v>
      </x:c>
      <x:c r="C227" s="94" t="str">
        <x:v>Google Ads</x:v>
      </x:c>
      <x:c r="D227" s="94" t="str">
        <x:v>英国</x:v>
      </x:c>
      <x:c r="E227" s="94" t="str">
        <x:v>GGL-C16</x:v>
      </x:c>
      <x:c r="F227" s="94" t="str">
        <x:v>购物广告</x:v>
      </x:c>
      <x:c r="G227" s="94" t="str">
        <x:v>高评分商品</x:v>
      </x:c>
      <x:c r="H227" s="94" t="str">
        <x:v>移动端</x:v>
      </x:c>
      <x:c r="I227" s="94" t="str">
        <x:v>CPC</x:v>
      </x:c>
      <x:c r="J227" s="95" t="n">
        <x:v>719</x:v>
      </x:c>
      <x:c r="K227" s="96" t="n">
        <x:f>IFERROR(L227/J227,0)</x:f>
        <x:v>0.0458970792767733</x:v>
      </x:c>
      <x:c r="L227" s="95" t="n">
        <x:v>33</x:v>
      </x:c>
      <x:c r="M227" s="97" t="n">
        <x:v>0.3179</x:v>
      </x:c>
      <x:c r="N227" s="97" t="n">
        <x:f>ROUND(L227*M227,2)</x:f>
        <x:v>10.49</x:v>
      </x:c>
      <x:c r="O227" s="94" t="n">
        <x:v>8</x:v>
      </x:c>
      <x:c r="P227" s="94" t="str">
        <x:v>模拟：Google/Microsoft Ads采购导入</x:v>
      </x:c>
    </x:row>
    <x:row r="228">
      <x:c r="A228" s="92" t="str">
        <x:v>PROC-0227</x:v>
      </x:c>
      <x:c r="B228" s="93" t="n">
        <x:v>46063</x:v>
      </x:c>
      <x:c r="C228" s="94" t="str">
        <x:v>Microsoft Ads</x:v>
      </x:c>
      <x:c r="D228" s="94" t="str">
        <x:v>德国</x:v>
      </x:c>
      <x:c r="E228" s="94" t="str">
        <x:v>MSA-C01</x:v>
      </x:c>
      <x:c r="F228" s="94" t="str">
        <x:v>竞品搜索</x:v>
      </x:c>
      <x:c r="G228" s="94" t="str">
        <x:v>价格替代</x:v>
      </x:c>
      <x:c r="H228" s="94" t="str">
        <x:v>平板</x:v>
      </x:c>
      <x:c r="I228" s="94" t="str">
        <x:v>CPC</x:v>
      </x:c>
      <x:c r="J228" s="95" t="n">
        <x:v>920</x:v>
      </x:c>
      <x:c r="K228" s="96" t="n">
        <x:f>IFERROR(L228/J228,0)</x:f>
        <x:v>0.035869565217391305</x:v>
      </x:c>
      <x:c r="L228" s="95" t="n">
        <x:v>33</x:v>
      </x:c>
      <x:c r="M228" s="97" t="n">
        <x:v>0.2445</x:v>
      </x:c>
      <x:c r="N228" s="97" t="n">
        <x:f>ROUND(L228*M228,2)</x:f>
        <x:v>8.07</x:v>
      </x:c>
      <x:c r="O228" s="94" t="n">
        <x:v>6</x:v>
      </x:c>
      <x:c r="P228" s="94" t="str">
        <x:v>模拟：Google/Microsoft Ads采购导入</x:v>
      </x:c>
    </x:row>
    <x:row r="229">
      <x:c r="A229" s="92" t="str">
        <x:v>PROC-0228</x:v>
      </x:c>
      <x:c r="B229" s="93" t="n">
        <x:v>46064</x:v>
      </x:c>
      <x:c r="C229" s="94" t="str">
        <x:v>Microsoft Ads</x:v>
      </x:c>
      <x:c r="D229" s="94" t="str">
        <x:v>美国</x:v>
      </x:c>
      <x:c r="E229" s="94" t="str">
        <x:v>MSA-C08</x:v>
      </x:c>
      <x:c r="F229" s="94" t="str">
        <x:v>通用搜索</x:v>
      </x:c>
      <x:c r="G229" s="94" t="str">
        <x:v>实用礼物</x:v>
      </x:c>
      <x:c r="H229" s="94" t="str">
        <x:v>移动端</x:v>
      </x:c>
      <x:c r="I229" s="94" t="str">
        <x:v>CPC</x:v>
      </x:c>
      <x:c r="J229" s="95" t="n">
        <x:v>1385</x:v>
      </x:c>
      <x:c r="K229" s="96" t="n">
        <x:f>IFERROR(L229/J229,0)</x:f>
        <x:v>0.038267148014440436</x:v>
      </x:c>
      <x:c r="L229" s="95" t="n">
        <x:v>53</x:v>
      </x:c>
      <x:c r="M229" s="97" t="n">
        <x:v>0.2719</x:v>
      </x:c>
      <x:c r="N229" s="97" t="n">
        <x:f>ROUND(L229*M229,2)</x:f>
        <x:v>14.41</x:v>
      </x:c>
      <x:c r="O229" s="94" t="n">
        <x:v>8</x:v>
      </x:c>
      <x:c r="P229" s="94" t="str">
        <x:v>模拟：Google/Microsoft Ads采购导入</x:v>
      </x:c>
    </x:row>
    <x:row r="230">
      <x:c r="A230" s="92" t="str">
        <x:v>PROC-0229</x:v>
      </x:c>
      <x:c r="B230" s="93" t="n">
        <x:v>46064</x:v>
      </x:c>
      <x:c r="C230" s="94" t="str">
        <x:v>Microsoft Ads</x:v>
      </x:c>
      <x:c r="D230" s="94" t="str">
        <x:v>英国</x:v>
      </x:c>
      <x:c r="E230" s="94" t="str">
        <x:v>MSA-C13</x:v>
      </x:c>
      <x:c r="F230" s="94" t="str">
        <x:v>购物广告</x:v>
      </x:c>
      <x:c r="G230" s="94" t="str">
        <x:v>畅销商品</x:v>
      </x:c>
      <x:c r="H230" s="94" t="str">
        <x:v>移动端</x:v>
      </x:c>
      <x:c r="I230" s="94" t="str">
        <x:v>CPC</x:v>
      </x:c>
      <x:c r="J230" s="95" t="n">
        <x:v>1319</x:v>
      </x:c>
      <x:c r="K230" s="96" t="n">
        <x:f>IFERROR(L230/J230,0)</x:f>
        <x:v>0.04927975739196361</x:v>
      </x:c>
      <x:c r="L230" s="95" t="n">
        <x:v>65</x:v>
      </x:c>
      <x:c r="M230" s="97" t="n">
        <x:v>0.2949</x:v>
      </x:c>
      <x:c r="N230" s="97" t="n">
        <x:f>ROUND(L230*M230,2)</x:f>
        <x:v>19.17</x:v>
      </x:c>
      <x:c r="O230" s="94" t="n">
        <x:v>9</x:v>
      </x:c>
      <x:c r="P230" s="94" t="str">
        <x:v>模拟：Google/Microsoft Ads采购导入</x:v>
      </x:c>
    </x:row>
    <x:row r="231">
      <x:c r="A231" s="92" t="str">
        <x:v>PROC-0230</x:v>
      </x:c>
      <x:c r="B231" s="93" t="n">
        <x:v>46064</x:v>
      </x:c>
      <x:c r="C231" s="94" t="str">
        <x:v>Google Ads</x:v>
      </x:c>
      <x:c r="D231" s="94" t="str">
        <x:v>美国</x:v>
      </x:c>
      <x:c r="E231" s="94" t="str">
        <x:v>GGL-C20</x:v>
      </x:c>
      <x:c r="F231" s="94" t="str">
        <x:v>竞品搜索</x:v>
      </x:c>
      <x:c r="G231" s="94" t="str">
        <x:v>替代品比较</x:v>
      </x:c>
      <x:c r="H231" s="94" t="str">
        <x:v>桌面端</x:v>
      </x:c>
      <x:c r="I231" s="94" t="str">
        <x:v>CPC</x:v>
      </x:c>
      <x:c r="J231" s="95" t="n">
        <x:v>1160</x:v>
      </x:c>
      <x:c r="K231" s="96" t="n">
        <x:f>IFERROR(L231/J231,0)</x:f>
        <x:v>0.03793103448275862</x:v>
      </x:c>
      <x:c r="L231" s="95" t="n">
        <x:v>44</x:v>
      </x:c>
      <x:c r="M231" s="97" t="n">
        <x:v>0.4023</x:v>
      </x:c>
      <x:c r="N231" s="97" t="n">
        <x:f>ROUND(L231*M231,2)</x:f>
        <x:v>17.7</x:v>
      </x:c>
      <x:c r="O231" s="94" t="n">
        <x:v>6</x:v>
      </x:c>
      <x:c r="P231" s="94" t="str">
        <x:v>模拟：Google/Microsoft Ads采购导入</x:v>
      </x:c>
    </x:row>
    <x:row r="232">
      <x:c r="A232" s="92" t="str">
        <x:v>PROC-0231</x:v>
      </x:c>
      <x:c r="B232" s="93" t="n">
        <x:v>46064</x:v>
      </x:c>
      <x:c r="C232" s="94" t="str">
        <x:v>Microsoft Ads</x:v>
      </x:c>
      <x:c r="D232" s="94" t="str">
        <x:v>德国</x:v>
      </x:c>
      <x:c r="E232" s="94" t="str">
        <x:v>MSA-C07</x:v>
      </x:c>
      <x:c r="F232" s="94" t="str">
        <x:v>竞品搜索</x:v>
      </x:c>
      <x:c r="G232" s="94" t="str">
        <x:v>价格替代</x:v>
      </x:c>
      <x:c r="H232" s="94" t="str">
        <x:v>移动端</x:v>
      </x:c>
      <x:c r="I232" s="94" t="str">
        <x:v>CPC</x:v>
      </x:c>
      <x:c r="J232" s="95" t="n">
        <x:v>948</x:v>
      </x:c>
      <x:c r="K232" s="96" t="n">
        <x:f>IFERROR(L232/J232,0)</x:f>
        <x:v>0.035864978902953586</x:v>
      </x:c>
      <x:c r="L232" s="95" t="n">
        <x:v>34</x:v>
      </x:c>
      <x:c r="M232" s="97" t="n">
        <x:v>0.3125</x:v>
      </x:c>
      <x:c r="N232" s="97" t="n">
        <x:f>ROUND(L232*M232,2)</x:f>
        <x:v>10.63</x:v>
      </x:c>
      <x:c r="O232" s="94" t="n">
        <x:v>6</x:v>
      </x:c>
      <x:c r="P232" s="94" t="str">
        <x:v>模拟：Google/Microsoft Ads采购导入</x:v>
      </x:c>
    </x:row>
    <x:row r="233">
      <x:c r="A233" s="92" t="str">
        <x:v>PROC-0232</x:v>
      </x:c>
      <x:c r="B233" s="93" t="n">
        <x:v>46064</x:v>
      </x:c>
      <x:c r="C233" s="94" t="str">
        <x:v>Google Ads</x:v>
      </x:c>
      <x:c r="D233" s="94" t="str">
        <x:v>美国</x:v>
      </x:c>
      <x:c r="E233" s="94" t="str">
        <x:v>GGL-C12</x:v>
      </x:c>
      <x:c r="F233" s="94" t="str">
        <x:v>通用搜索</x:v>
      </x:c>
      <x:c r="G233" s="94" t="str">
        <x:v>热门新品</x:v>
      </x:c>
      <x:c r="H233" s="94" t="str">
        <x:v>移动端</x:v>
      </x:c>
      <x:c r="I233" s="94" t="str">
        <x:v>CPC</x:v>
      </x:c>
      <x:c r="J233" s="95" t="n">
        <x:v>1379</x:v>
      </x:c>
      <x:c r="K233" s="96" t="n">
        <x:f>IFERROR(L233/J233,0)</x:f>
        <x:v>0.0340826686004351</x:v>
      </x:c>
      <x:c r="L233" s="95" t="n">
        <x:v>47</x:v>
      </x:c>
      <x:c r="M233" s="97" t="n">
        <x:v>0.3195</x:v>
      </x:c>
      <x:c r="N233" s="97" t="n">
        <x:f>ROUND(L233*M233,2)</x:f>
        <x:v>15.02</x:v>
      </x:c>
      <x:c r="O233" s="94" t="n">
        <x:v>8</x:v>
      </x:c>
      <x:c r="P233" s="94" t="str">
        <x:v>模拟：Google/Microsoft Ads采购导入</x:v>
      </x:c>
    </x:row>
    <x:row r="234">
      <x:c r="A234" s="92" t="str">
        <x:v>PROC-0233</x:v>
      </x:c>
      <x:c r="B234" s="93" t="n">
        <x:v>46064</x:v>
      </x:c>
      <x:c r="C234" s="94" t="str">
        <x:v>Microsoft Ads</x:v>
      </x:c>
      <x:c r="D234" s="94" t="str">
        <x:v>英国</x:v>
      </x:c>
      <x:c r="E234" s="94" t="str">
        <x:v>MSA-C17</x:v>
      </x:c>
      <x:c r="F234" s="94" t="str">
        <x:v>品牌搜索</x:v>
      </x:c>
      <x:c r="G234" s="94" t="str">
        <x:v>品牌型号词</x:v>
      </x:c>
      <x:c r="H234" s="94" t="str">
        <x:v>移动端</x:v>
      </x:c>
      <x:c r="I234" s="94" t="str">
        <x:v>CPC</x:v>
      </x:c>
      <x:c r="J234" s="95" t="n">
        <x:v>1414</x:v>
      </x:c>
      <x:c r="K234" s="96" t="n">
        <x:f>IFERROR(L234/J234,0)</x:f>
        <x:v>0.05586987270155587</x:v>
      </x:c>
      <x:c r="L234" s="95" t="n">
        <x:v>79</x:v>
      </x:c>
      <x:c r="M234" s="97" t="n">
        <x:v>0.1863</x:v>
      </x:c>
      <x:c r="N234" s="97" t="n">
        <x:f>ROUND(L234*M234,2)</x:f>
        <x:v>14.72</x:v>
      </x:c>
      <x:c r="O234" s="94" t="n">
        <x:v>8</x:v>
      </x:c>
      <x:c r="P234" s="94" t="str">
        <x:v>模拟：Google/Microsoft Ads采购导入</x:v>
      </x:c>
    </x:row>
    <x:row r="235">
      <x:c r="A235" s="92" t="str">
        <x:v>PROC-0234</x:v>
      </x:c>
      <x:c r="B235" s="93" t="n">
        <x:v>46065</x:v>
      </x:c>
      <x:c r="C235" s="94" t="str">
        <x:v>Google Ads</x:v>
      </x:c>
      <x:c r="D235" s="94" t="str">
        <x:v>英国</x:v>
      </x:c>
      <x:c r="E235" s="94" t="str">
        <x:v>GGL-C04</x:v>
      </x:c>
      <x:c r="F235" s="94" t="str">
        <x:v>购物广告</x:v>
      </x:c>
      <x:c r="G235" s="94" t="str">
        <x:v>价格比较</x:v>
      </x:c>
      <x:c r="H235" s="94" t="str">
        <x:v>移动端</x:v>
      </x:c>
      <x:c r="I235" s="94" t="str">
        <x:v>CPC</x:v>
      </x:c>
      <x:c r="J235" s="95" t="n">
        <x:v>934</x:v>
      </x:c>
      <x:c r="K235" s="96" t="n">
        <x:f>IFERROR(L235/J235,0)</x:f>
        <x:v>0.03961456102783726</x:v>
      </x:c>
      <x:c r="L235" s="95" t="n">
        <x:v>37</x:v>
      </x:c>
      <x:c r="M235" s="97" t="n">
        <x:v>0.3492</x:v>
      </x:c>
      <x:c r="N235" s="97" t="n">
        <x:f>ROUND(L235*M235,2)</x:f>
        <x:v>12.92</x:v>
      </x:c>
      <x:c r="O235" s="94" t="n">
        <x:v>8</x:v>
      </x:c>
      <x:c r="P235" s="94" t="str">
        <x:v>模拟：Google/Microsoft Ads采购导入</x:v>
      </x:c>
    </x:row>
    <x:row r="236">
      <x:c r="A236" s="92" t="str">
        <x:v>PROC-0235</x:v>
      </x:c>
      <x:c r="B236" s="93" t="n">
        <x:v>46065</x:v>
      </x:c>
      <x:c r="C236" s="94" t="str">
        <x:v>Google Ads</x:v>
      </x:c>
      <x:c r="D236" s="94" t="str">
        <x:v>美国</x:v>
      </x:c>
      <x:c r="E236" s="94" t="str">
        <x:v>GGL-C11</x:v>
      </x:c>
      <x:c r="F236" s="94" t="str">
        <x:v>购物广告</x:v>
      </x:c>
      <x:c r="G236" s="94" t="str">
        <x:v>快速配送</x:v>
      </x:c>
      <x:c r="H236" s="94" t="str">
        <x:v>移动端</x:v>
      </x:c>
      <x:c r="I236" s="94" t="str">
        <x:v>CPC</x:v>
      </x:c>
      <x:c r="J236" s="95" t="n">
        <x:v>1225</x:v>
      </x:c>
      <x:c r="K236" s="96" t="n">
        <x:f>IFERROR(L236/J236,0)</x:f>
        <x:v>0.03836734693877551</x:v>
      </x:c>
      <x:c r="L236" s="95" t="n">
        <x:v>47</x:v>
      </x:c>
      <x:c r="M236" s="97" t="n">
        <x:v>0.3186</x:v>
      </x:c>
      <x:c r="N236" s="97" t="n">
        <x:f>ROUND(L236*M236,2)</x:f>
        <x:v>14.97</x:v>
      </x:c>
      <x:c r="O236" s="94" t="n">
        <x:v>7</x:v>
      </x:c>
      <x:c r="P236" s="94" t="str">
        <x:v>模拟：Google/Microsoft Ads采购导入</x:v>
      </x:c>
    </x:row>
    <x:row r="237">
      <x:c r="A237" s="92" t="str">
        <x:v>PROC-0236</x:v>
      </x:c>
      <x:c r="B237" s="93" t="n">
        <x:v>46065</x:v>
      </x:c>
      <x:c r="C237" s="94" t="str">
        <x:v>Google Ads</x:v>
      </x:c>
      <x:c r="D237" s="94" t="str">
        <x:v>德国</x:v>
      </x:c>
      <x:c r="E237" s="94" t="str">
        <x:v>GGL-C15</x:v>
      </x:c>
      <x:c r="F237" s="94" t="str">
        <x:v>品牌搜索</x:v>
      </x:c>
      <x:c r="G237" s="94" t="str">
        <x:v>品牌型号词</x:v>
      </x:c>
      <x:c r="H237" s="94" t="str">
        <x:v>移动端</x:v>
      </x:c>
      <x:c r="I237" s="94" t="str">
        <x:v>CPC</x:v>
      </x:c>
      <x:c r="J237" s="95" t="n">
        <x:v>1108</x:v>
      </x:c>
      <x:c r="K237" s="96" t="n">
        <x:f>IFERROR(L237/J237,0)</x:f>
        <x:v>0.06407942238267147</x:v>
      </x:c>
      <x:c r="L237" s="95" t="n">
        <x:v>71</x:v>
      </x:c>
      <x:c r="M237" s="97" t="n">
        <x:v>0.1735</x:v>
      </x:c>
      <x:c r="N237" s="97" t="n">
        <x:f>ROUND(L237*M237,2)</x:f>
        <x:v>12.32</x:v>
      </x:c>
      <x:c r="O237" s="94" t="n">
        <x:v>9</x:v>
      </x:c>
      <x:c r="P237" s="94" t="str">
        <x:v>模拟：Google/Microsoft Ads采购导入</x:v>
      </x:c>
    </x:row>
    <x:row r="238">
      <x:c r="A238" s="92" t="str">
        <x:v>PROC-0237</x:v>
      </x:c>
      <x:c r="B238" s="93" t="n">
        <x:v>46065</x:v>
      </x:c>
      <x:c r="C238" s="94" t="str">
        <x:v>Google Ads</x:v>
      </x:c>
      <x:c r="D238" s="94" t="str">
        <x:v>德国</x:v>
      </x:c>
      <x:c r="E238" s="94" t="str">
        <x:v>GGL-C24</x:v>
      </x:c>
      <x:c r="F238" s="94" t="str">
        <x:v>竞品搜索</x:v>
      </x:c>
      <x:c r="G238" s="94" t="str">
        <x:v>价格替代</x:v>
      </x:c>
      <x:c r="H238" s="94" t="str">
        <x:v>桌面端</x:v>
      </x:c>
      <x:c r="I238" s="94" t="str">
        <x:v>CPC</x:v>
      </x:c>
      <x:c r="J238" s="95" t="n">
        <x:v>829</x:v>
      </x:c>
      <x:c r="K238" s="96" t="n">
        <x:f>IFERROR(L238/J238,0)</x:f>
        <x:v>0.025331724969843185</x:v>
      </x:c>
      <x:c r="L238" s="95" t="n">
        <x:v>21</x:v>
      </x:c>
      <x:c r="M238" s="97" t="n">
        <x:v>0.4006</x:v>
      </x:c>
      <x:c r="N238" s="97" t="n">
        <x:f>ROUND(L238*M238,2)</x:f>
        <x:v>8.41</x:v>
      </x:c>
      <x:c r="O238" s="94" t="n">
        <x:v>8</x:v>
      </x:c>
      <x:c r="P238" s="94" t="str">
        <x:v>模拟：Google/Microsoft Ads采购导入</x:v>
      </x:c>
    </x:row>
    <x:row r="239">
      <x:c r="A239" s="92" t="str">
        <x:v>PROC-0238</x:v>
      </x:c>
      <x:c r="B239" s="93" t="n">
        <x:v>46065</x:v>
      </x:c>
      <x:c r="C239" s="94" t="str">
        <x:v>Google Ads</x:v>
      </x:c>
      <x:c r="D239" s="94" t="str">
        <x:v>德国</x:v>
      </x:c>
      <x:c r="E239" s="94" t="str">
        <x:v>GGL-C06</x:v>
      </x:c>
      <x:c r="F239" s="94" t="str">
        <x:v>购物广告</x:v>
      </x:c>
      <x:c r="G239" s="94" t="str">
        <x:v>快速配送</x:v>
      </x:c>
      <x:c r="H239" s="94" t="str">
        <x:v>平板</x:v>
      </x:c>
      <x:c r="I239" s="94" t="str">
        <x:v>CPC</x:v>
      </x:c>
      <x:c r="J239" s="95" t="n">
        <x:v>1488</x:v>
      </x:c>
      <x:c r="K239" s="96" t="n">
        <x:f>IFERROR(L239/J239,0)</x:f>
        <x:v>0.04032258064516129</x:v>
      </x:c>
      <x:c r="L239" s="95" t="n">
        <x:v>60</x:v>
      </x:c>
      <x:c r="M239" s="97" t="n">
        <x:v>0.2706</x:v>
      </x:c>
      <x:c r="N239" s="97" t="n">
        <x:f>ROUND(L239*M239,2)</x:f>
        <x:v>16.24</x:v>
      </x:c>
      <x:c r="O239" s="94" t="n">
        <x:v>6</x:v>
      </x:c>
      <x:c r="P239" s="94" t="str">
        <x:v>模拟：Google/Microsoft Ads采购导入</x:v>
      </x:c>
    </x:row>
    <x:row r="240">
      <x:c r="A240" s="92" t="str">
        <x:v>PROC-0239</x:v>
      </x:c>
      <x:c r="B240" s="93" t="n">
        <x:v>46066</x:v>
      </x:c>
      <x:c r="C240" s="94" t="str">
        <x:v>Google Ads</x:v>
      </x:c>
      <x:c r="D240" s="94" t="str">
        <x:v>英国</x:v>
      </x:c>
      <x:c r="E240" s="94" t="str">
        <x:v>GGL-C14</x:v>
      </x:c>
      <x:c r="F240" s="94" t="str">
        <x:v>通用搜索</x:v>
      </x:c>
      <x:c r="G240" s="94" t="str">
        <x:v>高性价比商品</x:v>
      </x:c>
      <x:c r="H240" s="94" t="str">
        <x:v>平板</x:v>
      </x:c>
      <x:c r="I240" s="94" t="str">
        <x:v>CPC</x:v>
      </x:c>
      <x:c r="J240" s="95" t="n">
        <x:v>1099</x:v>
      </x:c>
      <x:c r="K240" s="96" t="n">
        <x:f>IFERROR(L240/J240,0)</x:f>
        <x:v>0.03275705186533212</x:v>
      </x:c>
      <x:c r="L240" s="95" t="n">
        <x:v>36</x:v>
      </x:c>
      <x:c r="M240" s="97" t="n">
        <x:v>0.3391</x:v>
      </x:c>
      <x:c r="N240" s="97" t="n">
        <x:f>ROUND(L240*M240,2)</x:f>
        <x:v>12.21</x:v>
      </x:c>
      <x:c r="O240" s="94" t="n">
        <x:v>6</x:v>
      </x:c>
      <x:c r="P240" s="94" t="str">
        <x:v>模拟：Google/Microsoft Ads采购导入</x:v>
      </x:c>
    </x:row>
    <x:row r="241">
      <x:c r="A241" s="92" t="str">
        <x:v>PROC-0240</x:v>
      </x:c>
      <x:c r="B241" s="93" t="n">
        <x:v>46066</x:v>
      </x:c>
      <x:c r="C241" s="94" t="str">
        <x:v>Google Ads</x:v>
      </x:c>
      <x:c r="D241" s="94" t="str">
        <x:v>美国</x:v>
      </x:c>
      <x:c r="E241" s="94" t="str">
        <x:v>GGL-C22</x:v>
      </x:c>
      <x:c r="F241" s="94" t="str">
        <x:v>购物广告</x:v>
      </x:c>
      <x:c r="G241" s="94" t="str">
        <x:v>折扣商品</x:v>
      </x:c>
      <x:c r="H241" s="94" t="str">
        <x:v>桌面端</x:v>
      </x:c>
      <x:c r="I241" s="94" t="str">
        <x:v>CPC</x:v>
      </x:c>
      <x:c r="J241" s="95" t="n">
        <x:v>1455</x:v>
      </x:c>
      <x:c r="K241" s="96" t="n">
        <x:f>IFERROR(L241/J241,0)</x:f>
        <x:v>0.05085910652920962</x:v>
      </x:c>
      <x:c r="L241" s="95" t="n">
        <x:v>74</x:v>
      </x:c>
      <x:c r="M241" s="97" t="n">
        <x:v>0.3858</x:v>
      </x:c>
      <x:c r="N241" s="97" t="n">
        <x:f>ROUND(L241*M241,2)</x:f>
        <x:v>28.55</x:v>
      </x:c>
      <x:c r="O241" s="94" t="n">
        <x:v>7</x:v>
      </x:c>
      <x:c r="P241" s="94" t="str">
        <x:v>模拟：Google/Microsoft Ads采购导入</x:v>
      </x:c>
    </x:row>
    <x:row r="242">
      <x:c r="A242" s="92" t="str">
        <x:v>PROC-0241</x:v>
      </x:c>
      <x:c r="B242" s="93" t="n">
        <x:v>46066</x:v>
      </x:c>
      <x:c r="C242" s="94" t="str">
        <x:v>Google Ads</x:v>
      </x:c>
      <x:c r="D242" s="94" t="str">
        <x:v>美国</x:v>
      </x:c>
      <x:c r="E242" s="94" t="str">
        <x:v>GGL-C01</x:v>
      </x:c>
      <x:c r="F242" s="94" t="str">
        <x:v>购物广告</x:v>
      </x:c>
      <x:c r="G242" s="94" t="str">
        <x:v>畅销商品</x:v>
      </x:c>
      <x:c r="H242" s="94" t="str">
        <x:v>桌面端</x:v>
      </x:c>
      <x:c r="I242" s="94" t="str">
        <x:v>CPC</x:v>
      </x:c>
      <x:c r="J242" s="95" t="n">
        <x:v>773</x:v>
      </x:c>
      <x:c r="K242" s="96" t="n">
        <x:f>IFERROR(L242/J242,0)</x:f>
        <x:v>0.050452781371280724</x:v>
      </x:c>
      <x:c r="L242" s="95" t="n">
        <x:v>39</x:v>
      </x:c>
      <x:c r="M242" s="97" t="n">
        <x:v>0.3691</x:v>
      </x:c>
      <x:c r="N242" s="97" t="n">
        <x:f>ROUND(L242*M242,2)</x:f>
        <x:v>14.39</x:v>
      </x:c>
      <x:c r="O242" s="94" t="n">
        <x:v>6</x:v>
      </x:c>
      <x:c r="P242" s="94" t="str">
        <x:v>模拟：Google/Microsoft Ads采购导入</x:v>
      </x:c>
    </x:row>
    <x:row r="243">
      <x:c r="A243" s="92" t="str">
        <x:v>PROC-0242</x:v>
      </x:c>
      <x:c r="B243" s="93" t="n">
        <x:v>46066</x:v>
      </x:c>
      <x:c r="C243" s="94" t="str">
        <x:v>Microsoft Ads</x:v>
      </x:c>
      <x:c r="D243" s="94" t="str">
        <x:v>美国</x:v>
      </x:c>
      <x:c r="E243" s="94" t="str">
        <x:v>MSA-C12</x:v>
      </x:c>
      <x:c r="F243" s="94" t="str">
        <x:v>购物广告</x:v>
      </x:c>
      <x:c r="G243" s="94" t="str">
        <x:v>价格比较</x:v>
      </x:c>
      <x:c r="H243" s="94" t="str">
        <x:v>移动端</x:v>
      </x:c>
      <x:c r="I243" s="94" t="str">
        <x:v>CPC</x:v>
      </x:c>
      <x:c r="J243" s="95" t="n">
        <x:v>813</x:v>
      </x:c>
      <x:c r="K243" s="96" t="n">
        <x:f>IFERROR(L243/J243,0)</x:f>
        <x:v>0.05043050430504305</x:v>
      </x:c>
      <x:c r="L243" s="95" t="n">
        <x:v>41</x:v>
      </x:c>
      <x:c r="M243" s="97" t="n">
        <x:v>0.2595</x:v>
      </x:c>
      <x:c r="N243" s="97" t="n">
        <x:f>ROUND(L243*M243,2)</x:f>
        <x:v>10.64</x:v>
      </x:c>
      <x:c r="O243" s="94" t="n">
        <x:v>7</x:v>
      </x:c>
      <x:c r="P243" s="94" t="str">
        <x:v>模拟：Google/Microsoft Ads采购导入</x:v>
      </x:c>
    </x:row>
    <x:row r="244">
      <x:c r="A244" s="92" t="str">
        <x:v>PROC-0243</x:v>
      </x:c>
      <x:c r="B244" s="93" t="n">
        <x:v>46066</x:v>
      </x:c>
      <x:c r="C244" s="94" t="str">
        <x:v>Google Ads</x:v>
      </x:c>
      <x:c r="D244" s="94" t="str">
        <x:v>美国</x:v>
      </x:c>
      <x:c r="E244" s="94" t="str">
        <x:v>GGL-C15</x:v>
      </x:c>
      <x:c r="F244" s="94" t="str">
        <x:v>竞品搜索</x:v>
      </x:c>
      <x:c r="G244" s="94" t="str">
        <x:v>同类产品对比</x:v>
      </x:c>
      <x:c r="H244" s="94" t="str">
        <x:v>移动端</x:v>
      </x:c>
      <x:c r="I244" s="94" t="str">
        <x:v>CPC</x:v>
      </x:c>
      <x:c r="J244" s="95" t="n">
        <x:v>992</x:v>
      </x:c>
      <x:c r="K244" s="96" t="n">
        <x:f>IFERROR(L244/J244,0)</x:f>
        <x:v>0.03225806451612903</x:v>
      </x:c>
      <x:c r="L244" s="95" t="n">
        <x:v>32</x:v>
      </x:c>
      <x:c r="M244" s="97" t="n">
        <x:v>0.4067</x:v>
      </x:c>
      <x:c r="N244" s="97" t="n">
        <x:f>ROUND(L244*M244,2)</x:f>
        <x:v>13.01</x:v>
      </x:c>
      <x:c r="O244" s="94" t="n">
        <x:v>7</x:v>
      </x:c>
      <x:c r="P244" s="94" t="str">
        <x:v>模拟：Google/Microsoft Ads采购导入</x:v>
      </x:c>
    </x:row>
    <x:row r="245">
      <x:c r="A245" s="92" t="str">
        <x:v>PROC-0244</x:v>
      </x:c>
      <x:c r="B245" s="93" t="n">
        <x:v>46066</x:v>
      </x:c>
      <x:c r="C245" s="94" t="str">
        <x:v>Microsoft Ads</x:v>
      </x:c>
      <x:c r="D245" s="94" t="str">
        <x:v>英国</x:v>
      </x:c>
      <x:c r="E245" s="94" t="str">
        <x:v>MSA-C23</x:v>
      </x:c>
      <x:c r="F245" s="94" t="str">
        <x:v>通用搜索</x:v>
      </x:c>
      <x:c r="G245" s="94" t="str">
        <x:v>家庭必备</x:v>
      </x:c>
      <x:c r="H245" s="94" t="str">
        <x:v>移动端</x:v>
      </x:c>
      <x:c r="I245" s="94" t="str">
        <x:v>CPC</x:v>
      </x:c>
      <x:c r="J245" s="95" t="n">
        <x:v>1346</x:v>
      </x:c>
      <x:c r="K245" s="96" t="n">
        <x:f>IFERROR(L245/J245,0)</x:f>
        <x:v>0.03417533432392273</x:v>
      </x:c>
      <x:c r="L245" s="95" t="n">
        <x:v>46</x:v>
      </x:c>
      <x:c r="M245" s="97" t="n">
        <x:v>0.2198</x:v>
      </x:c>
      <x:c r="N245" s="97" t="n">
        <x:f>ROUND(L245*M245,2)</x:f>
        <x:v>10.11</x:v>
      </x:c>
      <x:c r="O245" s="94" t="n">
        <x:v>7</x:v>
      </x:c>
      <x:c r="P245" s="94" t="str">
        <x:v>模拟：Google/Microsoft Ads采购导入</x:v>
      </x:c>
    </x:row>
    <x:row r="246">
      <x:c r="A246" s="92" t="str">
        <x:v>PROC-0245</x:v>
      </x:c>
      <x:c r="B246" s="93" t="n">
        <x:v>46067</x:v>
      </x:c>
      <x:c r="C246" s="94" t="str">
        <x:v>Google Ads</x:v>
      </x:c>
      <x:c r="D246" s="94" t="str">
        <x:v>英国</x:v>
      </x:c>
      <x:c r="E246" s="94" t="str">
        <x:v>GGL-C06</x:v>
      </x:c>
      <x:c r="F246" s="94" t="str">
        <x:v>通用搜索</x:v>
      </x:c>
      <x:c r="G246" s="94" t="str">
        <x:v>热门新品</x:v>
      </x:c>
      <x:c r="H246" s="94" t="str">
        <x:v>移动端</x:v>
      </x:c>
      <x:c r="I246" s="94" t="str">
        <x:v>CPC</x:v>
      </x:c>
      <x:c r="J246" s="95" t="n">
        <x:v>1248</x:v>
      </x:c>
      <x:c r="K246" s="96" t="n">
        <x:f>IFERROR(L246/J246,0)</x:f>
        <x:v>0.040865384615384616</x:v>
      </x:c>
      <x:c r="L246" s="95" t="n">
        <x:v>51</x:v>
      </x:c>
      <x:c r="M246" s="97" t="n">
        <x:v>0.2831</x:v>
      </x:c>
      <x:c r="N246" s="97" t="n">
        <x:f>ROUND(L246*M246,2)</x:f>
        <x:v>14.44</x:v>
      </x:c>
      <x:c r="O246" s="94" t="n">
        <x:v>6</x:v>
      </x:c>
      <x:c r="P246" s="94" t="str">
        <x:v>模拟：Google/Microsoft Ads采购导入</x:v>
      </x:c>
    </x:row>
    <x:row r="247">
      <x:c r="A247" s="92" t="str">
        <x:v>PROC-0246</x:v>
      </x:c>
      <x:c r="B247" s="93" t="n">
        <x:v>46067</x:v>
      </x:c>
      <x:c r="C247" s="94" t="str">
        <x:v>Google Ads</x:v>
      </x:c>
      <x:c r="D247" s="94" t="str">
        <x:v>美国</x:v>
      </x:c>
      <x:c r="E247" s="94" t="str">
        <x:v>GGL-C13</x:v>
      </x:c>
      <x:c r="F247" s="94" t="str">
        <x:v>品牌搜索</x:v>
      </x:c>
      <x:c r="G247" s="94" t="str">
        <x:v>品牌优惠词</x:v>
      </x:c>
      <x:c r="H247" s="94" t="str">
        <x:v>桌面端</x:v>
      </x:c>
      <x:c r="I247" s="94" t="str">
        <x:v>CPC</x:v>
      </x:c>
      <x:c r="J247" s="95" t="n">
        <x:v>1334</x:v>
      </x:c>
      <x:c r="K247" s="96" t="n">
        <x:f>IFERROR(L247/J247,0)</x:f>
        <x:v>0.060719640179910044</x:v>
      </x:c>
      <x:c r="L247" s="95" t="n">
        <x:v>81</x:v>
      </x:c>
      <x:c r="M247" s="97" t="n">
        <x:v>0.2428</x:v>
      </x:c>
      <x:c r="N247" s="97" t="n">
        <x:f>ROUND(L247*M247,2)</x:f>
        <x:v>19.67</x:v>
      </x:c>
      <x:c r="O247" s="94" t="n">
        <x:v>7</x:v>
      </x:c>
      <x:c r="P247" s="94" t="str">
        <x:v>模拟：Google/Microsoft Ads采购导入</x:v>
      </x:c>
    </x:row>
    <x:row r="248">
      <x:c r="A248" s="92" t="str">
        <x:v>PROC-0247</x:v>
      </x:c>
      <x:c r="B248" s="93" t="n">
        <x:v>46067</x:v>
      </x:c>
      <x:c r="C248" s="94" t="str">
        <x:v>Microsoft Ads</x:v>
      </x:c>
      <x:c r="D248" s="94" t="str">
        <x:v>美国</x:v>
      </x:c>
      <x:c r="E248" s="94" t="str">
        <x:v>MSA-C21</x:v>
      </x:c>
      <x:c r="F248" s="94" t="str">
        <x:v>品牌搜索</x:v>
      </x:c>
      <x:c r="G248" s="94" t="str">
        <x:v>品牌优惠词</x:v>
      </x:c>
      <x:c r="H248" s="94" t="str">
        <x:v>桌面端</x:v>
      </x:c>
      <x:c r="I248" s="94" t="str">
        <x:v>CPC</x:v>
      </x:c>
      <x:c r="J248" s="95" t="n">
        <x:v>1246</x:v>
      </x:c>
      <x:c r="K248" s="96" t="n">
        <x:f>IFERROR(L248/J248,0)</x:f>
        <x:v>0.05457463884430177</x:v>
      </x:c>
      <x:c r="L248" s="95" t="n">
        <x:v>68</x:v>
      </x:c>
      <x:c r="M248" s="97" t="n">
        <x:v>0.1926</x:v>
      </x:c>
      <x:c r="N248" s="97" t="n">
        <x:f>ROUND(L248*M248,2)</x:f>
        <x:v>13.1</x:v>
      </x:c>
      <x:c r="O248" s="94" t="n">
        <x:v>8</x:v>
      </x:c>
      <x:c r="P248" s="94" t="str">
        <x:v>模拟：Google/Microsoft Ads采购导入</x:v>
      </x:c>
    </x:row>
    <x:row r="249">
      <x:c r="A249" s="92" t="str">
        <x:v>PROC-0248</x:v>
      </x:c>
      <x:c r="B249" s="93" t="n">
        <x:v>46067</x:v>
      </x:c>
      <x:c r="C249" s="94" t="str">
        <x:v>Google Ads</x:v>
      </x:c>
      <x:c r="D249" s="94" t="str">
        <x:v>德国</x:v>
      </x:c>
      <x:c r="E249" s="94" t="str">
        <x:v>GGL-C02</x:v>
      </x:c>
      <x:c r="F249" s="94" t="str">
        <x:v>通用搜索</x:v>
      </x:c>
      <x:c r="G249" s="94" t="str">
        <x:v>热门新品</x:v>
      </x:c>
      <x:c r="H249" s="94" t="str">
        <x:v>移动端</x:v>
      </x:c>
      <x:c r="I249" s="94" t="str">
        <x:v>CPC</x:v>
      </x:c>
      <x:c r="J249" s="95" t="n">
        <x:v>1177</x:v>
      </x:c>
      <x:c r="K249" s="96" t="n">
        <x:f>IFERROR(L249/J249,0)</x:f>
        <x:v>0.02888700084961767</x:v>
      </x:c>
      <x:c r="L249" s="95" t="n">
        <x:v>34</x:v>
      </x:c>
      <x:c r="M249" s="97" t="n">
        <x:v>0.3234</x:v>
      </x:c>
      <x:c r="N249" s="97" t="n">
        <x:f>ROUND(L249*M249,2)</x:f>
        <x:v>11</x:v>
      </x:c>
      <x:c r="O249" s="94" t="n">
        <x:v>8</x:v>
      </x:c>
      <x:c r="P249" s="94" t="str">
        <x:v>模拟：Google/Microsoft Ads采购导入</x:v>
      </x:c>
    </x:row>
    <x:row r="250">
      <x:c r="A250" s="92" t="str">
        <x:v>PROC-0249</x:v>
      </x:c>
      <x:c r="B250" s="93" t="n">
        <x:v>46067</x:v>
      </x:c>
      <x:c r="C250" s="94" t="str">
        <x:v>Microsoft Ads</x:v>
      </x:c>
      <x:c r="D250" s="94" t="str">
        <x:v>德国</x:v>
      </x:c>
      <x:c r="E250" s="94" t="str">
        <x:v>MSA-C12</x:v>
      </x:c>
      <x:c r="F250" s="94" t="str">
        <x:v>品牌搜索</x:v>
      </x:c>
      <x:c r="G250" s="94" t="str">
        <x:v>品牌优惠词</x:v>
      </x:c>
      <x:c r="H250" s="94" t="str">
        <x:v>移动端</x:v>
      </x:c>
      <x:c r="I250" s="94" t="str">
        <x:v>CPC</x:v>
      </x:c>
      <x:c r="J250" s="95" t="n">
        <x:v>1231</x:v>
      </x:c>
      <x:c r="K250" s="96" t="n">
        <x:f>IFERROR(L250/J250,0)</x:f>
        <x:v>0.060926076360682375</x:v>
      </x:c>
      <x:c r="L250" s="95" t="n">
        <x:v>75</x:v>
      </x:c>
      <x:c r="M250" s="97" t="n">
        <x:v>0.183</x:v>
      </x:c>
      <x:c r="N250" s="97" t="n">
        <x:f>ROUND(L250*M250,2)</x:f>
        <x:v>13.73</x:v>
      </x:c>
      <x:c r="O250" s="94" t="n">
        <x:v>7</x:v>
      </x:c>
      <x:c r="P250" s="94" t="str">
        <x:v>模拟：Google/Microsoft Ads采购导入</x:v>
      </x:c>
    </x:row>
    <x:row r="251">
      <x:c r="A251" s="92" t="str">
        <x:v>PROC-0250</x:v>
      </x:c>
      <x:c r="B251" s="93" t="n">
        <x:v>46068</x:v>
      </x:c>
      <x:c r="C251" s="94" t="str">
        <x:v>Google Ads</x:v>
      </x:c>
      <x:c r="D251" s="94" t="str">
        <x:v>美国</x:v>
      </x:c>
      <x:c r="E251" s="94" t="str">
        <x:v>GGL-C16</x:v>
      </x:c>
      <x:c r="F251" s="94" t="str">
        <x:v>购物广告</x:v>
      </x:c>
      <x:c r="G251" s="94" t="str">
        <x:v>畅销商品</x:v>
      </x:c>
      <x:c r="H251" s="94" t="str">
        <x:v>桌面端</x:v>
      </x:c>
      <x:c r="I251" s="94" t="str">
        <x:v>CPC</x:v>
      </x:c>
      <x:c r="J251" s="95" t="n">
        <x:v>1158</x:v>
      </x:c>
      <x:c r="K251" s="96" t="n">
        <x:f>IFERROR(L251/J251,0)</x:f>
        <x:v>0.05181347150259067</x:v>
      </x:c>
      <x:c r="L251" s="95" t="n">
        <x:v>60</x:v>
      </x:c>
      <x:c r="M251" s="97" t="n">
        <x:v>0.3695</x:v>
      </x:c>
      <x:c r="N251" s="97" t="n">
        <x:f>ROUND(L251*M251,2)</x:f>
        <x:v>22.17</x:v>
      </x:c>
      <x:c r="O251" s="94" t="n">
        <x:v>7</x:v>
      </x:c>
      <x:c r="P251" s="94" t="str">
        <x:v>模拟：Google/Microsoft Ads采购导入</x:v>
      </x:c>
    </x:row>
    <x:row r="252">
      <x:c r="A252" s="92" t="str">
        <x:v>PROC-0251</x:v>
      </x:c>
      <x:c r="B252" s="93" t="n">
        <x:v>46068</x:v>
      </x:c>
      <x:c r="C252" s="94" t="str">
        <x:v>Google Ads</x:v>
      </x:c>
      <x:c r="D252" s="94" t="str">
        <x:v>日本</x:v>
      </x:c>
      <x:c r="E252" s="94" t="str">
        <x:v>GGL-C02</x:v>
      </x:c>
      <x:c r="F252" s="94" t="str">
        <x:v>通用搜索</x:v>
      </x:c>
      <x:c r="G252" s="94" t="str">
        <x:v>热门新品</x:v>
      </x:c>
      <x:c r="H252" s="94" t="str">
        <x:v>移动端</x:v>
      </x:c>
      <x:c r="I252" s="94" t="str">
        <x:v>CPC</x:v>
      </x:c>
      <x:c r="J252" s="95" t="n">
        <x:v>1263</x:v>
      </x:c>
      <x:c r="K252" s="96" t="n">
        <x:f>IFERROR(L252/J252,0)</x:f>
        <x:v>0.03167062549485352</x:v>
      </x:c>
      <x:c r="L252" s="95" t="n">
        <x:v>40</x:v>
      </x:c>
      <x:c r="M252" s="97" t="n">
        <x:v>0.2897</x:v>
      </x:c>
      <x:c r="N252" s="97" t="n">
        <x:f>ROUND(L252*M252,2)</x:f>
        <x:v>11.59</x:v>
      </x:c>
      <x:c r="O252" s="94" t="n">
        <x:v>8</x:v>
      </x:c>
      <x:c r="P252" s="94" t="str">
        <x:v>模拟：Google/Microsoft Ads采购导入</x:v>
      </x:c>
    </x:row>
    <x:row r="253">
      <x:c r="A253" s="92" t="str">
        <x:v>PROC-0252</x:v>
      </x:c>
      <x:c r="B253" s="93" t="n">
        <x:v>46068</x:v>
      </x:c>
      <x:c r="C253" s="94" t="str">
        <x:v>Google Ads</x:v>
      </x:c>
      <x:c r="D253" s="94" t="str">
        <x:v>英国</x:v>
      </x:c>
      <x:c r="E253" s="94" t="str">
        <x:v>GGL-C07</x:v>
      </x:c>
      <x:c r="F253" s="94" t="str">
        <x:v>通用搜索</x:v>
      </x:c>
      <x:c r="G253" s="94" t="str">
        <x:v>热门新品</x:v>
      </x:c>
      <x:c r="H253" s="94" t="str">
        <x:v>移动端</x:v>
      </x:c>
      <x:c r="I253" s="94" t="str">
        <x:v>CPC</x:v>
      </x:c>
      <x:c r="J253" s="95" t="n">
        <x:v>1343</x:v>
      </x:c>
      <x:c r="K253" s="96" t="n">
        <x:f>IFERROR(L253/J253,0)</x:f>
        <x:v>0.04169769173492182</x:v>
      </x:c>
      <x:c r="L253" s="95" t="n">
        <x:v>56</x:v>
      </x:c>
      <x:c r="M253" s="97" t="n">
        <x:v>0.3389</x:v>
      </x:c>
      <x:c r="N253" s="97" t="n">
        <x:f>ROUND(L253*M253,2)</x:f>
        <x:v>18.98</x:v>
      </x:c>
      <x:c r="O253" s="94" t="n">
        <x:v>7</x:v>
      </x:c>
      <x:c r="P253" s="94" t="str">
        <x:v>模拟：Google/Microsoft Ads采购导入</x:v>
      </x:c>
    </x:row>
    <x:row r="254">
      <x:c r="A254" s="92" t="str">
        <x:v>PROC-0253</x:v>
      </x:c>
      <x:c r="B254" s="93" t="n">
        <x:v>46068</x:v>
      </x:c>
      <x:c r="C254" s="94" t="str">
        <x:v>Google Ads</x:v>
      </x:c>
      <x:c r="D254" s="94" t="str">
        <x:v>德国</x:v>
      </x:c>
      <x:c r="E254" s="94" t="str">
        <x:v>GGL-C16</x:v>
      </x:c>
      <x:c r="F254" s="94" t="str">
        <x:v>通用搜索</x:v>
      </x:c>
      <x:c r="G254" s="94" t="str">
        <x:v>热门新品</x:v>
      </x:c>
      <x:c r="H254" s="94" t="str">
        <x:v>移动端</x:v>
      </x:c>
      <x:c r="I254" s="94" t="str">
        <x:v>CPC</x:v>
      </x:c>
      <x:c r="J254" s="95" t="n">
        <x:v>1367</x:v>
      </x:c>
      <x:c r="K254" s="96" t="n">
        <x:f>IFERROR(L254/J254,0)</x:f>
        <x:v>0.038771031455742504</x:v>
      </x:c>
      <x:c r="L254" s="95" t="n">
        <x:v>53</x:v>
      </x:c>
      <x:c r="M254" s="97" t="n">
        <x:v>0.3218</x:v>
      </x:c>
      <x:c r="N254" s="97" t="n">
        <x:f>ROUND(L254*M254,2)</x:f>
        <x:v>17.06</x:v>
      </x:c>
      <x:c r="O254" s="94" t="n">
        <x:v>7</x:v>
      </x:c>
      <x:c r="P254" s="94" t="str">
        <x:v>模拟：Google/Microsoft Ads采购导入</x:v>
      </x:c>
    </x:row>
    <x:row r="255">
      <x:c r="A255" s="92" t="str">
        <x:v>PROC-0254</x:v>
      </x:c>
      <x:c r="B255" s="93" t="n">
        <x:v>46068</x:v>
      </x:c>
      <x:c r="C255" s="94" t="str">
        <x:v>Microsoft Ads</x:v>
      </x:c>
      <x:c r="D255" s="94" t="str">
        <x:v>日本</x:v>
      </x:c>
      <x:c r="E255" s="94" t="str">
        <x:v>MSA-C20</x:v>
      </x:c>
      <x:c r="F255" s="94" t="str">
        <x:v>通用搜索</x:v>
      </x:c>
      <x:c r="G255" s="94" t="str">
        <x:v>高性价比商品</x:v>
      </x:c>
      <x:c r="H255" s="94" t="str">
        <x:v>桌面端</x:v>
      </x:c>
      <x:c r="I255" s="94" t="str">
        <x:v>CPC</x:v>
      </x:c>
      <x:c r="J255" s="95" t="n">
        <x:v>1380</x:v>
      </x:c>
      <x:c r="K255" s="96" t="n">
        <x:f>IFERROR(L255/J255,0)</x:f>
        <x:v>0.03188405797101449</x:v>
      </x:c>
      <x:c r="L255" s="95" t="n">
        <x:v>44</x:v>
      </x:c>
      <x:c r="M255" s="97" t="n">
        <x:v>0.1796</x:v>
      </x:c>
      <x:c r="N255" s="97" t="n">
        <x:f>ROUND(L255*M255,2)</x:f>
        <x:v>7.9</x:v>
      </x:c>
      <x:c r="O255" s="94" t="n">
        <x:v>6</x:v>
      </x:c>
      <x:c r="P255" s="94" t="str">
        <x:v>模拟：Google/Microsoft Ads采购导入</x:v>
      </x:c>
    </x:row>
    <x:row r="256">
      <x:c r="A256" s="92" t="str">
        <x:v>PROC-0255</x:v>
      </x:c>
      <x:c r="B256" s="93" t="n">
        <x:v>46068</x:v>
      </x:c>
      <x:c r="C256" s="94" t="str">
        <x:v>Google Ads</x:v>
      </x:c>
      <x:c r="D256" s="94" t="str">
        <x:v>德国</x:v>
      </x:c>
      <x:c r="E256" s="94" t="str">
        <x:v>GGL-C05</x:v>
      </x:c>
      <x:c r="F256" s="94" t="str">
        <x:v>竞品搜索</x:v>
      </x:c>
      <x:c r="G256" s="94" t="str">
        <x:v>价格替代</x:v>
      </x:c>
      <x:c r="H256" s="94" t="str">
        <x:v>平板</x:v>
      </x:c>
      <x:c r="I256" s="94" t="str">
        <x:v>CPC</x:v>
      </x:c>
      <x:c r="J256" s="95" t="n">
        <x:v>855</x:v>
      </x:c>
      <x:c r="K256" s="96" t="n">
        <x:f>IFERROR(L256/J256,0)</x:f>
        <x:v>0.026900584795321637</x:v>
      </x:c>
      <x:c r="L256" s="95" t="n">
        <x:v>23</x:v>
      </x:c>
      <x:c r="M256" s="97" t="n">
        <x:v>0.3996</x:v>
      </x:c>
      <x:c r="N256" s="97" t="n">
        <x:f>ROUND(L256*M256,2)</x:f>
        <x:v>9.19</x:v>
      </x:c>
      <x:c r="O256" s="94" t="n">
        <x:v>7</x:v>
      </x:c>
      <x:c r="P256" s="94" t="str">
        <x:v>模拟：Google/Microsoft Ads采购导入</x:v>
      </x:c>
    </x:row>
    <x:row r="257">
      <x:c r="A257" s="92" t="str">
        <x:v>PROC-0256</x:v>
      </x:c>
      <x:c r="B257" s="93" t="n">
        <x:v>46069</x:v>
      </x:c>
      <x:c r="C257" s="94" t="str">
        <x:v>Microsoft Ads</x:v>
      </x:c>
      <x:c r="D257" s="94" t="str">
        <x:v>美国</x:v>
      </x:c>
      <x:c r="E257" s="94" t="str">
        <x:v>MSA-C13</x:v>
      </x:c>
      <x:c r="F257" s="94" t="str">
        <x:v>购物广告</x:v>
      </x:c>
      <x:c r="G257" s="94" t="str">
        <x:v>折扣商品</x:v>
      </x:c>
      <x:c r="H257" s="94" t="str">
        <x:v>移动端</x:v>
      </x:c>
      <x:c r="I257" s="94" t="str">
        <x:v>CPC</x:v>
      </x:c>
      <x:c r="J257" s="95" t="n">
        <x:v>841</x:v>
      </x:c>
      <x:c r="K257" s="96" t="n">
        <x:f>IFERROR(L257/J257,0)</x:f>
        <x:v>0.041617122473246136</x:v>
      </x:c>
      <x:c r="L257" s="95" t="n">
        <x:v>35</x:v>
      </x:c>
      <x:c r="M257" s="97" t="n">
        <x:v>0.2321</x:v>
      </x:c>
      <x:c r="N257" s="97" t="n">
        <x:f>ROUND(L257*M257,2)</x:f>
        <x:v>8.12</x:v>
      </x:c>
      <x:c r="O257" s="94" t="n">
        <x:v>7</x:v>
      </x:c>
      <x:c r="P257" s="94" t="str">
        <x:v>模拟：Google/Microsoft Ads采购导入</x:v>
      </x:c>
    </x:row>
    <x:row r="258">
      <x:c r="A258" s="92" t="str">
        <x:v>PROC-0257</x:v>
      </x:c>
      <x:c r="B258" s="93" t="n">
        <x:v>46069</x:v>
      </x:c>
      <x:c r="C258" s="94" t="str">
        <x:v>Google Ads</x:v>
      </x:c>
      <x:c r="D258" s="94" t="str">
        <x:v>英国</x:v>
      </x:c>
      <x:c r="E258" s="94" t="str">
        <x:v>GGL-C20</x:v>
      </x:c>
      <x:c r="F258" s="94" t="str">
        <x:v>品牌搜索</x:v>
      </x:c>
      <x:c r="G258" s="94" t="str">
        <x:v>品牌配件词</x:v>
      </x:c>
      <x:c r="H258" s="94" t="str">
        <x:v>移动端</x:v>
      </x:c>
      <x:c r="I258" s="94" t="str">
        <x:v>CPC</x:v>
      </x:c>
      <x:c r="J258" s="95" t="n">
        <x:v>726</x:v>
      </x:c>
      <x:c r="K258" s="96" t="n">
        <x:f>IFERROR(L258/J258,0)</x:f>
        <x:v>0.06198347107438017</x:v>
      </x:c>
      <x:c r="L258" s="95" t="n">
        <x:v>45</x:v>
      </x:c>
      <x:c r="M258" s="97" t="n">
        <x:v>0.2485</x:v>
      </x:c>
      <x:c r="N258" s="97" t="n">
        <x:f>ROUND(L258*M258,2)</x:f>
        <x:v>11.18</x:v>
      </x:c>
      <x:c r="O258" s="94" t="n">
        <x:v>10</x:v>
      </x:c>
      <x:c r="P258" s="94" t="str">
        <x:v>模拟：Google/Microsoft Ads采购导入</x:v>
      </x:c>
    </x:row>
    <x:row r="259">
      <x:c r="A259" s="92" t="str">
        <x:v>PROC-0258</x:v>
      </x:c>
      <x:c r="B259" s="93" t="n">
        <x:v>46069</x:v>
      </x:c>
      <x:c r="C259" s="94" t="str">
        <x:v>Microsoft Ads</x:v>
      </x:c>
      <x:c r="D259" s="94" t="str">
        <x:v>德国</x:v>
      </x:c>
      <x:c r="E259" s="94" t="str">
        <x:v>MSA-C02</x:v>
      </x:c>
      <x:c r="F259" s="94" t="str">
        <x:v>通用搜索</x:v>
      </x:c>
      <x:c r="G259" s="94" t="str">
        <x:v>实用礼物</x:v>
      </x:c>
      <x:c r="H259" s="94" t="str">
        <x:v>移动端</x:v>
      </x:c>
      <x:c r="I259" s="94" t="str">
        <x:v>CPC</x:v>
      </x:c>
      <x:c r="J259" s="95" t="n">
        <x:v>901</x:v>
      </x:c>
      <x:c r="K259" s="96" t="n">
        <x:f>IFERROR(L259/J259,0)</x:f>
        <x:v>0.03662597114317425</x:v>
      </x:c>
      <x:c r="L259" s="95" t="n">
        <x:v>33</x:v>
      </x:c>
      <x:c r="M259" s="97" t="n">
        <x:v>0.1802</x:v>
      </x:c>
      <x:c r="N259" s="97" t="n">
        <x:f>ROUND(L259*M259,2)</x:f>
        <x:v>5.95</x:v>
      </x:c>
      <x:c r="O259" s="94" t="n">
        <x:v>7</x:v>
      </x:c>
      <x:c r="P259" s="94" t="str">
        <x:v>模拟：Google/Microsoft Ads采购导入</x:v>
      </x:c>
    </x:row>
    <x:row r="260">
      <x:c r="A260" s="92" t="str">
        <x:v>PROC-0259</x:v>
      </x:c>
      <x:c r="B260" s="93" t="n">
        <x:v>46069</x:v>
      </x:c>
      <x:c r="C260" s="94" t="str">
        <x:v>Google Ads</x:v>
      </x:c>
      <x:c r="D260" s="94" t="str">
        <x:v>日本</x:v>
      </x:c>
      <x:c r="E260" s="94" t="str">
        <x:v>GGL-C11</x:v>
      </x:c>
      <x:c r="F260" s="94" t="str">
        <x:v>通用搜索</x:v>
      </x:c>
      <x:c r="G260" s="94" t="str">
        <x:v>实用礼物</x:v>
      </x:c>
      <x:c r="H260" s="94" t="str">
        <x:v>移动端</x:v>
      </x:c>
      <x:c r="I260" s="94" t="str">
        <x:v>CPC</x:v>
      </x:c>
      <x:c r="J260" s="95" t="n">
        <x:v>980</x:v>
      </x:c>
      <x:c r="K260" s="96" t="n">
        <x:f>IFERROR(L260/J260,0)</x:f>
        <x:v>0.0336734693877551</x:v>
      </x:c>
      <x:c r="L260" s="95" t="n">
        <x:v>33</x:v>
      </x:c>
      <x:c r="M260" s="97" t="n">
        <x:v>0.2663</x:v>
      </x:c>
      <x:c r="N260" s="97" t="n">
        <x:f>ROUND(L260*M260,2)</x:f>
        <x:v>8.79</x:v>
      </x:c>
      <x:c r="O260" s="94" t="n">
        <x:v>6</x:v>
      </x:c>
      <x:c r="P260" s="94" t="str">
        <x:v>模拟：Google/Microsoft Ads采购导入</x:v>
      </x:c>
    </x:row>
    <x:row r="261">
      <x:c r="A261" s="92" t="str">
        <x:v>PROC-0260</x:v>
      </x:c>
      <x:c r="B261" s="93" t="n">
        <x:v>46069</x:v>
      </x:c>
      <x:c r="C261" s="94" t="str">
        <x:v>Microsoft Ads</x:v>
      </x:c>
      <x:c r="D261" s="94" t="str">
        <x:v>德国</x:v>
      </x:c>
      <x:c r="E261" s="94" t="str">
        <x:v>MSA-C14</x:v>
      </x:c>
      <x:c r="F261" s="94" t="str">
        <x:v>购物广告</x:v>
      </x:c>
      <x:c r="G261" s="94" t="str">
        <x:v>畅销商品</x:v>
      </x:c>
      <x:c r="H261" s="94" t="str">
        <x:v>桌面端</x:v>
      </x:c>
      <x:c r="I261" s="94" t="str">
        <x:v>CPC</x:v>
      </x:c>
      <x:c r="J261" s="95" t="n">
        <x:v>1428</x:v>
      </x:c>
      <x:c r="K261" s="96" t="n">
        <x:f>IFERROR(L261/J261,0)</x:f>
        <x:v>0.036414565826330535</x:v>
      </x:c>
      <x:c r="L261" s="95" t="n">
        <x:v>52</x:v>
      </x:c>
      <x:c r="M261" s="97" t="n">
        <x:v>0.2623</x:v>
      </x:c>
      <x:c r="N261" s="97" t="n">
        <x:f>ROUND(L261*M261,2)</x:f>
        <x:v>13.64</x:v>
      </x:c>
      <x:c r="O261" s="94" t="n">
        <x:v>8</x:v>
      </x:c>
      <x:c r="P261" s="94" t="str">
        <x:v>模拟：Google/Microsoft Ads采购导入</x:v>
      </x:c>
    </x:row>
    <x:row r="262">
      <x:c r="A262" s="92" t="str">
        <x:v>PROC-0261</x:v>
      </x:c>
      <x:c r="B262" s="93" t="n">
        <x:v>46070</x:v>
      </x:c>
      <x:c r="C262" s="94" t="str">
        <x:v>Google Ads</x:v>
      </x:c>
      <x:c r="D262" s="94" t="str">
        <x:v>美国</x:v>
      </x:c>
      <x:c r="E262" s="94" t="str">
        <x:v>GGL-C23</x:v>
      </x:c>
      <x:c r="F262" s="94" t="str">
        <x:v>品牌搜索</x:v>
      </x:c>
      <x:c r="G262" s="94" t="str">
        <x:v>品牌配件词</x:v>
      </x:c>
      <x:c r="H262" s="94" t="str">
        <x:v>移动端</x:v>
      </x:c>
      <x:c r="I262" s="94" t="str">
        <x:v>CPC</x:v>
      </x:c>
      <x:c r="J262" s="95" t="n">
        <x:v>991</x:v>
      </x:c>
      <x:c r="K262" s="96" t="n">
        <x:f>IFERROR(L262/J262,0)</x:f>
        <x:v>0.05247225025227043</x:v>
      </x:c>
      <x:c r="L262" s="95" t="n">
        <x:v>52</x:v>
      </x:c>
      <x:c r="M262" s="97" t="n">
        <x:v>0.2095</x:v>
      </x:c>
      <x:c r="N262" s="97" t="n">
        <x:f>ROUND(L262*M262,2)</x:f>
        <x:v>10.89</x:v>
      </x:c>
      <x:c r="O262" s="94" t="n">
        <x:v>9</x:v>
      </x:c>
      <x:c r="P262" s="94" t="str">
        <x:v>模拟：Google/Microsoft Ads采购导入</x:v>
      </x:c>
    </x:row>
    <x:row r="263">
      <x:c r="A263" s="92" t="str">
        <x:v>PROC-0262</x:v>
      </x:c>
      <x:c r="B263" s="93" t="n">
        <x:v>46070</x:v>
      </x:c>
      <x:c r="C263" s="94" t="str">
        <x:v>Google Ads</x:v>
      </x:c>
      <x:c r="D263" s="94" t="str">
        <x:v>德国</x:v>
      </x:c>
      <x:c r="E263" s="94" t="str">
        <x:v>GGL-C06</x:v>
      </x:c>
      <x:c r="F263" s="94" t="str">
        <x:v>品牌搜索</x:v>
      </x:c>
      <x:c r="G263" s="94" t="str">
        <x:v>品牌购买词</x:v>
      </x:c>
      <x:c r="H263" s="94" t="str">
        <x:v>移动端</x:v>
      </x:c>
      <x:c r="I263" s="94" t="str">
        <x:v>CPC</x:v>
      </x:c>
      <x:c r="J263" s="95" t="n">
        <x:v>1231</x:v>
      </x:c>
      <x:c r="K263" s="96" t="n">
        <x:f>IFERROR(L263/J263,0)</x:f>
        <x:v>0.05280259951259139</x:v>
      </x:c>
      <x:c r="L263" s="95" t="n">
        <x:v>65</x:v>
      </x:c>
      <x:c r="M263" s="97" t="n">
        <x:v>0.2033</x:v>
      </x:c>
      <x:c r="N263" s="97" t="n">
        <x:f>ROUND(L263*M263,2)</x:f>
        <x:v>13.21</x:v>
      </x:c>
      <x:c r="O263" s="94" t="n">
        <x:v>7</x:v>
      </x:c>
      <x:c r="P263" s="94" t="str">
        <x:v>模拟：Google/Microsoft Ads采购导入</x:v>
      </x:c>
    </x:row>
    <x:row r="264">
      <x:c r="A264" s="92" t="str">
        <x:v>PROC-0263</x:v>
      </x:c>
      <x:c r="B264" s="93" t="n">
        <x:v>46070</x:v>
      </x:c>
      <x:c r="C264" s="94" t="str">
        <x:v>Microsoft Ads</x:v>
      </x:c>
      <x:c r="D264" s="94" t="str">
        <x:v>日本</x:v>
      </x:c>
      <x:c r="E264" s="94" t="str">
        <x:v>MSA-C12</x:v>
      </x:c>
      <x:c r="F264" s="94" t="str">
        <x:v>通用搜索</x:v>
      </x:c>
      <x:c r="G264" s="94" t="str">
        <x:v>家庭必备</x:v>
      </x:c>
      <x:c r="H264" s="94" t="str">
        <x:v>平板</x:v>
      </x:c>
      <x:c r="I264" s="94" t="str">
        <x:v>CPC</x:v>
      </x:c>
      <x:c r="J264" s="95" t="n">
        <x:v>1358</x:v>
      </x:c>
      <x:c r="K264" s="96" t="n">
        <x:f>IFERROR(L264/J264,0)</x:f>
        <x:v>0.0390279823269514</x:v>
      </x:c>
      <x:c r="L264" s="95" t="n">
        <x:v>53</x:v>
      </x:c>
      <x:c r="M264" s="97" t="n">
        <x:v>0.2147</x:v>
      </x:c>
      <x:c r="N264" s="97" t="n">
        <x:f>ROUND(L264*M264,2)</x:f>
        <x:v>11.38</x:v>
      </x:c>
      <x:c r="O264" s="94" t="n">
        <x:v>7</x:v>
      </x:c>
      <x:c r="P264" s="94" t="str">
        <x:v>模拟：Google/Microsoft Ads采购导入</x:v>
      </x:c>
    </x:row>
    <x:row r="265">
      <x:c r="A265" s="92" t="str">
        <x:v>PROC-0264</x:v>
      </x:c>
      <x:c r="B265" s="93" t="n">
        <x:v>46070</x:v>
      </x:c>
      <x:c r="C265" s="94" t="str">
        <x:v>Google Ads</x:v>
      </x:c>
      <x:c r="D265" s="94" t="str">
        <x:v>英国</x:v>
      </x:c>
      <x:c r="E265" s="94" t="str">
        <x:v>GGL-C20</x:v>
      </x:c>
      <x:c r="F265" s="94" t="str">
        <x:v>通用搜索</x:v>
      </x:c>
      <x:c r="G265" s="94" t="str">
        <x:v>实用礼物</x:v>
      </x:c>
      <x:c r="H265" s="94" t="str">
        <x:v>桌面端</x:v>
      </x:c>
      <x:c r="I265" s="94" t="str">
        <x:v>CPC</x:v>
      </x:c>
      <x:c r="J265" s="95" t="n">
        <x:v>1118</x:v>
      </x:c>
      <x:c r="K265" s="96" t="n">
        <x:f>IFERROR(L265/J265,0)</x:f>
        <x:v>0.03309481216457961</x:v>
      </x:c>
      <x:c r="L265" s="95" t="n">
        <x:v>37</x:v>
      </x:c>
      <x:c r="M265" s="97" t="n">
        <x:v>0.2959</x:v>
      </x:c>
      <x:c r="N265" s="97" t="n">
        <x:f>ROUND(L265*M265,2)</x:f>
        <x:v>10.95</x:v>
      </x:c>
      <x:c r="O265" s="94" t="n">
        <x:v>7</x:v>
      </x:c>
      <x:c r="P265" s="94" t="str">
        <x:v>模拟：Google/Microsoft Ads采购导入</x:v>
      </x:c>
    </x:row>
    <x:row r="266">
      <x:c r="A266" s="92" t="str">
        <x:v>PROC-0265</x:v>
      </x:c>
      <x:c r="B266" s="93" t="n">
        <x:v>46070</x:v>
      </x:c>
      <x:c r="C266" s="94" t="str">
        <x:v>Microsoft Ads</x:v>
      </x:c>
      <x:c r="D266" s="94" t="str">
        <x:v>英国</x:v>
      </x:c>
      <x:c r="E266" s="94" t="str">
        <x:v>MSA-C03</x:v>
      </x:c>
      <x:c r="F266" s="94" t="str">
        <x:v>通用搜索</x:v>
      </x:c>
      <x:c r="G266" s="94" t="str">
        <x:v>实用礼物</x:v>
      </x:c>
      <x:c r="H266" s="94" t="str">
        <x:v>移动端</x:v>
      </x:c>
      <x:c r="I266" s="94" t="str">
        <x:v>CPC</x:v>
      </x:c>
      <x:c r="J266" s="95" t="n">
        <x:v>1095</x:v>
      </x:c>
      <x:c r="K266" s="96" t="n">
        <x:f>IFERROR(L266/J266,0)</x:f>
        <x:v>0.034703196347031964</x:v>
      </x:c>
      <x:c r="L266" s="95" t="n">
        <x:v>38</x:v>
      </x:c>
      <x:c r="M266" s="97" t="n">
        <x:v>0.2565</x:v>
      </x:c>
      <x:c r="N266" s="97" t="n">
        <x:f>ROUND(L266*M266,2)</x:f>
        <x:v>9.75</x:v>
      </x:c>
      <x:c r="O266" s="94" t="n">
        <x:v>6</x:v>
      </x:c>
      <x:c r="P266" s="94" t="str">
        <x:v>模拟：Google/Microsoft Ads采购导入</x:v>
      </x:c>
    </x:row>
    <x:row r="267">
      <x:c r="A267" s="92" t="str">
        <x:v>PROC-0266</x:v>
      </x:c>
      <x:c r="B267" s="93" t="n">
        <x:v>46070</x:v>
      </x:c>
      <x:c r="C267" s="94" t="str">
        <x:v>Microsoft Ads</x:v>
      </x:c>
      <x:c r="D267" s="94" t="str">
        <x:v>德国</x:v>
      </x:c>
      <x:c r="E267" s="94" t="str">
        <x:v>MSA-C12</x:v>
      </x:c>
      <x:c r="F267" s="94" t="str">
        <x:v>购物广告</x:v>
      </x:c>
      <x:c r="G267" s="94" t="str">
        <x:v>价格比较</x:v>
      </x:c>
      <x:c r="H267" s="94" t="str">
        <x:v>平板</x:v>
      </x:c>
      <x:c r="I267" s="94" t="str">
        <x:v>CPC</x:v>
      </x:c>
      <x:c r="J267" s="95" t="n">
        <x:v>1460</x:v>
      </x:c>
      <x:c r="K267" s="96" t="n">
        <x:f>IFERROR(L267/J267,0)</x:f>
        <x:v>0.0410958904109589</x:v>
      </x:c>
      <x:c r="L267" s="95" t="n">
        <x:v>60</x:v>
      </x:c>
      <x:c r="M267" s="97" t="n">
        <x:v>0.2001</x:v>
      </x:c>
      <x:c r="N267" s="97" t="n">
        <x:f>ROUND(L267*M267,2)</x:f>
        <x:v>12.01</x:v>
      </x:c>
      <x:c r="O267" s="94" t="n">
        <x:v>6</x:v>
      </x:c>
      <x:c r="P267" s="94" t="str">
        <x:v>模拟：Google/Microsoft Ads采购导入</x:v>
      </x:c>
    </x:row>
    <x:row r="268">
      <x:c r="A268" s="92" t="str">
        <x:v>PROC-0267</x:v>
      </x:c>
      <x:c r="B268" s="93" t="n">
        <x:v>46071</x:v>
      </x:c>
      <x:c r="C268" s="94" t="str">
        <x:v>Google Ads</x:v>
      </x:c>
      <x:c r="D268" s="94" t="str">
        <x:v>美国</x:v>
      </x:c>
      <x:c r="E268" s="94" t="str">
        <x:v>GGL-C16</x:v>
      </x:c>
      <x:c r="F268" s="94" t="str">
        <x:v>竞品搜索</x:v>
      </x:c>
      <x:c r="G268" s="94" t="str">
        <x:v>同类产品对比</x:v>
      </x:c>
      <x:c r="H268" s="94" t="str">
        <x:v>桌面端</x:v>
      </x:c>
      <x:c r="I268" s="94" t="str">
        <x:v>CPC</x:v>
      </x:c>
      <x:c r="J268" s="95" t="n">
        <x:v>570</x:v>
      </x:c>
      <x:c r="K268" s="96" t="n">
        <x:f>IFERROR(L268/J268,0)</x:f>
        <x:v>0.03333333333333333</x:v>
      </x:c>
      <x:c r="L268" s="95" t="n">
        <x:v>19</x:v>
      </x:c>
      <x:c r="M268" s="97" t="n">
        <x:v>0.5066</x:v>
      </x:c>
      <x:c r="N268" s="97" t="n">
        <x:f>ROUND(L268*M268,2)</x:f>
        <x:v>9.63</x:v>
      </x:c>
      <x:c r="O268" s="94" t="n">
        <x:v>6</x:v>
      </x:c>
      <x:c r="P268" s="94" t="str">
        <x:v>模拟：Google/Microsoft Ads采购导入</x:v>
      </x:c>
    </x:row>
    <x:row r="269">
      <x:c r="A269" s="92" t="str">
        <x:v>PROC-0268</x:v>
      </x:c>
      <x:c r="B269" s="93" t="n">
        <x:v>46071</x:v>
      </x:c>
      <x:c r="C269" s="94" t="str">
        <x:v>Microsoft Ads</x:v>
      </x:c>
      <x:c r="D269" s="94" t="str">
        <x:v>美国</x:v>
      </x:c>
      <x:c r="E269" s="94" t="str">
        <x:v>MSA-C23</x:v>
      </x:c>
      <x:c r="F269" s="94" t="str">
        <x:v>品牌搜索</x:v>
      </x:c>
      <x:c r="G269" s="94" t="str">
        <x:v>品牌型号词</x:v>
      </x:c>
      <x:c r="H269" s="94" t="str">
        <x:v>移动端</x:v>
      </x:c>
      <x:c r="I269" s="94" t="str">
        <x:v>CPC</x:v>
      </x:c>
      <x:c r="J269" s="95" t="n">
        <x:v>992</x:v>
      </x:c>
      <x:c r="K269" s="96" t="n">
        <x:f>IFERROR(L269/J269,0)</x:f>
        <x:v>0.05241935483870968</x:v>
      </x:c>
      <x:c r="L269" s="95" t="n">
        <x:v>52</x:v>
      </x:c>
      <x:c r="M269" s="97" t="n">
        <x:v>0.1895</x:v>
      </x:c>
      <x:c r="N269" s="97" t="n">
        <x:f>ROUND(L269*M269,2)</x:f>
        <x:v>9.85</x:v>
      </x:c>
      <x:c r="O269" s="94" t="n">
        <x:v>8</x:v>
      </x:c>
      <x:c r="P269" s="94" t="str">
        <x:v>模拟：Google/Microsoft Ads采购导入</x:v>
      </x:c>
    </x:row>
    <x:row r="270">
      <x:c r="A270" s="92" t="str">
        <x:v>PROC-0269</x:v>
      </x:c>
      <x:c r="B270" s="93" t="n">
        <x:v>46071</x:v>
      </x:c>
      <x:c r="C270" s="94" t="str">
        <x:v>Google Ads</x:v>
      </x:c>
      <x:c r="D270" s="94" t="str">
        <x:v>美国</x:v>
      </x:c>
      <x:c r="E270" s="94" t="str">
        <x:v>GGL-C09</x:v>
      </x:c>
      <x:c r="F270" s="94" t="str">
        <x:v>通用搜索</x:v>
      </x:c>
      <x:c r="G270" s="94" t="str">
        <x:v>家庭必备</x:v>
      </x:c>
      <x:c r="H270" s="94" t="str">
        <x:v>移动端</x:v>
      </x:c>
      <x:c r="I270" s="94" t="str">
        <x:v>CPC</x:v>
      </x:c>
      <x:c r="J270" s="95" t="n">
        <x:v>824</x:v>
      </x:c>
      <x:c r="K270" s="96" t="n">
        <x:f>IFERROR(L270/J270,0)</x:f>
        <x:v>0.0412621359223301</x:v>
      </x:c>
      <x:c r="L270" s="95" t="n">
        <x:v>34</x:v>
      </x:c>
      <x:c r="M270" s="97" t="n">
        <x:v>0.3755</x:v>
      </x:c>
      <x:c r="N270" s="97" t="n">
        <x:f>ROUND(L270*M270,2)</x:f>
        <x:v>12.77</x:v>
      </x:c>
      <x:c r="O270" s="94" t="n">
        <x:v>8</x:v>
      </x:c>
      <x:c r="P270" s="94" t="str">
        <x:v>模拟：Google/Microsoft Ads采购导入</x:v>
      </x:c>
    </x:row>
    <x:row r="271">
      <x:c r="A271" s="92" t="str">
        <x:v>PROC-0270</x:v>
      </x:c>
      <x:c r="B271" s="93" t="n">
        <x:v>46071</x:v>
      </x:c>
      <x:c r="C271" s="94" t="str">
        <x:v>Google Ads</x:v>
      </x:c>
      <x:c r="D271" s="94" t="str">
        <x:v>德国</x:v>
      </x:c>
      <x:c r="E271" s="94" t="str">
        <x:v>GGL-C13</x:v>
      </x:c>
      <x:c r="F271" s="94" t="str">
        <x:v>购物广告</x:v>
      </x:c>
      <x:c r="G271" s="94" t="str">
        <x:v>畅销商品</x:v>
      </x:c>
      <x:c r="H271" s="94" t="str">
        <x:v>移动端</x:v>
      </x:c>
      <x:c r="I271" s="94" t="str">
        <x:v>CPC</x:v>
      </x:c>
      <x:c r="J271" s="95" t="n">
        <x:v>1170</x:v>
      </x:c>
      <x:c r="K271" s="96" t="n">
        <x:f>IFERROR(L271/J271,0)</x:f>
        <x:v>0.035897435897435895</x:v>
      </x:c>
      <x:c r="L271" s="95" t="n">
        <x:v>42</x:v>
      </x:c>
      <x:c r="M271" s="97" t="n">
        <x:v>0.2751</x:v>
      </x:c>
      <x:c r="N271" s="97" t="n">
        <x:f>ROUND(L271*M271,2)</x:f>
        <x:v>11.55</x:v>
      </x:c>
      <x:c r="O271" s="94" t="n">
        <x:v>7</x:v>
      </x:c>
      <x:c r="P271" s="94" t="str">
        <x:v>模拟：Google/Microsoft Ads采购导入</x:v>
      </x:c>
    </x:row>
    <x:row r="272">
      <x:c r="A272" s="92" t="str">
        <x:v>PROC-0271</x:v>
      </x:c>
      <x:c r="B272" s="93" t="n">
        <x:v>46071</x:v>
      </x:c>
      <x:c r="C272" s="94" t="str">
        <x:v>Google Ads</x:v>
      </x:c>
      <x:c r="D272" s="94" t="str">
        <x:v>美国</x:v>
      </x:c>
      <x:c r="E272" s="94" t="str">
        <x:v>GGL-C19</x:v>
      </x:c>
      <x:c r="F272" s="94" t="str">
        <x:v>品牌搜索</x:v>
      </x:c>
      <x:c r="G272" s="94" t="str">
        <x:v>品牌配件词</x:v>
      </x:c>
      <x:c r="H272" s="94" t="str">
        <x:v>桌面端</x:v>
      </x:c>
      <x:c r="I272" s="94" t="str">
        <x:v>CPC</x:v>
      </x:c>
      <x:c r="J272" s="95" t="n">
        <x:v>1236</x:v>
      </x:c>
      <x:c r="K272" s="96" t="n">
        <x:f>IFERROR(L272/J272,0)</x:f>
        <x:v>0.05016181229773463</x:v>
      </x:c>
      <x:c r="L272" s="95" t="n">
        <x:v>62</x:v>
      </x:c>
      <x:c r="M272" s="97" t="n">
        <x:v>0.2065</x:v>
      </x:c>
      <x:c r="N272" s="97" t="n">
        <x:f>ROUND(L272*M272,2)</x:f>
        <x:v>12.8</x:v>
      </x:c>
      <x:c r="O272" s="94" t="n">
        <x:v>8</x:v>
      </x:c>
      <x:c r="P272" s="94" t="str">
        <x:v>模拟：Google/Microsoft Ads采购导入</x:v>
      </x:c>
    </x:row>
    <x:row r="273">
      <x:c r="A273" s="92" t="str">
        <x:v>PROC-0272</x:v>
      </x:c>
      <x:c r="B273" s="93" t="n">
        <x:v>46072</x:v>
      </x:c>
      <x:c r="C273" s="94" t="str">
        <x:v>Google Ads</x:v>
      </x:c>
      <x:c r="D273" s="94" t="str">
        <x:v>美国</x:v>
      </x:c>
      <x:c r="E273" s="94" t="str">
        <x:v>GGL-C05</x:v>
      </x:c>
      <x:c r="F273" s="94" t="str">
        <x:v>购物广告</x:v>
      </x:c>
      <x:c r="G273" s="94" t="str">
        <x:v>价格比较</x:v>
      </x:c>
      <x:c r="H273" s="94" t="str">
        <x:v>平板</x:v>
      </x:c>
      <x:c r="I273" s="94" t="str">
        <x:v>CPC</x:v>
      </x:c>
      <x:c r="J273" s="95" t="n">
        <x:v>1469</x:v>
      </x:c>
      <x:c r="K273" s="96" t="n">
        <x:f>IFERROR(L273/J273,0)</x:f>
        <x:v>0.05241660993873383</x:v>
      </x:c>
      <x:c r="L273" s="95" t="n">
        <x:v>77</x:v>
      </x:c>
      <x:c r="M273" s="97" t="n">
        <x:v>0.418</x:v>
      </x:c>
      <x:c r="N273" s="97" t="n">
        <x:f>ROUND(L273*M273,2)</x:f>
        <x:v>32.19</x:v>
      </x:c>
      <x:c r="O273" s="94" t="n">
        <x:v>8</x:v>
      </x:c>
      <x:c r="P273" s="94" t="str">
        <x:v>模拟：Google/Microsoft Ads采购导入</x:v>
      </x:c>
    </x:row>
    <x:row r="274">
      <x:c r="A274" s="92" t="str">
        <x:v>PROC-0273</x:v>
      </x:c>
      <x:c r="B274" s="93" t="n">
        <x:v>46072</x:v>
      </x:c>
      <x:c r="C274" s="94" t="str">
        <x:v>Microsoft Ads</x:v>
      </x:c>
      <x:c r="D274" s="94" t="str">
        <x:v>德国</x:v>
      </x:c>
      <x:c r="E274" s="94" t="str">
        <x:v>MSA-C13</x:v>
      </x:c>
      <x:c r="F274" s="94" t="str">
        <x:v>购物广告</x:v>
      </x:c>
      <x:c r="G274" s="94" t="str">
        <x:v>折扣商品</x:v>
      </x:c>
      <x:c r="H274" s="94" t="str">
        <x:v>移动端</x:v>
      </x:c>
      <x:c r="I274" s="94" t="str">
        <x:v>CPC</x:v>
      </x:c>
      <x:c r="J274" s="95" t="n">
        <x:v>826</x:v>
      </x:c>
      <x:c r="K274" s="96" t="n">
        <x:f>IFERROR(L274/J274,0)</x:f>
        <x:v>0.039951573849878935</x:v>
      </x:c>
      <x:c r="L274" s="95" t="n">
        <x:v>33</x:v>
      </x:c>
      <x:c r="M274" s="97" t="n">
        <x:v>0.2696</x:v>
      </x:c>
      <x:c r="N274" s="97" t="n">
        <x:f>ROUND(L274*M274,2)</x:f>
        <x:v>8.9</x:v>
      </x:c>
      <x:c r="O274" s="94" t="n">
        <x:v>6</x:v>
      </x:c>
      <x:c r="P274" s="94" t="str">
        <x:v>模拟：Google/Microsoft Ads采购导入</x:v>
      </x:c>
    </x:row>
    <x:row r="275">
      <x:c r="A275" s="92" t="str">
        <x:v>PROC-0274</x:v>
      </x:c>
      <x:c r="B275" s="93" t="n">
        <x:v>46072</x:v>
      </x:c>
      <x:c r="C275" s="94" t="str">
        <x:v>Google Ads</x:v>
      </x:c>
      <x:c r="D275" s="94" t="str">
        <x:v>美国</x:v>
      </x:c>
      <x:c r="E275" s="94" t="str">
        <x:v>GGL-C19</x:v>
      </x:c>
      <x:c r="F275" s="94" t="str">
        <x:v>竞品搜索</x:v>
      </x:c>
      <x:c r="G275" s="94" t="str">
        <x:v>替代品比较</x:v>
      </x:c>
      <x:c r="H275" s="94" t="str">
        <x:v>移动端</x:v>
      </x:c>
      <x:c r="I275" s="94" t="str">
        <x:v>CPC</x:v>
      </x:c>
      <x:c r="J275" s="95" t="n">
        <x:v>512</x:v>
      </x:c>
      <x:c r="K275" s="96" t="n">
        <x:f>IFERROR(L275/J275,0)</x:f>
        <x:v>0.0390625</x:v>
      </x:c>
      <x:c r="L275" s="95" t="n">
        <x:v>20</x:v>
      </x:c>
      <x:c r="M275" s="97" t="n">
        <x:v>0.4595</x:v>
      </x:c>
      <x:c r="N275" s="97" t="n">
        <x:f>ROUND(L275*M275,2)</x:f>
        <x:v>9.19</x:v>
      </x:c>
      <x:c r="O275" s="94" t="n">
        <x:v>9</x:v>
      </x:c>
      <x:c r="P275" s="94" t="str">
        <x:v>模拟：Google/Microsoft Ads采购导入</x:v>
      </x:c>
    </x:row>
    <x:row r="276">
      <x:c r="A276" s="92" t="str">
        <x:v>PROC-0275</x:v>
      </x:c>
      <x:c r="B276" s="93" t="n">
        <x:v>46072</x:v>
      </x:c>
      <x:c r="C276" s="94" t="str">
        <x:v>Microsoft Ads</x:v>
      </x:c>
      <x:c r="D276" s="94" t="str">
        <x:v>日本</x:v>
      </x:c>
      <x:c r="E276" s="94" t="str">
        <x:v>MSA-C01</x:v>
      </x:c>
      <x:c r="F276" s="94" t="str">
        <x:v>购物广告</x:v>
      </x:c>
      <x:c r="G276" s="94" t="str">
        <x:v>畅销商品</x:v>
      </x:c>
      <x:c r="H276" s="94" t="str">
        <x:v>桌面端</x:v>
      </x:c>
      <x:c r="I276" s="94" t="str">
        <x:v>CPC</x:v>
      </x:c>
      <x:c r="J276" s="95" t="n">
        <x:v>964</x:v>
      </x:c>
      <x:c r="K276" s="96" t="n">
        <x:f>IFERROR(L276/J276,0)</x:f>
        <x:v>0.04045643153526971</x:v>
      </x:c>
      <x:c r="L276" s="95" t="n">
        <x:v>39</x:v>
      </x:c>
      <x:c r="M276" s="97" t="n">
        <x:v>0.1795</x:v>
      </x:c>
      <x:c r="N276" s="97" t="n">
        <x:f>ROUND(L276*M276,2)</x:f>
        <x:v>7</x:v>
      </x:c>
      <x:c r="O276" s="94" t="n">
        <x:v>8</x:v>
      </x:c>
      <x:c r="P276" s="94" t="str">
        <x:v>模拟：Google/Microsoft Ads采购导入</x:v>
      </x:c>
    </x:row>
    <x:row r="277">
      <x:c r="A277" s="92" t="str">
        <x:v>PROC-0276</x:v>
      </x:c>
      <x:c r="B277" s="93" t="n">
        <x:v>46072</x:v>
      </x:c>
      <x:c r="C277" s="94" t="str">
        <x:v>Google Ads</x:v>
      </x:c>
      <x:c r="D277" s="94" t="str">
        <x:v>德国</x:v>
      </x:c>
      <x:c r="E277" s="94" t="str">
        <x:v>GGL-C09</x:v>
      </x:c>
      <x:c r="F277" s="94" t="str">
        <x:v>品牌搜索</x:v>
      </x:c>
      <x:c r="G277" s="94" t="str">
        <x:v>品牌评测词</x:v>
      </x:c>
      <x:c r="H277" s="94" t="str">
        <x:v>移动端</x:v>
      </x:c>
      <x:c r="I277" s="94" t="str">
        <x:v>CPC</x:v>
      </x:c>
      <x:c r="J277" s="95" t="n">
        <x:v>655</x:v>
      </x:c>
      <x:c r="K277" s="96" t="n">
        <x:f>IFERROR(L277/J277,0)</x:f>
        <x:v>0.061068702290076333</x:v>
      </x:c>
      <x:c r="L277" s="95" t="n">
        <x:v>40</x:v>
      </x:c>
      <x:c r="M277" s="97" t="n">
        <x:v>0.2343</x:v>
      </x:c>
      <x:c r="N277" s="97" t="n">
        <x:f>ROUND(L277*M277,2)</x:f>
        <x:v>9.37</x:v>
      </x:c>
      <x:c r="O277" s="94" t="n">
        <x:v>9</x:v>
      </x:c>
      <x:c r="P277" s="94" t="str">
        <x:v>模拟：Google/Microsoft Ads采购导入</x:v>
      </x:c>
    </x:row>
    <x:row r="278">
      <x:c r="A278" s="92" t="str">
        <x:v>PROC-0277</x:v>
      </x:c>
      <x:c r="B278" s="93" t="n">
        <x:v>46072</x:v>
      </x:c>
      <x:c r="C278" s="94" t="str">
        <x:v>Google Ads</x:v>
      </x:c>
      <x:c r="D278" s="94" t="str">
        <x:v>美国</x:v>
      </x:c>
      <x:c r="E278" s="94" t="str">
        <x:v>GGL-C15</x:v>
      </x:c>
      <x:c r="F278" s="94" t="str">
        <x:v>竞品搜索</x:v>
      </x:c>
      <x:c r="G278" s="94" t="str">
        <x:v>同类产品对比</x:v>
      </x:c>
      <x:c r="H278" s="94" t="str">
        <x:v>移动端</x:v>
      </x:c>
      <x:c r="I278" s="94" t="str">
        <x:v>CPC</x:v>
      </x:c>
      <x:c r="J278" s="95" t="n">
        <x:v>610</x:v>
      </x:c>
      <x:c r="K278" s="96" t="n">
        <x:f>IFERROR(L278/J278,0)</x:f>
        <x:v>0.03442622950819672</x:v>
      </x:c>
      <x:c r="L278" s="95" t="n">
        <x:v>21</x:v>
      </x:c>
      <x:c r="M278" s="97" t="n">
        <x:v>0.3892</x:v>
      </x:c>
      <x:c r="N278" s="97" t="n">
        <x:f>ROUND(L278*M278,2)</x:f>
        <x:v>8.17</x:v>
      </x:c>
      <x:c r="O278" s="94" t="n">
        <x:v>6</x:v>
      </x:c>
      <x:c r="P278" s="94" t="str">
        <x:v>模拟：Google/Microsoft Ads采购导入</x:v>
      </x:c>
    </x:row>
    <x:row r="279">
      <x:c r="A279" s="92" t="str">
        <x:v>PROC-0278</x:v>
      </x:c>
      <x:c r="B279" s="93" t="n">
        <x:v>46073</x:v>
      </x:c>
      <x:c r="C279" s="94" t="str">
        <x:v>Google Ads</x:v>
      </x:c>
      <x:c r="D279" s="94" t="str">
        <x:v>德国</x:v>
      </x:c>
      <x:c r="E279" s="94" t="str">
        <x:v>GGL-C24</x:v>
      </x:c>
      <x:c r="F279" s="94" t="str">
        <x:v>购物广告</x:v>
      </x:c>
      <x:c r="G279" s="94" t="str">
        <x:v>折扣商品</x:v>
      </x:c>
      <x:c r="H279" s="94" t="str">
        <x:v>桌面端</x:v>
      </x:c>
      <x:c r="I279" s="94" t="str">
        <x:v>CPC</x:v>
      </x:c>
      <x:c r="J279" s="95" t="n">
        <x:v>1105</x:v>
      </x:c>
      <x:c r="K279" s="96" t="n">
        <x:f>IFERROR(L279/J279,0)</x:f>
        <x:v>0.037104072398190045</x:v>
      </x:c>
      <x:c r="L279" s="95" t="n">
        <x:v>41</x:v>
      </x:c>
      <x:c r="M279" s="97" t="n">
        <x:v>0.2767</x:v>
      </x:c>
      <x:c r="N279" s="97" t="n">
        <x:f>ROUND(L279*M279,2)</x:f>
        <x:v>11.34</x:v>
      </x:c>
      <x:c r="O279" s="94" t="n">
        <x:v>8</x:v>
      </x:c>
      <x:c r="P279" s="94" t="str">
        <x:v>模拟：Google/Microsoft Ads采购导入</x:v>
      </x:c>
    </x:row>
    <x:row r="280">
      <x:c r="A280" s="92" t="str">
        <x:v>PROC-0279</x:v>
      </x:c>
      <x:c r="B280" s="93" t="n">
        <x:v>46073</x:v>
      </x:c>
      <x:c r="C280" s="94" t="str">
        <x:v>Microsoft Ads</x:v>
      </x:c>
      <x:c r="D280" s="94" t="str">
        <x:v>美国</x:v>
      </x:c>
      <x:c r="E280" s="94" t="str">
        <x:v>MSA-C03</x:v>
      </x:c>
      <x:c r="F280" s="94" t="str">
        <x:v>购物广告</x:v>
      </x:c>
      <x:c r="G280" s="94" t="str">
        <x:v>折扣商品</x:v>
      </x:c>
      <x:c r="H280" s="94" t="str">
        <x:v>平板</x:v>
      </x:c>
      <x:c r="I280" s="94" t="str">
        <x:v>CPC</x:v>
      </x:c>
      <x:c r="J280" s="95" t="n">
        <x:v>980</x:v>
      </x:c>
      <x:c r="K280" s="96" t="n">
        <x:f>IFERROR(L280/J280,0)</x:f>
        <x:v>0.04693877551020408</x:v>
      </x:c>
      <x:c r="L280" s="95" t="n">
        <x:v>46</x:v>
      </x:c>
      <x:c r="M280" s="97" t="n">
        <x:v>0.3212</x:v>
      </x:c>
      <x:c r="N280" s="97" t="n">
        <x:f>ROUND(L280*M280,2)</x:f>
        <x:v>14.78</x:v>
      </x:c>
      <x:c r="O280" s="94" t="n">
        <x:v>6</x:v>
      </x:c>
      <x:c r="P280" s="94" t="str">
        <x:v>模拟：Google/Microsoft Ads采购导入</x:v>
      </x:c>
    </x:row>
    <x:row r="281">
      <x:c r="A281" s="92" t="str">
        <x:v>PROC-0280</x:v>
      </x:c>
      <x:c r="B281" s="93" t="n">
        <x:v>46073</x:v>
      </x:c>
      <x:c r="C281" s="94" t="str">
        <x:v>Google Ads</x:v>
      </x:c>
      <x:c r="D281" s="94" t="str">
        <x:v>美国</x:v>
      </x:c>
      <x:c r="E281" s="94" t="str">
        <x:v>GGL-C11</x:v>
      </x:c>
      <x:c r="F281" s="94" t="str">
        <x:v>购物广告</x:v>
      </x:c>
      <x:c r="G281" s="94" t="str">
        <x:v>价格比较</x:v>
      </x:c>
      <x:c r="H281" s="94" t="str">
        <x:v>移动端</x:v>
      </x:c>
      <x:c r="I281" s="94" t="str">
        <x:v>CPC</x:v>
      </x:c>
      <x:c r="J281" s="95" t="n">
        <x:v>1168</x:v>
      </x:c>
      <x:c r="K281" s="96" t="n">
        <x:f>IFERROR(L281/J281,0)</x:f>
        <x:v>0.03767123287671233</x:v>
      </x:c>
      <x:c r="L281" s="95" t="n">
        <x:v>44</x:v>
      </x:c>
      <x:c r="M281" s="97" t="n">
        <x:v>0.3762</x:v>
      </x:c>
      <x:c r="N281" s="97" t="n">
        <x:f>ROUND(L281*M281,2)</x:f>
        <x:v>16.55</x:v>
      </x:c>
      <x:c r="O281" s="94" t="n">
        <x:v>8</x:v>
      </x:c>
      <x:c r="P281" s="94" t="str">
        <x:v>模拟：Google/Microsoft Ads采购导入</x:v>
      </x:c>
    </x:row>
    <x:row r="282">
      <x:c r="A282" s="92" t="str">
        <x:v>PROC-0281</x:v>
      </x:c>
      <x:c r="B282" s="93" t="n">
        <x:v>46073</x:v>
      </x:c>
      <x:c r="C282" s="94" t="str">
        <x:v>Google Ads</x:v>
      </x:c>
      <x:c r="D282" s="94" t="str">
        <x:v>美国</x:v>
      </x:c>
      <x:c r="E282" s="94" t="str">
        <x:v>GGL-C20</x:v>
      </x:c>
      <x:c r="F282" s="94" t="str">
        <x:v>通用搜索</x:v>
      </x:c>
      <x:c r="G282" s="94" t="str">
        <x:v>热门新品</x:v>
      </x:c>
      <x:c r="H282" s="94" t="str">
        <x:v>桌面端</x:v>
      </x:c>
      <x:c r="I282" s="94" t="str">
        <x:v>CPC</x:v>
      </x:c>
      <x:c r="J282" s="95" t="n">
        <x:v>1122</x:v>
      </x:c>
      <x:c r="K282" s="96" t="n">
        <x:f>IFERROR(L282/J282,0)</x:f>
        <x:v>0.0338680926916221</x:v>
      </x:c>
      <x:c r="L282" s="95" t="n">
        <x:v>38</x:v>
      </x:c>
      <x:c r="M282" s="97" t="n">
        <x:v>0.348</x:v>
      </x:c>
      <x:c r="N282" s="97" t="n">
        <x:f>ROUND(L282*M282,2)</x:f>
        <x:v>13.22</x:v>
      </x:c>
      <x:c r="O282" s="94" t="n">
        <x:v>7</x:v>
      </x:c>
      <x:c r="P282" s="94" t="str">
        <x:v>模拟：Google/Microsoft Ads采购导入</x:v>
      </x:c>
    </x:row>
    <x:row r="283">
      <x:c r="A283" s="92" t="str">
        <x:v>PROC-0282</x:v>
      </x:c>
      <x:c r="B283" s="93" t="n">
        <x:v>46073</x:v>
      </x:c>
      <x:c r="C283" s="94" t="str">
        <x:v>Google Ads</x:v>
      </x:c>
      <x:c r="D283" s="94" t="str">
        <x:v>英国</x:v>
      </x:c>
      <x:c r="E283" s="94" t="str">
        <x:v>GGL-C02</x:v>
      </x:c>
      <x:c r="F283" s="94" t="str">
        <x:v>购物广告</x:v>
      </x:c>
      <x:c r="G283" s="94" t="str">
        <x:v>折扣商品</x:v>
      </x:c>
      <x:c r="H283" s="94" t="str">
        <x:v>移动端</x:v>
      </x:c>
      <x:c r="I283" s="94" t="str">
        <x:v>CPC</x:v>
      </x:c>
      <x:c r="J283" s="95" t="n">
        <x:v>1023</x:v>
      </x:c>
      <x:c r="K283" s="96" t="n">
        <x:f>IFERROR(L283/J283,0)</x:f>
        <x:v>0.05083088954056696</x:v>
      </x:c>
      <x:c r="L283" s="95" t="n">
        <x:v>52</x:v>
      </x:c>
      <x:c r="M283" s="97" t="n">
        <x:v>0.3055</x:v>
      </x:c>
      <x:c r="N283" s="97" t="n">
        <x:f>ROUND(L283*M283,2)</x:f>
        <x:v>15.89</x:v>
      </x:c>
      <x:c r="O283" s="94" t="n">
        <x:v>7</x:v>
      </x:c>
      <x:c r="P283" s="94" t="str">
        <x:v>模拟：Google/Microsoft Ads采购导入</x:v>
      </x:c>
    </x:row>
    <x:row r="284">
      <x:c r="A284" s="92" t="str">
        <x:v>PROC-0283</x:v>
      </x:c>
      <x:c r="B284" s="93" t="n">
        <x:v>46074</x:v>
      </x:c>
      <x:c r="C284" s="94" t="str">
        <x:v>Google Ads</x:v>
      </x:c>
      <x:c r="D284" s="94" t="str">
        <x:v>美国</x:v>
      </x:c>
      <x:c r="E284" s="94" t="str">
        <x:v>GGL-C09</x:v>
      </x:c>
      <x:c r="F284" s="94" t="str">
        <x:v>购物广告</x:v>
      </x:c>
      <x:c r="G284" s="94" t="str">
        <x:v>快速配送</x:v>
      </x:c>
      <x:c r="H284" s="94" t="str">
        <x:v>移动端</x:v>
      </x:c>
      <x:c r="I284" s="94" t="str">
        <x:v>CPC</x:v>
      </x:c>
      <x:c r="J284" s="95" t="n">
        <x:v>1329</x:v>
      </x:c>
      <x:c r="K284" s="96" t="n">
        <x:f>IFERROR(L284/J284,0)</x:f>
        <x:v>0.04740406320541761</x:v>
      </x:c>
      <x:c r="L284" s="95" t="n">
        <x:v>63</x:v>
      </x:c>
      <x:c r="M284" s="97" t="n">
        <x:v>0.4023</x:v>
      </x:c>
      <x:c r="N284" s="97" t="n">
        <x:f>ROUND(L284*M284,2)</x:f>
        <x:v>25.34</x:v>
      </x:c>
      <x:c r="O284" s="94" t="n">
        <x:v>8</x:v>
      </x:c>
      <x:c r="P284" s="94" t="str">
        <x:v>模拟：Google/Microsoft Ads采购导入</x:v>
      </x:c>
    </x:row>
    <x:row r="285">
      <x:c r="A285" s="92" t="str">
        <x:v>PROC-0284</x:v>
      </x:c>
      <x:c r="B285" s="93" t="n">
        <x:v>46074</x:v>
      </x:c>
      <x:c r="C285" s="94" t="str">
        <x:v>Google Ads</x:v>
      </x:c>
      <x:c r="D285" s="94" t="str">
        <x:v>德国</x:v>
      </x:c>
      <x:c r="E285" s="94" t="str">
        <x:v>GGL-C16</x:v>
      </x:c>
      <x:c r="F285" s="94" t="str">
        <x:v>通用搜索</x:v>
      </x:c>
      <x:c r="G285" s="94" t="str">
        <x:v>热门新品</x:v>
      </x:c>
      <x:c r="H285" s="94" t="str">
        <x:v>移动端</x:v>
      </x:c>
      <x:c r="I285" s="94" t="str">
        <x:v>CPC</x:v>
      </x:c>
      <x:c r="J285" s="95" t="n">
        <x:v>1083</x:v>
      </x:c>
      <x:c r="K285" s="96" t="n">
        <x:f>IFERROR(L285/J285,0)</x:f>
        <x:v>0.040627885503231764</x:v>
      </x:c>
      <x:c r="L285" s="95" t="n">
        <x:v>44</x:v>
      </x:c>
      <x:c r="M285" s="97" t="n">
        <x:v>0.2476</x:v>
      </x:c>
      <x:c r="N285" s="97" t="n">
        <x:f>ROUND(L285*M285,2)</x:f>
        <x:v>10.89</x:v>
      </x:c>
      <x:c r="O285" s="94" t="n">
        <x:v>7</x:v>
      </x:c>
      <x:c r="P285" s="94" t="str">
        <x:v>模拟：Google/Microsoft Ads采购导入</x:v>
      </x:c>
    </x:row>
    <x:row r="286">
      <x:c r="A286" s="92" t="str">
        <x:v>PROC-0285</x:v>
      </x:c>
      <x:c r="B286" s="93" t="n">
        <x:v>46074</x:v>
      </x:c>
      <x:c r="C286" s="94" t="str">
        <x:v>Microsoft Ads</x:v>
      </x:c>
      <x:c r="D286" s="94" t="str">
        <x:v>德国</x:v>
      </x:c>
      <x:c r="E286" s="94" t="str">
        <x:v>MSA-C21</x:v>
      </x:c>
      <x:c r="F286" s="94" t="str">
        <x:v>通用搜索</x:v>
      </x:c>
      <x:c r="G286" s="94" t="str">
        <x:v>家庭必备</x:v>
      </x:c>
      <x:c r="H286" s="94" t="str">
        <x:v>移动端</x:v>
      </x:c>
      <x:c r="I286" s="94" t="str">
        <x:v>CPC</x:v>
      </x:c>
      <x:c r="J286" s="95" t="n">
        <x:v>712</x:v>
      </x:c>
      <x:c r="K286" s="96" t="n">
        <x:f>IFERROR(L286/J286,0)</x:f>
        <x:v>0.03932584269662921</x:v>
      </x:c>
      <x:c r="L286" s="95" t="n">
        <x:v>28</x:v>
      </x:c>
      <x:c r="M286" s="97" t="n">
        <x:v>0.1865</x:v>
      </x:c>
      <x:c r="N286" s="97" t="n">
        <x:f>ROUND(L286*M286,2)</x:f>
        <x:v>5.22</x:v>
      </x:c>
      <x:c r="O286" s="94" t="n">
        <x:v>9</x:v>
      </x:c>
      <x:c r="P286" s="94" t="str">
        <x:v>模拟：Google/Microsoft Ads采购导入</x:v>
      </x:c>
    </x:row>
    <x:row r="287">
      <x:c r="A287" s="92" t="str">
        <x:v>PROC-0286</x:v>
      </x:c>
      <x:c r="B287" s="93" t="n">
        <x:v>46074</x:v>
      </x:c>
      <x:c r="C287" s="94" t="str">
        <x:v>Google Ads</x:v>
      </x:c>
      <x:c r="D287" s="94" t="str">
        <x:v>英国</x:v>
      </x:c>
      <x:c r="E287" s="94" t="str">
        <x:v>GGL-C07</x:v>
      </x:c>
      <x:c r="F287" s="94" t="str">
        <x:v>竞品搜索</x:v>
      </x:c>
      <x:c r="G287" s="94" t="str">
        <x:v>同类产品对比</x:v>
      </x:c>
      <x:c r="H287" s="94" t="str">
        <x:v>移动端</x:v>
      </x:c>
      <x:c r="I287" s="94" t="str">
        <x:v>CPC</x:v>
      </x:c>
      <x:c r="J287" s="95" t="n">
        <x:v>1132</x:v>
      </x:c>
      <x:c r="K287" s="96" t="n">
        <x:f>IFERROR(L287/J287,0)</x:f>
        <x:v>0.03356890459363958</x:v>
      </x:c>
      <x:c r="L287" s="95" t="n">
        <x:v>38</x:v>
      </x:c>
      <x:c r="M287" s="97" t="n">
        <x:v>0.4667</x:v>
      </x:c>
      <x:c r="N287" s="97" t="n">
        <x:f>ROUND(L287*M287,2)</x:f>
        <x:v>17.73</x:v>
      </x:c>
      <x:c r="O287" s="94" t="n">
        <x:v>7</x:v>
      </x:c>
      <x:c r="P287" s="94" t="str">
        <x:v>模拟：Google/Microsoft Ads采购导入</x:v>
      </x:c>
    </x:row>
    <x:row r="288">
      <x:c r="A288" s="92" t="str">
        <x:v>PROC-0287</x:v>
      </x:c>
      <x:c r="B288" s="93" t="n">
        <x:v>46074</x:v>
      </x:c>
      <x:c r="C288" s="94" t="str">
        <x:v>Google Ads</x:v>
      </x:c>
      <x:c r="D288" s="94" t="str">
        <x:v>德国</x:v>
      </x:c>
      <x:c r="E288" s="94" t="str">
        <x:v>GGL-C14</x:v>
      </x:c>
      <x:c r="F288" s="94" t="str">
        <x:v>购物广告</x:v>
      </x:c>
      <x:c r="G288" s="94" t="str">
        <x:v>折扣商品</x:v>
      </x:c>
      <x:c r="H288" s="94" t="str">
        <x:v>移动端</x:v>
      </x:c>
      <x:c r="I288" s="94" t="str">
        <x:v>CPC</x:v>
      </x:c>
      <x:c r="J288" s="95" t="n">
        <x:v>1066</x:v>
      </x:c>
      <x:c r="K288" s="96" t="n">
        <x:f>IFERROR(L288/J288,0)</x:f>
        <x:v>0.04878048780487805</x:v>
      </x:c>
      <x:c r="L288" s="95" t="n">
        <x:v>52</x:v>
      </x:c>
      <x:c r="M288" s="97" t="n">
        <x:v>0.3564</x:v>
      </x:c>
      <x:c r="N288" s="97" t="n">
        <x:f>ROUND(L288*M288,2)</x:f>
        <x:v>18.53</x:v>
      </x:c>
      <x:c r="O288" s="94" t="n">
        <x:v>7</x:v>
      </x:c>
      <x:c r="P288" s="94" t="str">
        <x:v>模拟：Google/Microsoft Ads采购导入</x:v>
      </x:c>
    </x:row>
    <x:row r="289">
      <x:c r="A289" s="92" t="str">
        <x:v>PROC-0288</x:v>
      </x:c>
      <x:c r="B289" s="93" t="n">
        <x:v>46074</x:v>
      </x:c>
      <x:c r="C289" s="94" t="str">
        <x:v>Google Ads</x:v>
      </x:c>
      <x:c r="D289" s="94" t="str">
        <x:v>美国</x:v>
      </x:c>
      <x:c r="E289" s="94" t="str">
        <x:v>GGL-C22</x:v>
      </x:c>
      <x:c r="F289" s="94" t="str">
        <x:v>品牌搜索</x:v>
      </x:c>
      <x:c r="G289" s="94" t="str">
        <x:v>品牌评测词</x:v>
      </x:c>
      <x:c r="H289" s="94" t="str">
        <x:v>移动端</x:v>
      </x:c>
      <x:c r="I289" s="94" t="str">
        <x:v>CPC</x:v>
      </x:c>
      <x:c r="J289" s="95" t="n">
        <x:v>701</x:v>
      </x:c>
      <x:c r="K289" s="96" t="n">
        <x:f>IFERROR(L289/J289,0)</x:f>
        <x:v>0.05135520684736091</x:v>
      </x:c>
      <x:c r="L289" s="95" t="n">
        <x:v>36</x:v>
      </x:c>
      <x:c r="M289" s="97" t="n">
        <x:v>0.2502</x:v>
      </x:c>
      <x:c r="N289" s="97" t="n">
        <x:f>ROUND(L289*M289,2)</x:f>
        <x:v>9.01</x:v>
      </x:c>
      <x:c r="O289" s="94" t="n">
        <x:v>9</x:v>
      </x:c>
      <x:c r="P289" s="94" t="str">
        <x:v>模拟：Google/Microsoft Ads采购导入</x:v>
      </x:c>
    </x:row>
    <x:row r="290">
      <x:c r="A290" s="92" t="str">
        <x:v>PROC-0289</x:v>
      </x:c>
      <x:c r="B290" s="93" t="n">
        <x:v>46075</x:v>
      </x:c>
      <x:c r="C290" s="94" t="str">
        <x:v>Google Ads</x:v>
      </x:c>
      <x:c r="D290" s="94" t="str">
        <x:v>日本</x:v>
      </x:c>
      <x:c r="E290" s="94" t="str">
        <x:v>GGL-C05</x:v>
      </x:c>
      <x:c r="F290" s="94" t="str">
        <x:v>通用搜索</x:v>
      </x:c>
      <x:c r="G290" s="94" t="str">
        <x:v>实用礼物</x:v>
      </x:c>
      <x:c r="H290" s="94" t="str">
        <x:v>移动端</x:v>
      </x:c>
      <x:c r="I290" s="94" t="str">
        <x:v>CPC</x:v>
      </x:c>
      <x:c r="J290" s="95" t="n">
        <x:v>1432</x:v>
      </x:c>
      <x:c r="K290" s="96" t="n">
        <x:f>IFERROR(L290/J290,0)</x:f>
        <x:v>0.034217877094972066</x:v>
      </x:c>
      <x:c r="L290" s="95" t="n">
        <x:v>49</x:v>
      </x:c>
      <x:c r="M290" s="97" t="n">
        <x:v>0.2425</x:v>
      </x:c>
      <x:c r="N290" s="97" t="n">
        <x:f>ROUND(L290*M290,2)</x:f>
        <x:v>11.88</x:v>
      </x:c>
      <x:c r="O290" s="94" t="n">
        <x:v>7</x:v>
      </x:c>
      <x:c r="P290" s="94" t="str">
        <x:v>模拟：Google/Microsoft Ads采购导入</x:v>
      </x:c>
    </x:row>
    <x:row r="291">
      <x:c r="A291" s="92" t="str">
        <x:v>PROC-0290</x:v>
      </x:c>
      <x:c r="B291" s="93" t="n">
        <x:v>46075</x:v>
      </x:c>
      <x:c r="C291" s="94" t="str">
        <x:v>Google Ads</x:v>
      </x:c>
      <x:c r="D291" s="94" t="str">
        <x:v>美国</x:v>
      </x:c>
      <x:c r="E291" s="94" t="str">
        <x:v>GGL-C10</x:v>
      </x:c>
      <x:c r="F291" s="94" t="str">
        <x:v>购物广告</x:v>
      </x:c>
      <x:c r="G291" s="94" t="str">
        <x:v>折扣商品</x:v>
      </x:c>
      <x:c r="H291" s="94" t="str">
        <x:v>桌面端</x:v>
      </x:c>
      <x:c r="I291" s="94" t="str">
        <x:v>CPC</x:v>
      </x:c>
      <x:c r="J291" s="95" t="n">
        <x:v>1322</x:v>
      </x:c>
      <x:c r="K291" s="96" t="n">
        <x:f>IFERROR(L291/J291,0)</x:f>
        <x:v>0.039334341906202726</x:v>
      </x:c>
      <x:c r="L291" s="95" t="n">
        <x:v>52</x:v>
      </x:c>
      <x:c r="M291" s="97" t="n">
        <x:v>0.3563</x:v>
      </x:c>
      <x:c r="N291" s="97" t="n">
        <x:f>ROUND(L291*M291,2)</x:f>
        <x:v>18.53</x:v>
      </x:c>
      <x:c r="O291" s="94" t="n">
        <x:v>8</x:v>
      </x:c>
      <x:c r="P291" s="94" t="str">
        <x:v>模拟：Google/Microsoft Ads采购导入</x:v>
      </x:c>
    </x:row>
    <x:row r="292">
      <x:c r="A292" s="92" t="str">
        <x:v>PROC-0291</x:v>
      </x:c>
      <x:c r="B292" s="93" t="n">
        <x:v>46075</x:v>
      </x:c>
      <x:c r="C292" s="94" t="str">
        <x:v>Google Ads</x:v>
      </x:c>
      <x:c r="D292" s="94" t="str">
        <x:v>英国</x:v>
      </x:c>
      <x:c r="E292" s="94" t="str">
        <x:v>GGL-C18</x:v>
      </x:c>
      <x:c r="F292" s="94" t="str">
        <x:v>品牌搜索</x:v>
      </x:c>
      <x:c r="G292" s="94" t="str">
        <x:v>品牌优惠词</x:v>
      </x:c>
      <x:c r="H292" s="94" t="str">
        <x:v>移动端</x:v>
      </x:c>
      <x:c r="I292" s="94" t="str">
        <x:v>CPC</x:v>
      </x:c>
      <x:c r="J292" s="95" t="n">
        <x:v>1432</x:v>
      </x:c>
      <x:c r="K292" s="96" t="n">
        <x:f>IFERROR(L292/J292,0)</x:f>
        <x:v>0.05307262569832402</x:v>
      </x:c>
      <x:c r="L292" s="95" t="n">
        <x:v>76</x:v>
      </x:c>
      <x:c r="M292" s="97" t="n">
        <x:v>0.2355</x:v>
      </x:c>
      <x:c r="N292" s="97" t="n">
        <x:f>ROUND(L292*M292,2)</x:f>
        <x:v>17.9</x:v>
      </x:c>
      <x:c r="O292" s="94" t="n">
        <x:v>10</x:v>
      </x:c>
      <x:c r="P292" s="94" t="str">
        <x:v>模拟：Google/Microsoft Ads采购导入</x:v>
      </x:c>
    </x:row>
    <x:row r="293">
      <x:c r="A293" s="92" t="str">
        <x:v>PROC-0292</x:v>
      </x:c>
      <x:c r="B293" s="93" t="n">
        <x:v>46075</x:v>
      </x:c>
      <x:c r="C293" s="94" t="str">
        <x:v>Microsoft Ads</x:v>
      </x:c>
      <x:c r="D293" s="94" t="str">
        <x:v>德国</x:v>
      </x:c>
      <x:c r="E293" s="94" t="str">
        <x:v>MSA-C22</x:v>
      </x:c>
      <x:c r="F293" s="94" t="str">
        <x:v>购物广告</x:v>
      </x:c>
      <x:c r="G293" s="94" t="str">
        <x:v>畅销商品</x:v>
      </x:c>
      <x:c r="H293" s="94" t="str">
        <x:v>移动端</x:v>
      </x:c>
      <x:c r="I293" s="94" t="str">
        <x:v>CPC</x:v>
      </x:c>
      <x:c r="J293" s="95" t="n">
        <x:v>1242</x:v>
      </x:c>
      <x:c r="K293" s="96" t="n">
        <x:f>IFERROR(L293/J293,0)</x:f>
        <x:v>0.04428341384863124</x:v>
      </x:c>
      <x:c r="L293" s="95" t="n">
        <x:v>55</x:v>
      </x:c>
      <x:c r="M293" s="97" t="n">
        <x:v>0.2656</x:v>
      </x:c>
      <x:c r="N293" s="97" t="n">
        <x:f>ROUND(L293*M293,2)</x:f>
        <x:v>14.61</x:v>
      </x:c>
      <x:c r="O293" s="94" t="n">
        <x:v>6</x:v>
      </x:c>
      <x:c r="P293" s="94" t="str">
        <x:v>模拟：Google/Microsoft Ads采购导入</x:v>
      </x:c>
    </x:row>
    <x:row r="294">
      <x:c r="A294" s="92" t="str">
        <x:v>PROC-0293</x:v>
      </x:c>
      <x:c r="B294" s="93" t="n">
        <x:v>46075</x:v>
      </x:c>
      <x:c r="C294" s="94" t="str">
        <x:v>Microsoft Ads</x:v>
      </x:c>
      <x:c r="D294" s="94" t="str">
        <x:v>美国</x:v>
      </x:c>
      <x:c r="E294" s="94" t="str">
        <x:v>MSA-C09</x:v>
      </x:c>
      <x:c r="F294" s="94" t="str">
        <x:v>购物广告</x:v>
      </x:c>
      <x:c r="G294" s="94" t="str">
        <x:v>畅销商品</x:v>
      </x:c>
      <x:c r="H294" s="94" t="str">
        <x:v>移动端</x:v>
      </x:c>
      <x:c r="I294" s="94" t="str">
        <x:v>CPC</x:v>
      </x:c>
      <x:c r="J294" s="95" t="n">
        <x:v>1408</x:v>
      </x:c>
      <x:c r="K294" s="96" t="n">
        <x:f>IFERROR(L294/J294,0)</x:f>
        <x:v>0.05113636363636364</x:v>
      </x:c>
      <x:c r="L294" s="95" t="n">
        <x:v>72</x:v>
      </x:c>
      <x:c r="M294" s="97" t="n">
        <x:v>0.2667</x:v>
      </x:c>
      <x:c r="N294" s="97" t="n">
        <x:f>ROUND(L294*M294,2)</x:f>
        <x:v>19.2</x:v>
      </x:c>
      <x:c r="O294" s="94" t="n">
        <x:v>6</x:v>
      </x:c>
      <x:c r="P294" s="94" t="str">
        <x:v>模拟：Google/Microsoft Ads采购导入</x:v>
      </x:c>
    </x:row>
    <x:row r="295">
      <x:c r="A295" s="92" t="str">
        <x:v>PROC-0294</x:v>
      </x:c>
      <x:c r="B295" s="93" t="n">
        <x:v>46076</x:v>
      </x:c>
      <x:c r="C295" s="94" t="str">
        <x:v>Google Ads</x:v>
      </x:c>
      <x:c r="D295" s="94" t="str">
        <x:v>日本</x:v>
      </x:c>
      <x:c r="E295" s="94" t="str">
        <x:v>GGL-C15</x:v>
      </x:c>
      <x:c r="F295" s="94" t="str">
        <x:v>购物广告</x:v>
      </x:c>
      <x:c r="G295" s="94" t="str">
        <x:v>折扣商品</x:v>
      </x:c>
      <x:c r="H295" s="94" t="str">
        <x:v>移动端</x:v>
      </x:c>
      <x:c r="I295" s="94" t="str">
        <x:v>CPC</x:v>
      </x:c>
      <x:c r="J295" s="95" t="n">
        <x:v>1506</x:v>
      </x:c>
      <x:c r="K295" s="96" t="n">
        <x:f>IFERROR(L295/J295,0)</x:f>
        <x:v>0.04448871181938911</x:v>
      </x:c>
      <x:c r="L295" s="95" t="n">
        <x:v>67</x:v>
      </x:c>
      <x:c r="M295" s="97" t="n">
        <x:v>0.2521</x:v>
      </x:c>
      <x:c r="N295" s="97" t="n">
        <x:f>ROUND(L295*M295,2)</x:f>
        <x:v>16.89</x:v>
      </x:c>
      <x:c r="O295" s="94" t="n">
        <x:v>8</x:v>
      </x:c>
      <x:c r="P295" s="94" t="str">
        <x:v>模拟：Google/Microsoft Ads采购导入</x:v>
      </x:c>
    </x:row>
    <x:row r="296">
      <x:c r="A296" s="92" t="str">
        <x:v>PROC-0295</x:v>
      </x:c>
      <x:c r="B296" s="93" t="n">
        <x:v>46076</x:v>
      </x:c>
      <x:c r="C296" s="94" t="str">
        <x:v>Microsoft Ads</x:v>
      </x:c>
      <x:c r="D296" s="94" t="str">
        <x:v>日本</x:v>
      </x:c>
      <x:c r="E296" s="94" t="str">
        <x:v>MSA-C21</x:v>
      </x:c>
      <x:c r="F296" s="94" t="str">
        <x:v>通用搜索</x:v>
      </x:c>
      <x:c r="G296" s="94" t="str">
        <x:v>实用礼物</x:v>
      </x:c>
      <x:c r="H296" s="94" t="str">
        <x:v>移动端</x:v>
      </x:c>
      <x:c r="I296" s="94" t="str">
        <x:v>CPC</x:v>
      </x:c>
      <x:c r="J296" s="95" t="n">
        <x:v>1135</x:v>
      </x:c>
      <x:c r="K296" s="96" t="n">
        <x:f>IFERROR(L296/J296,0)</x:f>
        <x:v>0.03524229074889868</x:v>
      </x:c>
      <x:c r="L296" s="95" t="n">
        <x:v>40</x:v>
      </x:c>
      <x:c r="M296" s="97" t="n">
        <x:v>0.1965</x:v>
      </x:c>
      <x:c r="N296" s="97" t="n">
        <x:f>ROUND(L296*M296,2)</x:f>
        <x:v>7.86</x:v>
      </x:c>
      <x:c r="O296" s="94" t="n">
        <x:v>6</x:v>
      </x:c>
      <x:c r="P296" s="94" t="str">
        <x:v>模拟：Google/Microsoft Ads采购导入</x:v>
      </x:c>
    </x:row>
    <x:row r="297">
      <x:c r="A297" s="92" t="str">
        <x:v>PROC-0296</x:v>
      </x:c>
      <x:c r="B297" s="93" t="n">
        <x:v>46076</x:v>
      </x:c>
      <x:c r="C297" s="94" t="str">
        <x:v>Microsoft Ads</x:v>
      </x:c>
      <x:c r="D297" s="94" t="str">
        <x:v>日本</x:v>
      </x:c>
      <x:c r="E297" s="94" t="str">
        <x:v>MSA-C03</x:v>
      </x:c>
      <x:c r="F297" s="94" t="str">
        <x:v>竞品搜索</x:v>
      </x:c>
      <x:c r="G297" s="94" t="str">
        <x:v>同类产品对比</x:v>
      </x:c>
      <x:c r="H297" s="94" t="str">
        <x:v>桌面端</x:v>
      </x:c>
      <x:c r="I297" s="94" t="str">
        <x:v>CPC</x:v>
      </x:c>
      <x:c r="J297" s="95" t="n">
        <x:v>538</x:v>
      </x:c>
      <x:c r="K297" s="96" t="n">
        <x:f>IFERROR(L297/J297,0)</x:f>
        <x:v>0.027881040892193308</x:v>
      </x:c>
      <x:c r="L297" s="95" t="n">
        <x:v>15</x:v>
      </x:c>
      <x:c r="M297" s="97" t="n">
        <x:v>0.294</x:v>
      </x:c>
      <x:c r="N297" s="97" t="n">
        <x:f>ROUND(L297*M297,2)</x:f>
        <x:v>4.41</x:v>
      </x:c>
      <x:c r="O297" s="94" t="n">
        <x:v>7</x:v>
      </x:c>
      <x:c r="P297" s="94" t="str">
        <x:v>模拟：Google/Microsoft Ads采购导入</x:v>
      </x:c>
    </x:row>
    <x:row r="298">
      <x:c r="A298" s="92" t="str">
        <x:v>PROC-0297</x:v>
      </x:c>
      <x:c r="B298" s="93" t="n">
        <x:v>46076</x:v>
      </x:c>
      <x:c r="C298" s="94" t="str">
        <x:v>Google Ads</x:v>
      </x:c>
      <x:c r="D298" s="94" t="str">
        <x:v>英国</x:v>
      </x:c>
      <x:c r="E298" s="94" t="str">
        <x:v>GGL-C11</x:v>
      </x:c>
      <x:c r="F298" s="94" t="str">
        <x:v>品牌搜索</x:v>
      </x:c>
      <x:c r="G298" s="94" t="str">
        <x:v>品牌型号词</x:v>
      </x:c>
      <x:c r="H298" s="94" t="str">
        <x:v>移动端</x:v>
      </x:c>
      <x:c r="I298" s="94" t="str">
        <x:v>CPC</x:v>
      </x:c>
      <x:c r="J298" s="95" t="n">
        <x:v>1286</x:v>
      </x:c>
      <x:c r="K298" s="96" t="n">
        <x:f>IFERROR(L298/J298,0)</x:f>
        <x:v>0.048989113530326596</x:v>
      </x:c>
      <x:c r="L298" s="95" t="n">
        <x:v>63</x:v>
      </x:c>
      <x:c r="M298" s="97" t="n">
        <x:v>0.2533</x:v>
      </x:c>
      <x:c r="N298" s="97" t="n">
        <x:f>ROUND(L298*M298,2)</x:f>
        <x:v>15.96</x:v>
      </x:c>
      <x:c r="O298" s="94" t="n">
        <x:v>9</x:v>
      </x:c>
      <x:c r="P298" s="94" t="str">
        <x:v>模拟：Google/Microsoft Ads采购导入</x:v>
      </x:c>
    </x:row>
    <x:row r="299">
      <x:c r="A299" s="92" t="str">
        <x:v>PROC-0298</x:v>
      </x:c>
      <x:c r="B299" s="93" t="n">
        <x:v>46076</x:v>
      </x:c>
      <x:c r="C299" s="94" t="str">
        <x:v>Microsoft Ads</x:v>
      </x:c>
      <x:c r="D299" s="94" t="str">
        <x:v>美国</x:v>
      </x:c>
      <x:c r="E299" s="94" t="str">
        <x:v>MSA-C20</x:v>
      </x:c>
      <x:c r="F299" s="94" t="str">
        <x:v>通用搜索</x:v>
      </x:c>
      <x:c r="G299" s="94" t="str">
        <x:v>高性价比商品</x:v>
      </x:c>
      <x:c r="H299" s="94" t="str">
        <x:v>桌面端</x:v>
      </x:c>
      <x:c r="I299" s="94" t="str">
        <x:v>CPC</x:v>
      </x:c>
      <x:c r="J299" s="95" t="n">
        <x:v>964</x:v>
      </x:c>
      <x:c r="K299" s="96" t="n">
        <x:f>IFERROR(L299/J299,0)</x:f>
        <x:v>0.044605809128630707</x:v>
      </x:c>
      <x:c r="L299" s="95" t="n">
        <x:v>43</x:v>
      </x:c>
      <x:c r="M299" s="97" t="n">
        <x:v>0.2235</x:v>
      </x:c>
      <x:c r="N299" s="97" t="n">
        <x:f>ROUND(L299*M299,2)</x:f>
        <x:v>9.61</x:v>
      </x:c>
      <x:c r="O299" s="94" t="n">
        <x:v>8</x:v>
      </x:c>
      <x:c r="P299" s="94" t="str">
        <x:v>模拟：Google/Microsoft Ads采购导入</x:v>
      </x:c>
    </x:row>
    <x:row r="300">
      <x:c r="A300" s="92" t="str">
        <x:v>PROC-0299</x:v>
      </x:c>
      <x:c r="B300" s="93" t="n">
        <x:v>46076</x:v>
      </x:c>
      <x:c r="C300" s="94" t="str">
        <x:v>Google Ads</x:v>
      </x:c>
      <x:c r="D300" s="94" t="str">
        <x:v>英国</x:v>
      </x:c>
      <x:c r="E300" s="94" t="str">
        <x:v>GGL-C02</x:v>
      </x:c>
      <x:c r="F300" s="94" t="str">
        <x:v>购物广告</x:v>
      </x:c>
      <x:c r="G300" s="94" t="str">
        <x:v>高评分商品</x:v>
      </x:c>
      <x:c r="H300" s="94" t="str">
        <x:v>桌面端</x:v>
      </x:c>
      <x:c r="I300" s="94" t="str">
        <x:v>CPC</x:v>
      </x:c>
      <x:c r="J300" s="95" t="n">
        <x:v>822</x:v>
      </x:c>
      <x:c r="K300" s="96" t="n">
        <x:f>IFERROR(L300/J300,0)</x:f>
        <x:v>0.045012165450121655</x:v>
      </x:c>
      <x:c r="L300" s="95" t="n">
        <x:v>37</x:v>
      </x:c>
      <x:c r="M300" s="97" t="n">
        <x:v>0.3707</x:v>
      </x:c>
      <x:c r="N300" s="97" t="n">
        <x:f>ROUND(L300*M300,2)</x:f>
        <x:v>13.72</x:v>
      </x:c>
      <x:c r="O300" s="94" t="n">
        <x:v>8</x:v>
      </x:c>
      <x:c r="P300" s="94" t="str">
        <x:v>模拟：Google/Microsoft Ads采购导入</x:v>
      </x:c>
    </x:row>
    <x:row r="301">
      <x:c r="A301" s="92" t="str">
        <x:v>PROC-0300</x:v>
      </x:c>
      <x:c r="B301" s="93" t="n">
        <x:v>46077</x:v>
      </x:c>
      <x:c r="C301" s="94" t="str">
        <x:v>Microsoft Ads</x:v>
      </x:c>
      <x:c r="D301" s="94" t="str">
        <x:v>英国</x:v>
      </x:c>
      <x:c r="E301" s="94" t="str">
        <x:v>MSA-C10</x:v>
      </x:c>
      <x:c r="F301" s="94" t="str">
        <x:v>通用搜索</x:v>
      </x:c>
      <x:c r="G301" s="94" t="str">
        <x:v>热门新品</x:v>
      </x:c>
      <x:c r="H301" s="94" t="str">
        <x:v>桌面端</x:v>
      </x:c>
      <x:c r="I301" s="94" t="str">
        <x:v>CPC</x:v>
      </x:c>
      <x:c r="J301" s="95" t="n">
        <x:v>1169</x:v>
      </x:c>
      <x:c r="K301" s="96" t="n">
        <x:f>IFERROR(L301/J301,0)</x:f>
        <x:v>0.03165098374679213</x:v>
      </x:c>
      <x:c r="L301" s="95" t="n">
        <x:v>37</x:v>
      </x:c>
      <x:c r="M301" s="97" t="n">
        <x:v>0.1939</x:v>
      </x:c>
      <x:c r="N301" s="97" t="n">
        <x:f>ROUND(L301*M301,2)</x:f>
        <x:v>7.17</x:v>
      </x:c>
      <x:c r="O301" s="94" t="n">
        <x:v>6</x:v>
      </x:c>
      <x:c r="P301" s="94" t="str">
        <x:v>模拟：Google/Microsoft Ads采购导入</x:v>
      </x:c>
    </x:row>
    <x:row r="302">
      <x:c r="A302" s="92" t="str">
        <x:v>PROC-0301</x:v>
      </x:c>
      <x:c r="B302" s="93" t="n">
        <x:v>46077</x:v>
      </x:c>
      <x:c r="C302" s="94" t="str">
        <x:v>Google Ads</x:v>
      </x:c>
      <x:c r="D302" s="94" t="str">
        <x:v>美国</x:v>
      </x:c>
      <x:c r="E302" s="94" t="str">
        <x:v>GGL-C14</x:v>
      </x:c>
      <x:c r="F302" s="94" t="str">
        <x:v>品牌搜索</x:v>
      </x:c>
      <x:c r="G302" s="94" t="str">
        <x:v>品牌优惠词</x:v>
      </x:c>
      <x:c r="H302" s="94" t="str">
        <x:v>移动端</x:v>
      </x:c>
      <x:c r="I302" s="94" t="str">
        <x:v>CPC</x:v>
      </x:c>
      <x:c r="J302" s="95" t="n">
        <x:v>1466</x:v>
      </x:c>
      <x:c r="K302" s="96" t="n">
        <x:f>IFERROR(L302/J302,0)</x:f>
        <x:v>0.059345156889495224</x:v>
      </x:c>
      <x:c r="L302" s="95" t="n">
        <x:v>87</x:v>
      </x:c>
      <x:c r="M302" s="97" t="n">
        <x:v>0.2572</x:v>
      </x:c>
      <x:c r="N302" s="97" t="n">
        <x:f>ROUND(L302*M302,2)</x:f>
        <x:v>22.38</x:v>
      </x:c>
      <x:c r="O302" s="94" t="n">
        <x:v>7</x:v>
      </x:c>
      <x:c r="P302" s="94" t="str">
        <x:v>模拟：Google/Microsoft Ads采购导入</x:v>
      </x:c>
    </x:row>
    <x:row r="303">
      <x:c r="A303" s="92" t="str">
        <x:v>PROC-0302</x:v>
      </x:c>
      <x:c r="B303" s="93" t="n">
        <x:v>46077</x:v>
      </x:c>
      <x:c r="C303" s="94" t="str">
        <x:v>Google Ads</x:v>
      </x:c>
      <x:c r="D303" s="94" t="str">
        <x:v>德国</x:v>
      </x:c>
      <x:c r="E303" s="94" t="str">
        <x:v>GGL-C23</x:v>
      </x:c>
      <x:c r="F303" s="94" t="str">
        <x:v>通用搜索</x:v>
      </x:c>
      <x:c r="G303" s="94" t="str">
        <x:v>专业精选</x:v>
      </x:c>
      <x:c r="H303" s="94" t="str">
        <x:v>移动端</x:v>
      </x:c>
      <x:c r="I303" s="94" t="str">
        <x:v>CPC</x:v>
      </x:c>
      <x:c r="J303" s="95" t="n">
        <x:v>1183</x:v>
      </x:c>
      <x:c r="K303" s="96" t="n">
        <x:f>IFERROR(L303/J303,0)</x:f>
        <x:v>0.039729501267962805</x:v>
      </x:c>
      <x:c r="L303" s="95" t="n">
        <x:v>47</x:v>
      </x:c>
      <x:c r="M303" s="97" t="n">
        <x:v>0.3123</x:v>
      </x:c>
      <x:c r="N303" s="97" t="n">
        <x:f>ROUND(L303*M303,2)</x:f>
        <x:v>14.68</x:v>
      </x:c>
      <x:c r="O303" s="94" t="n">
        <x:v>9</x:v>
      </x:c>
      <x:c r="P303" s="94" t="str">
        <x:v>模拟：Google/Microsoft Ads采购导入</x:v>
      </x:c>
    </x:row>
    <x:row r="304">
      <x:c r="A304" s="92" t="str">
        <x:v>PROC-0303</x:v>
      </x:c>
      <x:c r="B304" s="93" t="n">
        <x:v>46077</x:v>
      </x:c>
      <x:c r="C304" s="94" t="str">
        <x:v>Google Ads</x:v>
      </x:c>
      <x:c r="D304" s="94" t="str">
        <x:v>德国</x:v>
      </x:c>
      <x:c r="E304" s="94" t="str">
        <x:v>GGL-C06</x:v>
      </x:c>
      <x:c r="F304" s="94" t="str">
        <x:v>购物广告</x:v>
      </x:c>
      <x:c r="G304" s="94" t="str">
        <x:v>快速配送</x:v>
      </x:c>
      <x:c r="H304" s="94" t="str">
        <x:v>桌面端</x:v>
      </x:c>
      <x:c r="I304" s="94" t="str">
        <x:v>CPC</x:v>
      </x:c>
      <x:c r="J304" s="95" t="n">
        <x:v>1543</x:v>
      </x:c>
      <x:c r="K304" s="96" t="n">
        <x:f>IFERROR(L304/J304,0)</x:f>
        <x:v>0.04471808165910564</x:v>
      </x:c>
      <x:c r="L304" s="95" t="n">
        <x:v>69</x:v>
      </x:c>
      <x:c r="M304" s="97" t="n">
        <x:v>0.3352</x:v>
      </x:c>
      <x:c r="N304" s="97" t="n">
        <x:f>ROUND(L304*M304,2)</x:f>
        <x:v>23.13</x:v>
      </x:c>
      <x:c r="O304" s="94" t="n">
        <x:v>6</x:v>
      </x:c>
      <x:c r="P304" s="94" t="str">
        <x:v>模拟：Google/Microsoft Ads采购导入</x:v>
      </x:c>
    </x:row>
    <x:row r="305">
      <x:c r="A305" s="92" t="str">
        <x:v>PROC-0304</x:v>
      </x:c>
      <x:c r="B305" s="93" t="n">
        <x:v>46077</x:v>
      </x:c>
      <x:c r="C305" s="94" t="str">
        <x:v>Microsoft Ads</x:v>
      </x:c>
      <x:c r="D305" s="94" t="str">
        <x:v>英国</x:v>
      </x:c>
      <x:c r="E305" s="94" t="str">
        <x:v>MSA-C10</x:v>
      </x:c>
      <x:c r="F305" s="94" t="str">
        <x:v>品牌搜索</x:v>
      </x:c>
      <x:c r="G305" s="94" t="str">
        <x:v>品牌型号词</x:v>
      </x:c>
      <x:c r="H305" s="94" t="str">
        <x:v>桌面端</x:v>
      </x:c>
      <x:c r="I305" s="94" t="str">
        <x:v>CPC</x:v>
      </x:c>
      <x:c r="J305" s="95" t="n">
        <x:v>748</x:v>
      </x:c>
      <x:c r="K305" s="96" t="n">
        <x:f>IFERROR(L305/J305,0)</x:f>
        <x:v>0.06016042780748663</x:v>
      </x:c>
      <x:c r="L305" s="95" t="n">
        <x:v>45</x:v>
      </x:c>
      <x:c r="M305" s="97" t="n">
        <x:v>0.153</x:v>
      </x:c>
      <x:c r="N305" s="97" t="n">
        <x:f>ROUND(L305*M305,2)</x:f>
        <x:v>6.89</x:v>
      </x:c>
      <x:c r="O305" s="94" t="n">
        <x:v>8</x:v>
      </x:c>
      <x:c r="P305" s="94" t="str">
        <x:v>模拟：Google/Microsoft Ads采购导入</x:v>
      </x:c>
    </x:row>
    <x:row r="306">
      <x:c r="A306" s="92" t="str">
        <x:v>PROC-0305</x:v>
      </x:c>
      <x:c r="B306" s="93" t="n">
        <x:v>46078</x:v>
      </x:c>
      <x:c r="C306" s="94" t="str">
        <x:v>Microsoft Ads</x:v>
      </x:c>
      <x:c r="D306" s="94" t="str">
        <x:v>美国</x:v>
      </x:c>
      <x:c r="E306" s="94" t="str">
        <x:v>MSA-C19</x:v>
      </x:c>
      <x:c r="F306" s="94" t="str">
        <x:v>品牌搜索</x:v>
      </x:c>
      <x:c r="G306" s="94" t="str">
        <x:v>品牌评测词</x:v>
      </x:c>
      <x:c r="H306" s="94" t="str">
        <x:v>移动端</x:v>
      </x:c>
      <x:c r="I306" s="94" t="str">
        <x:v>CPC</x:v>
      </x:c>
      <x:c r="J306" s="95" t="n">
        <x:v>1393</x:v>
      </x:c>
      <x:c r="K306" s="96" t="n">
        <x:f>IFERROR(L306/J306,0)</x:f>
        <x:v>0.05599425699928212</x:v>
      </x:c>
      <x:c r="L306" s="95" t="n">
        <x:v>78</x:v>
      </x:c>
      <x:c r="M306" s="97" t="n">
        <x:v>0.2225</x:v>
      </x:c>
      <x:c r="N306" s="97" t="n">
        <x:f>ROUND(L306*M306,2)</x:f>
        <x:v>17.36</x:v>
      </x:c>
      <x:c r="O306" s="94" t="n">
        <x:v>9</x:v>
      </x:c>
      <x:c r="P306" s="94" t="str">
        <x:v>模拟：Google/Microsoft Ads采购导入</x:v>
      </x:c>
    </x:row>
    <x:row r="307">
      <x:c r="A307" s="92" t="str">
        <x:v>PROC-0306</x:v>
      </x:c>
      <x:c r="B307" s="93" t="n">
        <x:v>46078</x:v>
      </x:c>
      <x:c r="C307" s="94" t="str">
        <x:v>Microsoft Ads</x:v>
      </x:c>
      <x:c r="D307" s="94" t="str">
        <x:v>美国</x:v>
      </x:c>
      <x:c r="E307" s="94" t="str">
        <x:v>MSA-C01</x:v>
      </x:c>
      <x:c r="F307" s="94" t="str">
        <x:v>通用搜索</x:v>
      </x:c>
      <x:c r="G307" s="94" t="str">
        <x:v>专业精选</x:v>
      </x:c>
      <x:c r="H307" s="94" t="str">
        <x:v>移动端</x:v>
      </x:c>
      <x:c r="I307" s="94" t="str">
        <x:v>CPC</x:v>
      </x:c>
      <x:c r="J307" s="95" t="n">
        <x:v>987</x:v>
      </x:c>
      <x:c r="K307" s="96" t="n">
        <x:f>IFERROR(L307/J307,0)</x:f>
        <x:v>0.03850050658561297</x:v>
      </x:c>
      <x:c r="L307" s="95" t="n">
        <x:v>38</x:v>
      </x:c>
      <x:c r="M307" s="97" t="n">
        <x:v>0.2415</x:v>
      </x:c>
      <x:c r="N307" s="97" t="n">
        <x:f>ROUND(L307*M307,2)</x:f>
        <x:v>9.18</x:v>
      </x:c>
      <x:c r="O307" s="94" t="n">
        <x:v>6</x:v>
      </x:c>
      <x:c r="P307" s="94" t="str">
        <x:v>模拟：Google/Microsoft Ads采购导入</x:v>
      </x:c>
    </x:row>
    <x:row r="308">
      <x:c r="A308" s="92" t="str">
        <x:v>PROC-0307</x:v>
      </x:c>
      <x:c r="B308" s="93" t="n">
        <x:v>46078</x:v>
      </x:c>
      <x:c r="C308" s="94" t="str">
        <x:v>Google Ads</x:v>
      </x:c>
      <x:c r="D308" s="94" t="str">
        <x:v>德国</x:v>
      </x:c>
      <x:c r="E308" s="94" t="str">
        <x:v>GGL-C10</x:v>
      </x:c>
      <x:c r="F308" s="94" t="str">
        <x:v>竞品搜索</x:v>
      </x:c>
      <x:c r="G308" s="94" t="str">
        <x:v>更优选择</x:v>
      </x:c>
      <x:c r="H308" s="94" t="str">
        <x:v>移动端</x:v>
      </x:c>
      <x:c r="I308" s="94" t="str">
        <x:v>CPC</x:v>
      </x:c>
      <x:c r="J308" s="95" t="n">
        <x:v>531</x:v>
      </x:c>
      <x:c r="K308" s="96" t="n">
        <x:f>IFERROR(L308/J308,0)</x:f>
        <x:v>0.026365348399246705</x:v>
      </x:c>
      <x:c r="L308" s="95" t="n">
        <x:v>14</x:v>
      </x:c>
      <x:c r="M308" s="97" t="n">
        <x:v>0.4337</x:v>
      </x:c>
      <x:c r="N308" s="97" t="n">
        <x:f>ROUND(L308*M308,2)</x:f>
        <x:v>6.07</x:v>
      </x:c>
      <x:c r="O308" s="94" t="n">
        <x:v>7</x:v>
      </x:c>
      <x:c r="P308" s="94" t="str">
        <x:v>模拟：Google/Microsoft Ads采购导入</x:v>
      </x:c>
    </x:row>
    <x:row r="309">
      <x:c r="A309" s="92" t="str">
        <x:v>PROC-0308</x:v>
      </x:c>
      <x:c r="B309" s="93" t="n">
        <x:v>46078</x:v>
      </x:c>
      <x:c r="C309" s="94" t="str">
        <x:v>Google Ads</x:v>
      </x:c>
      <x:c r="D309" s="94" t="str">
        <x:v>美国</x:v>
      </x:c>
      <x:c r="E309" s="94" t="str">
        <x:v>GGL-C14</x:v>
      </x:c>
      <x:c r="F309" s="94" t="str">
        <x:v>品牌搜索</x:v>
      </x:c>
      <x:c r="G309" s="94" t="str">
        <x:v>品牌型号词</x:v>
      </x:c>
      <x:c r="H309" s="94" t="str">
        <x:v>移动端</x:v>
      </x:c>
      <x:c r="I309" s="94" t="str">
        <x:v>CPC</x:v>
      </x:c>
      <x:c r="J309" s="95" t="n">
        <x:v>1423</x:v>
      </x:c>
      <x:c r="K309" s="96" t="n">
        <x:f>IFERROR(L309/J309,0)</x:f>
        <x:v>0.06886858749121574</x:v>
      </x:c>
      <x:c r="L309" s="95" t="n">
        <x:v>98</x:v>
      </x:c>
      <x:c r="M309" s="97" t="n">
        <x:v>0.2566</x:v>
      </x:c>
      <x:c r="N309" s="97" t="n">
        <x:f>ROUND(L309*M309,2)</x:f>
        <x:v>25.15</x:v>
      </x:c>
      <x:c r="O309" s="94" t="n">
        <x:v>9</x:v>
      </x:c>
      <x:c r="P309" s="94" t="str">
        <x:v>模拟：Google/Microsoft Ads采购导入</x:v>
      </x:c>
    </x:row>
    <x:row r="310">
      <x:c r="A310" s="92" t="str">
        <x:v>PROC-0309</x:v>
      </x:c>
      <x:c r="B310" s="93" t="n">
        <x:v>46078</x:v>
      </x:c>
      <x:c r="C310" s="94" t="str">
        <x:v>Microsoft Ads</x:v>
      </x:c>
      <x:c r="D310" s="94" t="str">
        <x:v>德国</x:v>
      </x:c>
      <x:c r="E310" s="94" t="str">
        <x:v>MSA-C24</x:v>
      </x:c>
      <x:c r="F310" s="94" t="str">
        <x:v>购物广告</x:v>
      </x:c>
      <x:c r="G310" s="94" t="str">
        <x:v>高评分商品</x:v>
      </x:c>
      <x:c r="H310" s="94" t="str">
        <x:v>移动端</x:v>
      </x:c>
      <x:c r="I310" s="94" t="str">
        <x:v>CPC</x:v>
      </x:c>
      <x:c r="J310" s="95" t="n">
        <x:v>734</x:v>
      </x:c>
      <x:c r="K310" s="96" t="n">
        <x:f>IFERROR(L310/J310,0)</x:f>
        <x:v>0.05040871934604905</x:v>
      </x:c>
      <x:c r="L310" s="95" t="n">
        <x:v>37</x:v>
      </x:c>
      <x:c r="M310" s="97" t="n">
        <x:v>0.2737</x:v>
      </x:c>
      <x:c r="N310" s="97" t="n">
        <x:f>ROUND(L310*M310,2)</x:f>
        <x:v>10.13</x:v>
      </x:c>
      <x:c r="O310" s="94" t="n">
        <x:v>8</x:v>
      </x:c>
      <x:c r="P310" s="94" t="str">
        <x:v>模拟：Google/Microsoft Ads采购导入</x:v>
      </x:c>
    </x:row>
    <x:row r="311">
      <x:c r="A311" s="92" t="str">
        <x:v>PROC-0310</x:v>
      </x:c>
      <x:c r="B311" s="93" t="n">
        <x:v>46078</x:v>
      </x:c>
      <x:c r="C311" s="94" t="str">
        <x:v>Google Ads</x:v>
      </x:c>
      <x:c r="D311" s="94" t="str">
        <x:v>英国</x:v>
      </x:c>
      <x:c r="E311" s="94" t="str">
        <x:v>GGL-C04</x:v>
      </x:c>
      <x:c r="F311" s="94" t="str">
        <x:v>竞品搜索</x:v>
      </x:c>
      <x:c r="G311" s="94" t="str">
        <x:v>竞品评测</x:v>
      </x:c>
      <x:c r="H311" s="94" t="str">
        <x:v>移动端</x:v>
      </x:c>
      <x:c r="I311" s="94" t="str">
        <x:v>CPC</x:v>
      </x:c>
      <x:c r="J311" s="95" t="n">
        <x:v>547</x:v>
      </x:c>
      <x:c r="K311" s="96" t="n">
        <x:f>IFERROR(L311/J311,0)</x:f>
        <x:v>0.03473491773308958</x:v>
      </x:c>
      <x:c r="L311" s="95" t="n">
        <x:v>19</x:v>
      </x:c>
      <x:c r="M311" s="97" t="n">
        <x:v>0.4075</x:v>
      </x:c>
      <x:c r="N311" s="97" t="n">
        <x:f>ROUND(L311*M311,2)</x:f>
        <x:v>7.74</x:v>
      </x:c>
      <x:c r="O311" s="94" t="n">
        <x:v>6</x:v>
      </x:c>
      <x:c r="P311" s="94" t="str">
        <x:v>模拟：Google/Microsoft Ads采购导入</x:v>
      </x:c>
    </x:row>
    <x:row r="312">
      <x:c r="A312" s="92" t="str">
        <x:v>PROC-0311</x:v>
      </x:c>
      <x:c r="B312" s="93" t="n">
        <x:v>46079</x:v>
      </x:c>
      <x:c r="C312" s="94" t="str">
        <x:v>Google Ads</x:v>
      </x:c>
      <x:c r="D312" s="94" t="str">
        <x:v>美国</x:v>
      </x:c>
      <x:c r="E312" s="94" t="str">
        <x:v>GGL-C13</x:v>
      </x:c>
      <x:c r="F312" s="94" t="str">
        <x:v>通用搜索</x:v>
      </x:c>
      <x:c r="G312" s="94" t="str">
        <x:v>高性价比商品</x:v>
      </x:c>
      <x:c r="H312" s="94" t="str">
        <x:v>移动端</x:v>
      </x:c>
      <x:c r="I312" s="94" t="str">
        <x:v>CPC</x:v>
      </x:c>
      <x:c r="J312" s="95" t="n">
        <x:v>1373</x:v>
      </x:c>
      <x:c r="K312" s="96" t="n">
        <x:f>IFERROR(L312/J312,0)</x:f>
        <x:v>0.04224326292789512</x:v>
      </x:c>
      <x:c r="L312" s="95" t="n">
        <x:v>58</x:v>
      </x:c>
      <x:c r="M312" s="97" t="n">
        <x:v>0.3378</x:v>
      </x:c>
      <x:c r="N312" s="97" t="n">
        <x:f>ROUND(L312*M312,2)</x:f>
        <x:v>19.59</x:v>
      </x:c>
      <x:c r="O312" s="94" t="n">
        <x:v>8</x:v>
      </x:c>
      <x:c r="P312" s="94" t="str">
        <x:v>模拟：Google/Microsoft Ads采购导入</x:v>
      </x:c>
    </x:row>
    <x:row r="313">
      <x:c r="A313" s="92" t="str">
        <x:v>PROC-0312</x:v>
      </x:c>
      <x:c r="B313" s="93" t="n">
        <x:v>46079</x:v>
      </x:c>
      <x:c r="C313" s="94" t="str">
        <x:v>Google Ads</x:v>
      </x:c>
      <x:c r="D313" s="94" t="str">
        <x:v>美国</x:v>
      </x:c>
      <x:c r="E313" s="94" t="str">
        <x:v>GGL-C21</x:v>
      </x:c>
      <x:c r="F313" s="94" t="str">
        <x:v>购物广告</x:v>
      </x:c>
      <x:c r="G313" s="94" t="str">
        <x:v>快速配送</x:v>
      </x:c>
      <x:c r="H313" s="94" t="str">
        <x:v>移动端</x:v>
      </x:c>
      <x:c r="I313" s="94" t="str">
        <x:v>CPC</x:v>
      </x:c>
      <x:c r="J313" s="95" t="n">
        <x:v>721</x:v>
      </x:c>
      <x:c r="K313" s="96" t="n">
        <x:f>IFERROR(L313/J313,0)</x:f>
        <x:v>0.03744798890429958</x:v>
      </x:c>
      <x:c r="L313" s="95" t="n">
        <x:v>27</x:v>
      </x:c>
      <x:c r="M313" s="97" t="n">
        <x:v>0.3447</x:v>
      </x:c>
      <x:c r="N313" s="97" t="n">
        <x:f>ROUND(L313*M313,2)</x:f>
        <x:v>9.31</x:v>
      </x:c>
      <x:c r="O313" s="94" t="n">
        <x:v>7</x:v>
      </x:c>
      <x:c r="P313" s="94" t="str">
        <x:v>模拟：Google/Microsoft Ads采购导入</x:v>
      </x:c>
    </x:row>
    <x:row r="314">
      <x:c r="A314" s="92" t="str">
        <x:v>PROC-0313</x:v>
      </x:c>
      <x:c r="B314" s="93" t="n">
        <x:v>46079</x:v>
      </x:c>
      <x:c r="C314" s="94" t="str">
        <x:v>Google Ads</x:v>
      </x:c>
      <x:c r="D314" s="94" t="str">
        <x:v>英国</x:v>
      </x:c>
      <x:c r="E314" s="94" t="str">
        <x:v>GGL-C05</x:v>
      </x:c>
      <x:c r="F314" s="94" t="str">
        <x:v>通用搜索</x:v>
      </x:c>
      <x:c r="G314" s="94" t="str">
        <x:v>热门新品</x:v>
      </x:c>
      <x:c r="H314" s="94" t="str">
        <x:v>移动端</x:v>
      </x:c>
      <x:c r="I314" s="94" t="str">
        <x:v>CPC</x:v>
      </x:c>
      <x:c r="J314" s="95" t="n">
        <x:v>940</x:v>
      </x:c>
      <x:c r="K314" s="96" t="n">
        <x:f>IFERROR(L314/J314,0)</x:f>
        <x:v>0.04042553191489362</x:v>
      </x:c>
      <x:c r="L314" s="95" t="n">
        <x:v>38</x:v>
      </x:c>
      <x:c r="M314" s="97" t="n">
        <x:v>0.2729</x:v>
      </x:c>
      <x:c r="N314" s="97" t="n">
        <x:f>ROUND(L314*M314,2)</x:f>
        <x:v>10.37</x:v>
      </x:c>
      <x:c r="O314" s="94" t="n">
        <x:v>8</x:v>
      </x:c>
      <x:c r="P314" s="94" t="str">
        <x:v>模拟：Google/Microsoft Ads采购导入</x:v>
      </x:c>
    </x:row>
    <x:row r="315">
      <x:c r="A315" s="92" t="str">
        <x:v>PROC-0314</x:v>
      </x:c>
      <x:c r="B315" s="93" t="n">
        <x:v>46079</x:v>
      </x:c>
      <x:c r="C315" s="94" t="str">
        <x:v>Google Ads</x:v>
      </x:c>
      <x:c r="D315" s="94" t="str">
        <x:v>英国</x:v>
      </x:c>
      <x:c r="E315" s="94" t="str">
        <x:v>GGL-C11</x:v>
      </x:c>
      <x:c r="F315" s="94" t="str">
        <x:v>购物广告</x:v>
      </x:c>
      <x:c r="G315" s="94" t="str">
        <x:v>高评分商品</x:v>
      </x:c>
      <x:c r="H315" s="94" t="str">
        <x:v>桌面端</x:v>
      </x:c>
      <x:c r="I315" s="94" t="str">
        <x:v>CPC</x:v>
      </x:c>
      <x:c r="J315" s="95" t="n">
        <x:v>1678</x:v>
      </x:c>
      <x:c r="K315" s="96" t="n">
        <x:f>IFERROR(L315/J315,0)</x:f>
        <x:v>0.04290822407628129</x:v>
      </x:c>
      <x:c r="L315" s="95" t="n">
        <x:v>72</x:v>
      </x:c>
      <x:c r="M315" s="97" t="n">
        <x:v>0.2963</x:v>
      </x:c>
      <x:c r="N315" s="97" t="n">
        <x:f>ROUND(L315*M315,2)</x:f>
        <x:v>21.33</x:v>
      </x:c>
      <x:c r="O315" s="94" t="n">
        <x:v>8</x:v>
      </x:c>
      <x:c r="P315" s="94" t="str">
        <x:v>模拟：Google/Microsoft Ads采购导入</x:v>
      </x:c>
    </x:row>
    <x:row r="316">
      <x:c r="A316" s="92" t="str">
        <x:v>PROC-0315</x:v>
      </x:c>
      <x:c r="B316" s="93" t="n">
        <x:v>46079</x:v>
      </x:c>
      <x:c r="C316" s="94" t="str">
        <x:v>Google Ads</x:v>
      </x:c>
      <x:c r="D316" s="94" t="str">
        <x:v>日本</x:v>
      </x:c>
      <x:c r="E316" s="94" t="str">
        <x:v>GGL-C15</x:v>
      </x:c>
      <x:c r="F316" s="94" t="str">
        <x:v>品牌搜索</x:v>
      </x:c>
      <x:c r="G316" s="94" t="str">
        <x:v>品牌评测词</x:v>
      </x:c>
      <x:c r="H316" s="94" t="str">
        <x:v>移动端</x:v>
      </x:c>
      <x:c r="I316" s="94" t="str">
        <x:v>CPC</x:v>
      </x:c>
      <x:c r="J316" s="95" t="n">
        <x:v>1441</x:v>
      </x:c>
      <x:c r="K316" s="96" t="n">
        <x:f>IFERROR(L316/J316,0)</x:f>
        <x:v>0.049271339347675226</x:v>
      </x:c>
      <x:c r="L316" s="95" t="n">
        <x:v>71</x:v>
      </x:c>
      <x:c r="M316" s="97" t="n">
        <x:v>0.2153</x:v>
      </x:c>
      <x:c r="N316" s="97" t="n">
        <x:f>ROUND(L316*M316,2)</x:f>
        <x:v>15.29</x:v>
      </x:c>
      <x:c r="O316" s="94" t="n">
        <x:v>8</x:v>
      </x:c>
      <x:c r="P316" s="94" t="str">
        <x:v>模拟：Google/Microsoft Ads采购导入</x:v>
      </x:c>
    </x:row>
    <x:row r="317">
      <x:c r="A317" s="92" t="str">
        <x:v>PROC-0316</x:v>
      </x:c>
      <x:c r="B317" s="93" t="n">
        <x:v>46080</x:v>
      </x:c>
      <x:c r="C317" s="94" t="str">
        <x:v>Google Ads</x:v>
      </x:c>
      <x:c r="D317" s="94" t="str">
        <x:v>德国</x:v>
      </x:c>
      <x:c r="E317" s="94" t="str">
        <x:v>GGL-C23</x:v>
      </x:c>
      <x:c r="F317" s="94" t="str">
        <x:v>通用搜索</x:v>
      </x:c>
      <x:c r="G317" s="94" t="str">
        <x:v>热门新品</x:v>
      </x:c>
      <x:c r="H317" s="94" t="str">
        <x:v>移动端</x:v>
      </x:c>
      <x:c r="I317" s="94" t="str">
        <x:v>CPC</x:v>
      </x:c>
      <x:c r="J317" s="95" t="n">
        <x:v>767</x:v>
      </x:c>
      <x:c r="K317" s="96" t="n">
        <x:f>IFERROR(L317/J317,0)</x:f>
        <x:v>0.03259452411994785</x:v>
      </x:c>
      <x:c r="L317" s="95" t="n">
        <x:v>25</x:v>
      </x:c>
      <x:c r="M317" s="97" t="n">
        <x:v>0.2294</x:v>
      </x:c>
      <x:c r="N317" s="97" t="n">
        <x:f>ROUND(L317*M317,2)</x:f>
        <x:v>5.74</x:v>
      </x:c>
      <x:c r="O317" s="94" t="n">
        <x:v>7</x:v>
      </x:c>
      <x:c r="P317" s="94" t="str">
        <x:v>模拟：Google/Microsoft Ads采购导入</x:v>
      </x:c>
    </x:row>
    <x:row r="318">
      <x:c r="A318" s="92" t="str">
        <x:v>PROC-0317</x:v>
      </x:c>
      <x:c r="B318" s="93" t="n">
        <x:v>46080</x:v>
      </x:c>
      <x:c r="C318" s="94" t="str">
        <x:v>Google Ads</x:v>
      </x:c>
      <x:c r="D318" s="94" t="str">
        <x:v>美国</x:v>
      </x:c>
      <x:c r="E318" s="94" t="str">
        <x:v>GGL-C08</x:v>
      </x:c>
      <x:c r="F318" s="94" t="str">
        <x:v>竞品搜索</x:v>
      </x:c>
      <x:c r="G318" s="94" t="str">
        <x:v>价格替代</x:v>
      </x:c>
      <x:c r="H318" s="94" t="str">
        <x:v>移动端</x:v>
      </x:c>
      <x:c r="I318" s="94" t="str">
        <x:v>CPC</x:v>
      </x:c>
      <x:c r="J318" s="95" t="n">
        <x:v>701</x:v>
      </x:c>
      <x:c r="K318" s="96" t="n">
        <x:f>IFERROR(L318/J318,0)</x:f>
        <x:v>0.034236804564907276</x:v>
      </x:c>
      <x:c r="L318" s="95" t="n">
        <x:v>24</x:v>
      </x:c>
      <x:c r="M318" s="97" t="n">
        <x:v>0.4539</x:v>
      </x:c>
      <x:c r="N318" s="97" t="n">
        <x:f>ROUND(L318*M318,2)</x:f>
        <x:v>10.89</x:v>
      </x:c>
      <x:c r="O318" s="94" t="n">
        <x:v>9</x:v>
      </x:c>
      <x:c r="P318" s="94" t="str">
        <x:v>模拟：Google/Microsoft Ads采购导入</x:v>
      </x:c>
    </x:row>
    <x:row r="319">
      <x:c r="A319" s="92" t="str">
        <x:v>PROC-0318</x:v>
      </x:c>
      <x:c r="B319" s="93" t="n">
        <x:v>46080</x:v>
      </x:c>
      <x:c r="C319" s="94" t="str">
        <x:v>Microsoft Ads</x:v>
      </x:c>
      <x:c r="D319" s="94" t="str">
        <x:v>美国</x:v>
      </x:c>
      <x:c r="E319" s="94" t="str">
        <x:v>MSA-C14</x:v>
      </x:c>
      <x:c r="F319" s="94" t="str">
        <x:v>竞品搜索</x:v>
      </x:c>
      <x:c r="G319" s="94" t="str">
        <x:v>竞品评测</x:v>
      </x:c>
      <x:c r="H319" s="94" t="str">
        <x:v>移动端</x:v>
      </x:c>
      <x:c r="I319" s="94" t="str">
        <x:v>CPC</x:v>
      </x:c>
      <x:c r="J319" s="95" t="n">
        <x:v>712</x:v>
      </x:c>
      <x:c r="K319" s="96" t="n">
        <x:f>IFERROR(L319/J319,0)</x:f>
        <x:v>0.037921348314606744</x:v>
      </x:c>
      <x:c r="L319" s="95" t="n">
        <x:v>27</x:v>
      </x:c>
      <x:c r="M319" s="97" t="n">
        <x:v>0.3271</x:v>
      </x:c>
      <x:c r="N319" s="97" t="n">
        <x:f>ROUND(L319*M319,2)</x:f>
        <x:v>8.83</x:v>
      </x:c>
      <x:c r="O319" s="94" t="n">
        <x:v>6</x:v>
      </x:c>
      <x:c r="P319" s="94" t="str">
        <x:v>模拟：Google/Microsoft Ads采购导入</x:v>
      </x:c>
    </x:row>
    <x:row r="320">
      <x:c r="A320" s="92" t="str">
        <x:v>PROC-0319</x:v>
      </x:c>
      <x:c r="B320" s="93" t="n">
        <x:v>46080</x:v>
      </x:c>
      <x:c r="C320" s="94" t="str">
        <x:v>Microsoft Ads</x:v>
      </x:c>
      <x:c r="D320" s="94" t="str">
        <x:v>英国</x:v>
      </x:c>
      <x:c r="E320" s="94" t="str">
        <x:v>MSA-C23</x:v>
      </x:c>
      <x:c r="F320" s="94" t="str">
        <x:v>通用搜索</x:v>
      </x:c>
      <x:c r="G320" s="94" t="str">
        <x:v>实用礼物</x:v>
      </x:c>
      <x:c r="H320" s="94" t="str">
        <x:v>移动端</x:v>
      </x:c>
      <x:c r="I320" s="94" t="str">
        <x:v>CPC</x:v>
      </x:c>
      <x:c r="J320" s="95" t="n">
        <x:v>1444</x:v>
      </x:c>
      <x:c r="K320" s="96" t="n">
        <x:f>IFERROR(L320/J320,0)</x:f>
        <x:v>0.03462603878116344</x:v>
      </x:c>
      <x:c r="L320" s="95" t="n">
        <x:v>50</x:v>
      </x:c>
      <x:c r="M320" s="97" t="n">
        <x:v>0.1968</x:v>
      </x:c>
      <x:c r="N320" s="97" t="n">
        <x:f>ROUND(L320*M320,2)</x:f>
        <x:v>9.84</x:v>
      </x:c>
      <x:c r="O320" s="94" t="n">
        <x:v>6</x:v>
      </x:c>
      <x:c r="P320" s="94" t="str">
        <x:v>模拟：Google/Microsoft Ads采购导入</x:v>
      </x:c>
    </x:row>
    <x:row r="321">
      <x:c r="A321" s="92" t="str">
        <x:v>PROC-0320</x:v>
      </x:c>
      <x:c r="B321" s="93" t="n">
        <x:v>46080</x:v>
      </x:c>
      <x:c r="C321" s="94" t="str">
        <x:v>Google Ads</x:v>
      </x:c>
      <x:c r="D321" s="94" t="str">
        <x:v>美国</x:v>
      </x:c>
      <x:c r="E321" s="94" t="str">
        <x:v>GGL-C04</x:v>
      </x:c>
      <x:c r="F321" s="94" t="str">
        <x:v>购物广告</x:v>
      </x:c>
      <x:c r="G321" s="94" t="str">
        <x:v>价格比较</x:v>
      </x:c>
      <x:c r="H321" s="94" t="str">
        <x:v>移动端</x:v>
      </x:c>
      <x:c r="I321" s="94" t="str">
        <x:v>CPC</x:v>
      </x:c>
      <x:c r="J321" s="95" t="n">
        <x:v>1417</x:v>
      </x:c>
      <x:c r="K321" s="96" t="n">
        <x:f>IFERROR(L321/J321,0)</x:f>
        <x:v>0.043754410726887794</x:v>
      </x:c>
      <x:c r="L321" s="95" t="n">
        <x:v>62</x:v>
      </x:c>
      <x:c r="M321" s="97" t="n">
        <x:v>0.3515</x:v>
      </x:c>
      <x:c r="N321" s="97" t="n">
        <x:f>ROUND(L321*M321,2)</x:f>
        <x:v>21.79</x:v>
      </x:c>
      <x:c r="O321" s="94" t="n">
        <x:v>6</x:v>
      </x:c>
      <x:c r="P321" s="94" t="str">
        <x:v>模拟：Google/Microsoft Ads采购导入</x:v>
      </x:c>
    </x:row>
    <x:row r="322">
      <x:c r="A322" s="92" t="str">
        <x:v>PROC-0321</x:v>
      </x:c>
      <x:c r="B322" s="93" t="n">
        <x:v>46080</x:v>
      </x:c>
      <x:c r="C322" s="94" t="str">
        <x:v>Microsoft Ads</x:v>
      </x:c>
      <x:c r="D322" s="94" t="str">
        <x:v>德国</x:v>
      </x:c>
      <x:c r="E322" s="94" t="str">
        <x:v>MSA-C12</x:v>
      </x:c>
      <x:c r="F322" s="94" t="str">
        <x:v>购物广告</x:v>
      </x:c>
      <x:c r="G322" s="94" t="str">
        <x:v>高评分商品</x:v>
      </x:c>
      <x:c r="H322" s="94" t="str">
        <x:v>移动端</x:v>
      </x:c>
      <x:c r="I322" s="94" t="str">
        <x:v>CPC</x:v>
      </x:c>
      <x:c r="J322" s="95" t="n">
        <x:v>897</x:v>
      </x:c>
      <x:c r="K322" s="96" t="n">
        <x:f>IFERROR(L322/J322,0)</x:f>
        <x:v>0.04013377926421405</x:v>
      </x:c>
      <x:c r="L322" s="95" t="n">
        <x:v>36</x:v>
      </x:c>
      <x:c r="M322" s="97" t="n">
        <x:v>0.2553</x:v>
      </x:c>
      <x:c r="N322" s="97" t="n">
        <x:f>ROUND(L322*M322,2)</x:f>
        <x:v>9.19</x:v>
      </x:c>
      <x:c r="O322" s="94" t="n">
        <x:v>6</x:v>
      </x:c>
      <x:c r="P322" s="94" t="str">
        <x:v>模拟：Google/Microsoft Ads采购导入</x:v>
      </x:c>
    </x:row>
    <x:row r="323">
      <x:c r="A323" s="92" t="str">
        <x:v>PROC-0322</x:v>
      </x:c>
      <x:c r="B323" s="93" t="n">
        <x:v>46081</x:v>
      </x:c>
      <x:c r="C323" s="94" t="str">
        <x:v>Microsoft Ads</x:v>
      </x:c>
      <x:c r="D323" s="94" t="str">
        <x:v>德国</x:v>
      </x:c>
      <x:c r="E323" s="94" t="str">
        <x:v>MSA-C20</x:v>
      </x:c>
      <x:c r="F323" s="94" t="str">
        <x:v>品牌搜索</x:v>
      </x:c>
      <x:c r="G323" s="94" t="str">
        <x:v>品牌优惠词</x:v>
      </x:c>
      <x:c r="H323" s="94" t="str">
        <x:v>移动端</x:v>
      </x:c>
      <x:c r="I323" s="94" t="str">
        <x:v>CPC</x:v>
      </x:c>
      <x:c r="J323" s="95" t="n">
        <x:v>1177</x:v>
      </x:c>
      <x:c r="K323" s="96" t="n">
        <x:f>IFERROR(L323/J323,0)</x:f>
        <x:v>0.0637213254035684</x:v>
      </x:c>
      <x:c r="L323" s="95" t="n">
        <x:v>75</x:v>
      </x:c>
      <x:c r="M323" s="97" t="n">
        <x:v>0.1827</x:v>
      </x:c>
      <x:c r="N323" s="97" t="n">
        <x:f>ROUND(L323*M323,2)</x:f>
        <x:v>13.7</x:v>
      </x:c>
      <x:c r="O323" s="94" t="n">
        <x:v>9</x:v>
      </x:c>
      <x:c r="P323" s="94" t="str">
        <x:v>模拟：Google/Microsoft Ads采购导入</x:v>
      </x:c>
    </x:row>
    <x:row r="324">
      <x:c r="A324" s="92" t="str">
        <x:v>PROC-0323</x:v>
      </x:c>
      <x:c r="B324" s="93" t="n">
        <x:v>46081</x:v>
      </x:c>
      <x:c r="C324" s="94" t="str">
        <x:v>Google Ads</x:v>
      </x:c>
      <x:c r="D324" s="94" t="str">
        <x:v>美国</x:v>
      </x:c>
      <x:c r="E324" s="94" t="str">
        <x:v>GGL-C01</x:v>
      </x:c>
      <x:c r="F324" s="94" t="str">
        <x:v>通用搜索</x:v>
      </x:c>
      <x:c r="G324" s="94" t="str">
        <x:v>专业精选</x:v>
      </x:c>
      <x:c r="H324" s="94" t="str">
        <x:v>移动端</x:v>
      </x:c>
      <x:c r="I324" s="94" t="str">
        <x:v>CPC</x:v>
      </x:c>
      <x:c r="J324" s="95" t="n">
        <x:v>1226</x:v>
      </x:c>
      <x:c r="K324" s="96" t="n">
        <x:f>IFERROR(L324/J324,0)</x:f>
        <x:v>0.0432300163132137</x:v>
      </x:c>
      <x:c r="L324" s="95" t="n">
        <x:v>53</x:v>
      </x:c>
      <x:c r="M324" s="97" t="n">
        <x:v>0.2929</x:v>
      </x:c>
      <x:c r="N324" s="97" t="n">
        <x:f>ROUND(L324*M324,2)</x:f>
        <x:v>15.52</x:v>
      </x:c>
      <x:c r="O324" s="94" t="n">
        <x:v>6</x:v>
      </x:c>
      <x:c r="P324" s="94" t="str">
        <x:v>模拟：Google/Microsoft Ads采购导入</x:v>
      </x:c>
    </x:row>
    <x:row r="325">
      <x:c r="A325" s="92" t="str">
        <x:v>PROC-0324</x:v>
      </x:c>
      <x:c r="B325" s="93" t="n">
        <x:v>46081</x:v>
      </x:c>
      <x:c r="C325" s="94" t="str">
        <x:v>Google Ads</x:v>
      </x:c>
      <x:c r="D325" s="94" t="str">
        <x:v>英国</x:v>
      </x:c>
      <x:c r="E325" s="94" t="str">
        <x:v>GGL-C09</x:v>
      </x:c>
      <x:c r="F325" s="94" t="str">
        <x:v>品牌搜索</x:v>
      </x:c>
      <x:c r="G325" s="94" t="str">
        <x:v>品牌评测词</x:v>
      </x:c>
      <x:c r="H325" s="94" t="str">
        <x:v>桌面端</x:v>
      </x:c>
      <x:c r="I325" s="94" t="str">
        <x:v>CPC</x:v>
      </x:c>
      <x:c r="J325" s="95" t="n">
        <x:v>1031</x:v>
      </x:c>
      <x:c r="K325" s="96" t="n">
        <x:f>IFERROR(L325/J325,0)</x:f>
        <x:v>0.05625606207565471</x:v>
      </x:c>
      <x:c r="L325" s="95" t="n">
        <x:v>58</x:v>
      </x:c>
      <x:c r="M325" s="97" t="n">
        <x:v>0.2018</x:v>
      </x:c>
      <x:c r="N325" s="97" t="n">
        <x:f>ROUND(L325*M325,2)</x:f>
        <x:v>11.7</x:v>
      </x:c>
      <x:c r="O325" s="94" t="n">
        <x:v>9</x:v>
      </x:c>
      <x:c r="P325" s="94" t="str">
        <x:v>模拟：Google/Microsoft Ads采购导入</x:v>
      </x:c>
    </x:row>
    <x:row r="326">
      <x:c r="A326" s="92" t="str">
        <x:v>PROC-0325</x:v>
      </x:c>
      <x:c r="B326" s="93" t="n">
        <x:v>46081</x:v>
      </x:c>
      <x:c r="C326" s="94" t="str">
        <x:v>Google Ads</x:v>
      </x:c>
      <x:c r="D326" s="94" t="str">
        <x:v>德国</x:v>
      </x:c>
      <x:c r="E326" s="94" t="str">
        <x:v>GGL-C13</x:v>
      </x:c>
      <x:c r="F326" s="94" t="str">
        <x:v>通用搜索</x:v>
      </x:c>
      <x:c r="G326" s="94" t="str">
        <x:v>家庭必备</x:v>
      </x:c>
      <x:c r="H326" s="94" t="str">
        <x:v>桌面端</x:v>
      </x:c>
      <x:c r="I326" s="94" t="str">
        <x:v>CPC</x:v>
      </x:c>
      <x:c r="J326" s="95" t="n">
        <x:v>836</x:v>
      </x:c>
      <x:c r="K326" s="96" t="n">
        <x:f>IFERROR(L326/J326,0)</x:f>
        <x:v>0.029904306220095694</x:v>
      </x:c>
      <x:c r="L326" s="95" t="n">
        <x:v>25</x:v>
      </x:c>
      <x:c r="M326" s="97" t="n">
        <x:v>0.286</x:v>
      </x:c>
      <x:c r="N326" s="97" t="n">
        <x:f>ROUND(L326*M326,2)</x:f>
        <x:v>7.15</x:v>
      </x:c>
      <x:c r="O326" s="94" t="n">
        <x:v>9</x:v>
      </x:c>
      <x:c r="P326" s="94" t="str">
        <x:v>模拟：Google/Microsoft Ads采购导入</x:v>
      </x:c>
    </x:row>
    <x:row r="327">
      <x:c r="A327" s="92" t="str">
        <x:v>PROC-0326</x:v>
      </x:c>
      <x:c r="B327" s="93" t="n">
        <x:v>46081</x:v>
      </x:c>
      <x:c r="C327" s="94" t="str">
        <x:v>Google Ads</x:v>
      </x:c>
      <x:c r="D327" s="94" t="str">
        <x:v>美国</x:v>
      </x:c>
      <x:c r="E327" s="94" t="str">
        <x:v>GGL-C21</x:v>
      </x:c>
      <x:c r="F327" s="94" t="str">
        <x:v>通用搜索</x:v>
      </x:c>
      <x:c r="G327" s="94" t="str">
        <x:v>实用礼物</x:v>
      </x:c>
      <x:c r="H327" s="94" t="str">
        <x:v>桌面端</x:v>
      </x:c>
      <x:c r="I327" s="94" t="str">
        <x:v>CPC</x:v>
      </x:c>
      <x:c r="J327" s="95" t="n">
        <x:v>1131</x:v>
      </x:c>
      <x:c r="K327" s="96" t="n">
        <x:f>IFERROR(L327/J327,0)</x:f>
        <x:v>0.032714412024756855</x:v>
      </x:c>
      <x:c r="L327" s="95" t="n">
        <x:v>37</x:v>
      </x:c>
      <x:c r="M327" s="97" t="n">
        <x:v>0.3928</x:v>
      </x:c>
      <x:c r="N327" s="97" t="n">
        <x:f>ROUND(L327*M327,2)</x:f>
        <x:v>14.53</x:v>
      </x:c>
      <x:c r="O327" s="94" t="n">
        <x:v>7</x:v>
      </x:c>
      <x:c r="P327" s="94" t="str">
        <x:v>模拟：Google/Microsoft Ads采购导入</x:v>
      </x:c>
    </x:row>
    <x:row r="328">
      <x:c r="A328" s="92" t="str">
        <x:v>PROC-0327</x:v>
      </x:c>
      <x:c r="B328" s="93" t="n">
        <x:v>46082</x:v>
      </x:c>
      <x:c r="C328" s="94" t="str">
        <x:v>Google Ads</x:v>
      </x:c>
      <x:c r="D328" s="94" t="str">
        <x:v>美国</x:v>
      </x:c>
      <x:c r="E328" s="94" t="str">
        <x:v>GGL-C03</x:v>
      </x:c>
      <x:c r="F328" s="94" t="str">
        <x:v>通用搜索</x:v>
      </x:c>
      <x:c r="G328" s="94" t="str">
        <x:v>高性价比商品</x:v>
      </x:c>
      <x:c r="H328" s="94" t="str">
        <x:v>移动端</x:v>
      </x:c>
      <x:c r="I328" s="94" t="str">
        <x:v>CPC</x:v>
      </x:c>
      <x:c r="J328" s="95" t="n">
        <x:v>843</x:v>
      </x:c>
      <x:c r="K328" s="96" t="n">
        <x:f>IFERROR(L328/J328,0)</x:f>
        <x:v>0.03558718861209965</x:v>
      </x:c>
      <x:c r="L328" s="95" t="n">
        <x:v>30</x:v>
      </x:c>
      <x:c r="M328" s="97" t="n">
        <x:v>0.3379</x:v>
      </x:c>
      <x:c r="N328" s="97" t="n">
        <x:f>ROUND(L328*M328,2)</x:f>
        <x:v>10.14</x:v>
      </x:c>
      <x:c r="O328" s="94" t="n">
        <x:v>8</x:v>
      </x:c>
      <x:c r="P328" s="94" t="str">
        <x:v>模拟：Google/Microsoft Ads采购导入</x:v>
      </x:c>
    </x:row>
    <x:row r="329">
      <x:c r="A329" s="92" t="str">
        <x:v>PROC-0328</x:v>
      </x:c>
      <x:c r="B329" s="93" t="n">
        <x:v>46082</x:v>
      </x:c>
      <x:c r="C329" s="94" t="str">
        <x:v>Microsoft Ads</x:v>
      </x:c>
      <x:c r="D329" s="94" t="str">
        <x:v>日本</x:v>
      </x:c>
      <x:c r="E329" s="94" t="str">
        <x:v>MSA-C13</x:v>
      </x:c>
      <x:c r="F329" s="94" t="str">
        <x:v>通用搜索</x:v>
      </x:c>
      <x:c r="G329" s="94" t="str">
        <x:v>家庭必备</x:v>
      </x:c>
      <x:c r="H329" s="94" t="str">
        <x:v>桌面端</x:v>
      </x:c>
      <x:c r="I329" s="94" t="str">
        <x:v>CPC</x:v>
      </x:c>
      <x:c r="J329" s="95" t="n">
        <x:v>678</x:v>
      </x:c>
      <x:c r="K329" s="96" t="n">
        <x:f>IFERROR(L329/J329,0)</x:f>
        <x:v>0.029498525073746312</x:v>
      </x:c>
      <x:c r="L329" s="95" t="n">
        <x:v>20</x:v>
      </x:c>
      <x:c r="M329" s="97" t="n">
        <x:v>0.2241</x:v>
      </x:c>
      <x:c r="N329" s="97" t="n">
        <x:f>ROUND(L329*M329,2)</x:f>
        <x:v>4.48</x:v>
      </x:c>
      <x:c r="O329" s="94" t="n">
        <x:v>7</x:v>
      </x:c>
      <x:c r="P329" s="94" t="str">
        <x:v>模拟：Google/Microsoft Ads采购导入</x:v>
      </x:c>
    </x:row>
    <x:row r="330">
      <x:c r="A330" s="92" t="str">
        <x:v>PROC-0329</x:v>
      </x:c>
      <x:c r="B330" s="93" t="n">
        <x:v>46082</x:v>
      </x:c>
      <x:c r="C330" s="94" t="str">
        <x:v>Google Ads</x:v>
      </x:c>
      <x:c r="D330" s="94" t="str">
        <x:v>美国</x:v>
      </x:c>
      <x:c r="E330" s="94" t="str">
        <x:v>GGL-C18</x:v>
      </x:c>
      <x:c r="F330" s="94" t="str">
        <x:v>竞品搜索</x:v>
      </x:c>
      <x:c r="G330" s="94" t="str">
        <x:v>更优选择</x:v>
      </x:c>
      <x:c r="H330" s="94" t="str">
        <x:v>移动端</x:v>
      </x:c>
      <x:c r="I330" s="94" t="str">
        <x:v>CPC</x:v>
      </x:c>
      <x:c r="J330" s="95" t="n">
        <x:v>1148</x:v>
      </x:c>
      <x:c r="K330" s="96" t="n">
        <x:f>IFERROR(L330/J330,0)</x:f>
        <x:v>0.03048780487804878</x:v>
      </x:c>
      <x:c r="L330" s="95" t="n">
        <x:v>35</x:v>
      </x:c>
      <x:c r="M330" s="97" t="n">
        <x:v>0.4603</x:v>
      </x:c>
      <x:c r="N330" s="97" t="n">
        <x:f>ROUND(L330*M330,2)</x:f>
        <x:v>16.11</x:v>
      </x:c>
      <x:c r="O330" s="94" t="n">
        <x:v>7</x:v>
      </x:c>
      <x:c r="P330" s="94" t="str">
        <x:v>模拟：Google/Microsoft Ads采购导入</x:v>
      </x:c>
    </x:row>
    <x:row r="331">
      <x:c r="A331" s="92" t="str">
        <x:v>PROC-0330</x:v>
      </x:c>
      <x:c r="B331" s="93" t="n">
        <x:v>46082</x:v>
      </x:c>
      <x:c r="C331" s="94" t="str">
        <x:v>Microsoft Ads</x:v>
      </x:c>
      <x:c r="D331" s="94" t="str">
        <x:v>美国</x:v>
      </x:c>
      <x:c r="E331" s="94" t="str">
        <x:v>MSA-C01</x:v>
      </x:c>
      <x:c r="F331" s="94" t="str">
        <x:v>购物广告</x:v>
      </x:c>
      <x:c r="G331" s="94" t="str">
        <x:v>快速配送</x:v>
      </x:c>
      <x:c r="H331" s="94" t="str">
        <x:v>移动端</x:v>
      </x:c>
      <x:c r="I331" s="94" t="str">
        <x:v>CPC</x:v>
      </x:c>
      <x:c r="J331" s="95" t="n">
        <x:v>1419</x:v>
      </x:c>
      <x:c r="K331" s="96" t="n">
        <x:f>IFERROR(L331/J331,0)</x:f>
        <x:v>0.047216349541930935</x:v>
      </x:c>
      <x:c r="L331" s="95" t="n">
        <x:v>67</x:v>
      </x:c>
      <x:c r="M331" s="97" t="n">
        <x:v>0.314</x:v>
      </x:c>
      <x:c r="N331" s="97" t="n">
        <x:f>ROUND(L331*M331,2)</x:f>
        <x:v>21.04</x:v>
      </x:c>
      <x:c r="O331" s="94" t="n">
        <x:v>6</x:v>
      </x:c>
      <x:c r="P331" s="94" t="str">
        <x:v>模拟：Google/Microsoft Ads采购导入</x:v>
      </x:c>
    </x:row>
    <x:row r="332">
      <x:c r="A332" s="92" t="str">
        <x:v>PROC-0331</x:v>
      </x:c>
      <x:c r="B332" s="93" t="n">
        <x:v>46082</x:v>
      </x:c>
      <x:c r="C332" s="94" t="str">
        <x:v>Microsoft Ads</x:v>
      </x:c>
      <x:c r="D332" s="94" t="str">
        <x:v>美国</x:v>
      </x:c>
      <x:c r="E332" s="94" t="str">
        <x:v>MSA-C08</x:v>
      </x:c>
      <x:c r="F332" s="94" t="str">
        <x:v>竞品搜索</x:v>
      </x:c>
      <x:c r="G332" s="94" t="str">
        <x:v>价格替代</x:v>
      </x:c>
      <x:c r="H332" s="94" t="str">
        <x:v>移动端</x:v>
      </x:c>
      <x:c r="I332" s="94" t="str">
        <x:v>CPC</x:v>
      </x:c>
      <x:c r="J332" s="95" t="n">
        <x:v>575</x:v>
      </x:c>
      <x:c r="K332" s="96" t="n">
        <x:f>IFERROR(L332/J332,0)</x:f>
        <x:v>0.036521739130434785</x:v>
      </x:c>
      <x:c r="L332" s="95" t="n">
        <x:v>21</x:v>
      </x:c>
      <x:c r="M332" s="97" t="n">
        <x:v>0.3756</x:v>
      </x:c>
      <x:c r="N332" s="97" t="n">
        <x:f>ROUND(L332*M332,2)</x:f>
        <x:v>7.89</x:v>
      </x:c>
      <x:c r="O332" s="94" t="n">
        <x:v>8</x:v>
      </x:c>
      <x:c r="P332" s="94" t="str">
        <x:v>模拟：Google/Microsoft Ads采购导入</x:v>
      </x:c>
    </x:row>
    <x:row r="333">
      <x:c r="A333" s="92" t="str">
        <x:v>PROC-0332</x:v>
      </x:c>
      <x:c r="B333" s="93" t="n">
        <x:v>46082</x:v>
      </x:c>
      <x:c r="C333" s="94" t="str">
        <x:v>Google Ads</x:v>
      </x:c>
      <x:c r="D333" s="94" t="str">
        <x:v>美国</x:v>
      </x:c>
      <x:c r="E333" s="94" t="str">
        <x:v>GGL-C18</x:v>
      </x:c>
      <x:c r="F333" s="94" t="str">
        <x:v>通用搜索</x:v>
      </x:c>
      <x:c r="G333" s="94" t="str">
        <x:v>专业精选</x:v>
      </x:c>
      <x:c r="H333" s="94" t="str">
        <x:v>桌面端</x:v>
      </x:c>
      <x:c r="I333" s="94" t="str">
        <x:v>CPC</x:v>
      </x:c>
      <x:c r="J333" s="95" t="n">
        <x:v>1447</x:v>
      </x:c>
      <x:c r="K333" s="96" t="n">
        <x:f>IFERROR(L333/J333,0)</x:f>
        <x:v>0.03731859018659295</x:v>
      </x:c>
      <x:c r="L333" s="95" t="n">
        <x:v>54</x:v>
      </x:c>
      <x:c r="M333" s="97" t="n">
        <x:v>0.2997</x:v>
      </x:c>
      <x:c r="N333" s="97" t="n">
        <x:f>ROUND(L333*M333,2)</x:f>
        <x:v>16.18</x:v>
      </x:c>
      <x:c r="O333" s="94" t="n">
        <x:v>6</x:v>
      </x:c>
      <x:c r="P333" s="94" t="str">
        <x:v>模拟：Google/Microsoft Ads采购导入</x:v>
      </x:c>
    </x:row>
    <x:row r="334">
      <x:c r="A334" s="92" t="str">
        <x:v>PROC-0333</x:v>
      </x:c>
      <x:c r="B334" s="93" t="n">
        <x:v>46083</x:v>
      </x:c>
      <x:c r="C334" s="94" t="str">
        <x:v>Google Ads</x:v>
      </x:c>
      <x:c r="D334" s="94" t="str">
        <x:v>英国</x:v>
      </x:c>
      <x:c r="E334" s="94" t="str">
        <x:v>GGL-C24</x:v>
      </x:c>
      <x:c r="F334" s="94" t="str">
        <x:v>通用搜索</x:v>
      </x:c>
      <x:c r="G334" s="94" t="str">
        <x:v>高性价比商品</x:v>
      </x:c>
      <x:c r="H334" s="94" t="str">
        <x:v>移动端</x:v>
      </x:c>
      <x:c r="I334" s="94" t="str">
        <x:v>CPC</x:v>
      </x:c>
      <x:c r="J334" s="95" t="n">
        <x:v>818</x:v>
      </x:c>
      <x:c r="K334" s="96" t="n">
        <x:f>IFERROR(L334/J334,0)</x:f>
        <x:v>0.03178484107579462</x:v>
      </x:c>
      <x:c r="L334" s="95" t="n">
        <x:v>26</x:v>
      </x:c>
      <x:c r="M334" s="97" t="n">
        <x:v>0.282</x:v>
      </x:c>
      <x:c r="N334" s="97" t="n">
        <x:f>ROUND(L334*M334,2)</x:f>
        <x:v>7.33</x:v>
      </x:c>
      <x:c r="O334" s="94" t="n">
        <x:v>8</x:v>
      </x:c>
      <x:c r="P334" s="94" t="str">
        <x:v>模拟：Google/Microsoft Ads采购导入</x:v>
      </x:c>
    </x:row>
    <x:row r="335">
      <x:c r="A335" s="92" t="str">
        <x:v>PROC-0334</x:v>
      </x:c>
      <x:c r="B335" s="93" t="n">
        <x:v>46083</x:v>
      </x:c>
      <x:c r="C335" s="94" t="str">
        <x:v>Google Ads</x:v>
      </x:c>
      <x:c r="D335" s="94" t="str">
        <x:v>美国</x:v>
      </x:c>
      <x:c r="E335" s="94" t="str">
        <x:v>GGL-C06</x:v>
      </x:c>
      <x:c r="F335" s="94" t="str">
        <x:v>通用搜索</x:v>
      </x:c>
      <x:c r="G335" s="94" t="str">
        <x:v>实用礼物</x:v>
      </x:c>
      <x:c r="H335" s="94" t="str">
        <x:v>移动端</x:v>
      </x:c>
      <x:c r="I335" s="94" t="str">
        <x:v>CPC</x:v>
      </x:c>
      <x:c r="J335" s="95" t="n">
        <x:v>668</x:v>
      </x:c>
      <x:c r="K335" s="96" t="n">
        <x:f>IFERROR(L335/J335,0)</x:f>
        <x:v>0.0374251497005988</x:v>
      </x:c>
      <x:c r="L335" s="95" t="n">
        <x:v>25</x:v>
      </x:c>
      <x:c r="M335" s="97" t="n">
        <x:v>0.3738</x:v>
      </x:c>
      <x:c r="N335" s="97" t="n">
        <x:f>ROUND(L335*M335,2)</x:f>
        <x:v>9.35</x:v>
      </x:c>
      <x:c r="O335" s="94" t="n">
        <x:v>6</x:v>
      </x:c>
      <x:c r="P335" s="94" t="str">
        <x:v>模拟：Google/Microsoft Ads采购导入</x:v>
      </x:c>
    </x:row>
    <x:row r="336">
      <x:c r="A336" s="92" t="str">
        <x:v>PROC-0335</x:v>
      </x:c>
      <x:c r="B336" s="93" t="n">
        <x:v>46083</x:v>
      </x:c>
      <x:c r="C336" s="94" t="str">
        <x:v>Microsoft Ads</x:v>
      </x:c>
      <x:c r="D336" s="94" t="str">
        <x:v>英国</x:v>
      </x:c>
      <x:c r="E336" s="94" t="str">
        <x:v>MSA-C15</x:v>
      </x:c>
      <x:c r="F336" s="94" t="str">
        <x:v>竞品搜索</x:v>
      </x:c>
      <x:c r="G336" s="94" t="str">
        <x:v>竞品评测</x:v>
      </x:c>
      <x:c r="H336" s="94" t="str">
        <x:v>平板</x:v>
      </x:c>
      <x:c r="I336" s="94" t="str">
        <x:v>CPC</x:v>
      </x:c>
      <x:c r="J336" s="95" t="n">
        <x:v>880</x:v>
      </x:c>
      <x:c r="K336" s="96" t="n">
        <x:f>IFERROR(L336/J336,0)</x:f>
        <x:v>0.03068181818181818</x:v>
      </x:c>
      <x:c r="L336" s="95" t="n">
        <x:v>27</x:v>
      </x:c>
      <x:c r="M336" s="97" t="n">
        <x:v>0.3662</x:v>
      </x:c>
      <x:c r="N336" s="97" t="n">
        <x:f>ROUND(L336*M336,2)</x:f>
        <x:v>9.89</x:v>
      </x:c>
      <x:c r="O336" s="94" t="n">
        <x:v>8</x:v>
      </x:c>
      <x:c r="P336" s="94" t="str">
        <x:v>模拟：Google/Microsoft Ads采购导入</x:v>
      </x:c>
    </x:row>
    <x:row r="337">
      <x:c r="A337" s="92" t="str">
        <x:v>PROC-0336</x:v>
      </x:c>
      <x:c r="B337" s="93" t="n">
        <x:v>46083</x:v>
      </x:c>
      <x:c r="C337" s="94" t="str">
        <x:v>Google Ads</x:v>
      </x:c>
      <x:c r="D337" s="94" t="str">
        <x:v>日本</x:v>
      </x:c>
      <x:c r="E337" s="94" t="str">
        <x:v>GGL-C19</x:v>
      </x:c>
      <x:c r="F337" s="94" t="str">
        <x:v>竞品搜索</x:v>
      </x:c>
      <x:c r="G337" s="94" t="str">
        <x:v>价格替代</x:v>
      </x:c>
      <x:c r="H337" s="94" t="str">
        <x:v>移动端</x:v>
      </x:c>
      <x:c r="I337" s="94" t="str">
        <x:v>CPC</x:v>
      </x:c>
      <x:c r="J337" s="95" t="n">
        <x:v>1093</x:v>
      </x:c>
      <x:c r="K337" s="96" t="n">
        <x:f>IFERROR(L337/J337,0)</x:f>
        <x:v>0.03110704483074108</x:v>
      </x:c>
      <x:c r="L337" s="95" t="n">
        <x:v>34</x:v>
      </x:c>
      <x:c r="M337" s="97" t="n">
        <x:v>0.346</x:v>
      </x:c>
      <x:c r="N337" s="97" t="n">
        <x:f>ROUND(L337*M337,2)</x:f>
        <x:v>11.76</x:v>
      </x:c>
      <x:c r="O337" s="94" t="n">
        <x:v>7</x:v>
      </x:c>
      <x:c r="P337" s="94" t="str">
        <x:v>模拟：Google/Microsoft Ads采购导入</x:v>
      </x:c>
    </x:row>
    <x:row r="338">
      <x:c r="A338" s="92" t="str">
        <x:v>PROC-0337</x:v>
      </x:c>
      <x:c r="B338" s="93" t="n">
        <x:v>46083</x:v>
      </x:c>
      <x:c r="C338" s="94" t="str">
        <x:v>Google Ads</x:v>
      </x:c>
      <x:c r="D338" s="94" t="str">
        <x:v>英国</x:v>
      </x:c>
      <x:c r="E338" s="94" t="str">
        <x:v>GGL-C03</x:v>
      </x:c>
      <x:c r="F338" s="94" t="str">
        <x:v>竞品搜索</x:v>
      </x:c>
      <x:c r="G338" s="94" t="str">
        <x:v>替代品比较</x:v>
      </x:c>
      <x:c r="H338" s="94" t="str">
        <x:v>移动端</x:v>
      </x:c>
      <x:c r="I338" s="94" t="str">
        <x:v>CPC</x:v>
      </x:c>
      <x:c r="J338" s="95" t="n">
        <x:v>517</x:v>
      </x:c>
      <x:c r="K338" s="96" t="n">
        <x:f>IFERROR(L338/J338,0)</x:f>
        <x:v>0.03288201160541586</x:v>
      </x:c>
      <x:c r="L338" s="95" t="n">
        <x:v>17</x:v>
      </x:c>
      <x:c r="M338" s="97" t="n">
        <x:v>0.4527</x:v>
      </x:c>
      <x:c r="N338" s="97" t="n">
        <x:f>ROUND(L338*M338,2)</x:f>
        <x:v>7.7</x:v>
      </x:c>
      <x:c r="O338" s="94" t="n">
        <x:v>6</x:v>
      </x:c>
      <x:c r="P338" s="94" t="str">
        <x:v>模拟：Google/Microsoft Ads采购导入</x:v>
      </x:c>
    </x:row>
    <x:row r="339">
      <x:c r="A339" s="92" t="str">
        <x:v>PROC-0338</x:v>
      </x:c>
      <x:c r="B339" s="93" t="n">
        <x:v>46083</x:v>
      </x:c>
      <x:c r="C339" s="94" t="str">
        <x:v>Microsoft Ads</x:v>
      </x:c>
      <x:c r="D339" s="94" t="str">
        <x:v>日本</x:v>
      </x:c>
      <x:c r="E339" s="94" t="str">
        <x:v>MSA-C08</x:v>
      </x:c>
      <x:c r="F339" s="94" t="str">
        <x:v>通用搜索</x:v>
      </x:c>
      <x:c r="G339" s="94" t="str">
        <x:v>专业精选</x:v>
      </x:c>
      <x:c r="H339" s="94" t="str">
        <x:v>移动端</x:v>
      </x:c>
      <x:c r="I339" s="94" t="str">
        <x:v>CPC</x:v>
      </x:c>
      <x:c r="J339" s="95" t="n">
        <x:v>1173</x:v>
      </x:c>
      <x:c r="K339" s="96" t="n">
        <x:f>IFERROR(L339/J339,0)</x:f>
        <x:v>0.03410059676044331</x:v>
      </x:c>
      <x:c r="L339" s="95" t="n">
        <x:v>40</x:v>
      </x:c>
      <x:c r="M339" s="97" t="n">
        <x:v>0.1645</x:v>
      </x:c>
      <x:c r="N339" s="97" t="n">
        <x:f>ROUND(L339*M339,2)</x:f>
        <x:v>6.58</x:v>
      </x:c>
      <x:c r="O339" s="94" t="n">
        <x:v>6</x:v>
      </x:c>
      <x:c r="P339" s="94" t="str">
        <x:v>模拟：Google/Microsoft Ads采购导入</x:v>
      </x:c>
    </x:row>
    <x:row r="340">
      <x:c r="A340" s="92" t="str">
        <x:v>PROC-0339</x:v>
      </x:c>
      <x:c r="B340" s="93" t="n">
        <x:v>46084</x:v>
      </x:c>
      <x:c r="C340" s="94" t="str">
        <x:v>Google Ads</x:v>
      </x:c>
      <x:c r="D340" s="94" t="str">
        <x:v>德国</x:v>
      </x:c>
      <x:c r="E340" s="94" t="str">
        <x:v>GGL-C18</x:v>
      </x:c>
      <x:c r="F340" s="94" t="str">
        <x:v>品牌搜索</x:v>
      </x:c>
      <x:c r="G340" s="94" t="str">
        <x:v>品牌优惠词</x:v>
      </x:c>
      <x:c r="H340" s="94" t="str">
        <x:v>移动端</x:v>
      </x:c>
      <x:c r="I340" s="94" t="str">
        <x:v>CPC</x:v>
      </x:c>
      <x:c r="J340" s="95" t="n">
        <x:v>765</x:v>
      </x:c>
      <x:c r="K340" s="96" t="n">
        <x:f>IFERROR(L340/J340,0)</x:f>
        <x:v>0.05751633986928104</x:v>
      </x:c>
      <x:c r="L340" s="95" t="n">
        <x:v>44</x:v>
      </x:c>
      <x:c r="M340" s="97" t="n">
        <x:v>0.1826</x:v>
      </x:c>
      <x:c r="N340" s="97" t="n">
        <x:f>ROUND(L340*M340,2)</x:f>
        <x:v>8.03</x:v>
      </x:c>
      <x:c r="O340" s="94" t="n">
        <x:v>8</x:v>
      </x:c>
      <x:c r="P340" s="94" t="str">
        <x:v>模拟：Google/Microsoft Ads采购导入</x:v>
      </x:c>
    </x:row>
    <x:row r="341">
      <x:c r="A341" s="92" t="str">
        <x:v>PROC-0340</x:v>
      </x:c>
      <x:c r="B341" s="93" t="n">
        <x:v>46084</x:v>
      </x:c>
      <x:c r="C341" s="94" t="str">
        <x:v>Microsoft Ads</x:v>
      </x:c>
      <x:c r="D341" s="94" t="str">
        <x:v>美国</x:v>
      </x:c>
      <x:c r="E341" s="94" t="str">
        <x:v>MSA-C02</x:v>
      </x:c>
      <x:c r="F341" s="94" t="str">
        <x:v>购物广告</x:v>
      </x:c>
      <x:c r="G341" s="94" t="str">
        <x:v>价格比较</x:v>
      </x:c>
      <x:c r="H341" s="94" t="str">
        <x:v>移动端</x:v>
      </x:c>
      <x:c r="I341" s="94" t="str">
        <x:v>CPC</x:v>
      </x:c>
      <x:c r="J341" s="95" t="n">
        <x:v>883</x:v>
      </x:c>
      <x:c r="K341" s="96" t="n">
        <x:f>IFERROR(L341/J341,0)</x:f>
        <x:v>0.0464326160815402</x:v>
      </x:c>
      <x:c r="L341" s="95" t="n">
        <x:v>41</x:v>
      </x:c>
      <x:c r="M341" s="97" t="n">
        <x:v>0.3169</x:v>
      </x:c>
      <x:c r="N341" s="97" t="n">
        <x:f>ROUND(L341*M341,2)</x:f>
        <x:v>12.99</x:v>
      </x:c>
      <x:c r="O341" s="94" t="n">
        <x:v>6</x:v>
      </x:c>
      <x:c r="P341" s="94" t="str">
        <x:v>模拟：Google/Microsoft Ads采购导入</x:v>
      </x:c>
    </x:row>
    <x:row r="342">
      <x:c r="A342" s="92" t="str">
        <x:v>PROC-0341</x:v>
      </x:c>
      <x:c r="B342" s="93" t="n">
        <x:v>46084</x:v>
      </x:c>
      <x:c r="C342" s="94" t="str">
        <x:v>Microsoft Ads</x:v>
      </x:c>
      <x:c r="D342" s="94" t="str">
        <x:v>英国</x:v>
      </x:c>
      <x:c r="E342" s="94" t="str">
        <x:v>MSA-C06</x:v>
      </x:c>
      <x:c r="F342" s="94" t="str">
        <x:v>品牌搜索</x:v>
      </x:c>
      <x:c r="G342" s="94" t="str">
        <x:v>品牌购买词</x:v>
      </x:c>
      <x:c r="H342" s="94" t="str">
        <x:v>移动端</x:v>
      </x:c>
      <x:c r="I342" s="94" t="str">
        <x:v>CPC</x:v>
      </x:c>
      <x:c r="J342" s="95" t="n">
        <x:v>1471</x:v>
      </x:c>
      <x:c r="K342" s="96" t="n">
        <x:f>IFERROR(L342/J342,0)</x:f>
        <x:v>0.06594153636981645</x:v>
      </x:c>
      <x:c r="L342" s="95" t="n">
        <x:v>97</x:v>
      </x:c>
      <x:c r="M342" s="97" t="n">
        <x:v>0.1926</x:v>
      </x:c>
      <x:c r="N342" s="97" t="n">
        <x:f>ROUND(L342*M342,2)</x:f>
        <x:v>18.68</x:v>
      </x:c>
      <x:c r="O342" s="94" t="n">
        <x:v>8</x:v>
      </x:c>
      <x:c r="P342" s="94" t="str">
        <x:v>模拟：Google/Microsoft Ads采购导入</x:v>
      </x:c>
    </x:row>
    <x:row r="343">
      <x:c r="A343" s="92" t="str">
        <x:v>PROC-0342</x:v>
      </x:c>
      <x:c r="B343" s="93" t="n">
        <x:v>46084</x:v>
      </x:c>
      <x:c r="C343" s="94" t="str">
        <x:v>Google Ads</x:v>
      </x:c>
      <x:c r="D343" s="94" t="str">
        <x:v>日本</x:v>
      </x:c>
      <x:c r="E343" s="94" t="str">
        <x:v>GGL-C16</x:v>
      </x:c>
      <x:c r="F343" s="94" t="str">
        <x:v>通用搜索</x:v>
      </x:c>
      <x:c r="G343" s="94" t="str">
        <x:v>热门新品</x:v>
      </x:c>
      <x:c r="H343" s="94" t="str">
        <x:v>移动端</x:v>
      </x:c>
      <x:c r="I343" s="94" t="str">
        <x:v>CPC</x:v>
      </x:c>
      <x:c r="J343" s="95" t="n">
        <x:v>1103</x:v>
      </x:c>
      <x:c r="K343" s="96" t="n">
        <x:f>IFERROR(L343/J343,0)</x:f>
        <x:v>0.033544877606527655</x:v>
      </x:c>
      <x:c r="L343" s="95" t="n">
        <x:v>37</x:v>
      </x:c>
      <x:c r="M343" s="97" t="n">
        <x:v>0.2707</x:v>
      </x:c>
      <x:c r="N343" s="97" t="n">
        <x:f>ROUND(L343*M343,2)</x:f>
        <x:v>10.02</x:v>
      </x:c>
      <x:c r="O343" s="94" t="n">
        <x:v>9</x:v>
      </x:c>
      <x:c r="P343" s="94" t="str">
        <x:v>模拟：Google/Microsoft Ads采购导入</x:v>
      </x:c>
    </x:row>
    <x:row r="344">
      <x:c r="A344" s="92" t="str">
        <x:v>PROC-0343</x:v>
      </x:c>
      <x:c r="B344" s="93" t="n">
        <x:v>46084</x:v>
      </x:c>
      <x:c r="C344" s="94" t="str">
        <x:v>Google Ads</x:v>
      </x:c>
      <x:c r="D344" s="94" t="str">
        <x:v>英国</x:v>
      </x:c>
      <x:c r="E344" s="94" t="str">
        <x:v>GGL-C23</x:v>
      </x:c>
      <x:c r="F344" s="94" t="str">
        <x:v>品牌搜索</x:v>
      </x:c>
      <x:c r="G344" s="94" t="str">
        <x:v>品牌型号词</x:v>
      </x:c>
      <x:c r="H344" s="94" t="str">
        <x:v>桌面端</x:v>
      </x:c>
      <x:c r="I344" s="94" t="str">
        <x:v>CPC</x:v>
      </x:c>
      <x:c r="J344" s="95" t="n">
        <x:v>975</x:v>
      </x:c>
      <x:c r="K344" s="96" t="n">
        <x:f>IFERROR(L344/J344,0)</x:f>
        <x:v>0.05641025641025641</x:v>
      </x:c>
      <x:c r="L344" s="95" t="n">
        <x:v>55</x:v>
      </x:c>
      <x:c r="M344" s="97" t="n">
        <x:v>0.2583</x:v>
      </x:c>
      <x:c r="N344" s="97" t="n">
        <x:f>ROUND(L344*M344,2)</x:f>
        <x:v>14.21</x:v>
      </x:c>
      <x:c r="O344" s="94" t="n">
        <x:v>10</x:v>
      </x:c>
      <x:c r="P344" s="94" t="str">
        <x:v>模拟：Google/Microsoft Ads采购导入</x:v>
      </x:c>
    </x:row>
    <x:row r="345">
      <x:c r="A345" s="92" t="str">
        <x:v>PROC-0344</x:v>
      </x:c>
      <x:c r="B345" s="93" t="n">
        <x:v>46085</x:v>
      </x:c>
      <x:c r="C345" s="94" t="str">
        <x:v>Google Ads</x:v>
      </x:c>
      <x:c r="D345" s="94" t="str">
        <x:v>美国</x:v>
      </x:c>
      <x:c r="E345" s="94" t="str">
        <x:v>GGL-C04</x:v>
      </x:c>
      <x:c r="F345" s="94" t="str">
        <x:v>品牌搜索</x:v>
      </x:c>
      <x:c r="G345" s="94" t="str">
        <x:v>品牌优惠词</x:v>
      </x:c>
      <x:c r="H345" s="94" t="str">
        <x:v>移动端</x:v>
      </x:c>
      <x:c r="I345" s="94" t="str">
        <x:v>CPC</x:v>
      </x:c>
      <x:c r="J345" s="95" t="n">
        <x:v>621</x:v>
      </x:c>
      <x:c r="K345" s="96" t="n">
        <x:f>IFERROR(L345/J345,0)</x:f>
        <x:v>0.05152979066022544</x:v>
      </x:c>
      <x:c r="L345" s="95" t="n">
        <x:v>32</x:v>
      </x:c>
      <x:c r="M345" s="97" t="n">
        <x:v>0.275</x:v>
      </x:c>
      <x:c r="N345" s="97" t="n">
        <x:f>ROUND(L345*M345,2)</x:f>
        <x:v>8.8</x:v>
      </x:c>
      <x:c r="O345" s="94" t="n">
        <x:v>7</x:v>
      </x:c>
      <x:c r="P345" s="94" t="str">
        <x:v>模拟：Google/Microsoft Ads采购导入</x:v>
      </x:c>
    </x:row>
    <x:row r="346">
      <x:c r="A346" s="92" t="str">
        <x:v>PROC-0345</x:v>
      </x:c>
      <x:c r="B346" s="93" t="n">
        <x:v>46085</x:v>
      </x:c>
      <x:c r="C346" s="94" t="str">
        <x:v>Microsoft Ads</x:v>
      </x:c>
      <x:c r="D346" s="94" t="str">
        <x:v>美国</x:v>
      </x:c>
      <x:c r="E346" s="94" t="str">
        <x:v>MSA-C10</x:v>
      </x:c>
      <x:c r="F346" s="94" t="str">
        <x:v>品牌搜索</x:v>
      </x:c>
      <x:c r="G346" s="94" t="str">
        <x:v>品牌评测词</x:v>
      </x:c>
      <x:c r="H346" s="94" t="str">
        <x:v>桌面端</x:v>
      </x:c>
      <x:c r="I346" s="94" t="str">
        <x:v>CPC</x:v>
      </x:c>
      <x:c r="J346" s="95" t="n">
        <x:v>972</x:v>
      </x:c>
      <x:c r="K346" s="96" t="n">
        <x:f>IFERROR(L346/J346,0)</x:f>
        <x:v>0.06584362139917696</x:v>
      </x:c>
      <x:c r="L346" s="95" t="n">
        <x:v>64</x:v>
      </x:c>
      <x:c r="M346" s="97" t="n">
        <x:v>0.2144</x:v>
      </x:c>
      <x:c r="N346" s="97" t="n">
        <x:f>ROUND(L346*M346,2)</x:f>
        <x:v>13.72</x:v>
      </x:c>
      <x:c r="O346" s="94" t="n">
        <x:v>9</x:v>
      </x:c>
      <x:c r="P346" s="94" t="str">
        <x:v>模拟：Google/Microsoft Ads采购导入</x:v>
      </x:c>
    </x:row>
    <x:row r="347">
      <x:c r="A347" s="92" t="str">
        <x:v>PROC-0346</x:v>
      </x:c>
      <x:c r="B347" s="93" t="n">
        <x:v>46085</x:v>
      </x:c>
      <x:c r="C347" s="94" t="str">
        <x:v>Google Ads</x:v>
      </x:c>
      <x:c r="D347" s="94" t="str">
        <x:v>德国</x:v>
      </x:c>
      <x:c r="E347" s="94" t="str">
        <x:v>GGL-C18</x:v>
      </x:c>
      <x:c r="F347" s="94" t="str">
        <x:v>通用搜索</x:v>
      </x:c>
      <x:c r="G347" s="94" t="str">
        <x:v>实用礼物</x:v>
      </x:c>
      <x:c r="H347" s="94" t="str">
        <x:v>桌面端</x:v>
      </x:c>
      <x:c r="I347" s="94" t="str">
        <x:v>CPC</x:v>
      </x:c>
      <x:c r="J347" s="95" t="n">
        <x:v>1229</x:v>
      </x:c>
      <x:c r="K347" s="96" t="n">
        <x:f>IFERROR(L347/J347,0)</x:f>
        <x:v>0.03336045565500407</x:v>
      </x:c>
      <x:c r="L347" s="95" t="n">
        <x:v>41</x:v>
      </x:c>
      <x:c r="M347" s="97" t="n">
        <x:v>0.2345</x:v>
      </x:c>
      <x:c r="N347" s="97" t="n">
        <x:f>ROUND(L347*M347,2)</x:f>
        <x:v>9.61</x:v>
      </x:c>
      <x:c r="O347" s="94" t="n">
        <x:v>6</x:v>
      </x:c>
      <x:c r="P347" s="94" t="str">
        <x:v>模拟：Google/Microsoft Ads采购导入</x:v>
      </x:c>
    </x:row>
    <x:row r="348">
      <x:c r="A348" s="92" t="str">
        <x:v>PROC-0347</x:v>
      </x:c>
      <x:c r="B348" s="93" t="n">
        <x:v>46085</x:v>
      </x:c>
      <x:c r="C348" s="94" t="str">
        <x:v>Google Ads</x:v>
      </x:c>
      <x:c r="D348" s="94" t="str">
        <x:v>德国</x:v>
      </x:c>
      <x:c r="E348" s="94" t="str">
        <x:v>GGL-C23</x:v>
      </x:c>
      <x:c r="F348" s="94" t="str">
        <x:v>通用搜索</x:v>
      </x:c>
      <x:c r="G348" s="94" t="str">
        <x:v>热门新品</x:v>
      </x:c>
      <x:c r="H348" s="94" t="str">
        <x:v>桌面端</x:v>
      </x:c>
      <x:c r="I348" s="94" t="str">
        <x:v>CPC</x:v>
      </x:c>
      <x:c r="J348" s="95" t="n">
        <x:v>794</x:v>
      </x:c>
      <x:c r="K348" s="96" t="n">
        <x:f>IFERROR(L348/J348,0)</x:f>
        <x:v>0.03400503778337532</x:v>
      </x:c>
      <x:c r="L348" s="95" t="n">
        <x:v>27</x:v>
      </x:c>
      <x:c r="M348" s="97" t="n">
        <x:v>0.3009</x:v>
      </x:c>
      <x:c r="N348" s="97" t="n">
        <x:f>ROUND(L348*M348,2)</x:f>
        <x:v>8.12</x:v>
      </x:c>
      <x:c r="O348" s="94" t="n">
        <x:v>7</x:v>
      </x:c>
      <x:c r="P348" s="94" t="str">
        <x:v>模拟：Google/Microsoft Ads采购导入</x:v>
      </x:c>
    </x:row>
    <x:row r="349">
      <x:c r="A349" s="92" t="str">
        <x:v>PROC-0348</x:v>
      </x:c>
      <x:c r="B349" s="93" t="n">
        <x:v>46085</x:v>
      </x:c>
      <x:c r="C349" s="94" t="str">
        <x:v>Microsoft Ads</x:v>
      </x:c>
      <x:c r="D349" s="94" t="str">
        <x:v>英国</x:v>
      </x:c>
      <x:c r="E349" s="94" t="str">
        <x:v>MSA-C10</x:v>
      </x:c>
      <x:c r="F349" s="94" t="str">
        <x:v>通用搜索</x:v>
      </x:c>
      <x:c r="G349" s="94" t="str">
        <x:v>家庭必备</x:v>
      </x:c>
      <x:c r="H349" s="94" t="str">
        <x:v>移动端</x:v>
      </x:c>
      <x:c r="I349" s="94" t="str">
        <x:v>CPC</x:v>
      </x:c>
      <x:c r="J349" s="95" t="n">
        <x:v>1214</x:v>
      </x:c>
      <x:c r="K349" s="96" t="n">
        <x:f>IFERROR(L349/J349,0)</x:f>
        <x:v>0.032948929159802305</x:v>
      </x:c>
      <x:c r="L349" s="95" t="n">
        <x:v>40</x:v>
      </x:c>
      <x:c r="M349" s="97" t="n">
        <x:v>0.2163</x:v>
      </x:c>
      <x:c r="N349" s="97" t="n">
        <x:f>ROUND(L349*M349,2)</x:f>
        <x:v>8.65</x:v>
      </x:c>
      <x:c r="O349" s="94" t="n">
        <x:v>6</x:v>
      </x:c>
      <x:c r="P349" s="94" t="str">
        <x:v>模拟：Google/Microsoft Ads采购导入</x:v>
      </x:c>
    </x:row>
    <x:row r="350">
      <x:c r="A350" s="92" t="str">
        <x:v>PROC-0349</x:v>
      </x:c>
      <x:c r="B350" s="93" t="n">
        <x:v>46085</x:v>
      </x:c>
      <x:c r="C350" s="94" t="str">
        <x:v>Microsoft Ads</x:v>
      </x:c>
      <x:c r="D350" s="94" t="str">
        <x:v>德国</x:v>
      </x:c>
      <x:c r="E350" s="94" t="str">
        <x:v>MSA-C14</x:v>
      </x:c>
      <x:c r="F350" s="94" t="str">
        <x:v>通用搜索</x:v>
      </x:c>
      <x:c r="G350" s="94" t="str">
        <x:v>家庭必备</x:v>
      </x:c>
      <x:c r="H350" s="94" t="str">
        <x:v>移动端</x:v>
      </x:c>
      <x:c r="I350" s="94" t="str">
        <x:v>CPC</x:v>
      </x:c>
      <x:c r="J350" s="95" t="n">
        <x:v>899</x:v>
      </x:c>
      <x:c r="K350" s="96" t="n">
        <x:f>IFERROR(L350/J350,0)</x:f>
        <x:v>0.035595105672969966</x:v>
      </x:c>
      <x:c r="L350" s="95" t="n">
        <x:v>32</x:v>
      </x:c>
      <x:c r="M350" s="97" t="n">
        <x:v>0.2013</x:v>
      </x:c>
      <x:c r="N350" s="97" t="n">
        <x:f>ROUND(L350*M350,2)</x:f>
        <x:v>6.44</x:v>
      </x:c>
      <x:c r="O350" s="94" t="n">
        <x:v>8</x:v>
      </x:c>
      <x:c r="P350" s="94" t="str">
        <x:v>模拟：Google/Microsoft Ads采购导入</x:v>
      </x:c>
    </x:row>
    <x:row r="351">
      <x:c r="A351" s="92" t="str">
        <x:v>PROC-0350</x:v>
      </x:c>
      <x:c r="B351" s="93" t="n">
        <x:v>46086</x:v>
      </x:c>
      <x:c r="C351" s="94" t="str">
        <x:v>Google Ads</x:v>
      </x:c>
      <x:c r="D351" s="94" t="str">
        <x:v>德国</x:v>
      </x:c>
      <x:c r="E351" s="94" t="str">
        <x:v>GGL-C22</x:v>
      </x:c>
      <x:c r="F351" s="94" t="str">
        <x:v>购物广告</x:v>
      </x:c>
      <x:c r="G351" s="94" t="str">
        <x:v>快速配送</x:v>
      </x:c>
      <x:c r="H351" s="94" t="str">
        <x:v>移动端</x:v>
      </x:c>
      <x:c r="I351" s="94" t="str">
        <x:v>CPC</x:v>
      </x:c>
      <x:c r="J351" s="95" t="n">
        <x:v>995</x:v>
      </x:c>
      <x:c r="K351" s="96" t="n">
        <x:f>IFERROR(L351/J351,0)</x:f>
        <x:v>0.03919597989949749</x:v>
      </x:c>
      <x:c r="L351" s="95" t="n">
        <x:v>39</x:v>
      </x:c>
      <x:c r="M351" s="97" t="n">
        <x:v>0.329</x:v>
      </x:c>
      <x:c r="N351" s="97" t="n">
        <x:f>ROUND(L351*M351,2)</x:f>
        <x:v>12.83</x:v>
      </x:c>
      <x:c r="O351" s="94" t="n">
        <x:v>8</x:v>
      </x:c>
      <x:c r="P351" s="94" t="str">
        <x:v>模拟：Google/Microsoft Ads采购导入</x:v>
      </x:c>
    </x:row>
    <x:row r="352">
      <x:c r="A352" s="92" t="str">
        <x:v>PROC-0351</x:v>
      </x:c>
      <x:c r="B352" s="93" t="n">
        <x:v>46086</x:v>
      </x:c>
      <x:c r="C352" s="94" t="str">
        <x:v>Google Ads</x:v>
      </x:c>
      <x:c r="D352" s="94" t="str">
        <x:v>日本</x:v>
      </x:c>
      <x:c r="E352" s="94" t="str">
        <x:v>GGL-C07</x:v>
      </x:c>
      <x:c r="F352" s="94" t="str">
        <x:v>通用搜索</x:v>
      </x:c>
      <x:c r="G352" s="94" t="str">
        <x:v>高性价比商品</x:v>
      </x:c>
      <x:c r="H352" s="94" t="str">
        <x:v>桌面端</x:v>
      </x:c>
      <x:c r="I352" s="94" t="str">
        <x:v>CPC</x:v>
      </x:c>
      <x:c r="J352" s="95" t="n">
        <x:v>853</x:v>
      </x:c>
      <x:c r="K352" s="96" t="n">
        <x:f>IFERROR(L352/J352,0)</x:f>
        <x:v>0.03048065650644783</x:v>
      </x:c>
      <x:c r="L352" s="95" t="n">
        <x:v>26</x:v>
      </x:c>
      <x:c r="M352" s="97" t="n">
        <x:v>0.2335</x:v>
      </x:c>
      <x:c r="N352" s="97" t="n">
        <x:f>ROUND(L352*M352,2)</x:f>
        <x:v>6.07</x:v>
      </x:c>
      <x:c r="O352" s="94" t="n">
        <x:v>8</x:v>
      </x:c>
      <x:c r="P352" s="94" t="str">
        <x:v>模拟：Google/Microsoft Ads采购导入</x:v>
      </x:c>
    </x:row>
    <x:row r="353">
      <x:c r="A353" s="92" t="str">
        <x:v>PROC-0352</x:v>
      </x:c>
      <x:c r="B353" s="93" t="n">
        <x:v>46086</x:v>
      </x:c>
      <x:c r="C353" s="94" t="str">
        <x:v>Google Ads</x:v>
      </x:c>
      <x:c r="D353" s="94" t="str">
        <x:v>美国</x:v>
      </x:c>
      <x:c r="E353" s="94" t="str">
        <x:v>GGL-C11</x:v>
      </x:c>
      <x:c r="F353" s="94" t="str">
        <x:v>购物广告</x:v>
      </x:c>
      <x:c r="G353" s="94" t="str">
        <x:v>畅销商品</x:v>
      </x:c>
      <x:c r="H353" s="94" t="str">
        <x:v>移动端</x:v>
      </x:c>
      <x:c r="I353" s="94" t="str">
        <x:v>CPC</x:v>
      </x:c>
      <x:c r="J353" s="95" t="n">
        <x:v>764</x:v>
      </x:c>
      <x:c r="K353" s="96" t="n">
        <x:f>IFERROR(L353/J353,0)</x:f>
        <x:v>0.03926701570680628</x:v>
      </x:c>
      <x:c r="L353" s="95" t="n">
        <x:v>30</x:v>
      </x:c>
      <x:c r="M353" s="97" t="n">
        <x:v>0.3516</x:v>
      </x:c>
      <x:c r="N353" s="97" t="n">
        <x:f>ROUND(L353*M353,2)</x:f>
        <x:v>10.55</x:v>
      </x:c>
      <x:c r="O353" s="94" t="n">
        <x:v>7</x:v>
      </x:c>
      <x:c r="P353" s="94" t="str">
        <x:v>模拟：Google/Microsoft Ads采购导入</x:v>
      </x:c>
    </x:row>
    <x:row r="354">
      <x:c r="A354" s="92" t="str">
        <x:v>PROC-0353</x:v>
      </x:c>
      <x:c r="B354" s="93" t="n">
        <x:v>46086</x:v>
      </x:c>
      <x:c r="C354" s="94" t="str">
        <x:v>Microsoft Ads</x:v>
      </x:c>
      <x:c r="D354" s="94" t="str">
        <x:v>日本</x:v>
      </x:c>
      <x:c r="E354" s="94" t="str">
        <x:v>MSA-C18</x:v>
      </x:c>
      <x:c r="F354" s="94" t="str">
        <x:v>通用搜索</x:v>
      </x:c>
      <x:c r="G354" s="94" t="str">
        <x:v>高性价比商品</x:v>
      </x:c>
      <x:c r="H354" s="94" t="str">
        <x:v>平板</x:v>
      </x:c>
      <x:c r="I354" s="94" t="str">
        <x:v>CPC</x:v>
      </x:c>
      <x:c r="J354" s="95" t="n">
        <x:v>914</x:v>
      </x:c>
      <x:c r="K354" s="96" t="n">
        <x:f>IFERROR(L354/J354,0)</x:f>
        <x:v>0.04048140043763676</x:v>
      </x:c>
      <x:c r="L354" s="95" t="n">
        <x:v>37</x:v>
      </x:c>
      <x:c r="M354" s="97" t="n">
        <x:v>0.1658</x:v>
      </x:c>
      <x:c r="N354" s="97" t="n">
        <x:f>ROUND(L354*M354,2)</x:f>
        <x:v>6.13</x:v>
      </x:c>
      <x:c r="O354" s="94" t="n">
        <x:v>8</x:v>
      </x:c>
      <x:c r="P354" s="94" t="str">
        <x:v>模拟：Google/Microsoft Ads采购导入</x:v>
      </x:c>
    </x:row>
    <x:row r="355">
      <x:c r="A355" s="92" t="str">
        <x:v>PROC-0354</x:v>
      </x:c>
      <x:c r="B355" s="93" t="n">
        <x:v>46086</x:v>
      </x:c>
      <x:c r="C355" s="94" t="str">
        <x:v>Google Ads</x:v>
      </x:c>
      <x:c r="D355" s="94" t="str">
        <x:v>德国</x:v>
      </x:c>
      <x:c r="E355" s="94" t="str">
        <x:v>GGL-C04</x:v>
      </x:c>
      <x:c r="F355" s="94" t="str">
        <x:v>通用搜索</x:v>
      </x:c>
      <x:c r="G355" s="94" t="str">
        <x:v>高性价比商品</x:v>
      </x:c>
      <x:c r="H355" s="94" t="str">
        <x:v>桌面端</x:v>
      </x:c>
      <x:c r="I355" s="94" t="str">
        <x:v>CPC</x:v>
      </x:c>
      <x:c r="J355" s="95" t="n">
        <x:v>1472</x:v>
      </x:c>
      <x:c r="K355" s="96" t="n">
        <x:f>IFERROR(L355/J355,0)</x:f>
        <x:v>0.036684782608695655</x:v>
      </x:c>
      <x:c r="L355" s="95" t="n">
        <x:v>54</x:v>
      </x:c>
      <x:c r="M355" s="97" t="n">
        <x:v>0.3204</x:v>
      </x:c>
      <x:c r="N355" s="97" t="n">
        <x:f>ROUND(L355*M355,2)</x:f>
        <x:v>17.3</x:v>
      </x:c>
      <x:c r="O355" s="94" t="n">
        <x:v>9</x:v>
      </x:c>
      <x:c r="P355" s="94" t="str">
        <x:v>模拟：Google/Microsoft Ads采购导入</x:v>
      </x:c>
    </x:row>
    <x:row r="356">
      <x:c r="A356" s="92" t="str">
        <x:v>PROC-0355</x:v>
      </x:c>
      <x:c r="B356" s="93" t="n">
        <x:v>46087</x:v>
      </x:c>
      <x:c r="C356" s="94" t="str">
        <x:v>Google Ads</x:v>
      </x:c>
      <x:c r="D356" s="94" t="str">
        <x:v>英国</x:v>
      </x:c>
      <x:c r="E356" s="94" t="str">
        <x:v>GGL-C11</x:v>
      </x:c>
      <x:c r="F356" s="94" t="str">
        <x:v>品牌搜索</x:v>
      </x:c>
      <x:c r="G356" s="94" t="str">
        <x:v>品牌配件词</x:v>
      </x:c>
      <x:c r="H356" s="94" t="str">
        <x:v>桌面端</x:v>
      </x:c>
      <x:c r="I356" s="94" t="str">
        <x:v>CPC</x:v>
      </x:c>
      <x:c r="J356" s="95" t="n">
        <x:v>694</x:v>
      </x:c>
      <x:c r="K356" s="96" t="n">
        <x:f>IFERROR(L356/J356,0)</x:f>
        <x:v>0.06484149855907781</x:v>
      </x:c>
      <x:c r="L356" s="95" t="n">
        <x:v>45</x:v>
      </x:c>
      <x:c r="M356" s="97" t="n">
        <x:v>0.1992</x:v>
      </x:c>
      <x:c r="N356" s="97" t="n">
        <x:f>ROUND(L356*M356,2)</x:f>
        <x:v>8.96</x:v>
      </x:c>
      <x:c r="O356" s="94" t="n">
        <x:v>9</x:v>
      </x:c>
      <x:c r="P356" s="94" t="str">
        <x:v>模拟：Google/Microsoft Ads采购导入</x:v>
      </x:c>
    </x:row>
    <x:row r="357">
      <x:c r="A357" s="92" t="str">
        <x:v>PROC-0356</x:v>
      </x:c>
      <x:c r="B357" s="93" t="n">
        <x:v>46087</x:v>
      </x:c>
      <x:c r="C357" s="94" t="str">
        <x:v>Google Ads</x:v>
      </x:c>
      <x:c r="D357" s="94" t="str">
        <x:v>英国</x:v>
      </x:c>
      <x:c r="E357" s="94" t="str">
        <x:v>GGL-C17</x:v>
      </x:c>
      <x:c r="F357" s="94" t="str">
        <x:v>竞品搜索</x:v>
      </x:c>
      <x:c r="G357" s="94" t="str">
        <x:v>竞品评测</x:v>
      </x:c>
      <x:c r="H357" s="94" t="str">
        <x:v>移动端</x:v>
      </x:c>
      <x:c r="I357" s="94" t="str">
        <x:v>CPC</x:v>
      </x:c>
      <x:c r="J357" s="95" t="n">
        <x:v>771</x:v>
      </x:c>
      <x:c r="K357" s="96" t="n">
        <x:f>IFERROR(L357/J357,0)</x:f>
        <x:v>0.0324254215304799</x:v>
      </x:c>
      <x:c r="L357" s="95" t="n">
        <x:v>25</x:v>
      </x:c>
      <x:c r="M357" s="97" t="n">
        <x:v>0.4554</x:v>
      </x:c>
      <x:c r="N357" s="97" t="n">
        <x:f>ROUND(L357*M357,2)</x:f>
        <x:v>11.39</x:v>
      </x:c>
      <x:c r="O357" s="94" t="n">
        <x:v>8</x:v>
      </x:c>
      <x:c r="P357" s="94" t="str">
        <x:v>模拟：Google/Microsoft Ads采购导入</x:v>
      </x:c>
    </x:row>
    <x:row r="358">
      <x:c r="A358" s="92" t="str">
        <x:v>PROC-0357</x:v>
      </x:c>
      <x:c r="B358" s="93" t="n">
        <x:v>46087</x:v>
      </x:c>
      <x:c r="C358" s="94" t="str">
        <x:v>Google Ads</x:v>
      </x:c>
      <x:c r="D358" s="94" t="str">
        <x:v>美国</x:v>
      </x:c>
      <x:c r="E358" s="94" t="str">
        <x:v>GGL-C23</x:v>
      </x:c>
      <x:c r="F358" s="94" t="str">
        <x:v>通用搜索</x:v>
      </x:c>
      <x:c r="G358" s="94" t="str">
        <x:v>高性价比商品</x:v>
      </x:c>
      <x:c r="H358" s="94" t="str">
        <x:v>移动端</x:v>
      </x:c>
      <x:c r="I358" s="94" t="str">
        <x:v>CPC</x:v>
      </x:c>
      <x:c r="J358" s="95" t="n">
        <x:v>1253</x:v>
      </x:c>
      <x:c r="K358" s="96" t="n">
        <x:f>IFERROR(L358/J358,0)</x:f>
        <x:v>0.03192338387869114</x:v>
      </x:c>
      <x:c r="L358" s="95" t="n">
        <x:v>40</x:v>
      </x:c>
      <x:c r="M358" s="97" t="n">
        <x:v>0.3246</x:v>
      </x:c>
      <x:c r="N358" s="97" t="n">
        <x:f>ROUND(L358*M358,2)</x:f>
        <x:v>12.98</x:v>
      </x:c>
      <x:c r="O358" s="94" t="n">
        <x:v>8</x:v>
      </x:c>
      <x:c r="P358" s="94" t="str">
        <x:v>模拟：Google/Microsoft Ads采购导入</x:v>
      </x:c>
    </x:row>
    <x:row r="359">
      <x:c r="A359" s="92" t="str">
        <x:v>PROC-0358</x:v>
      </x:c>
      <x:c r="B359" s="93" t="n">
        <x:v>46087</x:v>
      </x:c>
      <x:c r="C359" s="94" t="str">
        <x:v>Microsoft Ads</x:v>
      </x:c>
      <x:c r="D359" s="94" t="str">
        <x:v>美国</x:v>
      </x:c>
      <x:c r="E359" s="94" t="str">
        <x:v>MSA-C04</x:v>
      </x:c>
      <x:c r="F359" s="94" t="str">
        <x:v>通用搜索</x:v>
      </x:c>
      <x:c r="G359" s="94" t="str">
        <x:v>专业精选</x:v>
      </x:c>
      <x:c r="H359" s="94" t="str">
        <x:v>桌面端</x:v>
      </x:c>
      <x:c r="I359" s="94" t="str">
        <x:v>CPC</x:v>
      </x:c>
      <x:c r="J359" s="95" t="n">
        <x:v>723</x:v>
      </x:c>
      <x:c r="K359" s="96" t="n">
        <x:f>IFERROR(L359/J359,0)</x:f>
        <x:v>0.04149377593360996</x:v>
      </x:c>
      <x:c r="L359" s="95" t="n">
        <x:v>30</x:v>
      </x:c>
      <x:c r="M359" s="97" t="n">
        <x:v>0.2676</x:v>
      </x:c>
      <x:c r="N359" s="97" t="n">
        <x:f>ROUND(L359*M359,2)</x:f>
        <x:v>8.03</x:v>
      </x:c>
      <x:c r="O359" s="94" t="n">
        <x:v>7</x:v>
      </x:c>
      <x:c r="P359" s="94" t="str">
        <x:v>模拟：Google/Microsoft Ads采购导入</x:v>
      </x:c>
    </x:row>
    <x:row r="360">
      <x:c r="A360" s="92" t="str">
        <x:v>PROC-0359</x:v>
      </x:c>
      <x:c r="B360" s="93" t="n">
        <x:v>46087</x:v>
      </x:c>
      <x:c r="C360" s="94" t="str">
        <x:v>Google Ads</x:v>
      </x:c>
      <x:c r="D360" s="94" t="str">
        <x:v>英国</x:v>
      </x:c>
      <x:c r="E360" s="94" t="str">
        <x:v>GGL-C13</x:v>
      </x:c>
      <x:c r="F360" s="94" t="str">
        <x:v>竞品搜索</x:v>
      </x:c>
      <x:c r="G360" s="94" t="str">
        <x:v>更优选择</x:v>
      </x:c>
      <x:c r="H360" s="94" t="str">
        <x:v>移动端</x:v>
      </x:c>
      <x:c r="I360" s="94" t="str">
        <x:v>CPC</x:v>
      </x:c>
      <x:c r="J360" s="95" t="n">
        <x:v>1205</x:v>
      </x:c>
      <x:c r="K360" s="96" t="n">
        <x:f>IFERROR(L360/J360,0)</x:f>
        <x:v>0.029045643153526972</x:v>
      </x:c>
      <x:c r="L360" s="95" t="n">
        <x:v>35</x:v>
      </x:c>
      <x:c r="M360" s="97" t="n">
        <x:v>0.4005</x:v>
      </x:c>
      <x:c r="N360" s="97" t="n">
        <x:f>ROUND(L360*M360,2)</x:f>
        <x:v>14.02</x:v>
      </x:c>
      <x:c r="O360" s="94" t="n">
        <x:v>8</x:v>
      </x:c>
      <x:c r="P360" s="94" t="str">
        <x:v>模拟：Google/Microsoft Ads采购导入</x:v>
      </x:c>
    </x:row>
    <x:row r="361">
      <x:c r="A361" s="92" t="str">
        <x:v>PROC-0360</x:v>
      </x:c>
      <x:c r="B361" s="93" t="n">
        <x:v>46087</x:v>
      </x:c>
      <x:c r="C361" s="94" t="str">
        <x:v>Microsoft Ads</x:v>
      </x:c>
      <x:c r="D361" s="94" t="str">
        <x:v>德国</x:v>
      </x:c>
      <x:c r="E361" s="94" t="str">
        <x:v>MSA-C20</x:v>
      </x:c>
      <x:c r="F361" s="94" t="str">
        <x:v>品牌搜索</x:v>
      </x:c>
      <x:c r="G361" s="94" t="str">
        <x:v>品牌型号词</x:v>
      </x:c>
      <x:c r="H361" s="94" t="str">
        <x:v>移动端</x:v>
      </x:c>
      <x:c r="I361" s="94" t="str">
        <x:v>CPC</x:v>
      </x:c>
      <x:c r="J361" s="95" t="n">
        <x:v>781</x:v>
      </x:c>
      <x:c r="K361" s="96" t="n">
        <x:f>IFERROR(L361/J361,0)</x:f>
        <x:v>0.06017925736235595</x:v>
      </x:c>
      <x:c r="L361" s="95" t="n">
        <x:v>47</x:v>
      </x:c>
      <x:c r="M361" s="97" t="n">
        <x:v>0.1627</x:v>
      </x:c>
      <x:c r="N361" s="97" t="n">
        <x:f>ROUND(L361*M361,2)</x:f>
        <x:v>7.65</x:v>
      </x:c>
      <x:c r="O361" s="94" t="n">
        <x:v>7</x:v>
      </x:c>
      <x:c r="P361" s="94" t="str">
        <x:v>模拟：Google/Microsoft Ads采购导入</x:v>
      </x:c>
    </x:row>
    <x:row r="362">
      <x:c r="A362" s="92" t="str">
        <x:v>PROC-0361</x:v>
      </x:c>
      <x:c r="B362" s="93" t="n">
        <x:v>46088</x:v>
      </x:c>
      <x:c r="C362" s="94" t="str">
        <x:v>Google Ads</x:v>
      </x:c>
      <x:c r="D362" s="94" t="str">
        <x:v>日本</x:v>
      </x:c>
      <x:c r="E362" s="94" t="str">
        <x:v>GGL-C03</x:v>
      </x:c>
      <x:c r="F362" s="94" t="str">
        <x:v>购物广告</x:v>
      </x:c>
      <x:c r="G362" s="94" t="str">
        <x:v>畅销商品</x:v>
      </x:c>
      <x:c r="H362" s="94" t="str">
        <x:v>桌面端</x:v>
      </x:c>
      <x:c r="I362" s="94" t="str">
        <x:v>CPC</x:v>
      </x:c>
      <x:c r="J362" s="95" t="n">
        <x:v>773</x:v>
      </x:c>
      <x:c r="K362" s="96" t="n">
        <x:f>IFERROR(L362/J362,0)</x:f>
        <x:v>0.03363518758085381</x:v>
      </x:c>
      <x:c r="L362" s="95" t="n">
        <x:v>26</x:v>
      </x:c>
      <x:c r="M362" s="97" t="n">
        <x:v>0.2658</x:v>
      </x:c>
      <x:c r="N362" s="97" t="n">
        <x:f>ROUND(L362*M362,2)</x:f>
        <x:v>6.91</x:v>
      </x:c>
      <x:c r="O362" s="94" t="n">
        <x:v>8</x:v>
      </x:c>
      <x:c r="P362" s="94" t="str">
        <x:v>模拟：Google/Microsoft Ads采购导入</x:v>
      </x:c>
    </x:row>
    <x:row r="363">
      <x:c r="A363" s="92" t="str">
        <x:v>PROC-0362</x:v>
      </x:c>
      <x:c r="B363" s="93" t="n">
        <x:v>46088</x:v>
      </x:c>
      <x:c r="C363" s="94" t="str">
        <x:v>Microsoft Ads</x:v>
      </x:c>
      <x:c r="D363" s="94" t="str">
        <x:v>美国</x:v>
      </x:c>
      <x:c r="E363" s="94" t="str">
        <x:v>MSA-C09</x:v>
      </x:c>
      <x:c r="F363" s="94" t="str">
        <x:v>通用搜索</x:v>
      </x:c>
      <x:c r="G363" s="94" t="str">
        <x:v>热门新品</x:v>
      </x:c>
      <x:c r="H363" s="94" t="str">
        <x:v>桌面端</x:v>
      </x:c>
      <x:c r="I363" s="94" t="str">
        <x:v>CPC</x:v>
      </x:c>
      <x:c r="J363" s="95" t="n">
        <x:v>1106</x:v>
      </x:c>
      <x:c r="K363" s="96" t="n">
        <x:f>IFERROR(L363/J363,0)</x:f>
        <x:v>0.0379746835443038</x:v>
      </x:c>
      <x:c r="L363" s="95" t="n">
        <x:v>42</x:v>
      </x:c>
      <x:c r="M363" s="97" t="n">
        <x:v>0.2471</x:v>
      </x:c>
      <x:c r="N363" s="97" t="n">
        <x:f>ROUND(L363*M363,2)</x:f>
        <x:v>10.38</x:v>
      </x:c>
      <x:c r="O363" s="94" t="n">
        <x:v>6</x:v>
      </x:c>
      <x:c r="P363" s="94" t="str">
        <x:v>模拟：Google/Microsoft Ads采购导入</x:v>
      </x:c>
    </x:row>
    <x:row r="364">
      <x:c r="A364" s="92" t="str">
        <x:v>PROC-0363</x:v>
      </x:c>
      <x:c r="B364" s="93" t="n">
        <x:v>46088</x:v>
      </x:c>
      <x:c r="C364" s="94" t="str">
        <x:v>Microsoft Ads</x:v>
      </x:c>
      <x:c r="D364" s="94" t="str">
        <x:v>英国</x:v>
      </x:c>
      <x:c r="E364" s="94" t="str">
        <x:v>MSA-C15</x:v>
      </x:c>
      <x:c r="F364" s="94" t="str">
        <x:v>购物广告</x:v>
      </x:c>
      <x:c r="G364" s="94" t="str">
        <x:v>折扣商品</x:v>
      </x:c>
      <x:c r="H364" s="94" t="str">
        <x:v>移动端</x:v>
      </x:c>
      <x:c r="I364" s="94" t="str">
        <x:v>CPC</x:v>
      </x:c>
      <x:c r="J364" s="95" t="n">
        <x:v>1399</x:v>
      </x:c>
      <x:c r="K364" s="96" t="n">
        <x:f>IFERROR(L364/J364,0)</x:f>
        <x:v>0.03859899928520372</x:v>
      </x:c>
      <x:c r="L364" s="95" t="n">
        <x:v>54</x:v>
      </x:c>
      <x:c r="M364" s="97" t="n">
        <x:v>0.2183</x:v>
      </x:c>
      <x:c r="N364" s="97" t="n">
        <x:f>ROUND(L364*M364,2)</x:f>
        <x:v>11.79</x:v>
      </x:c>
      <x:c r="O364" s="94" t="n">
        <x:v>6</x:v>
      </x:c>
      <x:c r="P364" s="94" t="str">
        <x:v>模拟：Google/Microsoft Ads采购导入</x:v>
      </x:c>
    </x:row>
    <x:row r="365">
      <x:c r="A365" s="92" t="str">
        <x:v>PROC-0364</x:v>
      </x:c>
      <x:c r="B365" s="93" t="n">
        <x:v>46088</x:v>
      </x:c>
      <x:c r="C365" s="94" t="str">
        <x:v>Google Ads</x:v>
      </x:c>
      <x:c r="D365" s="94" t="str">
        <x:v>美国</x:v>
      </x:c>
      <x:c r="E365" s="94" t="str">
        <x:v>GGL-C22</x:v>
      </x:c>
      <x:c r="F365" s="94" t="str">
        <x:v>品牌搜索</x:v>
      </x:c>
      <x:c r="G365" s="94" t="str">
        <x:v>品牌型号词</x:v>
      </x:c>
      <x:c r="H365" s="94" t="str">
        <x:v>移动端</x:v>
      </x:c>
      <x:c r="I365" s="94" t="str">
        <x:v>CPC</x:v>
      </x:c>
      <x:c r="J365" s="95" t="n">
        <x:v>1333</x:v>
      </x:c>
      <x:c r="K365" s="96" t="n">
        <x:f>IFERROR(L365/J365,0)</x:f>
        <x:v>0.06301575393848462</x:v>
      </x:c>
      <x:c r="L365" s="95" t="n">
        <x:v>84</x:v>
      </x:c>
      <x:c r="M365" s="97" t="n">
        <x:v>0.2105</x:v>
      </x:c>
      <x:c r="N365" s="97" t="n">
        <x:f>ROUND(L365*M365,2)</x:f>
        <x:v>17.68</x:v>
      </x:c>
      <x:c r="O365" s="94" t="n">
        <x:v>8</x:v>
      </x:c>
      <x:c r="P365" s="94" t="str">
        <x:v>模拟：Google/Microsoft Ads采购导入</x:v>
      </x:c>
    </x:row>
    <x:row r="366">
      <x:c r="A366" s="92" t="str">
        <x:v>PROC-0365</x:v>
      </x:c>
      <x:c r="B366" s="93" t="n">
        <x:v>46088</x:v>
      </x:c>
      <x:c r="C366" s="94" t="str">
        <x:v>Google Ads</x:v>
      </x:c>
      <x:c r="D366" s="94" t="str">
        <x:v>美国</x:v>
      </x:c>
      <x:c r="E366" s="94" t="str">
        <x:v>GGL-C06</x:v>
      </x:c>
      <x:c r="F366" s="94" t="str">
        <x:v>通用搜索</x:v>
      </x:c>
      <x:c r="G366" s="94" t="str">
        <x:v>实用礼物</x:v>
      </x:c>
      <x:c r="H366" s="94" t="str">
        <x:v>移动端</x:v>
      </x:c>
      <x:c r="I366" s="94" t="str">
        <x:v>CPC</x:v>
      </x:c>
      <x:c r="J366" s="95" t="n">
        <x:v>891</x:v>
      </x:c>
      <x:c r="K366" s="96" t="n">
        <x:f>IFERROR(L366/J366,0)</x:f>
        <x:v>0.030303030303030304</x:v>
      </x:c>
      <x:c r="L366" s="95" t="n">
        <x:v>27</x:v>
      </x:c>
      <x:c r="M366" s="97" t="n">
        <x:v>0.3069</x:v>
      </x:c>
      <x:c r="N366" s="97" t="n">
        <x:f>ROUND(L366*M366,2)</x:f>
        <x:v>8.29</x:v>
      </x:c>
      <x:c r="O366" s="94" t="n">
        <x:v>7</x:v>
      </x:c>
      <x:c r="P366" s="94" t="str">
        <x:v>模拟：Google/Microsoft Ads采购导入</x:v>
      </x:c>
    </x:row>
    <x:row r="367">
      <x:c r="A367" s="92" t="str">
        <x:v>PROC-0366</x:v>
      </x:c>
      <x:c r="B367" s="93" t="n">
        <x:v>46089</x:v>
      </x:c>
      <x:c r="C367" s="94" t="str">
        <x:v>Microsoft Ads</x:v>
      </x:c>
      <x:c r="D367" s="94" t="str">
        <x:v>德国</x:v>
      </x:c>
      <x:c r="E367" s="94" t="str">
        <x:v>MSA-C14</x:v>
      </x:c>
      <x:c r="F367" s="94" t="str">
        <x:v>竞品搜索</x:v>
      </x:c>
      <x:c r="G367" s="94" t="str">
        <x:v>竞品评测</x:v>
      </x:c>
      <x:c r="H367" s="94" t="str">
        <x:v>移动端</x:v>
      </x:c>
      <x:c r="I367" s="94" t="str">
        <x:v>CPC</x:v>
      </x:c>
      <x:c r="J367" s="95" t="n">
        <x:v>894</x:v>
      </x:c>
      <x:c r="K367" s="96" t="n">
        <x:f>IFERROR(L367/J367,0)</x:f>
        <x:v>0.02796420581655481</x:v>
      </x:c>
      <x:c r="L367" s="95" t="n">
        <x:v>25</x:v>
      </x:c>
      <x:c r="M367" s="97" t="n">
        <x:v>0.326</x:v>
      </x:c>
      <x:c r="N367" s="97" t="n">
        <x:f>ROUND(L367*M367,2)</x:f>
        <x:v>8.15</x:v>
      </x:c>
      <x:c r="O367" s="94" t="n">
        <x:v>7</x:v>
      </x:c>
      <x:c r="P367" s="94" t="str">
        <x:v>模拟：Google/Microsoft Ads采购导入</x:v>
      </x:c>
    </x:row>
    <x:row r="368">
      <x:c r="A368" s="92" t="str">
        <x:v>PROC-0367</x:v>
      </x:c>
      <x:c r="B368" s="93" t="n">
        <x:v>46089</x:v>
      </x:c>
      <x:c r="C368" s="94" t="str">
        <x:v>Google Ads</x:v>
      </x:c>
      <x:c r="D368" s="94" t="str">
        <x:v>德国</x:v>
      </x:c>
      <x:c r="E368" s="94" t="str">
        <x:v>GGL-C21</x:v>
      </x:c>
      <x:c r="F368" s="94" t="str">
        <x:v>品牌搜索</x:v>
      </x:c>
      <x:c r="G368" s="94" t="str">
        <x:v>品牌购买词</x:v>
      </x:c>
      <x:c r="H368" s="94" t="str">
        <x:v>桌面端</x:v>
      </x:c>
      <x:c r="I368" s="94" t="str">
        <x:v>CPC</x:v>
      </x:c>
      <x:c r="J368" s="95" t="n">
        <x:v>1048</x:v>
      </x:c>
      <x:c r="K368" s="96" t="n">
        <x:f>IFERROR(L368/J368,0)</x:f>
        <x:v>0.06393129770992366</x:v>
      </x:c>
      <x:c r="L368" s="95" t="n">
        <x:v>67</x:v>
      </x:c>
      <x:c r="M368" s="97" t="n">
        <x:v>0.2408</x:v>
      </x:c>
      <x:c r="N368" s="97" t="n">
        <x:f>ROUND(L368*M368,2)</x:f>
        <x:v>16.13</x:v>
      </x:c>
      <x:c r="O368" s="94" t="n">
        <x:v>10</x:v>
      </x:c>
      <x:c r="P368" s="94" t="str">
        <x:v>模拟：Google/Microsoft Ads采购导入</x:v>
      </x:c>
    </x:row>
    <x:row r="369">
      <x:c r="A369" s="92" t="str">
        <x:v>PROC-0368</x:v>
      </x:c>
      <x:c r="B369" s="93" t="n">
        <x:v>46089</x:v>
      </x:c>
      <x:c r="C369" s="94" t="str">
        <x:v>Microsoft Ads</x:v>
      </x:c>
      <x:c r="D369" s="94" t="str">
        <x:v>美国</x:v>
      </x:c>
      <x:c r="E369" s="94" t="str">
        <x:v>MSA-C03</x:v>
      </x:c>
      <x:c r="F369" s="94" t="str">
        <x:v>通用搜索</x:v>
      </x:c>
      <x:c r="G369" s="94" t="str">
        <x:v>热门新品</x:v>
      </x:c>
      <x:c r="H369" s="94" t="str">
        <x:v>移动端</x:v>
      </x:c>
      <x:c r="I369" s="94" t="str">
        <x:v>CPC</x:v>
      </x:c>
      <x:c r="J369" s="95" t="n">
        <x:v>957</x:v>
      </x:c>
      <x:c r="K369" s="96" t="n">
        <x:f>IFERROR(L369/J369,0)</x:f>
        <x:v>0.03657262277951933</x:v>
      </x:c>
      <x:c r="L369" s="95" t="n">
        <x:v>35</x:v>
      </x:c>
      <x:c r="M369" s="97" t="n">
        <x:v>0.2165</x:v>
      </x:c>
      <x:c r="N369" s="97" t="n">
        <x:f>ROUND(L369*M369,2)</x:f>
        <x:v>7.58</x:v>
      </x:c>
      <x:c r="O369" s="94" t="n">
        <x:v>6</x:v>
      </x:c>
      <x:c r="P369" s="94" t="str">
        <x:v>模拟：Google/Microsoft Ads采购导入</x:v>
      </x:c>
    </x:row>
    <x:row r="370">
      <x:c r="A370" s="92" t="str">
        <x:v>PROC-0369</x:v>
      </x:c>
      <x:c r="B370" s="93" t="n">
        <x:v>46089</x:v>
      </x:c>
      <x:c r="C370" s="94" t="str">
        <x:v>Google Ads</x:v>
      </x:c>
      <x:c r="D370" s="94" t="str">
        <x:v>英国</x:v>
      </x:c>
      <x:c r="E370" s="94" t="str">
        <x:v>GGL-C11</x:v>
      </x:c>
      <x:c r="F370" s="94" t="str">
        <x:v>通用搜索</x:v>
      </x:c>
      <x:c r="G370" s="94" t="str">
        <x:v>高性价比商品</x:v>
      </x:c>
      <x:c r="H370" s="94" t="str">
        <x:v>移动端</x:v>
      </x:c>
      <x:c r="I370" s="94" t="str">
        <x:v>CPC</x:v>
      </x:c>
      <x:c r="J370" s="95" t="n">
        <x:v>1096</x:v>
      </x:c>
      <x:c r="K370" s="96" t="n">
        <x:f>IFERROR(L370/J370,0)</x:f>
        <x:v>0.04105839416058394</x:v>
      </x:c>
      <x:c r="L370" s="95" t="n">
        <x:v>45</x:v>
      </x:c>
      <x:c r="M370" s="97" t="n">
        <x:v>0.2801</x:v>
      </x:c>
      <x:c r="N370" s="97" t="n">
        <x:f>ROUND(L370*M370,2)</x:f>
        <x:v>12.6</x:v>
      </x:c>
      <x:c r="O370" s="94" t="n">
        <x:v>7</x:v>
      </x:c>
      <x:c r="P370" s="94" t="str">
        <x:v>模拟：Google/Microsoft Ads采购导入</x:v>
      </x:c>
    </x:row>
    <x:row r="371">
      <x:c r="A371" s="92" t="str">
        <x:v>PROC-0370</x:v>
      </x:c>
      <x:c r="B371" s="93" t="n">
        <x:v>46089</x:v>
      </x:c>
      <x:c r="C371" s="94" t="str">
        <x:v>Google Ads</x:v>
      </x:c>
      <x:c r="D371" s="94" t="str">
        <x:v>日本</x:v>
      </x:c>
      <x:c r="E371" s="94" t="str">
        <x:v>GGL-C19</x:v>
      </x:c>
      <x:c r="F371" s="94" t="str">
        <x:v>购物广告</x:v>
      </x:c>
      <x:c r="G371" s="94" t="str">
        <x:v>快速配送</x:v>
      </x:c>
      <x:c r="H371" s="94" t="str">
        <x:v>移动端</x:v>
      </x:c>
      <x:c r="I371" s="94" t="str">
        <x:v>CPC</x:v>
      </x:c>
      <x:c r="J371" s="95" t="n">
        <x:v>797</x:v>
      </x:c>
      <x:c r="K371" s="96" t="n">
        <x:f>IFERROR(L371/J371,0)</x:f>
        <x:v>0.03638644918444166</x:v>
      </x:c>
      <x:c r="L371" s="95" t="n">
        <x:v>29</x:v>
      </x:c>
      <x:c r="M371" s="97" t="n">
        <x:v>0.245</x:v>
      </x:c>
      <x:c r="N371" s="97" t="n">
        <x:f>ROUND(L371*M371,2)</x:f>
        <x:v>7.11</x:v>
      </x:c>
      <x:c r="O371" s="94" t="n">
        <x:v>8</x:v>
      </x:c>
      <x:c r="P371" s="94" t="str">
        <x:v>模拟：Google/Microsoft Ads采购导入</x:v>
      </x:c>
    </x:row>
    <x:row r="372">
      <x:c r="A372" s="92" t="str">
        <x:v>PROC-0371</x:v>
      </x:c>
      <x:c r="B372" s="93" t="n">
        <x:v>46089</x:v>
      </x:c>
      <x:c r="C372" s="94" t="str">
        <x:v>Google Ads</x:v>
      </x:c>
      <x:c r="D372" s="94" t="str">
        <x:v>德国</x:v>
      </x:c>
      <x:c r="E372" s="94" t="str">
        <x:v>GGL-C03</x:v>
      </x:c>
      <x:c r="F372" s="94" t="str">
        <x:v>竞品搜索</x:v>
      </x:c>
      <x:c r="G372" s="94" t="str">
        <x:v>替代品比较</x:v>
      </x:c>
      <x:c r="H372" s="94" t="str">
        <x:v>桌面端</x:v>
      </x:c>
      <x:c r="I372" s="94" t="str">
        <x:v>CPC</x:v>
      </x:c>
      <x:c r="J372" s="95" t="n">
        <x:v>1044</x:v>
      </x:c>
      <x:c r="K372" s="96" t="n">
        <x:f>IFERROR(L372/J372,0)</x:f>
        <x:v>0.034482758620689655</x:v>
      </x:c>
      <x:c r="L372" s="95" t="n">
        <x:v>36</x:v>
      </x:c>
      <x:c r="M372" s="97" t="n">
        <x:v>0.3798</x:v>
      </x:c>
      <x:c r="N372" s="97" t="n">
        <x:f>ROUND(L372*M372,2)</x:f>
        <x:v>13.67</x:v>
      </x:c>
      <x:c r="O372" s="94" t="n">
        <x:v>9</x:v>
      </x:c>
      <x:c r="P372" s="94" t="str">
        <x:v>模拟：Google/Microsoft Ads采购导入</x:v>
      </x:c>
    </x:row>
    <x:row r="373">
      <x:c r="A373" s="92" t="str">
        <x:v>PROC-0372</x:v>
      </x:c>
      <x:c r="B373" s="93" t="n">
        <x:v>46090</x:v>
      </x:c>
      <x:c r="C373" s="94" t="str">
        <x:v>Microsoft Ads</x:v>
      </x:c>
      <x:c r="D373" s="94" t="str">
        <x:v>美国</x:v>
      </x:c>
      <x:c r="E373" s="94" t="str">
        <x:v>MSA-C06</x:v>
      </x:c>
      <x:c r="F373" s="94" t="str">
        <x:v>通用搜索</x:v>
      </x:c>
      <x:c r="G373" s="94" t="str">
        <x:v>专业精选</x:v>
      </x:c>
      <x:c r="H373" s="94" t="str">
        <x:v>移动端</x:v>
      </x:c>
      <x:c r="I373" s="94" t="str">
        <x:v>CPC</x:v>
      </x:c>
      <x:c r="J373" s="95" t="n">
        <x:v>832</x:v>
      </x:c>
      <x:c r="K373" s="96" t="n">
        <x:f>IFERROR(L373/J373,0)</x:f>
        <x:v>0.03245192307692308</x:v>
      </x:c>
      <x:c r="L373" s="95" t="n">
        <x:v>27</x:v>
      </x:c>
      <x:c r="M373" s="97" t="n">
        <x:v>0.2591</x:v>
      </x:c>
      <x:c r="N373" s="97" t="n">
        <x:f>ROUND(L373*M373,2)</x:f>
        <x:v>7</x:v>
      </x:c>
      <x:c r="O373" s="94" t="n">
        <x:v>8</x:v>
      </x:c>
      <x:c r="P373" s="94" t="str">
        <x:v>模拟：Google/Microsoft Ads采购导入</x:v>
      </x:c>
    </x:row>
    <x:row r="374">
      <x:c r="A374" s="92" t="str">
        <x:v>PROC-0373</x:v>
      </x:c>
      <x:c r="B374" s="93" t="n">
        <x:v>46090</x:v>
      </x:c>
      <x:c r="C374" s="94" t="str">
        <x:v>Google Ads</x:v>
      </x:c>
      <x:c r="D374" s="94" t="str">
        <x:v>日本</x:v>
      </x:c>
      <x:c r="E374" s="94" t="str">
        <x:v>GGL-C13</x:v>
      </x:c>
      <x:c r="F374" s="94" t="str">
        <x:v>购物广告</x:v>
      </x:c>
      <x:c r="G374" s="94" t="str">
        <x:v>价格比较</x:v>
      </x:c>
      <x:c r="H374" s="94" t="str">
        <x:v>移动端</x:v>
      </x:c>
      <x:c r="I374" s="94" t="str">
        <x:v>CPC</x:v>
      </x:c>
      <x:c r="J374" s="95" t="n">
        <x:v>1270</x:v>
      </x:c>
      <x:c r="K374" s="96" t="n">
        <x:f>IFERROR(L374/J374,0)</x:f>
        <x:v>0.03464566929133858</x:v>
      </x:c>
      <x:c r="L374" s="95" t="n">
        <x:v>44</x:v>
      </x:c>
      <x:c r="M374" s="97" t="n">
        <x:v>0.2511</x:v>
      </x:c>
      <x:c r="N374" s="97" t="n">
        <x:f>ROUND(L374*M374,2)</x:f>
        <x:v>11.05</x:v>
      </x:c>
      <x:c r="O374" s="94" t="n">
        <x:v>7</x:v>
      </x:c>
      <x:c r="P374" s="94" t="str">
        <x:v>模拟：Google/Microsoft Ads采购导入</x:v>
      </x:c>
    </x:row>
    <x:row r="375">
      <x:c r="A375" s="92" t="str">
        <x:v>PROC-0374</x:v>
      </x:c>
      <x:c r="B375" s="93" t="n">
        <x:v>46090</x:v>
      </x:c>
      <x:c r="C375" s="94" t="str">
        <x:v>Microsoft Ads</x:v>
      </x:c>
      <x:c r="D375" s="94" t="str">
        <x:v>日本</x:v>
      </x:c>
      <x:c r="E375" s="94" t="str">
        <x:v>MSA-C22</x:v>
      </x:c>
      <x:c r="F375" s="94" t="str">
        <x:v>购物广告</x:v>
      </x:c>
      <x:c r="G375" s="94" t="str">
        <x:v>折扣商品</x:v>
      </x:c>
      <x:c r="H375" s="94" t="str">
        <x:v>桌面端</x:v>
      </x:c>
      <x:c r="I375" s="94" t="str">
        <x:v>CPC</x:v>
      </x:c>
      <x:c r="J375" s="95" t="n">
        <x:v>1701</x:v>
      </x:c>
      <x:c r="K375" s="96" t="n">
        <x:f>IFERROR(L375/J375,0)</x:f>
        <x:v>0.041740152851263965</x:v>
      </x:c>
      <x:c r="L375" s="95" t="n">
        <x:v>71</x:v>
      </x:c>
      <x:c r="M375" s="97" t="n">
        <x:v>0.2226</x:v>
      </x:c>
      <x:c r="N375" s="97" t="n">
        <x:f>ROUND(L375*M375,2)</x:f>
        <x:v>15.8</x:v>
      </x:c>
      <x:c r="O375" s="94" t="n">
        <x:v>8</x:v>
      </x:c>
      <x:c r="P375" s="94" t="str">
        <x:v>模拟：Google/Microsoft Ads采购导入</x:v>
      </x:c>
    </x:row>
    <x:row r="376">
      <x:c r="A376" s="92" t="str">
        <x:v>PROC-0375</x:v>
      </x:c>
      <x:c r="B376" s="93" t="n">
        <x:v>46090</x:v>
      </x:c>
      <x:c r="C376" s="94" t="str">
        <x:v>Google Ads</x:v>
      </x:c>
      <x:c r="D376" s="94" t="str">
        <x:v>日本</x:v>
      </x:c>
      <x:c r="E376" s="94" t="str">
        <x:v>GGL-C06</x:v>
      </x:c>
      <x:c r="F376" s="94" t="str">
        <x:v>品牌搜索</x:v>
      </x:c>
      <x:c r="G376" s="94" t="str">
        <x:v>品牌评测词</x:v>
      </x:c>
      <x:c r="H376" s="94" t="str">
        <x:v>移动端</x:v>
      </x:c>
      <x:c r="I376" s="94" t="str">
        <x:v>CPC</x:v>
      </x:c>
      <x:c r="J376" s="95" t="n">
        <x:v>746</x:v>
      </x:c>
      <x:c r="K376" s="96" t="n">
        <x:f>IFERROR(L376/J376,0)</x:f>
        <x:v>0.04825737265415549</x:v>
      </x:c>
      <x:c r="L376" s="95" t="n">
        <x:v>36</x:v>
      </x:c>
      <x:c r="M376" s="97" t="n">
        <x:v>0.187</x:v>
      </x:c>
      <x:c r="N376" s="97" t="n">
        <x:f>ROUND(L376*M376,2)</x:f>
        <x:v>6.73</x:v>
      </x:c>
      <x:c r="O376" s="94" t="n">
        <x:v>8</x:v>
      </x:c>
      <x:c r="P376" s="94" t="str">
        <x:v>模拟：Google/Microsoft Ads采购导入</x:v>
      </x:c>
    </x:row>
    <x:row r="377">
      <x:c r="A377" s="92" t="str">
        <x:v>PROC-0376</x:v>
      </x:c>
      <x:c r="B377" s="93" t="n">
        <x:v>46090</x:v>
      </x:c>
      <x:c r="C377" s="94" t="str">
        <x:v>Google Ads</x:v>
      </x:c>
      <x:c r="D377" s="94" t="str">
        <x:v>美国</x:v>
      </x:c>
      <x:c r="E377" s="94" t="str">
        <x:v>GGL-C13</x:v>
      </x:c>
      <x:c r="F377" s="94" t="str">
        <x:v>竞品搜索</x:v>
      </x:c>
      <x:c r="G377" s="94" t="str">
        <x:v>竞品评测</x:v>
      </x:c>
      <x:c r="H377" s="94" t="str">
        <x:v>桌面端</x:v>
      </x:c>
      <x:c r="I377" s="94" t="str">
        <x:v>CPC</x:v>
      </x:c>
      <x:c r="J377" s="95" t="n">
        <x:v>1104</x:v>
      </x:c>
      <x:c r="K377" s="96" t="n">
        <x:f>IFERROR(L377/J377,0)</x:f>
        <x:v>0.03170289855072464</x:v>
      </x:c>
      <x:c r="L377" s="95" t="n">
        <x:v>35</x:v>
      </x:c>
      <x:c r="M377" s="97" t="n">
        <x:v>0.5225</x:v>
      </x:c>
      <x:c r="N377" s="97" t="n">
        <x:f>ROUND(L377*M377,2)</x:f>
        <x:v>18.29</x:v>
      </x:c>
      <x:c r="O377" s="94" t="n">
        <x:v>8</x:v>
      </x:c>
      <x:c r="P377" s="94" t="str">
        <x:v>模拟：Google/Microsoft Ads采购导入</x:v>
      </x:c>
    </x:row>
    <x:row r="378">
      <x:c r="A378" s="92" t="str">
        <x:v>PROC-0377</x:v>
      </x:c>
      <x:c r="B378" s="93" t="n">
        <x:v>46091</x:v>
      </x:c>
      <x:c r="C378" s="94" t="str">
        <x:v>Google Ads</x:v>
      </x:c>
      <x:c r="D378" s="94" t="str">
        <x:v>德国</x:v>
      </x:c>
      <x:c r="E378" s="94" t="str">
        <x:v>GGL-C21</x:v>
      </x:c>
      <x:c r="F378" s="94" t="str">
        <x:v>通用搜索</x:v>
      </x:c>
      <x:c r="G378" s="94" t="str">
        <x:v>实用礼物</x:v>
      </x:c>
      <x:c r="H378" s="94" t="str">
        <x:v>移动端</x:v>
      </x:c>
      <x:c r="I378" s="94" t="str">
        <x:v>CPC</x:v>
      </x:c>
      <x:c r="J378" s="95" t="n">
        <x:v>681</x:v>
      </x:c>
      <x:c r="K378" s="96" t="n">
        <x:f>IFERROR(L378/J378,0)</x:f>
        <x:v>0.033773861967694566</x:v>
      </x:c>
      <x:c r="L378" s="95" t="n">
        <x:v>23</x:v>
      </x:c>
      <x:c r="M378" s="97" t="n">
        <x:v>0.2589</x:v>
      </x:c>
      <x:c r="N378" s="97" t="n">
        <x:f>ROUND(L378*M378,2)</x:f>
        <x:v>5.95</x:v>
      </x:c>
      <x:c r="O378" s="94" t="n">
        <x:v>7</x:v>
      </x:c>
      <x:c r="P378" s="94" t="str">
        <x:v>模拟：Google/Microsoft Ads采购导入</x:v>
      </x:c>
    </x:row>
    <x:row r="379">
      <x:c r="A379" s="92" t="str">
        <x:v>PROC-0378</x:v>
      </x:c>
      <x:c r="B379" s="93" t="n">
        <x:v>46091</x:v>
      </x:c>
      <x:c r="C379" s="94" t="str">
        <x:v>Google Ads</x:v>
      </x:c>
      <x:c r="D379" s="94" t="str">
        <x:v>德国</x:v>
      </x:c>
      <x:c r="E379" s="94" t="str">
        <x:v>GGL-C03</x:v>
      </x:c>
      <x:c r="F379" s="94" t="str">
        <x:v>购物广告</x:v>
      </x:c>
      <x:c r="G379" s="94" t="str">
        <x:v>高评分商品</x:v>
      </x:c>
      <x:c r="H379" s="94" t="str">
        <x:v>平板</x:v>
      </x:c>
      <x:c r="I379" s="94" t="str">
        <x:v>CPC</x:v>
      </x:c>
      <x:c r="J379" s="95" t="n">
        <x:v>1290</x:v>
      </x:c>
      <x:c r="K379" s="96" t="n">
        <x:f>IFERROR(L379/J379,0)</x:f>
        <x:v>0.04108527131782946</x:v>
      </x:c>
      <x:c r="L379" s="95" t="n">
        <x:v>53</x:v>
      </x:c>
      <x:c r="M379" s="97" t="n">
        <x:v>0.2815</x:v>
      </x:c>
      <x:c r="N379" s="97" t="n">
        <x:f>ROUND(L379*M379,2)</x:f>
        <x:v>14.92</x:v>
      </x:c>
      <x:c r="O379" s="94" t="n">
        <x:v>7</x:v>
      </x:c>
      <x:c r="P379" s="94" t="str">
        <x:v>模拟：Google/Microsoft Ads采购导入</x:v>
      </x:c>
    </x:row>
    <x:row r="380">
      <x:c r="A380" s="92" t="str">
        <x:v>PROC-0379</x:v>
      </x:c>
      <x:c r="B380" s="93" t="n">
        <x:v>46091</x:v>
      </x:c>
      <x:c r="C380" s="94" t="str">
        <x:v>Google Ads</x:v>
      </x:c>
      <x:c r="D380" s="94" t="str">
        <x:v>美国</x:v>
      </x:c>
      <x:c r="E380" s="94" t="str">
        <x:v>GGL-C07</x:v>
      </x:c>
      <x:c r="F380" s="94" t="str">
        <x:v>购物广告</x:v>
      </x:c>
      <x:c r="G380" s="94" t="str">
        <x:v>高评分商品</x:v>
      </x:c>
      <x:c r="H380" s="94" t="str">
        <x:v>桌面端</x:v>
      </x:c>
      <x:c r="I380" s="94" t="str">
        <x:v>CPC</x:v>
      </x:c>
      <x:c r="J380" s="95" t="n">
        <x:v>1582</x:v>
      </x:c>
      <x:c r="K380" s="96" t="n">
        <x:f>IFERROR(L380/J380,0)</x:f>
        <x:v>0.05056890012642225</x:v>
      </x:c>
      <x:c r="L380" s="95" t="n">
        <x:v>80</x:v>
      </x:c>
      <x:c r="M380" s="97" t="n">
        <x:v>0.3255</x:v>
      </x:c>
      <x:c r="N380" s="97" t="n">
        <x:f>ROUND(L380*M380,2)</x:f>
        <x:v>26.04</x:v>
      </x:c>
      <x:c r="O380" s="94" t="n">
        <x:v>8</x:v>
      </x:c>
      <x:c r="P380" s="94" t="str">
        <x:v>模拟：Google/Microsoft Ads采购导入</x:v>
      </x:c>
    </x:row>
    <x:row r="381">
      <x:c r="A381" s="92" t="str">
        <x:v>PROC-0380</x:v>
      </x:c>
      <x:c r="B381" s="93" t="n">
        <x:v>46091</x:v>
      </x:c>
      <x:c r="C381" s="94" t="str">
        <x:v>Google Ads</x:v>
      </x:c>
      <x:c r="D381" s="94" t="str">
        <x:v>美国</x:v>
      </x:c>
      <x:c r="E381" s="94" t="str">
        <x:v>GGL-C18</x:v>
      </x:c>
      <x:c r="F381" s="94" t="str">
        <x:v>品牌搜索</x:v>
      </x:c>
      <x:c r="G381" s="94" t="str">
        <x:v>品牌型号词</x:v>
      </x:c>
      <x:c r="H381" s="94" t="str">
        <x:v>桌面端</x:v>
      </x:c>
      <x:c r="I381" s="94" t="str">
        <x:v>CPC</x:v>
      </x:c>
      <x:c r="J381" s="95" t="n">
        <x:v>1232</x:v>
      </x:c>
      <x:c r="K381" s="96" t="n">
        <x:f>IFERROR(L381/J381,0)</x:f>
        <x:v>0.06737012987012987</x:v>
      </x:c>
      <x:c r="L381" s="95" t="n">
        <x:v>83</x:v>
      </x:c>
      <x:c r="M381" s="97" t="n">
        <x:v>0.2273</x:v>
      </x:c>
      <x:c r="N381" s="97" t="n">
        <x:f>ROUND(L381*M381,2)</x:f>
        <x:v>18.87</x:v>
      </x:c>
      <x:c r="O381" s="94" t="n">
        <x:v>9</x:v>
      </x:c>
      <x:c r="P381" s="94" t="str">
        <x:v>模拟：Google/Microsoft Ads采购导入</x:v>
      </x:c>
    </x:row>
    <x:row r="382">
      <x:c r="A382" s="92" t="str">
        <x:v>PROC-0381</x:v>
      </x:c>
      <x:c r="B382" s="93" t="n">
        <x:v>46091</x:v>
      </x:c>
      <x:c r="C382" s="94" t="str">
        <x:v>Google Ads</x:v>
      </x:c>
      <x:c r="D382" s="94" t="str">
        <x:v>英国</x:v>
      </x:c>
      <x:c r="E382" s="94" t="str">
        <x:v>GGL-C21</x:v>
      </x:c>
      <x:c r="F382" s="94" t="str">
        <x:v>通用搜索</x:v>
      </x:c>
      <x:c r="G382" s="94" t="str">
        <x:v>高性价比商品</x:v>
      </x:c>
      <x:c r="H382" s="94" t="str">
        <x:v>桌面端</x:v>
      </x:c>
      <x:c r="I382" s="94" t="str">
        <x:v>CPC</x:v>
      </x:c>
      <x:c r="J382" s="95" t="n">
        <x:v>1057</x:v>
      </x:c>
      <x:c r="K382" s="96" t="n">
        <x:f>IFERROR(L382/J382,0)</x:f>
        <x:v>0.033112582781456956</x:v>
      </x:c>
      <x:c r="L382" s="95" t="n">
        <x:v>35</x:v>
      </x:c>
      <x:c r="M382" s="97" t="n">
        <x:v>0.3465</x:v>
      </x:c>
      <x:c r="N382" s="97" t="n">
        <x:f>ROUND(L382*M382,2)</x:f>
        <x:v>12.13</x:v>
      </x:c>
      <x:c r="O382" s="94" t="n">
        <x:v>9</x:v>
      </x:c>
      <x:c r="P382" s="94" t="str">
        <x:v>模拟：Google/Microsoft Ads采购导入</x:v>
      </x:c>
    </x:row>
    <x:row r="383">
      <x:c r="A383" s="92" t="str">
        <x:v>PROC-0382</x:v>
      </x:c>
      <x:c r="B383" s="93" t="n">
        <x:v>46091</x:v>
      </x:c>
      <x:c r="C383" s="94" t="str">
        <x:v>Google Ads</x:v>
      </x:c>
      <x:c r="D383" s="94" t="str">
        <x:v>美国</x:v>
      </x:c>
      <x:c r="E383" s="94" t="str">
        <x:v>GGL-C06</x:v>
      </x:c>
      <x:c r="F383" s="94" t="str">
        <x:v>通用搜索</x:v>
      </x:c>
      <x:c r="G383" s="94" t="str">
        <x:v>热门新品</x:v>
      </x:c>
      <x:c r="H383" s="94" t="str">
        <x:v>移动端</x:v>
      </x:c>
      <x:c r="I383" s="94" t="str">
        <x:v>CPC</x:v>
      </x:c>
      <x:c r="J383" s="95" t="n">
        <x:v>1240</x:v>
      </x:c>
      <x:c r="K383" s="96" t="n">
        <x:f>IFERROR(L383/J383,0)</x:f>
        <x:v>0.03951612903225806</x:v>
      </x:c>
      <x:c r="L383" s="95" t="n">
        <x:v>49</x:v>
      </x:c>
      <x:c r="M383" s="97" t="n">
        <x:v>0.3495</x:v>
      </x:c>
      <x:c r="N383" s="97" t="n">
        <x:f>ROUND(L383*M383,2)</x:f>
        <x:v>17.13</x:v>
      </x:c>
      <x:c r="O383" s="94" t="n">
        <x:v>6</x:v>
      </x:c>
      <x:c r="P383" s="94" t="str">
        <x:v>模拟：Google/Microsoft Ads采购导入</x:v>
      </x:c>
    </x:row>
    <x:row r="384">
      <x:c r="A384" s="92" t="str">
        <x:v>PROC-0383</x:v>
      </x:c>
      <x:c r="B384" s="93" t="n">
        <x:v>46092</x:v>
      </x:c>
      <x:c r="C384" s="94" t="str">
        <x:v>Microsoft Ads</x:v>
      </x:c>
      <x:c r="D384" s="94" t="str">
        <x:v>美国</x:v>
      </x:c>
      <x:c r="E384" s="94" t="str">
        <x:v>MSA-C14</x:v>
      </x:c>
      <x:c r="F384" s="94" t="str">
        <x:v>购物广告</x:v>
      </x:c>
      <x:c r="G384" s="94" t="str">
        <x:v>折扣商品</x:v>
      </x:c>
      <x:c r="H384" s="94" t="str">
        <x:v>桌面端</x:v>
      </x:c>
      <x:c r="I384" s="94" t="str">
        <x:v>CPC</x:v>
      </x:c>
      <x:c r="J384" s="95" t="n">
        <x:v>1499</x:v>
      </x:c>
      <x:c r="K384" s="96" t="n">
        <x:f>IFERROR(L384/J384,0)</x:f>
        <x:v>0.05203468979319546</x:v>
      </x:c>
      <x:c r="L384" s="95" t="n">
        <x:v>78</x:v>
      </x:c>
      <x:c r="M384" s="97" t="n">
        <x:v>0.2559</x:v>
      </x:c>
      <x:c r="N384" s="97" t="n">
        <x:f>ROUND(L384*M384,2)</x:f>
        <x:v>19.96</x:v>
      </x:c>
      <x:c r="O384" s="94" t="n">
        <x:v>9</x:v>
      </x:c>
      <x:c r="P384" s="94" t="str">
        <x:v>模拟：Google/Microsoft Ads采购导入</x:v>
      </x:c>
    </x:row>
    <x:row r="385">
      <x:c r="A385" s="92" t="str">
        <x:v>PROC-0384</x:v>
      </x:c>
      <x:c r="B385" s="93" t="n">
        <x:v>46092</x:v>
      </x:c>
      <x:c r="C385" s="94" t="str">
        <x:v>Microsoft Ads</x:v>
      </x:c>
      <x:c r="D385" s="94" t="str">
        <x:v>美国</x:v>
      </x:c>
      <x:c r="E385" s="94" t="str">
        <x:v>MSA-C20</x:v>
      </x:c>
      <x:c r="F385" s="94" t="str">
        <x:v>竞品搜索</x:v>
      </x:c>
      <x:c r="G385" s="94" t="str">
        <x:v>价格替代</x:v>
      </x:c>
      <x:c r="H385" s="94" t="str">
        <x:v>桌面端</x:v>
      </x:c>
      <x:c r="I385" s="94" t="str">
        <x:v>CPC</x:v>
      </x:c>
      <x:c r="J385" s="95" t="n">
        <x:v>824</x:v>
      </x:c>
      <x:c r="K385" s="96" t="n">
        <x:f>IFERROR(L385/J385,0)</x:f>
        <x:v>0.03398058252427184</x:v>
      </x:c>
      <x:c r="L385" s="95" t="n">
        <x:v>28</x:v>
      </x:c>
      <x:c r="M385" s="97" t="n">
        <x:v>0.3413</x:v>
      </x:c>
      <x:c r="N385" s="97" t="n">
        <x:f>ROUND(L385*M385,2)</x:f>
        <x:v>9.56</x:v>
      </x:c>
      <x:c r="O385" s="94" t="n">
        <x:v>9</x:v>
      </x:c>
      <x:c r="P385" s="94" t="str">
        <x:v>模拟：Google/Microsoft Ads采购导入</x:v>
      </x:c>
    </x:row>
    <x:row r="386">
      <x:c r="A386" s="92" t="str">
        <x:v>PROC-0385</x:v>
      </x:c>
      <x:c r="B386" s="93" t="n">
        <x:v>46092</x:v>
      </x:c>
      <x:c r="C386" s="94" t="str">
        <x:v>Google Ads</x:v>
      </x:c>
      <x:c r="D386" s="94" t="str">
        <x:v>美国</x:v>
      </x:c>
      <x:c r="E386" s="94" t="str">
        <x:v>GGL-C04</x:v>
      </x:c>
      <x:c r="F386" s="94" t="str">
        <x:v>购物广告</x:v>
      </x:c>
      <x:c r="G386" s="94" t="str">
        <x:v>快速配送</x:v>
      </x:c>
      <x:c r="H386" s="94" t="str">
        <x:v>移动端</x:v>
      </x:c>
      <x:c r="I386" s="94" t="str">
        <x:v>CPC</x:v>
      </x:c>
      <x:c r="J386" s="95" t="n">
        <x:v>1273</x:v>
      </x:c>
      <x:c r="K386" s="96" t="n">
        <x:f>IFERROR(L386/J386,0)</x:f>
        <x:v>0.041633935585231735</x:v>
      </x:c>
      <x:c r="L386" s="95" t="n">
        <x:v>53</x:v>
      </x:c>
      <x:c r="M386" s="97" t="n">
        <x:v>0.3496</x:v>
      </x:c>
      <x:c r="N386" s="97" t="n">
        <x:f>ROUND(L386*M386,2)</x:f>
        <x:v>18.53</x:v>
      </x:c>
      <x:c r="O386" s="94" t="n">
        <x:v>6</x:v>
      </x:c>
      <x:c r="P386" s="94" t="str">
        <x:v>模拟：Google/Microsoft Ads采购导入</x:v>
      </x:c>
    </x:row>
    <x:row r="387">
      <x:c r="A387" s="92" t="str">
        <x:v>PROC-0386</x:v>
      </x:c>
      <x:c r="B387" s="93" t="n">
        <x:v>46092</x:v>
      </x:c>
      <x:c r="C387" s="94" t="str">
        <x:v>Google Ads</x:v>
      </x:c>
      <x:c r="D387" s="94" t="str">
        <x:v>英国</x:v>
      </x:c>
      <x:c r="E387" s="94" t="str">
        <x:v>GGL-C12</x:v>
      </x:c>
      <x:c r="F387" s="94" t="str">
        <x:v>通用搜索</x:v>
      </x:c>
      <x:c r="G387" s="94" t="str">
        <x:v>热门新品</x:v>
      </x:c>
      <x:c r="H387" s="94" t="str">
        <x:v>移动端</x:v>
      </x:c>
      <x:c r="I387" s="94" t="str">
        <x:v>CPC</x:v>
      </x:c>
      <x:c r="J387" s="95" t="n">
        <x:v>1321</x:v>
      </x:c>
      <x:c r="K387" s="96" t="n">
        <x:f>IFERROR(L387/J387,0)</x:f>
        <x:v>0.03255109765329296</x:v>
      </x:c>
      <x:c r="L387" s="95" t="n">
        <x:v>43</x:v>
      </x:c>
      <x:c r="M387" s="97" t="n">
        <x:v>0.332</x:v>
      </x:c>
      <x:c r="N387" s="97" t="n">
        <x:f>ROUND(L387*M387,2)</x:f>
        <x:v>14.28</x:v>
      </x:c>
      <x:c r="O387" s="94" t="n">
        <x:v>6</x:v>
      </x:c>
      <x:c r="P387" s="94" t="str">
        <x:v>模拟：Google/Microsoft Ads采购导入</x:v>
      </x:c>
    </x:row>
    <x:row r="388">
      <x:c r="A388" s="92" t="str">
        <x:v>PROC-0387</x:v>
      </x:c>
      <x:c r="B388" s="93" t="n">
        <x:v>46092</x:v>
      </x:c>
      <x:c r="C388" s="94" t="str">
        <x:v>Google Ads</x:v>
      </x:c>
      <x:c r="D388" s="94" t="str">
        <x:v>日本</x:v>
      </x:c>
      <x:c r="E388" s="94" t="str">
        <x:v>GGL-C19</x:v>
      </x:c>
      <x:c r="F388" s="94" t="str">
        <x:v>购物广告</x:v>
      </x:c>
      <x:c r="G388" s="94" t="str">
        <x:v>折扣商品</x:v>
      </x:c>
      <x:c r="H388" s="94" t="str">
        <x:v>桌面端</x:v>
      </x:c>
      <x:c r="I388" s="94" t="str">
        <x:v>CPC</x:v>
      </x:c>
      <x:c r="J388" s="95" t="n">
        <x:v>1578</x:v>
      </x:c>
      <x:c r="K388" s="96" t="n">
        <x:f>IFERROR(L388/J388,0)</x:f>
        <x:v>0.038656527249683145</x:v>
      </x:c>
      <x:c r="L388" s="95" t="n">
        <x:v>61</x:v>
      </x:c>
      <x:c r="M388" s="97" t="n">
        <x:v>0.3325</x:v>
      </x:c>
      <x:c r="N388" s="97" t="n">
        <x:f>ROUND(L388*M388,2)</x:f>
        <x:v>20.28</x:v>
      </x:c>
      <x:c r="O388" s="94" t="n">
        <x:v>8</x:v>
      </x:c>
      <x:c r="P388" s="94" t="str">
        <x:v>模拟：Google/Microsoft Ads采购导入</x:v>
      </x:c>
    </x:row>
    <x:row r="389">
      <x:c r="A389" s="92" t="str">
        <x:v>PROC-0388</x:v>
      </x:c>
      <x:c r="B389" s="93" t="n">
        <x:v>46093</x:v>
      </x:c>
      <x:c r="C389" s="94" t="str">
        <x:v>Microsoft Ads</x:v>
      </x:c>
      <x:c r="D389" s="94" t="str">
        <x:v>英国</x:v>
      </x:c>
      <x:c r="E389" s="94" t="str">
        <x:v>MSA-C23</x:v>
      </x:c>
      <x:c r="F389" s="94" t="str">
        <x:v>购物广告</x:v>
      </x:c>
      <x:c r="G389" s="94" t="str">
        <x:v>高评分商品</x:v>
      </x:c>
      <x:c r="H389" s="94" t="str">
        <x:v>移动端</x:v>
      </x:c>
      <x:c r="I389" s="94" t="str">
        <x:v>CPC</x:v>
      </x:c>
      <x:c r="J389" s="95" t="n">
        <x:v>1580</x:v>
      </x:c>
      <x:c r="K389" s="96" t="n">
        <x:f>IFERROR(L389/J389,0)</x:f>
        <x:v>0.04493670886075949</x:v>
      </x:c>
      <x:c r="L389" s="95" t="n">
        <x:v>71</x:v>
      </x:c>
      <x:c r="M389" s="97" t="n">
        <x:v>0.2165</x:v>
      </x:c>
      <x:c r="N389" s="97" t="n">
        <x:f>ROUND(L389*M389,2)</x:f>
        <x:v>15.37</x:v>
      </x:c>
      <x:c r="O389" s="94" t="n">
        <x:v>7</x:v>
      </x:c>
      <x:c r="P389" s="94" t="str">
        <x:v>模拟：Google/Microsoft Ads采购导入</x:v>
      </x:c>
    </x:row>
    <x:row r="390">
      <x:c r="A390" s="92" t="str">
        <x:v>PROC-0389</x:v>
      </x:c>
      <x:c r="B390" s="93" t="n">
        <x:v>46093</x:v>
      </x:c>
      <x:c r="C390" s="94" t="str">
        <x:v>Microsoft Ads</x:v>
      </x:c>
      <x:c r="D390" s="94" t="str">
        <x:v>英国</x:v>
      </x:c>
      <x:c r="E390" s="94" t="str">
        <x:v>MSA-C05</x:v>
      </x:c>
      <x:c r="F390" s="94" t="str">
        <x:v>购物广告</x:v>
      </x:c>
      <x:c r="G390" s="94" t="str">
        <x:v>价格比较</x:v>
      </x:c>
      <x:c r="H390" s="94" t="str">
        <x:v>平板</x:v>
      </x:c>
      <x:c r="I390" s="94" t="str">
        <x:v>CPC</x:v>
      </x:c>
      <x:c r="J390" s="95" t="n">
        <x:v>1052</x:v>
      </x:c>
      <x:c r="K390" s="96" t="n">
        <x:f>IFERROR(L390/J390,0)</x:f>
        <x:v>0.04277566539923954</x:v>
      </x:c>
      <x:c r="L390" s="95" t="n">
        <x:v>45</x:v>
      </x:c>
      <x:c r="M390" s="97" t="n">
        <x:v>0.2527</x:v>
      </x:c>
      <x:c r="N390" s="97" t="n">
        <x:f>ROUND(L390*M390,2)</x:f>
        <x:v>11.37</x:v>
      </x:c>
      <x:c r="O390" s="94" t="n">
        <x:v>8</x:v>
      </x:c>
      <x:c r="P390" s="94" t="str">
        <x:v>模拟：Google/Microsoft Ads采购导入</x:v>
      </x:c>
    </x:row>
    <x:row r="391">
      <x:c r="A391" s="92" t="str">
        <x:v>PROC-0390</x:v>
      </x:c>
      <x:c r="B391" s="93" t="n">
        <x:v>46093</x:v>
      </x:c>
      <x:c r="C391" s="94" t="str">
        <x:v>Google Ads</x:v>
      </x:c>
      <x:c r="D391" s="94" t="str">
        <x:v>德国</x:v>
      </x:c>
      <x:c r="E391" s="94" t="str">
        <x:v>GGL-C12</x:v>
      </x:c>
      <x:c r="F391" s="94" t="str">
        <x:v>品牌搜索</x:v>
      </x:c>
      <x:c r="G391" s="94" t="str">
        <x:v>品牌购买词</x:v>
      </x:c>
      <x:c r="H391" s="94" t="str">
        <x:v>移动端</x:v>
      </x:c>
      <x:c r="I391" s="94" t="str">
        <x:v>CPC</x:v>
      </x:c>
      <x:c r="J391" s="95" t="n">
        <x:v>1433</x:v>
      </x:c>
      <x:c r="K391" s="96" t="n">
        <x:f>IFERROR(L391/J391,0)</x:f>
        <x:v>0.05722260990928123</x:v>
      </x:c>
      <x:c r="L391" s="95" t="n">
        <x:v>82</x:v>
      </x:c>
      <x:c r="M391" s="97" t="n">
        <x:v>0.2025</x:v>
      </x:c>
      <x:c r="N391" s="97" t="n">
        <x:f>ROUND(L391*M391,2)</x:f>
        <x:v>16.61</x:v>
      </x:c>
      <x:c r="O391" s="94" t="n">
        <x:v>7</x:v>
      </x:c>
      <x:c r="P391" s="94" t="str">
        <x:v>模拟：Google/Microsoft Ads采购导入</x:v>
      </x:c>
    </x:row>
    <x:row r="392">
      <x:c r="A392" s="92" t="str">
        <x:v>PROC-0391</x:v>
      </x:c>
      <x:c r="B392" s="93" t="n">
        <x:v>46093</x:v>
      </x:c>
      <x:c r="C392" s="94" t="str">
        <x:v>Google Ads</x:v>
      </x:c>
      <x:c r="D392" s="94" t="str">
        <x:v>德国</x:v>
      </x:c>
      <x:c r="E392" s="94" t="str">
        <x:v>GGL-C23</x:v>
      </x:c>
      <x:c r="F392" s="94" t="str">
        <x:v>通用搜索</x:v>
      </x:c>
      <x:c r="G392" s="94" t="str">
        <x:v>热门新品</x:v>
      </x:c>
      <x:c r="H392" s="94" t="str">
        <x:v>移动端</x:v>
      </x:c>
      <x:c r="I392" s="94" t="str">
        <x:v>CPC</x:v>
      </x:c>
      <x:c r="J392" s="95" t="n">
        <x:v>901</x:v>
      </x:c>
      <x:c r="K392" s="96" t="n">
        <x:f>IFERROR(L392/J392,0)</x:f>
        <x:v>0.038845726970033294</x:v>
      </x:c>
      <x:c r="L392" s="95" t="n">
        <x:v>35</x:v>
      </x:c>
      <x:c r="M392" s="97" t="n">
        <x:v>0.3169</x:v>
      </x:c>
      <x:c r="N392" s="97" t="n">
        <x:f>ROUND(L392*M392,2)</x:f>
        <x:v>11.09</x:v>
      </x:c>
      <x:c r="O392" s="94" t="n">
        <x:v>6</x:v>
      </x:c>
      <x:c r="P392" s="94" t="str">
        <x:v>模拟：Google/Microsoft Ads采购导入</x:v>
      </x:c>
    </x:row>
    <x:row r="393">
      <x:c r="A393" s="92" t="str">
        <x:v>PROC-0392</x:v>
      </x:c>
      <x:c r="B393" s="93" t="n">
        <x:v>46093</x:v>
      </x:c>
      <x:c r="C393" s="94" t="str">
        <x:v>Google Ads</x:v>
      </x:c>
      <x:c r="D393" s="94" t="str">
        <x:v>美国</x:v>
      </x:c>
      <x:c r="E393" s="94" t="str">
        <x:v>GGL-C03</x:v>
      </x:c>
      <x:c r="F393" s="94" t="str">
        <x:v>竞品搜索</x:v>
      </x:c>
      <x:c r="G393" s="94" t="str">
        <x:v>更优选择</x:v>
      </x:c>
      <x:c r="H393" s="94" t="str">
        <x:v>移动端</x:v>
      </x:c>
      <x:c r="I393" s="94" t="str">
        <x:v>CPC</x:v>
      </x:c>
      <x:c r="J393" s="95" t="n">
        <x:v>1078</x:v>
      </x:c>
      <x:c r="K393" s="96" t="n">
        <x:f>IFERROR(L393/J393,0)</x:f>
        <x:v>0.032467532467532464</x:v>
      </x:c>
      <x:c r="L393" s="95" t="n">
        <x:v>35</x:v>
      </x:c>
      <x:c r="M393" s="97" t="n">
        <x:v>0.398</x:v>
      </x:c>
      <x:c r="N393" s="97" t="n">
        <x:f>ROUND(L393*M393,2)</x:f>
        <x:v>13.93</x:v>
      </x:c>
      <x:c r="O393" s="94" t="n">
        <x:v>8</x:v>
      </x:c>
      <x:c r="P393" s="94" t="str">
        <x:v>模拟：Google/Microsoft Ads采购导入</x:v>
      </x:c>
    </x:row>
    <x:row r="394">
      <x:c r="A394" s="92" t="str">
        <x:v>PROC-0393</x:v>
      </x:c>
      <x:c r="B394" s="93" t="n">
        <x:v>46093</x:v>
      </x:c>
      <x:c r="C394" s="94" t="str">
        <x:v>Google Ads</x:v>
      </x:c>
      <x:c r="D394" s="94" t="str">
        <x:v>美国</x:v>
      </x:c>
      <x:c r="E394" s="94" t="str">
        <x:v>GGL-C10</x:v>
      </x:c>
      <x:c r="F394" s="94" t="str">
        <x:v>购物广告</x:v>
      </x:c>
      <x:c r="G394" s="94" t="str">
        <x:v>折扣商品</x:v>
      </x:c>
      <x:c r="H394" s="94" t="str">
        <x:v>移动端</x:v>
      </x:c>
      <x:c r="I394" s="94" t="str">
        <x:v>CPC</x:v>
      </x:c>
      <x:c r="J394" s="95" t="n">
        <x:v>1362</x:v>
      </x:c>
      <x:c r="K394" s="96" t="n">
        <x:f>IFERROR(L394/J394,0)</x:f>
        <x:v>0.05066079295154185</x:v>
      </x:c>
      <x:c r="L394" s="95" t="n">
        <x:v>69</x:v>
      </x:c>
      <x:c r="M394" s="97" t="n">
        <x:v>0.3958</x:v>
      </x:c>
      <x:c r="N394" s="97" t="n">
        <x:f>ROUND(L394*M394,2)</x:f>
        <x:v>27.31</x:v>
      </x:c>
      <x:c r="O394" s="94" t="n">
        <x:v>8</x:v>
      </x:c>
      <x:c r="P394" s="94" t="str">
        <x:v>模拟：Google/Microsoft Ads采购导入</x:v>
      </x:c>
    </x:row>
    <x:row r="395">
      <x:c r="A395" s="92" t="str">
        <x:v>PROC-0394</x:v>
      </x:c>
      <x:c r="B395" s="93" t="n">
        <x:v>46094</x:v>
      </x:c>
      <x:c r="C395" s="94" t="str">
        <x:v>Google Ads</x:v>
      </x:c>
      <x:c r="D395" s="94" t="str">
        <x:v>日本</x:v>
      </x:c>
      <x:c r="E395" s="94" t="str">
        <x:v>GGL-C20</x:v>
      </x:c>
      <x:c r="F395" s="94" t="str">
        <x:v>购物广告</x:v>
      </x:c>
      <x:c r="G395" s="94" t="str">
        <x:v>价格比较</x:v>
      </x:c>
      <x:c r="H395" s="94" t="str">
        <x:v>平板</x:v>
      </x:c>
      <x:c r="I395" s="94" t="str">
        <x:v>CPC</x:v>
      </x:c>
      <x:c r="J395" s="95" t="n">
        <x:v>1013</x:v>
      </x:c>
      <x:c r="K395" s="96" t="n">
        <x:f>IFERROR(L395/J395,0)</x:f>
        <x:v>0.034550839091806514</x:v>
      </x:c>
      <x:c r="L395" s="95" t="n">
        <x:v>35</x:v>
      </x:c>
      <x:c r="M395" s="97" t="n">
        <x:v>0.2553</x:v>
      </x:c>
      <x:c r="N395" s="97" t="n">
        <x:f>ROUND(L395*M395,2)</x:f>
        <x:v>8.94</x:v>
      </x:c>
      <x:c r="O395" s="94" t="n">
        <x:v>7</x:v>
      </x:c>
      <x:c r="P395" s="94" t="str">
        <x:v>模拟：Google/Microsoft Ads采购导入</x:v>
      </x:c>
    </x:row>
    <x:row r="396">
      <x:c r="A396" s="92" t="str">
        <x:v>PROC-0395</x:v>
      </x:c>
      <x:c r="B396" s="93" t="n">
        <x:v>46094</x:v>
      </x:c>
      <x:c r="C396" s="94" t="str">
        <x:v>Google Ads</x:v>
      </x:c>
      <x:c r="D396" s="94" t="str">
        <x:v>日本</x:v>
      </x:c>
      <x:c r="E396" s="94" t="str">
        <x:v>GGL-C24</x:v>
      </x:c>
      <x:c r="F396" s="94" t="str">
        <x:v>通用搜索</x:v>
      </x:c>
      <x:c r="G396" s="94" t="str">
        <x:v>实用礼物</x:v>
      </x:c>
      <x:c r="H396" s="94" t="str">
        <x:v>移动端</x:v>
      </x:c>
      <x:c r="I396" s="94" t="str">
        <x:v>CPC</x:v>
      </x:c>
      <x:c r="J396" s="95" t="n">
        <x:v>1075</x:v>
      </x:c>
      <x:c r="K396" s="96" t="n">
        <x:f>IFERROR(L396/J396,0)</x:f>
        <x:v>0.03348837209302326</x:v>
      </x:c>
      <x:c r="L396" s="95" t="n">
        <x:v>36</x:v>
      </x:c>
      <x:c r="M396" s="97" t="n">
        <x:v>0.2912</x:v>
      </x:c>
      <x:c r="N396" s="97" t="n">
        <x:f>ROUND(L396*M396,2)</x:f>
        <x:v>10.48</x:v>
      </x:c>
      <x:c r="O396" s="94" t="n">
        <x:v>8</x:v>
      </x:c>
      <x:c r="P396" s="94" t="str">
        <x:v>模拟：Google/Microsoft Ads采购导入</x:v>
      </x:c>
    </x:row>
    <x:row r="397">
      <x:c r="A397" s="92" t="str">
        <x:v>PROC-0396</x:v>
      </x:c>
      <x:c r="B397" s="93" t="n">
        <x:v>46094</x:v>
      </x:c>
      <x:c r="C397" s="94" t="str">
        <x:v>Microsoft Ads</x:v>
      </x:c>
      <x:c r="D397" s="94" t="str">
        <x:v>日本</x:v>
      </x:c>
      <x:c r="E397" s="94" t="str">
        <x:v>MSA-C08</x:v>
      </x:c>
      <x:c r="F397" s="94" t="str">
        <x:v>通用搜索</x:v>
      </x:c>
      <x:c r="G397" s="94" t="str">
        <x:v>高性价比商品</x:v>
      </x:c>
      <x:c r="H397" s="94" t="str">
        <x:v>移动端</x:v>
      </x:c>
      <x:c r="I397" s="94" t="str">
        <x:v>CPC</x:v>
      </x:c>
      <x:c r="J397" s="95" t="n">
        <x:v>1171</x:v>
      </x:c>
      <x:c r="K397" s="96" t="n">
        <x:f>IFERROR(L397/J397,0)</x:f>
        <x:v>0.04013663535439795</x:v>
      </x:c>
      <x:c r="L397" s="95" t="n">
        <x:v>47</x:v>
      </x:c>
      <x:c r="M397" s="97" t="n">
        <x:v>0.2106</x:v>
      </x:c>
      <x:c r="N397" s="97" t="n">
        <x:f>ROUND(L397*M397,2)</x:f>
        <x:v>9.9</x:v>
      </x:c>
      <x:c r="O397" s="94" t="n">
        <x:v>9</x:v>
      </x:c>
      <x:c r="P397" s="94" t="str">
        <x:v>模拟：Google/Microsoft Ads采购导入</x:v>
      </x:c>
    </x:row>
    <x:row r="398">
      <x:c r="A398" s="92" t="str">
        <x:v>PROC-0397</x:v>
      </x:c>
      <x:c r="B398" s="93" t="n">
        <x:v>46094</x:v>
      </x:c>
      <x:c r="C398" s="94" t="str">
        <x:v>Google Ads</x:v>
      </x:c>
      <x:c r="D398" s="94" t="str">
        <x:v>美国</x:v>
      </x:c>
      <x:c r="E398" s="94" t="str">
        <x:v>GGL-C17</x:v>
      </x:c>
      <x:c r="F398" s="94" t="str">
        <x:v>购物广告</x:v>
      </x:c>
      <x:c r="G398" s="94" t="str">
        <x:v>折扣商品</x:v>
      </x:c>
      <x:c r="H398" s="94" t="str">
        <x:v>平板</x:v>
      </x:c>
      <x:c r="I398" s="94" t="str">
        <x:v>CPC</x:v>
      </x:c>
      <x:c r="J398" s="95" t="n">
        <x:v>1662</x:v>
      </x:c>
      <x:c r="K398" s="96" t="n">
        <x:f>IFERROR(L398/J398,0)</x:f>
        <x:v>0.04151624548736462</x:v>
      </x:c>
      <x:c r="L398" s="95" t="n">
        <x:v>69</x:v>
      </x:c>
      <x:c r="M398" s="97" t="n">
        <x:v>0.3171</x:v>
      </x:c>
      <x:c r="N398" s="97" t="n">
        <x:f>ROUND(L398*M398,2)</x:f>
        <x:v>21.88</x:v>
      </x:c>
      <x:c r="O398" s="94" t="n">
        <x:v>7</x:v>
      </x:c>
      <x:c r="P398" s="94" t="str">
        <x:v>模拟：Google/Microsoft Ads采购导入</x:v>
      </x:c>
    </x:row>
    <x:row r="399">
      <x:c r="A399" s="92" t="str">
        <x:v>PROC-0398</x:v>
      </x:c>
      <x:c r="B399" s="93" t="n">
        <x:v>46094</x:v>
      </x:c>
      <x:c r="C399" s="94" t="str">
        <x:v>Microsoft Ads</x:v>
      </x:c>
      <x:c r="D399" s="94" t="str">
        <x:v>美国</x:v>
      </x:c>
      <x:c r="E399" s="94" t="str">
        <x:v>MSA-C24</x:v>
      </x:c>
      <x:c r="F399" s="94" t="str">
        <x:v>通用搜索</x:v>
      </x:c>
      <x:c r="G399" s="94" t="str">
        <x:v>专业精选</x:v>
      </x:c>
      <x:c r="H399" s="94" t="str">
        <x:v>平板</x:v>
      </x:c>
      <x:c r="I399" s="94" t="str">
        <x:v>CPC</x:v>
      </x:c>
      <x:c r="J399" s="95" t="n">
        <x:v>813</x:v>
      </x:c>
      <x:c r="K399" s="96" t="n">
        <x:f>IFERROR(L399/J399,0)</x:f>
        <x:v>0.03444034440344403</x:v>
      </x:c>
      <x:c r="L399" s="95" t="n">
        <x:v>28</x:v>
      </x:c>
      <x:c r="M399" s="97" t="n">
        <x:v>0.2803</x:v>
      </x:c>
      <x:c r="N399" s="97" t="n">
        <x:f>ROUND(L399*M399,2)</x:f>
        <x:v>7.85</x:v>
      </x:c>
      <x:c r="O399" s="94" t="n">
        <x:v>8</x:v>
      </x:c>
      <x:c r="P399" s="94" t="str">
        <x:v>模拟：Google/Microsoft Ads采购导入</x:v>
      </x:c>
    </x:row>
    <x:row r="400">
      <x:c r="A400" s="92" t="str">
        <x:v>PROC-0399</x:v>
      </x:c>
      <x:c r="B400" s="93" t="n">
        <x:v>46095</x:v>
      </x:c>
      <x:c r="C400" s="94" t="str">
        <x:v>Google Ads</x:v>
      </x:c>
      <x:c r="D400" s="94" t="str">
        <x:v>英国</x:v>
      </x:c>
      <x:c r="E400" s="94" t="str">
        <x:v>GGL-C06</x:v>
      </x:c>
      <x:c r="F400" s="94" t="str">
        <x:v>购物广告</x:v>
      </x:c>
      <x:c r="G400" s="94" t="str">
        <x:v>畅销商品</x:v>
      </x:c>
      <x:c r="H400" s="94" t="str">
        <x:v>移动端</x:v>
      </x:c>
      <x:c r="I400" s="94" t="str">
        <x:v>CPC</x:v>
      </x:c>
      <x:c r="J400" s="95" t="n">
        <x:v>1094</x:v>
      </x:c>
      <x:c r="K400" s="96" t="n">
        <x:f>IFERROR(L400/J400,0)</x:f>
        <x:v>0.04204753199268738</x:v>
      </x:c>
      <x:c r="L400" s="95" t="n">
        <x:v>46</x:v>
      </x:c>
      <x:c r="M400" s="97" t="n">
        <x:v>0.3619</x:v>
      </x:c>
      <x:c r="N400" s="97" t="n">
        <x:f>ROUND(L400*M400,2)</x:f>
        <x:v>16.65</x:v>
      </x:c>
      <x:c r="O400" s="94" t="n">
        <x:v>6</x:v>
      </x:c>
      <x:c r="P400" s="94" t="str">
        <x:v>模拟：Google/Microsoft Ads采购导入</x:v>
      </x:c>
    </x:row>
    <x:row r="401">
      <x:c r="A401" s="92" t="str">
        <x:v>PROC-0400</x:v>
      </x:c>
      <x:c r="B401" s="93" t="n">
        <x:v>46095</x:v>
      </x:c>
      <x:c r="C401" s="94" t="str">
        <x:v>Microsoft Ads</x:v>
      </x:c>
      <x:c r="D401" s="94" t="str">
        <x:v>美国</x:v>
      </x:c>
      <x:c r="E401" s="94" t="str">
        <x:v>MSA-C12</x:v>
      </x:c>
      <x:c r="F401" s="94" t="str">
        <x:v>通用搜索</x:v>
      </x:c>
      <x:c r="G401" s="94" t="str">
        <x:v>专业精选</x:v>
      </x:c>
      <x:c r="H401" s="94" t="str">
        <x:v>移动端</x:v>
      </x:c>
      <x:c r="I401" s="94" t="str">
        <x:v>CPC</x:v>
      </x:c>
      <x:c r="J401" s="95" t="n">
        <x:v>622</x:v>
      </x:c>
      <x:c r="K401" s="96" t="n">
        <x:f>IFERROR(L401/J401,0)</x:f>
        <x:v>0.03376205787781351</x:v>
      </x:c>
      <x:c r="L401" s="95" t="n">
        <x:v>21</x:v>
      </x:c>
      <x:c r="M401" s="97" t="n">
        <x:v>0.2853</x:v>
      </x:c>
      <x:c r="N401" s="97" t="n">
        <x:f>ROUND(L401*M401,2)</x:f>
        <x:v>5.99</x:v>
      </x:c>
      <x:c r="O401" s="94" t="n">
        <x:v>8</x:v>
      </x:c>
      <x:c r="P401" s="94" t="str">
        <x:v>模拟：Google/Microsoft Ads采购导入</x:v>
      </x:c>
    </x:row>
    <x:row r="402">
      <x:c r="A402" s="92" t="str">
        <x:v>PROC-0401</x:v>
      </x:c>
      <x:c r="B402" s="93" t="n">
        <x:v>46095</x:v>
      </x:c>
      <x:c r="C402" s="94" t="str">
        <x:v>Microsoft Ads</x:v>
      </x:c>
      <x:c r="D402" s="94" t="str">
        <x:v>美国</x:v>
      </x:c>
      <x:c r="E402" s="94" t="str">
        <x:v>MSA-C17</x:v>
      </x:c>
      <x:c r="F402" s="94" t="str">
        <x:v>竞品搜索</x:v>
      </x:c>
      <x:c r="G402" s="94" t="str">
        <x:v>更优选择</x:v>
      </x:c>
      <x:c r="H402" s="94" t="str">
        <x:v>移动端</x:v>
      </x:c>
      <x:c r="I402" s="94" t="str">
        <x:v>CPC</x:v>
      </x:c>
      <x:c r="J402" s="95" t="n">
        <x:v>947</x:v>
      </x:c>
      <x:c r="K402" s="96" t="n">
        <x:f>IFERROR(L402/J402,0)</x:f>
        <x:v>0.03801478352692714</x:v>
      </x:c>
      <x:c r="L402" s="95" t="n">
        <x:v>36</x:v>
      </x:c>
      <x:c r="M402" s="97" t="n">
        <x:v>0.391</x:v>
      </x:c>
      <x:c r="N402" s="97" t="n">
        <x:f>ROUND(L402*M402,2)</x:f>
        <x:v>14.08</x:v>
      </x:c>
      <x:c r="O402" s="94" t="n">
        <x:v>6</x:v>
      </x:c>
      <x:c r="P402" s="94" t="str">
        <x:v>模拟：Google/Microsoft Ads采购导入</x:v>
      </x:c>
    </x:row>
    <x:row r="403">
      <x:c r="A403" s="92" t="str">
        <x:v>PROC-0402</x:v>
      </x:c>
      <x:c r="B403" s="93" t="n">
        <x:v>46095</x:v>
      </x:c>
      <x:c r="C403" s="94" t="str">
        <x:v>Microsoft Ads</x:v>
      </x:c>
      <x:c r="D403" s="94" t="str">
        <x:v>美国</x:v>
      </x:c>
      <x:c r="E403" s="94" t="str">
        <x:v>MSA-C04</x:v>
      </x:c>
      <x:c r="F403" s="94" t="str">
        <x:v>品牌搜索</x:v>
      </x:c>
      <x:c r="G403" s="94" t="str">
        <x:v>品牌配件词</x:v>
      </x:c>
      <x:c r="H403" s="94" t="str">
        <x:v>移动端</x:v>
      </x:c>
      <x:c r="I403" s="94" t="str">
        <x:v>CPC</x:v>
      </x:c>
      <x:c r="J403" s="95" t="n">
        <x:v>1394</x:v>
      </x:c>
      <x:c r="K403" s="96" t="n">
        <x:f>IFERROR(L403/J403,0)</x:f>
        <x:v>0.055236728837876614</x:v>
      </x:c>
      <x:c r="L403" s="95" t="n">
        <x:v>77</x:v>
      </x:c>
      <x:c r="M403" s="97" t="n">
        <x:v>0.1736</x:v>
      </x:c>
      <x:c r="N403" s="97" t="n">
        <x:f>ROUND(L403*M403,2)</x:f>
        <x:v>13.37</x:v>
      </x:c>
      <x:c r="O403" s="94" t="n">
        <x:v>7</x:v>
      </x:c>
      <x:c r="P403" s="94" t="str">
        <x:v>模拟：Google/Microsoft Ads采购导入</x:v>
      </x:c>
    </x:row>
    <x:row r="404">
      <x:c r="A404" s="92" t="str">
        <x:v>PROC-0403</x:v>
      </x:c>
      <x:c r="B404" s="93" t="n">
        <x:v>46095</x:v>
      </x:c>
      <x:c r="C404" s="94" t="str">
        <x:v>Microsoft Ads</x:v>
      </x:c>
      <x:c r="D404" s="94" t="str">
        <x:v>英国</x:v>
      </x:c>
      <x:c r="E404" s="94" t="str">
        <x:v>MSA-C08</x:v>
      </x:c>
      <x:c r="F404" s="94" t="str">
        <x:v>竞品搜索</x:v>
      </x:c>
      <x:c r="G404" s="94" t="str">
        <x:v>竞品评测</x:v>
      </x:c>
      <x:c r="H404" s="94" t="str">
        <x:v>移动端</x:v>
      </x:c>
      <x:c r="I404" s="94" t="str">
        <x:v>CPC</x:v>
      </x:c>
      <x:c r="J404" s="95" t="n">
        <x:v>887</x:v>
      </x:c>
      <x:c r="K404" s="96" t="n">
        <x:f>IFERROR(L404/J404,0)</x:f>
        <x:v>0.03720405862457723</x:v>
      </x:c>
      <x:c r="L404" s="95" t="n">
        <x:v>33</x:v>
      </x:c>
      <x:c r="M404" s="97" t="n">
        <x:v>0.2707</x:v>
      </x:c>
      <x:c r="N404" s="97" t="n">
        <x:f>ROUND(L404*M404,2)</x:f>
        <x:v>8.93</x:v>
      </x:c>
      <x:c r="O404" s="94" t="n">
        <x:v>6</x:v>
      </x:c>
      <x:c r="P404" s="94" t="str">
        <x:v>模拟：Google/Microsoft Ads采购导入</x:v>
      </x:c>
    </x:row>
    <x:row r="405">
      <x:c r="A405" s="92" t="str">
        <x:v>PROC-0404</x:v>
      </x:c>
      <x:c r="B405" s="93" t="n">
        <x:v>46095</x:v>
      </x:c>
      <x:c r="C405" s="94" t="str">
        <x:v>Microsoft Ads</x:v>
      </x:c>
      <x:c r="D405" s="94" t="str">
        <x:v>英国</x:v>
      </x:c>
      <x:c r="E405" s="94" t="str">
        <x:v>MSA-C16</x:v>
      </x:c>
      <x:c r="F405" s="94" t="str">
        <x:v>竞品搜索</x:v>
      </x:c>
      <x:c r="G405" s="94" t="str">
        <x:v>竞品评测</x:v>
      </x:c>
      <x:c r="H405" s="94" t="str">
        <x:v>桌面端</x:v>
      </x:c>
      <x:c r="I405" s="94" t="str">
        <x:v>CPC</x:v>
      </x:c>
      <x:c r="J405" s="95" t="n">
        <x:v>540</x:v>
      </x:c>
      <x:c r="K405" s="96" t="n">
        <x:f>IFERROR(L405/J405,0)</x:f>
        <x:v>0.03888888888888889</x:v>
      </x:c>
      <x:c r="L405" s="95" t="n">
        <x:v>21</x:v>
      </x:c>
      <x:c r="M405" s="97" t="n">
        <x:v>0.343</x:v>
      </x:c>
      <x:c r="N405" s="97" t="n">
        <x:f>ROUND(L405*M405,2)</x:f>
        <x:v>7.2</x:v>
      </x:c>
      <x:c r="O405" s="94" t="n">
        <x:v>7</x:v>
      </x:c>
      <x:c r="P405" s="94" t="str">
        <x:v>模拟：Google/Microsoft Ads采购导入</x:v>
      </x:c>
    </x:row>
    <x:row r="406">
      <x:c r="A406" s="92" t="str">
        <x:v>PROC-0405</x:v>
      </x:c>
      <x:c r="B406" s="93" t="n">
        <x:v>46096</x:v>
      </x:c>
      <x:c r="C406" s="94" t="str">
        <x:v>Microsoft Ads</x:v>
      </x:c>
      <x:c r="D406" s="94" t="str">
        <x:v>美国</x:v>
      </x:c>
      <x:c r="E406" s="94" t="str">
        <x:v>MSA-C23</x:v>
      </x:c>
      <x:c r="F406" s="94" t="str">
        <x:v>品牌搜索</x:v>
      </x:c>
      <x:c r="G406" s="94" t="str">
        <x:v>品牌评测词</x:v>
      </x:c>
      <x:c r="H406" s="94" t="str">
        <x:v>移动端</x:v>
      </x:c>
      <x:c r="I406" s="94" t="str">
        <x:v>CPC</x:v>
      </x:c>
      <x:c r="J406" s="95" t="n">
        <x:v>1438</x:v>
      </x:c>
      <x:c r="K406" s="96" t="n">
        <x:f>IFERROR(L406/J406,0)</x:f>
        <x:v>0.0584144645340751</x:v>
      </x:c>
      <x:c r="L406" s="95" t="n">
        <x:v>84</x:v>
      </x:c>
      <x:c r="M406" s="97" t="n">
        <x:v>0.2085</x:v>
      </x:c>
      <x:c r="N406" s="97" t="n">
        <x:f>ROUND(L406*M406,2)</x:f>
        <x:v>17.51</x:v>
      </x:c>
      <x:c r="O406" s="94" t="n">
        <x:v>9</x:v>
      </x:c>
      <x:c r="P406" s="94" t="str">
        <x:v>模拟：Google/Microsoft Ads采购导入</x:v>
      </x:c>
    </x:row>
    <x:row r="407">
      <x:c r="A407" s="92" t="str">
        <x:v>PROC-0406</x:v>
      </x:c>
      <x:c r="B407" s="93" t="n">
        <x:v>46096</x:v>
      </x:c>
      <x:c r="C407" s="94" t="str">
        <x:v>Google Ads</x:v>
      </x:c>
      <x:c r="D407" s="94" t="str">
        <x:v>英国</x:v>
      </x:c>
      <x:c r="E407" s="94" t="str">
        <x:v>GGL-C06</x:v>
      </x:c>
      <x:c r="F407" s="94" t="str">
        <x:v>竞品搜索</x:v>
      </x:c>
      <x:c r="G407" s="94" t="str">
        <x:v>更优选择</x:v>
      </x:c>
      <x:c r="H407" s="94" t="str">
        <x:v>桌面端</x:v>
      </x:c>
      <x:c r="I407" s="94" t="str">
        <x:v>CPC</x:v>
      </x:c>
      <x:c r="J407" s="95" t="n">
        <x:v>952</x:v>
      </x:c>
      <x:c r="K407" s="96" t="n">
        <x:f>IFERROR(L407/J407,0)</x:f>
        <x:v>0.03466386554621849</x:v>
      </x:c>
      <x:c r="L407" s="95" t="n">
        <x:v>33</x:v>
      </x:c>
      <x:c r="M407" s="97" t="n">
        <x:v>0.3807</x:v>
      </x:c>
      <x:c r="N407" s="97" t="n">
        <x:f>ROUND(L407*M407,2)</x:f>
        <x:v>12.56</x:v>
      </x:c>
      <x:c r="O407" s="94" t="n">
        <x:v>6</x:v>
      </x:c>
      <x:c r="P407" s="94" t="str">
        <x:v>模拟：Google/Microsoft Ads采购导入</x:v>
      </x:c>
    </x:row>
    <x:row r="408">
      <x:c r="A408" s="92" t="str">
        <x:v>PROC-0407</x:v>
      </x:c>
      <x:c r="B408" s="93" t="n">
        <x:v>46096</x:v>
      </x:c>
      <x:c r="C408" s="94" t="str">
        <x:v>Google Ads</x:v>
      </x:c>
      <x:c r="D408" s="94" t="str">
        <x:v>美国</x:v>
      </x:c>
      <x:c r="E408" s="94" t="str">
        <x:v>GGL-C13</x:v>
      </x:c>
      <x:c r="F408" s="94" t="str">
        <x:v>通用搜索</x:v>
      </x:c>
      <x:c r="G408" s="94" t="str">
        <x:v>实用礼物</x:v>
      </x:c>
      <x:c r="H408" s="94" t="str">
        <x:v>桌面端</x:v>
      </x:c>
      <x:c r="I408" s="94" t="str">
        <x:v>CPC</x:v>
      </x:c>
      <x:c r="J408" s="95" t="n">
        <x:v>1132</x:v>
      </x:c>
      <x:c r="K408" s="96" t="n">
        <x:f>IFERROR(L408/J408,0)</x:f>
        <x:v>0.03445229681978799</x:v>
      </x:c>
      <x:c r="L408" s="95" t="n">
        <x:v>39</x:v>
      </x:c>
      <x:c r="M408" s="97" t="n">
        <x:v>0.3416</x:v>
      </x:c>
      <x:c r="N408" s="97" t="n">
        <x:f>ROUND(L408*M408,2)</x:f>
        <x:v>13.32</x:v>
      </x:c>
      <x:c r="O408" s="94" t="n">
        <x:v>6</x:v>
      </x:c>
      <x:c r="P408" s="94" t="str">
        <x:v>模拟：Google/Microsoft Ads采购导入</x:v>
      </x:c>
    </x:row>
    <x:row r="409">
      <x:c r="A409" s="92" t="str">
        <x:v>PROC-0408</x:v>
      </x:c>
      <x:c r="B409" s="93" t="n">
        <x:v>46096</x:v>
      </x:c>
      <x:c r="C409" s="94" t="str">
        <x:v>Microsoft Ads</x:v>
      </x:c>
      <x:c r="D409" s="94" t="str">
        <x:v>美国</x:v>
      </x:c>
      <x:c r="E409" s="94" t="str">
        <x:v>MSA-C21</x:v>
      </x:c>
      <x:c r="F409" s="94" t="str">
        <x:v>通用搜索</x:v>
      </x:c>
      <x:c r="G409" s="94" t="str">
        <x:v>专业精选</x:v>
      </x:c>
      <x:c r="H409" s="94" t="str">
        <x:v>移动端</x:v>
      </x:c>
      <x:c r="I409" s="94" t="str">
        <x:v>CPC</x:v>
      </x:c>
      <x:c r="J409" s="95" t="n">
        <x:v>1181</x:v>
      </x:c>
      <x:c r="K409" s="96" t="n">
        <x:f>IFERROR(L409/J409,0)</x:f>
        <x:v>0.03725656223539373</x:v>
      </x:c>
      <x:c r="L409" s="95" t="n">
        <x:v>44</x:v>
      </x:c>
      <x:c r="M409" s="97" t="n">
        <x:v>0.2137</x:v>
      </x:c>
      <x:c r="N409" s="97" t="n">
        <x:f>ROUND(L409*M409,2)</x:f>
        <x:v>9.4</x:v>
      </x:c>
      <x:c r="O409" s="94" t="n">
        <x:v>8</x:v>
      </x:c>
      <x:c r="P409" s="94" t="str">
        <x:v>模拟：Google/Microsoft Ads采购导入</x:v>
      </x:c>
    </x:row>
    <x:row r="410">
      <x:c r="A410" s="92" t="str">
        <x:v>PROC-0409</x:v>
      </x:c>
      <x:c r="B410" s="93" t="n">
        <x:v>46096</x:v>
      </x:c>
      <x:c r="C410" s="94" t="str">
        <x:v>Google Ads</x:v>
      </x:c>
      <x:c r="D410" s="94" t="str">
        <x:v>美国</x:v>
      </x:c>
      <x:c r="E410" s="94" t="str">
        <x:v>GGL-C04</x:v>
      </x:c>
      <x:c r="F410" s="94" t="str">
        <x:v>品牌搜索</x:v>
      </x:c>
      <x:c r="G410" s="94" t="str">
        <x:v>品牌购买词</x:v>
      </x:c>
      <x:c r="H410" s="94" t="str">
        <x:v>移动端</x:v>
      </x:c>
      <x:c r="I410" s="94" t="str">
        <x:v>CPC</x:v>
      </x:c>
      <x:c r="J410" s="95" t="n">
        <x:v>1467</x:v>
      </x:c>
      <x:c r="K410" s="96" t="n">
        <x:f>IFERROR(L410/J410,0)</x:f>
        <x:v>0.06203135650988412</x:v>
      </x:c>
      <x:c r="L410" s="95" t="n">
        <x:v>91</x:v>
      </x:c>
      <x:c r="M410" s="97" t="n">
        <x:v>0.2847</x:v>
      </x:c>
      <x:c r="N410" s="97" t="n">
        <x:f>ROUND(L410*M410,2)</x:f>
        <x:v>25.91</x:v>
      </x:c>
      <x:c r="O410" s="94" t="n">
        <x:v>10</x:v>
      </x:c>
      <x:c r="P410" s="94" t="str">
        <x:v>模拟：Google/Microsoft Ads采购导入</x:v>
      </x:c>
    </x:row>
    <x:row r="411">
      <x:c r="A411" s="92" t="str">
        <x:v>PROC-0410</x:v>
      </x:c>
      <x:c r="B411" s="93" t="n">
        <x:v>46097</x:v>
      </x:c>
      <x:c r="C411" s="94" t="str">
        <x:v>Google Ads</x:v>
      </x:c>
      <x:c r="D411" s="94" t="str">
        <x:v>英国</x:v>
      </x:c>
      <x:c r="E411" s="94" t="str">
        <x:v>GGL-C09</x:v>
      </x:c>
      <x:c r="F411" s="94" t="str">
        <x:v>品牌搜索</x:v>
      </x:c>
      <x:c r="G411" s="94" t="str">
        <x:v>品牌评测词</x:v>
      </x:c>
      <x:c r="H411" s="94" t="str">
        <x:v>移动端</x:v>
      </x:c>
      <x:c r="I411" s="94" t="str">
        <x:v>CPC</x:v>
      </x:c>
      <x:c r="J411" s="95" t="n">
        <x:v>832</x:v>
      </x:c>
      <x:c r="K411" s="96" t="n">
        <x:f>IFERROR(L411/J411,0)</x:f>
        <x:v>0.054086538461538464</x:v>
      </x:c>
      <x:c r="L411" s="95" t="n">
        <x:v>45</x:v>
      </x:c>
      <x:c r="M411" s="97" t="n">
        <x:v>0.237</x:v>
      </x:c>
      <x:c r="N411" s="97" t="n">
        <x:f>ROUND(L411*M411,2)</x:f>
        <x:v>10.67</x:v>
      </x:c>
      <x:c r="O411" s="94" t="n">
        <x:v>8</x:v>
      </x:c>
      <x:c r="P411" s="94" t="str">
        <x:v>模拟：Google/Microsoft Ads采购导入</x:v>
      </x:c>
    </x:row>
    <x:row r="412">
      <x:c r="A412" s="92" t="str">
        <x:v>PROC-0411</x:v>
      </x:c>
      <x:c r="B412" s="93" t="n">
        <x:v>46097</x:v>
      </x:c>
      <x:c r="C412" s="94" t="str">
        <x:v>Google Ads</x:v>
      </x:c>
      <x:c r="D412" s="94" t="str">
        <x:v>英国</x:v>
      </x:c>
      <x:c r="E412" s="94" t="str">
        <x:v>GGL-C18</x:v>
      </x:c>
      <x:c r="F412" s="94" t="str">
        <x:v>通用搜索</x:v>
      </x:c>
      <x:c r="G412" s="94" t="str">
        <x:v>高性价比商品</x:v>
      </x:c>
      <x:c r="H412" s="94" t="str">
        <x:v>移动端</x:v>
      </x:c>
      <x:c r="I412" s="94" t="str">
        <x:v>CPC</x:v>
      </x:c>
      <x:c r="J412" s="95" t="n">
        <x:v>968</x:v>
      </x:c>
      <x:c r="K412" s="96" t="n">
        <x:f>IFERROR(L412/J412,0)</x:f>
        <x:v>0.03409090909090909</x:v>
      </x:c>
      <x:c r="L412" s="95" t="n">
        <x:v>33</x:v>
      </x:c>
      <x:c r="M412" s="97" t="n">
        <x:v>0.2858</x:v>
      </x:c>
      <x:c r="N412" s="97" t="n">
        <x:f>ROUND(L412*M412,2)</x:f>
        <x:v>9.43</x:v>
      </x:c>
      <x:c r="O412" s="94" t="n">
        <x:v>8</x:v>
      </x:c>
      <x:c r="P412" s="94" t="str">
        <x:v>模拟：Google/Microsoft Ads采购导入</x:v>
      </x:c>
    </x:row>
    <x:row r="413">
      <x:c r="A413" s="92" t="str">
        <x:v>PROC-0412</x:v>
      </x:c>
      <x:c r="B413" s="93" t="n">
        <x:v>46097</x:v>
      </x:c>
      <x:c r="C413" s="94" t="str">
        <x:v>Microsoft Ads</x:v>
      </x:c>
      <x:c r="D413" s="94" t="str">
        <x:v>日本</x:v>
      </x:c>
      <x:c r="E413" s="94" t="str">
        <x:v>MSA-C02</x:v>
      </x:c>
      <x:c r="F413" s="94" t="str">
        <x:v>通用搜索</x:v>
      </x:c>
      <x:c r="G413" s="94" t="str">
        <x:v>家庭必备</x:v>
      </x:c>
      <x:c r="H413" s="94" t="str">
        <x:v>移动端</x:v>
      </x:c>
      <x:c r="I413" s="94" t="str">
        <x:v>CPC</x:v>
      </x:c>
      <x:c r="J413" s="95" t="n">
        <x:v>1160</x:v>
      </x:c>
      <x:c r="K413" s="96" t="n">
        <x:f>IFERROR(L413/J413,0)</x:f>
        <x:v>0.03017241379310345</x:v>
      </x:c>
      <x:c r="L413" s="95" t="n">
        <x:v>35</x:v>
      </x:c>
      <x:c r="M413" s="97" t="n">
        <x:v>0.1646</x:v>
      </x:c>
      <x:c r="N413" s="97" t="n">
        <x:f>ROUND(L413*M413,2)</x:f>
        <x:v>5.76</x:v>
      </x:c>
      <x:c r="O413" s="94" t="n">
        <x:v>8</x:v>
      </x:c>
      <x:c r="P413" s="94" t="str">
        <x:v>模拟：Google/Microsoft Ads采购导入</x:v>
      </x:c>
    </x:row>
    <x:row r="414">
      <x:c r="A414" s="92" t="str">
        <x:v>PROC-0413</x:v>
      </x:c>
      <x:c r="B414" s="93" t="n">
        <x:v>46097</x:v>
      </x:c>
      <x:c r="C414" s="94" t="str">
        <x:v>Google Ads</x:v>
      </x:c>
      <x:c r="D414" s="94" t="str">
        <x:v>美国</x:v>
      </x:c>
      <x:c r="E414" s="94" t="str">
        <x:v>GGL-C09</x:v>
      </x:c>
      <x:c r="F414" s="94" t="str">
        <x:v>品牌搜索</x:v>
      </x:c>
      <x:c r="G414" s="94" t="str">
        <x:v>品牌评测词</x:v>
      </x:c>
      <x:c r="H414" s="94" t="str">
        <x:v>移动端</x:v>
      </x:c>
      <x:c r="I414" s="94" t="str">
        <x:v>CPC</x:v>
      </x:c>
      <x:c r="J414" s="95" t="n">
        <x:v>1461</x:v>
      </x:c>
      <x:c r="K414" s="96" t="n">
        <x:f>IFERROR(L414/J414,0)</x:f>
        <x:v>0.053388090349075976</x:v>
      </x:c>
      <x:c r="L414" s="95" t="n">
        <x:v>78</x:v>
      </x:c>
      <x:c r="M414" s="97" t="n">
        <x:v>0.236</x:v>
      </x:c>
      <x:c r="N414" s="97" t="n">
        <x:f>ROUND(L414*M414,2)</x:f>
        <x:v>18.41</x:v>
      </x:c>
      <x:c r="O414" s="94" t="n">
        <x:v>9</x:v>
      </x:c>
      <x:c r="P414" s="94" t="str">
        <x:v>模拟：Google/Microsoft Ads采购导入</x:v>
      </x:c>
    </x:row>
    <x:row r="415">
      <x:c r="A415" s="92" t="str">
        <x:v>PROC-0414</x:v>
      </x:c>
      <x:c r="B415" s="93" t="n">
        <x:v>46097</x:v>
      </x:c>
      <x:c r="C415" s="94" t="str">
        <x:v>Google Ads</x:v>
      </x:c>
      <x:c r="D415" s="94" t="str">
        <x:v>德国</x:v>
      </x:c>
      <x:c r="E415" s="94" t="str">
        <x:v>GGL-C16</x:v>
      </x:c>
      <x:c r="F415" s="94" t="str">
        <x:v>购物广告</x:v>
      </x:c>
      <x:c r="G415" s="94" t="str">
        <x:v>快速配送</x:v>
      </x:c>
      <x:c r="H415" s="94" t="str">
        <x:v>桌面端</x:v>
      </x:c>
      <x:c r="I415" s="94" t="str">
        <x:v>CPC</x:v>
      </x:c>
      <x:c r="J415" s="95" t="n">
        <x:v>1148</x:v>
      </x:c>
      <x:c r="K415" s="96" t="n">
        <x:f>IFERROR(L415/J415,0)</x:f>
        <x:v>0.041811846689895474</x:v>
      </x:c>
      <x:c r="L415" s="95" t="n">
        <x:v>48</x:v>
      </x:c>
      <x:c r="M415" s="97" t="n">
        <x:v>0.3189</x:v>
      </x:c>
      <x:c r="N415" s="97" t="n">
        <x:f>ROUND(L415*M415,2)</x:f>
        <x:v>15.31</x:v>
      </x:c>
      <x:c r="O415" s="94" t="n">
        <x:v>6</x:v>
      </x:c>
      <x:c r="P415" s="94" t="str">
        <x:v>模拟：Google/Microsoft Ads采购导入</x:v>
      </x:c>
    </x:row>
    <x:row r="416">
      <x:c r="A416" s="92" t="str">
        <x:v>PROC-0415</x:v>
      </x:c>
      <x:c r="B416" s="93" t="n">
        <x:v>46097</x:v>
      </x:c>
      <x:c r="C416" s="94" t="str">
        <x:v>Microsoft Ads</x:v>
      </x:c>
      <x:c r="D416" s="94" t="str">
        <x:v>美国</x:v>
      </x:c>
      <x:c r="E416" s="94" t="str">
        <x:v>MSA-C22</x:v>
      </x:c>
      <x:c r="F416" s="94" t="str">
        <x:v>通用搜索</x:v>
      </x:c>
      <x:c r="G416" s="94" t="str">
        <x:v>热门新品</x:v>
      </x:c>
      <x:c r="H416" s="94" t="str">
        <x:v>移动端</x:v>
      </x:c>
      <x:c r="I416" s="94" t="str">
        <x:v>CPC</x:v>
      </x:c>
      <x:c r="J416" s="95" t="n">
        <x:v>1152</x:v>
      </x:c>
      <x:c r="K416" s="96" t="n">
        <x:f>IFERROR(L416/J416,0)</x:f>
        <x:v>0.036458333333333336</x:v>
      </x:c>
      <x:c r="L416" s="95" t="n">
        <x:v>42</x:v>
      </x:c>
      <x:c r="M416" s="97" t="n">
        <x:v>0.2479</x:v>
      </x:c>
      <x:c r="N416" s="97" t="n">
        <x:f>ROUND(L416*M416,2)</x:f>
        <x:v>10.41</x:v>
      </x:c>
      <x:c r="O416" s="94" t="n">
        <x:v>9</x:v>
      </x:c>
      <x:c r="P416" s="94" t="str">
        <x:v>模拟：Google/Microsoft Ads采购导入</x:v>
      </x:c>
    </x:row>
    <x:row r="417">
      <x:c r="A417" s="92" t="str">
        <x:v>PROC-0416</x:v>
      </x:c>
      <x:c r="B417" s="93" t="n">
        <x:v>46098</x:v>
      </x:c>
      <x:c r="C417" s="94" t="str">
        <x:v>Google Ads</x:v>
      </x:c>
      <x:c r="D417" s="94" t="str">
        <x:v>德国</x:v>
      </x:c>
      <x:c r="E417" s="94" t="str">
        <x:v>GGL-C05</x:v>
      </x:c>
      <x:c r="F417" s="94" t="str">
        <x:v>品牌搜索</x:v>
      </x:c>
      <x:c r="G417" s="94" t="str">
        <x:v>品牌型号词</x:v>
      </x:c>
      <x:c r="H417" s="94" t="str">
        <x:v>移动端</x:v>
      </x:c>
      <x:c r="I417" s="94" t="str">
        <x:v>CPC</x:v>
      </x:c>
      <x:c r="J417" s="95" t="n">
        <x:v>1425</x:v>
      </x:c>
      <x:c r="K417" s="96" t="n">
        <x:f>IFERROR(L417/J417,0)</x:f>
        <x:v>0.056842105263157895</x:v>
      </x:c>
      <x:c r="L417" s="95" t="n">
        <x:v>81</x:v>
      </x:c>
      <x:c r="M417" s="97" t="n">
        <x:v>0.2403</x:v>
      </x:c>
      <x:c r="N417" s="97" t="n">
        <x:f>ROUND(L417*M417,2)</x:f>
        <x:v>19.46</x:v>
      </x:c>
      <x:c r="O417" s="94" t="n">
        <x:v>8</x:v>
      </x:c>
      <x:c r="P417" s="94" t="str">
        <x:v>模拟：Google/Microsoft Ads采购导入</x:v>
      </x:c>
    </x:row>
    <x:row r="418">
      <x:c r="A418" s="92" t="str">
        <x:v>PROC-0417</x:v>
      </x:c>
      <x:c r="B418" s="93" t="n">
        <x:v>46098</x:v>
      </x:c>
      <x:c r="C418" s="94" t="str">
        <x:v>Microsoft Ads</x:v>
      </x:c>
      <x:c r="D418" s="94" t="str">
        <x:v>美国</x:v>
      </x:c>
      <x:c r="E418" s="94" t="str">
        <x:v>MSA-C12</x:v>
      </x:c>
      <x:c r="F418" s="94" t="str">
        <x:v>品牌搜索</x:v>
      </x:c>
      <x:c r="G418" s="94" t="str">
        <x:v>品牌购买词</x:v>
      </x:c>
      <x:c r="H418" s="94" t="str">
        <x:v>移动端</x:v>
      </x:c>
      <x:c r="I418" s="94" t="str">
        <x:v>CPC</x:v>
      </x:c>
      <x:c r="J418" s="95" t="n">
        <x:v>961</x:v>
      </x:c>
      <x:c r="K418" s="96" t="n">
        <x:f>IFERROR(L418/J418,0)</x:f>
        <x:v>0.054110301768990635</x:v>
      </x:c>
      <x:c r="L418" s="95" t="n">
        <x:v>52</x:v>
      </x:c>
      <x:c r="M418" s="97" t="n">
        <x:v>0.1863</x:v>
      </x:c>
      <x:c r="N418" s="97" t="n">
        <x:f>ROUND(L418*M418,2)</x:f>
        <x:v>9.69</x:v>
      </x:c>
      <x:c r="O418" s="94" t="n">
        <x:v>8</x:v>
      </x:c>
      <x:c r="P418" s="94" t="str">
        <x:v>模拟：Google/Microsoft Ads采购导入</x:v>
      </x:c>
    </x:row>
    <x:row r="419">
      <x:c r="A419" s="92" t="str">
        <x:v>PROC-0418</x:v>
      </x:c>
      <x:c r="B419" s="93" t="n">
        <x:v>46098</x:v>
      </x:c>
      <x:c r="C419" s="94" t="str">
        <x:v>Google Ads</x:v>
      </x:c>
      <x:c r="D419" s="94" t="str">
        <x:v>德国</x:v>
      </x:c>
      <x:c r="E419" s="94" t="str">
        <x:v>GGL-C19</x:v>
      </x:c>
      <x:c r="F419" s="94" t="str">
        <x:v>购物广告</x:v>
      </x:c>
      <x:c r="G419" s="94" t="str">
        <x:v>畅销商品</x:v>
      </x:c>
      <x:c r="H419" s="94" t="str">
        <x:v>移动端</x:v>
      </x:c>
      <x:c r="I419" s="94" t="str">
        <x:v>CPC</x:v>
      </x:c>
      <x:c r="J419" s="95" t="n">
        <x:v>1703</x:v>
      </x:c>
      <x:c r="K419" s="96" t="n">
        <x:f>IFERROR(L419/J419,0)</x:f>
        <x:v>0.038755137991779216</x:v>
      </x:c>
      <x:c r="L419" s="95" t="n">
        <x:v>66</x:v>
      </x:c>
      <x:c r="M419" s="97" t="n">
        <x:v>0.2713</x:v>
      </x:c>
      <x:c r="N419" s="97" t="n">
        <x:f>ROUND(L419*M419,2)</x:f>
        <x:v>17.91</x:v>
      </x:c>
      <x:c r="O419" s="94" t="n">
        <x:v>7</x:v>
      </x:c>
      <x:c r="P419" s="94" t="str">
        <x:v>模拟：Google/Microsoft Ads采购导入</x:v>
      </x:c>
    </x:row>
    <x:row r="420">
      <x:c r="A420" s="92" t="str">
        <x:v>PROC-0419</x:v>
      </x:c>
      <x:c r="B420" s="93" t="n">
        <x:v>46098</x:v>
      </x:c>
      <x:c r="C420" s="94" t="str">
        <x:v>Google Ads</x:v>
      </x:c>
      <x:c r="D420" s="94" t="str">
        <x:v>美国</x:v>
      </x:c>
      <x:c r="E420" s="94" t="str">
        <x:v>GGL-C24</x:v>
      </x:c>
      <x:c r="F420" s="94" t="str">
        <x:v>通用搜索</x:v>
      </x:c>
      <x:c r="G420" s="94" t="str">
        <x:v>专业精选</x:v>
      </x:c>
      <x:c r="H420" s="94" t="str">
        <x:v>移动端</x:v>
      </x:c>
      <x:c r="I420" s="94" t="str">
        <x:v>CPC</x:v>
      </x:c>
      <x:c r="J420" s="95" t="n">
        <x:v>1432</x:v>
      </x:c>
      <x:c r="K420" s="96" t="n">
        <x:f>IFERROR(L420/J420,0)</x:f>
        <x:v>0.037011173184357544</x:v>
      </x:c>
      <x:c r="L420" s="95" t="n">
        <x:v>53</x:v>
      </x:c>
      <x:c r="M420" s="97" t="n">
        <x:v>0.3831</x:v>
      </x:c>
      <x:c r="N420" s="97" t="n">
        <x:f>ROUND(L420*M420,2)</x:f>
        <x:v>20.3</x:v>
      </x:c>
      <x:c r="O420" s="94" t="n">
        <x:v>7</x:v>
      </x:c>
      <x:c r="P420" s="94" t="str">
        <x:v>模拟：Google/Microsoft Ads采购导入</x:v>
      </x:c>
    </x:row>
    <x:row r="421">
      <x:c r="A421" s="92" t="str">
        <x:v>PROC-0420</x:v>
      </x:c>
      <x:c r="B421" s="93" t="n">
        <x:v>46098</x:v>
      </x:c>
      <x:c r="C421" s="94" t="str">
        <x:v>Google Ads</x:v>
      </x:c>
      <x:c r="D421" s="94" t="str">
        <x:v>美国</x:v>
      </x:c>
      <x:c r="E421" s="94" t="str">
        <x:v>GGL-C08</x:v>
      </x:c>
      <x:c r="F421" s="94" t="str">
        <x:v>购物广告</x:v>
      </x:c>
      <x:c r="G421" s="94" t="str">
        <x:v>高评分商品</x:v>
      </x:c>
      <x:c r="H421" s="94" t="str">
        <x:v>平板</x:v>
      </x:c>
      <x:c r="I421" s="94" t="str">
        <x:v>CPC</x:v>
      </x:c>
      <x:c r="J421" s="95" t="n">
        <x:v>1488</x:v>
      </x:c>
      <x:c r="K421" s="96" t="n">
        <x:f>IFERROR(L421/J421,0)</x:f>
        <x:v>0.03763440860215054</x:v>
      </x:c>
      <x:c r="L421" s="95" t="n">
        <x:v>56</x:v>
      </x:c>
      <x:c r="M421" s="97" t="n">
        <x:v>0.3343</x:v>
      </x:c>
      <x:c r="N421" s="97" t="n">
        <x:f>ROUND(L421*M421,2)</x:f>
        <x:v>18.72</x:v>
      </x:c>
      <x:c r="O421" s="94" t="n">
        <x:v>6</x:v>
      </x:c>
      <x:c r="P421" s="94" t="str">
        <x:v>模拟：Google/Microsoft Ads采购导入</x:v>
      </x:c>
    </x:row>
    <x:row r="422">
      <x:c r="A422" s="92" t="str">
        <x:v>PROC-0421</x:v>
      </x:c>
      <x:c r="B422" s="93" t="n">
        <x:v>46099</x:v>
      </x:c>
      <x:c r="C422" s="94" t="str">
        <x:v>Google Ads</x:v>
      </x:c>
      <x:c r="D422" s="94" t="str">
        <x:v>英国</x:v>
      </x:c>
      <x:c r="E422" s="94" t="str">
        <x:v>GGL-C15</x:v>
      </x:c>
      <x:c r="F422" s="94" t="str">
        <x:v>购物广告</x:v>
      </x:c>
      <x:c r="G422" s="94" t="str">
        <x:v>价格比较</x:v>
      </x:c>
      <x:c r="H422" s="94" t="str">
        <x:v>移动端</x:v>
      </x:c>
      <x:c r="I422" s="94" t="str">
        <x:v>CPC</x:v>
      </x:c>
      <x:c r="J422" s="95" t="n">
        <x:v>1186</x:v>
      </x:c>
      <x:c r="K422" s="96" t="n">
        <x:f>IFERROR(L422/J422,0)</x:f>
        <x:v>0.03625632377740304</x:v>
      </x:c>
      <x:c r="L422" s="95" t="n">
        <x:v>43</x:v>
      </x:c>
      <x:c r="M422" s="97" t="n">
        <x:v>0.2927</x:v>
      </x:c>
      <x:c r="N422" s="97" t="n">
        <x:f>ROUND(L422*M422,2)</x:f>
        <x:v>12.59</x:v>
      </x:c>
      <x:c r="O422" s="94" t="n">
        <x:v>6</x:v>
      </x:c>
      <x:c r="P422" s="94" t="str">
        <x:v>模拟：Google/Microsoft Ads采购导入</x:v>
      </x:c>
    </x:row>
    <x:row r="423">
      <x:c r="A423" s="92" t="str">
        <x:v>PROC-0422</x:v>
      </x:c>
      <x:c r="B423" s="93" t="n">
        <x:v>46099</x:v>
      </x:c>
      <x:c r="C423" s="94" t="str">
        <x:v>Microsoft Ads</x:v>
      </x:c>
      <x:c r="D423" s="94" t="str">
        <x:v>美国</x:v>
      </x:c>
      <x:c r="E423" s="94" t="str">
        <x:v>MSA-C23</x:v>
      </x:c>
      <x:c r="F423" s="94" t="str">
        <x:v>购物广告</x:v>
      </x:c>
      <x:c r="G423" s="94" t="str">
        <x:v>快速配送</x:v>
      </x:c>
      <x:c r="H423" s="94" t="str">
        <x:v>移动端</x:v>
      </x:c>
      <x:c r="I423" s="94" t="str">
        <x:v>CPC</x:v>
      </x:c>
      <x:c r="J423" s="95" t="n">
        <x:v>1299</x:v>
      </x:c>
      <x:c r="K423" s="96" t="n">
        <x:f>IFERROR(L423/J423,0)</x:f>
        <x:v>0.05003849114703618</x:v>
      </x:c>
      <x:c r="L423" s="95" t="n">
        <x:v>65</x:v>
      </x:c>
      <x:c r="M423" s="97" t="n">
        <x:v>0.2778</x:v>
      </x:c>
      <x:c r="N423" s="97" t="n">
        <x:f>ROUND(L423*M423,2)</x:f>
        <x:v>18.06</x:v>
      </x:c>
      <x:c r="O423" s="94" t="n">
        <x:v>6</x:v>
      </x:c>
      <x:c r="P423" s="94" t="str">
        <x:v>模拟：Google/Microsoft Ads采购导入</x:v>
      </x:c>
    </x:row>
    <x:row r="424">
      <x:c r="A424" s="92" t="str">
        <x:v>PROC-0423</x:v>
      </x:c>
      <x:c r="B424" s="93" t="n">
        <x:v>46099</x:v>
      </x:c>
      <x:c r="C424" s="94" t="str">
        <x:v>Google Ads</x:v>
      </x:c>
      <x:c r="D424" s="94" t="str">
        <x:v>美国</x:v>
      </x:c>
      <x:c r="E424" s="94" t="str">
        <x:v>GGL-C05</x:v>
      </x:c>
      <x:c r="F424" s="94" t="str">
        <x:v>品牌搜索</x:v>
      </x:c>
      <x:c r="G424" s="94" t="str">
        <x:v>品牌评测词</x:v>
      </x:c>
      <x:c r="H424" s="94" t="str">
        <x:v>移动端</x:v>
      </x:c>
      <x:c r="I424" s="94" t="str">
        <x:v>CPC</x:v>
      </x:c>
      <x:c r="J424" s="95" t="n">
        <x:v>1471</x:v>
      </x:c>
      <x:c r="K424" s="96" t="n">
        <x:f>IFERROR(L424/J424,0)</x:f>
        <x:v>0.04962610469068661</x:v>
      </x:c>
      <x:c r="L424" s="95" t="n">
        <x:v>73</x:v>
      </x:c>
      <x:c r="M424" s="97" t="n">
        <x:v>0.2283</x:v>
      </x:c>
      <x:c r="N424" s="97" t="n">
        <x:f>ROUND(L424*M424,2)</x:f>
        <x:v>16.67</x:v>
      </x:c>
      <x:c r="O424" s="94" t="n">
        <x:v>8</x:v>
      </x:c>
      <x:c r="P424" s="94" t="str">
        <x:v>模拟：Google/Microsoft Ads采购导入</x:v>
      </x:c>
    </x:row>
    <x:row r="425">
      <x:c r="A425" s="92" t="str">
        <x:v>PROC-0424</x:v>
      </x:c>
      <x:c r="B425" s="93" t="n">
        <x:v>46099</x:v>
      </x:c>
      <x:c r="C425" s="94" t="str">
        <x:v>Microsoft Ads</x:v>
      </x:c>
      <x:c r="D425" s="94" t="str">
        <x:v>美国</x:v>
      </x:c>
      <x:c r="E425" s="94" t="str">
        <x:v>MSA-C13</x:v>
      </x:c>
      <x:c r="F425" s="94" t="str">
        <x:v>购物广告</x:v>
      </x:c>
      <x:c r="G425" s="94" t="str">
        <x:v>快速配送</x:v>
      </x:c>
      <x:c r="H425" s="94" t="str">
        <x:v>移动端</x:v>
      </x:c>
      <x:c r="I425" s="94" t="str">
        <x:v>CPC</x:v>
      </x:c>
      <x:c r="J425" s="95" t="n">
        <x:v>748</x:v>
      </x:c>
      <x:c r="K425" s="96" t="n">
        <x:f>IFERROR(L425/J425,0)</x:f>
        <x:v>0.04411764705882353</x:v>
      </x:c>
      <x:c r="L425" s="95" t="n">
        <x:v>33</x:v>
      </x:c>
      <x:c r="M425" s="97" t="n">
        <x:v>0.2775</x:v>
      </x:c>
      <x:c r="N425" s="97" t="n">
        <x:f>ROUND(L425*M425,2)</x:f>
        <x:v>9.16</x:v>
      </x:c>
      <x:c r="O425" s="94" t="n">
        <x:v>7</x:v>
      </x:c>
      <x:c r="P425" s="94" t="str">
        <x:v>模拟：Google/Microsoft Ads采购导入</x:v>
      </x:c>
    </x:row>
    <x:row r="426">
      <x:c r="A426" s="92" t="str">
        <x:v>PROC-0425</x:v>
      </x:c>
      <x:c r="B426" s="93" t="n">
        <x:v>46099</x:v>
      </x:c>
      <x:c r="C426" s="94" t="str">
        <x:v>Microsoft Ads</x:v>
      </x:c>
      <x:c r="D426" s="94" t="str">
        <x:v>英国</x:v>
      </x:c>
      <x:c r="E426" s="94" t="str">
        <x:v>MSA-C20</x:v>
      </x:c>
      <x:c r="F426" s="94" t="str">
        <x:v>竞品搜索</x:v>
      </x:c>
      <x:c r="G426" s="94" t="str">
        <x:v>替代品比较</x:v>
      </x:c>
      <x:c r="H426" s="94" t="str">
        <x:v>移动端</x:v>
      </x:c>
      <x:c r="I426" s="94" t="str">
        <x:v>CPC</x:v>
      </x:c>
      <x:c r="J426" s="95" t="n">
        <x:v>1034</x:v>
      </x:c>
      <x:c r="K426" s="96" t="n">
        <x:f>IFERROR(L426/J426,0)</x:f>
        <x:v>0.0367504835589942</x:v>
      </x:c>
      <x:c r="L426" s="95" t="n">
        <x:v>38</x:v>
      </x:c>
      <x:c r="M426" s="97" t="n">
        <x:v>0.2606</x:v>
      </x:c>
      <x:c r="N426" s="97" t="n">
        <x:f>ROUND(L426*M426,2)</x:f>
        <x:v>9.9</x:v>
      </x:c>
      <x:c r="O426" s="94" t="n">
        <x:v>6</x:v>
      </x:c>
      <x:c r="P426" s="94" t="str">
        <x:v>模拟：Google/Microsoft Ads采购导入</x:v>
      </x:c>
    </x:row>
    <x:row r="427">
      <x:c r="A427" s="92" t="str">
        <x:v>PROC-0426</x:v>
      </x:c>
      <x:c r="B427" s="93" t="n">
        <x:v>46099</x:v>
      </x:c>
      <x:c r="C427" s="94" t="str">
        <x:v>Google Ads</x:v>
      </x:c>
      <x:c r="D427" s="94" t="str">
        <x:v>美国</x:v>
      </x:c>
      <x:c r="E427" s="94" t="str">
        <x:v>GGL-C01</x:v>
      </x:c>
      <x:c r="F427" s="94" t="str">
        <x:v>品牌搜索</x:v>
      </x:c>
      <x:c r="G427" s="94" t="str">
        <x:v>品牌优惠词</x:v>
      </x:c>
      <x:c r="H427" s="94" t="str">
        <x:v>移动端</x:v>
      </x:c>
      <x:c r="I427" s="94" t="str">
        <x:v>CPC</x:v>
      </x:c>
      <x:c r="J427" s="95" t="n">
        <x:v>889</x:v>
      </x:c>
      <x:c r="K427" s="96" t="n">
        <x:f>IFERROR(L427/J427,0)</x:f>
        <x:v>0.06186726659167604</x:v>
      </x:c>
      <x:c r="L427" s="95" t="n">
        <x:v>55</x:v>
      </x:c>
      <x:c r="M427" s="97" t="n">
        <x:v>0.2507</x:v>
      </x:c>
      <x:c r="N427" s="97" t="n">
        <x:f>ROUND(L427*M427,2)</x:f>
        <x:v>13.79</x:v>
      </x:c>
      <x:c r="O427" s="94" t="n">
        <x:v>8</x:v>
      </x:c>
      <x:c r="P427" s="94" t="str">
        <x:v>模拟：Google/Microsoft Ads采购导入</x:v>
      </x:c>
    </x:row>
    <x:row r="428">
      <x:c r="A428" s="92" t="str">
        <x:v>PROC-0427</x:v>
      </x:c>
      <x:c r="B428" s="93" t="n">
        <x:v>46100</x:v>
      </x:c>
      <x:c r="C428" s="94" t="str">
        <x:v>Google Ads</x:v>
      </x:c>
      <x:c r="D428" s="94" t="str">
        <x:v>美国</x:v>
      </x:c>
      <x:c r="E428" s="94" t="str">
        <x:v>GGL-C11</x:v>
      </x:c>
      <x:c r="F428" s="94" t="str">
        <x:v>竞品搜索</x:v>
      </x:c>
      <x:c r="G428" s="94" t="str">
        <x:v>竞品评测</x:v>
      </x:c>
      <x:c r="H428" s="94" t="str">
        <x:v>桌面端</x:v>
      </x:c>
      <x:c r="I428" s="94" t="str">
        <x:v>CPC</x:v>
      </x:c>
      <x:c r="J428" s="95" t="n">
        <x:v>970</x:v>
      </x:c>
      <x:c r="K428" s="96" t="n">
        <x:f>IFERROR(L428/J428,0)</x:f>
        <x:v>0.031958762886597936</x:v>
      </x:c>
      <x:c r="L428" s="95" t="n">
        <x:v>31</x:v>
      </x:c>
      <x:c r="M428" s="97" t="n">
        <x:v>0.4427</x:v>
      </x:c>
      <x:c r="N428" s="97" t="n">
        <x:f>ROUND(L428*M428,2)</x:f>
        <x:v>13.72</x:v>
      </x:c>
      <x:c r="O428" s="94" t="n">
        <x:v>6</x:v>
      </x:c>
      <x:c r="P428" s="94" t="str">
        <x:v>模拟：Google/Microsoft Ads采购导入</x:v>
      </x:c>
    </x:row>
    <x:row r="429">
      <x:c r="A429" s="92" t="str">
        <x:v>PROC-0428</x:v>
      </x:c>
      <x:c r="B429" s="93" t="n">
        <x:v>46100</x:v>
      </x:c>
      <x:c r="C429" s="94" t="str">
        <x:v>Google Ads</x:v>
      </x:c>
      <x:c r="D429" s="94" t="str">
        <x:v>美国</x:v>
      </x:c>
      <x:c r="E429" s="94" t="str">
        <x:v>GGL-C17</x:v>
      </x:c>
      <x:c r="F429" s="94" t="str">
        <x:v>品牌搜索</x:v>
      </x:c>
      <x:c r="G429" s="94" t="str">
        <x:v>品牌优惠词</x:v>
      </x:c>
      <x:c r="H429" s="94" t="str">
        <x:v>桌面端</x:v>
      </x:c>
      <x:c r="I429" s="94" t="str">
        <x:v>CPC</x:v>
      </x:c>
      <x:c r="J429" s="95" t="n">
        <x:v>837</x:v>
      </x:c>
      <x:c r="K429" s="96" t="n">
        <x:f>IFERROR(L429/J429,0)</x:f>
        <x:v>0.06212664277180406</x:v>
      </x:c>
      <x:c r="L429" s="95" t="n">
        <x:v>52</x:v>
      </x:c>
      <x:c r="M429" s="97" t="n">
        <x:v>0.264</x:v>
      </x:c>
      <x:c r="N429" s="97" t="n">
        <x:f>ROUND(L429*M429,2)</x:f>
        <x:v>13.73</x:v>
      </x:c>
      <x:c r="O429" s="94" t="n">
        <x:v>10</x:v>
      </x:c>
      <x:c r="P429" s="94" t="str">
        <x:v>模拟：Google/Microsoft Ads采购导入</x:v>
      </x:c>
    </x:row>
    <x:row r="430">
      <x:c r="A430" s="92" t="str">
        <x:v>PROC-0429</x:v>
      </x:c>
      <x:c r="B430" s="93" t="n">
        <x:v>46100</x:v>
      </x:c>
      <x:c r="C430" s="94" t="str">
        <x:v>Microsoft Ads</x:v>
      </x:c>
      <x:c r="D430" s="94" t="str">
        <x:v>美国</x:v>
      </x:c>
      <x:c r="E430" s="94" t="str">
        <x:v>MSA-C24</x:v>
      </x:c>
      <x:c r="F430" s="94" t="str">
        <x:v>竞品搜索</x:v>
      </x:c>
      <x:c r="G430" s="94" t="str">
        <x:v>价格替代</x:v>
      </x:c>
      <x:c r="H430" s="94" t="str">
        <x:v>桌面端</x:v>
      </x:c>
      <x:c r="I430" s="94" t="str">
        <x:v>CPC</x:v>
      </x:c>
      <x:c r="J430" s="95" t="n">
        <x:v>815</x:v>
      </x:c>
      <x:c r="K430" s="96" t="n">
        <x:f>IFERROR(L430/J430,0)</x:f>
        <x:v>0.0392638036809816</x:v>
      </x:c>
      <x:c r="L430" s="95" t="n">
        <x:v>32</x:v>
      </x:c>
      <x:c r="M430" s="97" t="n">
        <x:v>0.3096</x:v>
      </x:c>
      <x:c r="N430" s="97" t="n">
        <x:f>ROUND(L430*M430,2)</x:f>
        <x:v>9.91</x:v>
      </x:c>
      <x:c r="O430" s="94" t="n">
        <x:v>7</x:v>
      </x:c>
      <x:c r="P430" s="94" t="str">
        <x:v>模拟：Google/Microsoft Ads采购导入</x:v>
      </x:c>
    </x:row>
    <x:row r="431">
      <x:c r="A431" s="92" t="str">
        <x:v>PROC-0430</x:v>
      </x:c>
      <x:c r="B431" s="93" t="n">
        <x:v>46100</x:v>
      </x:c>
      <x:c r="C431" s="94" t="str">
        <x:v>Microsoft Ads</x:v>
      </x:c>
      <x:c r="D431" s="94" t="str">
        <x:v>美国</x:v>
      </x:c>
      <x:c r="E431" s="94" t="str">
        <x:v>MSA-C06</x:v>
      </x:c>
      <x:c r="F431" s="94" t="str">
        <x:v>品牌搜索</x:v>
      </x:c>
      <x:c r="G431" s="94" t="str">
        <x:v>品牌评测词</x:v>
      </x:c>
      <x:c r="H431" s="94" t="str">
        <x:v>移动端</x:v>
      </x:c>
      <x:c r="I431" s="94" t="str">
        <x:v>CPC</x:v>
      </x:c>
      <x:c r="J431" s="95" t="n">
        <x:v>1003</x:v>
      </x:c>
      <x:c r="K431" s="96" t="n">
        <x:f>IFERROR(L431/J431,0)</x:f>
        <x:v>0.05982053838484546</x:v>
      </x:c>
      <x:c r="L431" s="95" t="n">
        <x:v>60</x:v>
      </x:c>
      <x:c r="M431" s="97" t="n">
        <x:v>0.2101</x:v>
      </x:c>
      <x:c r="N431" s="97" t="n">
        <x:f>ROUND(L431*M431,2)</x:f>
        <x:v>12.61</x:v>
      </x:c>
      <x:c r="O431" s="94" t="n">
        <x:v>7</x:v>
      </x:c>
      <x:c r="P431" s="94" t="str">
        <x:v>模拟：Google/Microsoft Ads采购导入</x:v>
      </x:c>
    </x:row>
    <x:row r="432">
      <x:c r="A432" s="92" t="str">
        <x:v>PROC-0431</x:v>
      </x:c>
      <x:c r="B432" s="93" t="n">
        <x:v>46100</x:v>
      </x:c>
      <x:c r="C432" s="94" t="str">
        <x:v>Google Ads</x:v>
      </x:c>
      <x:c r="D432" s="94" t="str">
        <x:v>德国</x:v>
      </x:c>
      <x:c r="E432" s="94" t="str">
        <x:v>GGL-C14</x:v>
      </x:c>
      <x:c r="F432" s="94" t="str">
        <x:v>通用搜索</x:v>
      </x:c>
      <x:c r="G432" s="94" t="str">
        <x:v>家庭必备</x:v>
      </x:c>
      <x:c r="H432" s="94" t="str">
        <x:v>移动端</x:v>
      </x:c>
      <x:c r="I432" s="94" t="str">
        <x:v>CPC</x:v>
      </x:c>
      <x:c r="J432" s="95" t="n">
        <x:v>1089</x:v>
      </x:c>
      <x:c r="K432" s="96" t="n">
        <x:f>IFERROR(L432/J432,0)</x:f>
        <x:v>0.03948576675849403</x:v>
      </x:c>
      <x:c r="L432" s="95" t="n">
        <x:v>43</x:v>
      </x:c>
      <x:c r="M432" s="97" t="n">
        <x:v>0.2538</x:v>
      </x:c>
      <x:c r="N432" s="97" t="n">
        <x:f>ROUND(L432*M432,2)</x:f>
        <x:v>10.91</x:v>
      </x:c>
      <x:c r="O432" s="94" t="n">
        <x:v>9</x:v>
      </x:c>
      <x:c r="P432" s="94" t="str">
        <x:v>模拟：Google/Microsoft Ads采购导入</x:v>
      </x:c>
    </x:row>
    <x:row r="433">
      <x:c r="A433" s="92" t="str">
        <x:v>PROC-0432</x:v>
      </x:c>
      <x:c r="B433" s="93" t="n">
        <x:v>46101</x:v>
      </x:c>
      <x:c r="C433" s="94" t="str">
        <x:v>Google Ads</x:v>
      </x:c>
      <x:c r="D433" s="94" t="str">
        <x:v>英国</x:v>
      </x:c>
      <x:c r="E433" s="94" t="str">
        <x:v>GGL-C21</x:v>
      </x:c>
      <x:c r="F433" s="94" t="str">
        <x:v>品牌搜索</x:v>
      </x:c>
      <x:c r="G433" s="94" t="str">
        <x:v>品牌评测词</x:v>
      </x:c>
      <x:c r="H433" s="94" t="str">
        <x:v>移动端</x:v>
      </x:c>
      <x:c r="I433" s="94" t="str">
        <x:v>CPC</x:v>
      </x:c>
      <x:c r="J433" s="95" t="n">
        <x:v>1360</x:v>
      </x:c>
      <x:c r="K433" s="96" t="n">
        <x:f>IFERROR(L433/J433,0)</x:f>
        <x:v>0.054411764705882354</x:v>
      </x:c>
      <x:c r="L433" s="95" t="n">
        <x:v>74</x:v>
      </x:c>
      <x:c r="M433" s="97" t="n">
        <x:v>0.2303</x:v>
      </x:c>
      <x:c r="N433" s="97" t="n">
        <x:f>ROUND(L433*M433,2)</x:f>
        <x:v>17.04</x:v>
      </x:c>
      <x:c r="O433" s="94" t="n">
        <x:v>8</x:v>
      </x:c>
      <x:c r="P433" s="94" t="str">
        <x:v>模拟：Google/Microsoft Ads采购导入</x:v>
      </x:c>
    </x:row>
    <x:row r="434">
      <x:c r="A434" s="92" t="str">
        <x:v>PROC-0433</x:v>
      </x:c>
      <x:c r="B434" s="93" t="n">
        <x:v>46101</x:v>
      </x:c>
      <x:c r="C434" s="94" t="str">
        <x:v>Microsoft Ads</x:v>
      </x:c>
      <x:c r="D434" s="94" t="str">
        <x:v>日本</x:v>
      </x:c>
      <x:c r="E434" s="94" t="str">
        <x:v>MSA-C01</x:v>
      </x:c>
      <x:c r="F434" s="94" t="str">
        <x:v>通用搜索</x:v>
      </x:c>
      <x:c r="G434" s="94" t="str">
        <x:v>实用礼物</x:v>
      </x:c>
      <x:c r="H434" s="94" t="str">
        <x:v>桌面端</x:v>
      </x:c>
      <x:c r="I434" s="94" t="str">
        <x:v>CPC</x:v>
      </x:c>
      <x:c r="J434" s="95" t="n">
        <x:v>1415</x:v>
      </x:c>
      <x:c r="K434" s="96" t="n">
        <x:f>IFERROR(L434/J434,0)</x:f>
        <x:v>0.028268551236749116</x:v>
      </x:c>
      <x:c r="L434" s="95" t="n">
        <x:v>40</x:v>
      </x:c>
      <x:c r="M434" s="97" t="n">
        <x:v>0.172</x:v>
      </x:c>
      <x:c r="N434" s="97" t="n">
        <x:f>ROUND(L434*M434,2)</x:f>
        <x:v>6.88</x:v>
      </x:c>
      <x:c r="O434" s="94" t="n">
        <x:v>9</x:v>
      </x:c>
      <x:c r="P434" s="94" t="str">
        <x:v>模拟：Google/Microsoft Ads采购导入</x:v>
      </x:c>
    </x:row>
    <x:row r="435">
      <x:c r="A435" s="92" t="str">
        <x:v>PROC-0434</x:v>
      </x:c>
      <x:c r="B435" s="93" t="n">
        <x:v>46101</x:v>
      </x:c>
      <x:c r="C435" s="94" t="str">
        <x:v>Google Ads</x:v>
      </x:c>
      <x:c r="D435" s="94" t="str">
        <x:v>德国</x:v>
      </x:c>
      <x:c r="E435" s="94" t="str">
        <x:v>GGL-C08</x:v>
      </x:c>
      <x:c r="F435" s="94" t="str">
        <x:v>通用搜索</x:v>
      </x:c>
      <x:c r="G435" s="94" t="str">
        <x:v>家庭必备</x:v>
      </x:c>
      <x:c r="H435" s="94" t="str">
        <x:v>桌面端</x:v>
      </x:c>
      <x:c r="I435" s="94" t="str">
        <x:v>CPC</x:v>
      </x:c>
      <x:c r="J435" s="95" t="n">
        <x:v>1376</x:v>
      </x:c>
      <x:c r="K435" s="96" t="n">
        <x:f>IFERROR(L435/J435,0)</x:f>
        <x:v>0.034156976744186045</x:v>
      </x:c>
      <x:c r="L435" s="95" t="n">
        <x:v>47</x:v>
      </x:c>
      <x:c r="M435" s="97" t="n">
        <x:v>0.2856</x:v>
      </x:c>
      <x:c r="N435" s="97" t="n">
        <x:f>ROUND(L435*M435,2)</x:f>
        <x:v>13.42</x:v>
      </x:c>
      <x:c r="O435" s="94" t="n">
        <x:v>8</x:v>
      </x:c>
      <x:c r="P435" s="94" t="str">
        <x:v>模拟：Google/Microsoft Ads采购导入</x:v>
      </x:c>
    </x:row>
    <x:row r="436">
      <x:c r="A436" s="92" t="str">
        <x:v>PROC-0435</x:v>
      </x:c>
      <x:c r="B436" s="93" t="n">
        <x:v>46101</x:v>
      </x:c>
      <x:c r="C436" s="94" t="str">
        <x:v>Google Ads</x:v>
      </x:c>
      <x:c r="D436" s="94" t="str">
        <x:v>英国</x:v>
      </x:c>
      <x:c r="E436" s="94" t="str">
        <x:v>GGL-C15</x:v>
      </x:c>
      <x:c r="F436" s="94" t="str">
        <x:v>通用搜索</x:v>
      </x:c>
      <x:c r="G436" s="94" t="str">
        <x:v>专业精选</x:v>
      </x:c>
      <x:c r="H436" s="94" t="str">
        <x:v>移动端</x:v>
      </x:c>
      <x:c r="I436" s="94" t="str">
        <x:v>CPC</x:v>
      </x:c>
      <x:c r="J436" s="95" t="n">
        <x:v>879</x:v>
      </x:c>
      <x:c r="K436" s="96" t="n">
        <x:f>IFERROR(L436/J436,0)</x:f>
        <x:v>0.02957906712172924</x:v>
      </x:c>
      <x:c r="L436" s="95" t="n">
        <x:v>26</x:v>
      </x:c>
      <x:c r="M436" s="97" t="n">
        <x:v>0.2945</x:v>
      </x:c>
      <x:c r="N436" s="97" t="n">
        <x:f>ROUND(L436*M436,2)</x:f>
        <x:v>7.66</x:v>
      </x:c>
      <x:c r="O436" s="94" t="n">
        <x:v>8</x:v>
      </x:c>
      <x:c r="P436" s="94" t="str">
        <x:v>模拟：Google/Microsoft Ads采购导入</x:v>
      </x:c>
    </x:row>
    <x:row r="437">
      <x:c r="A437" s="92" t="str">
        <x:v>PROC-0436</x:v>
      </x:c>
      <x:c r="B437" s="93" t="n">
        <x:v>46101</x:v>
      </x:c>
      <x:c r="C437" s="94" t="str">
        <x:v>Microsoft Ads</x:v>
      </x:c>
      <x:c r="D437" s="94" t="str">
        <x:v>德国</x:v>
      </x:c>
      <x:c r="E437" s="94" t="str">
        <x:v>MSA-C22</x:v>
      </x:c>
      <x:c r="F437" s="94" t="str">
        <x:v>通用搜索</x:v>
      </x:c>
      <x:c r="G437" s="94" t="str">
        <x:v>家庭必备</x:v>
      </x:c>
      <x:c r="H437" s="94" t="str">
        <x:v>移动端</x:v>
      </x:c>
      <x:c r="I437" s="94" t="str">
        <x:v>CPC</x:v>
      </x:c>
      <x:c r="J437" s="95" t="n">
        <x:v>1444</x:v>
      </x:c>
      <x:c r="K437" s="96" t="n">
        <x:f>IFERROR(L437/J437,0)</x:f>
        <x:v>0.0332409972299169</x:v>
      </x:c>
      <x:c r="L437" s="95" t="n">
        <x:v>48</x:v>
      </x:c>
      <x:c r="M437" s="97" t="n">
        <x:v>0.208</x:v>
      </x:c>
      <x:c r="N437" s="97" t="n">
        <x:f>ROUND(L437*M437,2)</x:f>
        <x:v>9.98</x:v>
      </x:c>
      <x:c r="O437" s="94" t="n">
        <x:v>8</x:v>
      </x:c>
      <x:c r="P437" s="94" t="str">
        <x:v>模拟：Google/Microsoft Ads采购导入</x:v>
      </x:c>
    </x:row>
    <x:row r="438">
      <x:c r="A438" s="92" t="str">
        <x:v>PROC-0437</x:v>
      </x:c>
      <x:c r="B438" s="93" t="n">
        <x:v>46101</x:v>
      </x:c>
      <x:c r="C438" s="94" t="str">
        <x:v>Google Ads</x:v>
      </x:c>
      <x:c r="D438" s="94" t="str">
        <x:v>日本</x:v>
      </x:c>
      <x:c r="E438" s="94" t="str">
        <x:v>GGL-C08</x:v>
      </x:c>
      <x:c r="F438" s="94" t="str">
        <x:v>购物广告</x:v>
      </x:c>
      <x:c r="G438" s="94" t="str">
        <x:v>快速配送</x:v>
      </x:c>
      <x:c r="H438" s="94" t="str">
        <x:v>桌面端</x:v>
      </x:c>
      <x:c r="I438" s="94" t="str">
        <x:v>CPC</x:v>
      </x:c>
      <x:c r="J438" s="95" t="n">
        <x:v>1086</x:v>
      </x:c>
      <x:c r="K438" s="96" t="n">
        <x:f>IFERROR(L438/J438,0)</x:f>
        <x:v>0.03683241252302026</x:v>
      </x:c>
      <x:c r="L438" s="95" t="n">
        <x:v>40</x:v>
      </x:c>
      <x:c r="M438" s="97" t="n">
        <x:v>0.2864</x:v>
      </x:c>
      <x:c r="N438" s="97" t="n">
        <x:f>ROUND(L438*M438,2)</x:f>
        <x:v>11.46</x:v>
      </x:c>
      <x:c r="O438" s="94" t="n">
        <x:v>7</x:v>
      </x:c>
      <x:c r="P438" s="94" t="str">
        <x:v>模拟：Google/Microsoft Ads采购导入</x:v>
      </x:c>
    </x:row>
    <x:row r="439">
      <x:c r="A439" s="92" t="str">
        <x:v>PROC-0438</x:v>
      </x:c>
      <x:c r="B439" s="93" t="n">
        <x:v>46102</x:v>
      </x:c>
      <x:c r="C439" s="94" t="str">
        <x:v>Google Ads</x:v>
      </x:c>
      <x:c r="D439" s="94" t="str">
        <x:v>日本</x:v>
      </x:c>
      <x:c r="E439" s="94" t="str">
        <x:v>GGL-C14</x:v>
      </x:c>
      <x:c r="F439" s="94" t="str">
        <x:v>品牌搜索</x:v>
      </x:c>
      <x:c r="G439" s="94" t="str">
        <x:v>品牌配件词</x:v>
      </x:c>
      <x:c r="H439" s="94" t="str">
        <x:v>桌面端</x:v>
      </x:c>
      <x:c r="I439" s="94" t="str">
        <x:v>CPC</x:v>
      </x:c>
      <x:c r="J439" s="95" t="n">
        <x:v>666</x:v>
      </x:c>
      <x:c r="K439" s="96" t="n">
        <x:f>IFERROR(L439/J439,0)</x:f>
        <x:v>0.057057057057057055</x:v>
      </x:c>
      <x:c r="L439" s="95" t="n">
        <x:v>38</x:v>
      </x:c>
      <x:c r="M439" s="97" t="n">
        <x:v>0.1888</x:v>
      </x:c>
      <x:c r="N439" s="97" t="n">
        <x:f>ROUND(L439*M439,2)</x:f>
        <x:v>7.17</x:v>
      </x:c>
      <x:c r="O439" s="94" t="n">
        <x:v>7</x:v>
      </x:c>
      <x:c r="P439" s="94" t="str">
        <x:v>模拟：Google/Microsoft Ads采购导入</x:v>
      </x:c>
    </x:row>
    <x:row r="440">
      <x:c r="A440" s="92" t="str">
        <x:v>PROC-0439</x:v>
      </x:c>
      <x:c r="B440" s="93" t="n">
        <x:v>46102</x:v>
      </x:c>
      <x:c r="C440" s="94" t="str">
        <x:v>Google Ads</x:v>
      </x:c>
      <x:c r="D440" s="94" t="str">
        <x:v>英国</x:v>
      </x:c>
      <x:c r="E440" s="94" t="str">
        <x:v>GGL-C23</x:v>
      </x:c>
      <x:c r="F440" s="94" t="str">
        <x:v>品牌搜索</x:v>
      </x:c>
      <x:c r="G440" s="94" t="str">
        <x:v>品牌配件词</x:v>
      </x:c>
      <x:c r="H440" s="94" t="str">
        <x:v>桌面端</x:v>
      </x:c>
      <x:c r="I440" s="94" t="str">
        <x:v>CPC</x:v>
      </x:c>
      <x:c r="J440" s="95" t="n">
        <x:v>1023</x:v>
      </x:c>
      <x:c r="K440" s="96" t="n">
        <x:f>IFERROR(L440/J440,0)</x:f>
        <x:v>0.05865102639296188</x:v>
      </x:c>
      <x:c r="L440" s="95" t="n">
        <x:v>60</x:v>
      </x:c>
      <x:c r="M440" s="97" t="n">
        <x:v>0.1902</x:v>
      </x:c>
      <x:c r="N440" s="97" t="n">
        <x:f>ROUND(L440*M440,2)</x:f>
        <x:v>11.41</x:v>
      </x:c>
      <x:c r="O440" s="94" t="n">
        <x:v>8</x:v>
      </x:c>
      <x:c r="P440" s="94" t="str">
        <x:v>模拟：Google/Microsoft Ads采购导入</x:v>
      </x:c>
    </x:row>
    <x:row r="441">
      <x:c r="A441" s="92" t="str">
        <x:v>PROC-0440</x:v>
      </x:c>
      <x:c r="B441" s="93" t="n">
        <x:v>46102</x:v>
      </x:c>
      <x:c r="C441" s="94" t="str">
        <x:v>Google Ads</x:v>
      </x:c>
      <x:c r="D441" s="94" t="str">
        <x:v>美国</x:v>
      </x:c>
      <x:c r="E441" s="94" t="str">
        <x:v>GGL-C04</x:v>
      </x:c>
      <x:c r="F441" s="94" t="str">
        <x:v>品牌搜索</x:v>
      </x:c>
      <x:c r="G441" s="94" t="str">
        <x:v>品牌优惠词</x:v>
      </x:c>
      <x:c r="H441" s="94" t="str">
        <x:v>移动端</x:v>
      </x:c>
      <x:c r="I441" s="94" t="str">
        <x:v>CPC</x:v>
      </x:c>
      <x:c r="J441" s="95" t="n">
        <x:v>974</x:v>
      </x:c>
      <x:c r="K441" s="96" t="n">
        <x:f>IFERROR(L441/J441,0)</x:f>
        <x:v>0.06262833675564682</x:v>
      </x:c>
      <x:c r="L441" s="95" t="n">
        <x:v>61</x:v>
      </x:c>
      <x:c r="M441" s="97" t="n">
        <x:v>0.2741</x:v>
      </x:c>
      <x:c r="N441" s="97" t="n">
        <x:f>ROUND(L441*M441,2)</x:f>
        <x:v>16.72</x:v>
      </x:c>
      <x:c r="O441" s="94" t="n">
        <x:v>10</x:v>
      </x:c>
      <x:c r="P441" s="94" t="str">
        <x:v>模拟：Google/Microsoft Ads采购导入</x:v>
      </x:c>
    </x:row>
    <x:row r="442">
      <x:c r="A442" s="92" t="str">
        <x:v>PROC-0441</x:v>
      </x:c>
      <x:c r="B442" s="93" t="n">
        <x:v>46102</x:v>
      </x:c>
      <x:c r="C442" s="94" t="str">
        <x:v>Google Ads</x:v>
      </x:c>
      <x:c r="D442" s="94" t="str">
        <x:v>英国</x:v>
      </x:c>
      <x:c r="E442" s="94" t="str">
        <x:v>GGL-C11</x:v>
      </x:c>
      <x:c r="F442" s="94" t="str">
        <x:v>品牌搜索</x:v>
      </x:c>
      <x:c r="G442" s="94" t="str">
        <x:v>品牌型号词</x:v>
      </x:c>
      <x:c r="H442" s="94" t="str">
        <x:v>移动端</x:v>
      </x:c>
      <x:c r="I442" s="94" t="str">
        <x:v>CPC</x:v>
      </x:c>
      <x:c r="J442" s="95" t="n">
        <x:v>1096</x:v>
      </x:c>
      <x:c r="K442" s="96" t="n">
        <x:f>IFERROR(L442/J442,0)</x:f>
        <x:v>0.053832116788321165</x:v>
      </x:c>
      <x:c r="L442" s="95" t="n">
        <x:v>59</x:v>
      </x:c>
      <x:c r="M442" s="97" t="n">
        <x:v>0.2632</x:v>
      </x:c>
      <x:c r="N442" s="97" t="n">
        <x:f>ROUND(L442*M442,2)</x:f>
        <x:v>15.53</x:v>
      </x:c>
      <x:c r="O442" s="94" t="n">
        <x:v>10</x:v>
      </x:c>
      <x:c r="P442" s="94" t="str">
        <x:v>模拟：Google/Microsoft Ads采购导入</x:v>
      </x:c>
    </x:row>
    <x:row r="443">
      <x:c r="A443" s="92" t="str">
        <x:v>PROC-0442</x:v>
      </x:c>
      <x:c r="B443" s="93" t="n">
        <x:v>46102</x:v>
      </x:c>
      <x:c r="C443" s="94" t="str">
        <x:v>Google Ads</x:v>
      </x:c>
      <x:c r="D443" s="94" t="str">
        <x:v>英国</x:v>
      </x:c>
      <x:c r="E443" s="94" t="str">
        <x:v>GGL-C16</x:v>
      </x:c>
      <x:c r="F443" s="94" t="str">
        <x:v>品牌搜索</x:v>
      </x:c>
      <x:c r="G443" s="94" t="str">
        <x:v>品牌型号词</x:v>
      </x:c>
      <x:c r="H443" s="94" t="str">
        <x:v>桌面端</x:v>
      </x:c>
      <x:c r="I443" s="94" t="str">
        <x:v>CPC</x:v>
      </x:c>
      <x:c r="J443" s="95" t="n">
        <x:v>1196</x:v>
      </x:c>
      <x:c r="K443" s="96" t="n">
        <x:f>IFERROR(L443/J443,0)</x:f>
        <x:v>0.06605351170568562</x:v>
      </x:c>
      <x:c r="L443" s="95" t="n">
        <x:v>79</x:v>
      </x:c>
      <x:c r="M443" s="97" t="n">
        <x:v>0.2162</x:v>
      </x:c>
      <x:c r="N443" s="97" t="n">
        <x:f>ROUND(L443*M443,2)</x:f>
        <x:v>17.08</x:v>
      </x:c>
      <x:c r="O443" s="94" t="n">
        <x:v>9</x:v>
      </x:c>
      <x:c r="P443" s="94" t="str">
        <x:v>模拟：Google/Microsoft Ads采购导入</x:v>
      </x:c>
    </x:row>
    <x:row r="444">
      <x:c r="A444" s="92" t="str">
        <x:v>PROC-0443</x:v>
      </x:c>
      <x:c r="B444" s="93" t="n">
        <x:v>46103</x:v>
      </x:c>
      <x:c r="C444" s="94" t="str">
        <x:v>Google Ads</x:v>
      </x:c>
      <x:c r="D444" s="94" t="str">
        <x:v>英国</x:v>
      </x:c>
      <x:c r="E444" s="94" t="str">
        <x:v>GGL-C24</x:v>
      </x:c>
      <x:c r="F444" s="94" t="str">
        <x:v>竞品搜索</x:v>
      </x:c>
      <x:c r="G444" s="94" t="str">
        <x:v>价格替代</x:v>
      </x:c>
      <x:c r="H444" s="94" t="str">
        <x:v>移动端</x:v>
      </x:c>
      <x:c r="I444" s="94" t="str">
        <x:v>CPC</x:v>
      </x:c>
      <x:c r="J444" s="95" t="n">
        <x:v>1041</x:v>
      </x:c>
      <x:c r="K444" s="96" t="n">
        <x:f>IFERROR(L444/J444,0)</x:f>
        <x:v>0.03073967339097022</x:v>
      </x:c>
      <x:c r="L444" s="95" t="n">
        <x:v>32</x:v>
      </x:c>
      <x:c r="M444" s="97" t="n">
        <x:v>0.3465</x:v>
      </x:c>
      <x:c r="N444" s="97" t="n">
        <x:f>ROUND(L444*M444,2)</x:f>
        <x:v>11.09</x:v>
      </x:c>
      <x:c r="O444" s="94" t="n">
        <x:v>7</x:v>
      </x:c>
      <x:c r="P444" s="94" t="str">
        <x:v>模拟：Google/Microsoft Ads采购导入</x:v>
      </x:c>
    </x:row>
    <x:row r="445">
      <x:c r="A445" s="92" t="str">
        <x:v>PROC-0444</x:v>
      </x:c>
      <x:c r="B445" s="93" t="n">
        <x:v>46103</x:v>
      </x:c>
      <x:c r="C445" s="94" t="str">
        <x:v>Google Ads</x:v>
      </x:c>
      <x:c r="D445" s="94" t="str">
        <x:v>日本</x:v>
      </x:c>
      <x:c r="E445" s="94" t="str">
        <x:v>GGL-C07</x:v>
      </x:c>
      <x:c r="F445" s="94" t="str">
        <x:v>购物广告</x:v>
      </x:c>
      <x:c r="G445" s="94" t="str">
        <x:v>快速配送</x:v>
      </x:c>
      <x:c r="H445" s="94" t="str">
        <x:v>桌面端</x:v>
      </x:c>
      <x:c r="I445" s="94" t="str">
        <x:v>CPC</x:v>
      </x:c>
      <x:c r="J445" s="95" t="n">
        <x:v>1258</x:v>
      </x:c>
      <x:c r="K445" s="96" t="n">
        <x:f>IFERROR(L445/J445,0)</x:f>
        <x:v>0.03577106518282989</x:v>
      </x:c>
      <x:c r="L445" s="95" t="n">
        <x:v>45</x:v>
      </x:c>
      <x:c r="M445" s="97" t="n">
        <x:v>0.3199</x:v>
      </x:c>
      <x:c r="N445" s="97" t="n">
        <x:f>ROUND(L445*M445,2)</x:f>
        <x:v>14.4</x:v>
      </x:c>
      <x:c r="O445" s="94" t="n">
        <x:v>7</x:v>
      </x:c>
      <x:c r="P445" s="94" t="str">
        <x:v>模拟：Google/Microsoft Ads采购导入</x:v>
      </x:c>
    </x:row>
    <x:row r="446">
      <x:c r="A446" s="92" t="str">
        <x:v>PROC-0445</x:v>
      </x:c>
      <x:c r="B446" s="93" t="n">
        <x:v>46103</x:v>
      </x:c>
      <x:c r="C446" s="94" t="str">
        <x:v>Google Ads</x:v>
      </x:c>
      <x:c r="D446" s="94" t="str">
        <x:v>英国</x:v>
      </x:c>
      <x:c r="E446" s="94" t="str">
        <x:v>GGL-C13</x:v>
      </x:c>
      <x:c r="F446" s="94" t="str">
        <x:v>购物广告</x:v>
      </x:c>
      <x:c r="G446" s="94" t="str">
        <x:v>价格比较</x:v>
      </x:c>
      <x:c r="H446" s="94" t="str">
        <x:v>移动端</x:v>
      </x:c>
      <x:c r="I446" s="94" t="str">
        <x:v>CPC</x:v>
      </x:c>
      <x:c r="J446" s="95" t="n">
        <x:v>963</x:v>
      </x:c>
      <x:c r="K446" s="96" t="n">
        <x:f>IFERROR(L446/J446,0)</x:f>
        <x:v>0.04361370716510903</x:v>
      </x:c>
      <x:c r="L446" s="95" t="n">
        <x:v>42</x:v>
      </x:c>
      <x:c r="M446" s="97" t="n">
        <x:v>0.3782</x:v>
      </x:c>
      <x:c r="N446" s="97" t="n">
        <x:f>ROUND(L446*M446,2)</x:f>
        <x:v>15.88</x:v>
      </x:c>
      <x:c r="O446" s="94" t="n">
        <x:v>8</x:v>
      </x:c>
      <x:c r="P446" s="94" t="str">
        <x:v>模拟：Google/Microsoft Ads采购导入</x:v>
      </x:c>
    </x:row>
    <x:row r="447">
      <x:c r="A447" s="92" t="str">
        <x:v>PROC-0446</x:v>
      </x:c>
      <x:c r="B447" s="93" t="n">
        <x:v>46103</x:v>
      </x:c>
      <x:c r="C447" s="94" t="str">
        <x:v>Google Ads</x:v>
      </x:c>
      <x:c r="D447" s="94" t="str">
        <x:v>美国</x:v>
      </x:c>
      <x:c r="E447" s="94" t="str">
        <x:v>GGL-C20</x:v>
      </x:c>
      <x:c r="F447" s="94" t="str">
        <x:v>通用搜索</x:v>
      </x:c>
      <x:c r="G447" s="94" t="str">
        <x:v>家庭必备</x:v>
      </x:c>
      <x:c r="H447" s="94" t="str">
        <x:v>移动端</x:v>
      </x:c>
      <x:c r="I447" s="94" t="str">
        <x:v>CPC</x:v>
      </x:c>
      <x:c r="J447" s="95" t="n">
        <x:v>948</x:v>
      </x:c>
      <x:c r="K447" s="96" t="n">
        <x:f>IFERROR(L447/J447,0)</x:f>
        <x:v>0.035864978902953586</x:v>
      </x:c>
      <x:c r="L447" s="95" t="n">
        <x:v>34</x:v>
      </x:c>
      <x:c r="M447" s="97" t="n">
        <x:v>0.3663</x:v>
      </x:c>
      <x:c r="N447" s="97" t="n">
        <x:f>ROUND(L447*M447,2)</x:f>
        <x:v>12.45</x:v>
      </x:c>
      <x:c r="O447" s="94" t="n">
        <x:v>7</x:v>
      </x:c>
      <x:c r="P447" s="94" t="str">
        <x:v>模拟：Google/Microsoft Ads采购导入</x:v>
      </x:c>
    </x:row>
    <x:row r="448">
      <x:c r="A448" s="92" t="str">
        <x:v>PROC-0447</x:v>
      </x:c>
      <x:c r="B448" s="93" t="n">
        <x:v>46103</x:v>
      </x:c>
      <x:c r="C448" s="94" t="str">
        <x:v>Google Ads</x:v>
      </x:c>
      <x:c r="D448" s="94" t="str">
        <x:v>美国</x:v>
      </x:c>
      <x:c r="E448" s="94" t="str">
        <x:v>GGL-C05</x:v>
      </x:c>
      <x:c r="F448" s="94" t="str">
        <x:v>竞品搜索</x:v>
      </x:c>
      <x:c r="G448" s="94" t="str">
        <x:v>同类产品对比</x:v>
      </x:c>
      <x:c r="H448" s="94" t="str">
        <x:v>桌面端</x:v>
      </x:c>
      <x:c r="I448" s="94" t="str">
        <x:v>CPC</x:v>
      </x:c>
      <x:c r="J448" s="95" t="n">
        <x:v>1146</x:v>
      </x:c>
      <x:c r="K448" s="96" t="n">
        <x:f>IFERROR(L448/J448,0)</x:f>
        <x:v>0.034031413612565446</x:v>
      </x:c>
      <x:c r="L448" s="95" t="n">
        <x:v>39</x:v>
      </x:c>
      <x:c r="M448" s="97" t="n">
        <x:v>0.3713</x:v>
      </x:c>
      <x:c r="N448" s="97" t="n">
        <x:f>ROUND(L448*M448,2)</x:f>
        <x:v>14.48</x:v>
      </x:c>
      <x:c r="O448" s="94" t="n">
        <x:v>8</x:v>
      </x:c>
      <x:c r="P448" s="94" t="str">
        <x:v>模拟：Google/Microsoft Ads采购导入</x:v>
      </x:c>
    </x:row>
    <x:row r="449">
      <x:c r="A449" s="92" t="str">
        <x:v>PROC-0448</x:v>
      </x:c>
      <x:c r="B449" s="93" t="n">
        <x:v>46103</x:v>
      </x:c>
      <x:c r="C449" s="94" t="str">
        <x:v>Microsoft Ads</x:v>
      </x:c>
      <x:c r="D449" s="94" t="str">
        <x:v>美国</x:v>
      </x:c>
      <x:c r="E449" s="94" t="str">
        <x:v>MSA-C10</x:v>
      </x:c>
      <x:c r="F449" s="94" t="str">
        <x:v>通用搜索</x:v>
      </x:c>
      <x:c r="G449" s="94" t="str">
        <x:v>家庭必备</x:v>
      </x:c>
      <x:c r="H449" s="94" t="str">
        <x:v>移动端</x:v>
      </x:c>
      <x:c r="I449" s="94" t="str">
        <x:v>CPC</x:v>
      </x:c>
      <x:c r="J449" s="95" t="n">
        <x:v>1342</x:v>
      </x:c>
      <x:c r="K449" s="96" t="n">
        <x:f>IFERROR(L449/J449,0)</x:f>
        <x:v>0.038002980625931444</x:v>
      </x:c>
      <x:c r="L449" s="95" t="n">
        <x:v>51</x:v>
      </x:c>
      <x:c r="M449" s="97" t="n">
        <x:v>0.2769</x:v>
      </x:c>
      <x:c r="N449" s="97" t="n">
        <x:f>ROUND(L449*M449,2)</x:f>
        <x:v>14.12</x:v>
      </x:c>
      <x:c r="O449" s="94" t="n">
        <x:v>7</x:v>
      </x:c>
      <x:c r="P449" s="94" t="str">
        <x:v>模拟：Google/Microsoft Ads采购导入</x:v>
      </x:c>
    </x:row>
    <x:row r="450">
      <x:c r="A450" s="92" t="str">
        <x:v>PROC-0449</x:v>
      </x:c>
      <x:c r="B450" s="93" t="n">
        <x:v>46104</x:v>
      </x:c>
      <x:c r="C450" s="94" t="str">
        <x:v>Microsoft Ads</x:v>
      </x:c>
      <x:c r="D450" s="94" t="str">
        <x:v>日本</x:v>
      </x:c>
      <x:c r="E450" s="94" t="str">
        <x:v>MSA-C17</x:v>
      </x:c>
      <x:c r="F450" s="94" t="str">
        <x:v>通用搜索</x:v>
      </x:c>
      <x:c r="G450" s="94" t="str">
        <x:v>热门新品</x:v>
      </x:c>
      <x:c r="H450" s="94" t="str">
        <x:v>移动端</x:v>
      </x:c>
      <x:c r="I450" s="94" t="str">
        <x:v>CPC</x:v>
      </x:c>
      <x:c r="J450" s="95" t="n">
        <x:v>991</x:v>
      </x:c>
      <x:c r="K450" s="96" t="n">
        <x:f>IFERROR(L450/J450,0)</x:f>
        <x:v>0.035317860746720484</x:v>
      </x:c>
      <x:c r="L450" s="95" t="n">
        <x:v>35</x:v>
      </x:c>
      <x:c r="M450" s="97" t="n">
        <x:v>0.1768</x:v>
      </x:c>
      <x:c r="N450" s="97" t="n">
        <x:f>ROUND(L450*M450,2)</x:f>
        <x:v>6.19</x:v>
      </x:c>
      <x:c r="O450" s="94" t="n">
        <x:v>7</x:v>
      </x:c>
      <x:c r="P450" s="94" t="str">
        <x:v>模拟：Google/Microsoft Ads采购导入</x:v>
      </x:c>
    </x:row>
    <x:row r="451">
      <x:c r="A451" s="92" t="str">
        <x:v>PROC-0450</x:v>
      </x:c>
      <x:c r="B451" s="93" t="n">
        <x:v>46104</x:v>
      </x:c>
      <x:c r="C451" s="94" t="str">
        <x:v>Google Ads</x:v>
      </x:c>
      <x:c r="D451" s="94" t="str">
        <x:v>德国</x:v>
      </x:c>
      <x:c r="E451" s="94" t="str">
        <x:v>GGL-C02</x:v>
      </x:c>
      <x:c r="F451" s="94" t="str">
        <x:v>竞品搜索</x:v>
      </x:c>
      <x:c r="G451" s="94" t="str">
        <x:v>更优选择</x:v>
      </x:c>
      <x:c r="H451" s="94" t="str">
        <x:v>移动端</x:v>
      </x:c>
      <x:c r="I451" s="94" t="str">
        <x:v>CPC</x:v>
      </x:c>
      <x:c r="J451" s="95" t="n">
        <x:v>1092</x:v>
      </x:c>
      <x:c r="K451" s="96" t="n">
        <x:f>IFERROR(L451/J451,0)</x:f>
        <x:v>0.029304029304029304</x:v>
      </x:c>
      <x:c r="L451" s="95" t="n">
        <x:v>32</x:v>
      </x:c>
      <x:c r="M451" s="97" t="n">
        <x:v>0.3401</x:v>
      </x:c>
      <x:c r="N451" s="97" t="n">
        <x:f>ROUND(L451*M451,2)</x:f>
        <x:v>10.88</x:v>
      </x:c>
      <x:c r="O451" s="94" t="n">
        <x:v>6</x:v>
      </x:c>
      <x:c r="P451" s="94" t="str">
        <x:v>模拟：Google/Microsoft Ads采购导入</x:v>
      </x:c>
    </x:row>
    <x:row r="452">
      <x:c r="A452" s="92" t="str">
        <x:v>PROC-0451</x:v>
      </x:c>
      <x:c r="B452" s="93" t="n">
        <x:v>46104</x:v>
      </x:c>
      <x:c r="C452" s="94" t="str">
        <x:v>Google Ads</x:v>
      </x:c>
      <x:c r="D452" s="94" t="str">
        <x:v>英国</x:v>
      </x:c>
      <x:c r="E452" s="94" t="str">
        <x:v>GGL-C11</x:v>
      </x:c>
      <x:c r="F452" s="94" t="str">
        <x:v>品牌搜索</x:v>
      </x:c>
      <x:c r="G452" s="94" t="str">
        <x:v>品牌配件词</x:v>
      </x:c>
      <x:c r="H452" s="94" t="str">
        <x:v>移动端</x:v>
      </x:c>
      <x:c r="I452" s="94" t="str">
        <x:v>CPC</x:v>
      </x:c>
      <x:c r="J452" s="95" t="n">
        <x:v>1338</x:v>
      </x:c>
      <x:c r="K452" s="96" t="n">
        <x:f>IFERROR(L452/J452,0)</x:f>
        <x:v>0.06651718983557549</x:v>
      </x:c>
      <x:c r="L452" s="95" t="n">
        <x:v>89</x:v>
      </x:c>
      <x:c r="M452" s="97" t="n">
        <x:v>0.2474</x:v>
      </x:c>
      <x:c r="N452" s="97" t="n">
        <x:f>ROUND(L452*M452,2)</x:f>
        <x:v>22.02</x:v>
      </x:c>
      <x:c r="O452" s="94" t="n">
        <x:v>10</x:v>
      </x:c>
      <x:c r="P452" s="94" t="str">
        <x:v>模拟：Google/Microsoft Ads采购导入</x:v>
      </x:c>
    </x:row>
    <x:row r="453">
      <x:c r="A453" s="92" t="str">
        <x:v>PROC-0452</x:v>
      </x:c>
      <x:c r="B453" s="93" t="n">
        <x:v>46104</x:v>
      </x:c>
      <x:c r="C453" s="94" t="str">
        <x:v>Microsoft Ads</x:v>
      </x:c>
      <x:c r="D453" s="94" t="str">
        <x:v>美国</x:v>
      </x:c>
      <x:c r="E453" s="94" t="str">
        <x:v>MSA-C15</x:v>
      </x:c>
      <x:c r="F453" s="94" t="str">
        <x:v>品牌搜索</x:v>
      </x:c>
      <x:c r="G453" s="94" t="str">
        <x:v>品牌型号词</x:v>
      </x:c>
      <x:c r="H453" s="94" t="str">
        <x:v>移动端</x:v>
      </x:c>
      <x:c r="I453" s="94" t="str">
        <x:v>CPC</x:v>
      </x:c>
      <x:c r="J453" s="95" t="n">
        <x:v>631</x:v>
      </x:c>
      <x:c r="K453" s="96" t="n">
        <x:f>IFERROR(L453/J453,0)</x:f>
        <x:v>0.05229793977812995</x:v>
      </x:c>
      <x:c r="L453" s="95" t="n">
        <x:v>33</x:v>
      </x:c>
      <x:c r="M453" s="97" t="n">
        <x:v>0.1882</x:v>
      </x:c>
      <x:c r="N453" s="97" t="n">
        <x:f>ROUND(L453*M453,2)</x:f>
        <x:v>6.21</x:v>
      </x:c>
      <x:c r="O453" s="94" t="n">
        <x:v>7</x:v>
      </x:c>
      <x:c r="P453" s="94" t="str">
        <x:v>模拟：Google/Microsoft Ads采购导入</x:v>
      </x:c>
    </x:row>
    <x:row r="454">
      <x:c r="A454" s="92" t="str">
        <x:v>PROC-0453</x:v>
      </x:c>
      <x:c r="B454" s="93" t="n">
        <x:v>46104</x:v>
      </x:c>
      <x:c r="C454" s="94" t="str">
        <x:v>Microsoft Ads</x:v>
      </x:c>
      <x:c r="D454" s="94" t="str">
        <x:v>美国</x:v>
      </x:c>
      <x:c r="E454" s="94" t="str">
        <x:v>MSA-C22</x:v>
      </x:c>
      <x:c r="F454" s="94" t="str">
        <x:v>品牌搜索</x:v>
      </x:c>
      <x:c r="G454" s="94" t="str">
        <x:v>品牌评测词</x:v>
      </x:c>
      <x:c r="H454" s="94" t="str">
        <x:v>桌面端</x:v>
      </x:c>
      <x:c r="I454" s="94" t="str">
        <x:v>CPC</x:v>
      </x:c>
      <x:c r="J454" s="95" t="n">
        <x:v>1352</x:v>
      </x:c>
      <x:c r="K454" s="96" t="n">
        <x:f>IFERROR(L454/J454,0)</x:f>
        <x:v>0.07248520710059171</x:v>
      </x:c>
      <x:c r="L454" s="95" t="n">
        <x:v>98</x:v>
      </x:c>
      <x:c r="M454" s="97" t="n">
        <x:v>0.1921</x:v>
      </x:c>
      <x:c r="N454" s="97" t="n">
        <x:f>ROUND(L454*M454,2)</x:f>
        <x:v>18.83</x:v>
      </x:c>
      <x:c r="O454" s="94" t="n">
        <x:v>9</x:v>
      </x:c>
      <x:c r="P454" s="94" t="str">
        <x:v>模拟：Google/Microsoft Ads采购导入</x:v>
      </x:c>
    </x:row>
    <x:row r="455">
      <x:c r="A455" s="92" t="str">
        <x:v>PROC-0454</x:v>
      </x:c>
      <x:c r="B455" s="93" t="n">
        <x:v>46104</x:v>
      </x:c>
      <x:c r="C455" s="94" t="str">
        <x:v>Google Ads</x:v>
      </x:c>
      <x:c r="D455" s="94" t="str">
        <x:v>英国</x:v>
      </x:c>
      <x:c r="E455" s="94" t="str">
        <x:v>GGL-C08</x:v>
      </x:c>
      <x:c r="F455" s="94" t="str">
        <x:v>购物广告</x:v>
      </x:c>
      <x:c r="G455" s="94" t="str">
        <x:v>畅销商品</x:v>
      </x:c>
      <x:c r="H455" s="94" t="str">
        <x:v>移动端</x:v>
      </x:c>
      <x:c r="I455" s="94" t="str">
        <x:v>CPC</x:v>
      </x:c>
      <x:c r="J455" s="95" t="n">
        <x:v>1250</x:v>
      </x:c>
      <x:c r="K455" s="96" t="n">
        <x:f>IFERROR(L455/J455,0)</x:f>
        <x:v>0.0424</x:v>
      </x:c>
      <x:c r="L455" s="95" t="n">
        <x:v>53</x:v>
      </x:c>
      <x:c r="M455" s="97" t="n">
        <x:v>0.345</x:v>
      </x:c>
      <x:c r="N455" s="97" t="n">
        <x:f>ROUND(L455*M455,2)</x:f>
        <x:v>18.29</x:v>
      </x:c>
      <x:c r="O455" s="94" t="n">
        <x:v>7</x:v>
      </x:c>
      <x:c r="P455" s="94" t="str">
        <x:v>模拟：Google/Microsoft Ads采购导入</x:v>
      </x:c>
    </x:row>
    <x:row r="456">
      <x:c r="A456" s="92" t="str">
        <x:v>PROC-0455</x:v>
      </x:c>
      <x:c r="B456" s="93" t="n">
        <x:v>46105</x:v>
      </x:c>
      <x:c r="C456" s="94" t="str">
        <x:v>Google Ads</x:v>
      </x:c>
      <x:c r="D456" s="94" t="str">
        <x:v>美国</x:v>
      </x:c>
      <x:c r="E456" s="94" t="str">
        <x:v>GGL-C12</x:v>
      </x:c>
      <x:c r="F456" s="94" t="str">
        <x:v>购物广告</x:v>
      </x:c>
      <x:c r="G456" s="94" t="str">
        <x:v>快速配送</x:v>
      </x:c>
      <x:c r="H456" s="94" t="str">
        <x:v>移动端</x:v>
      </x:c>
      <x:c r="I456" s="94" t="str">
        <x:v>CPC</x:v>
      </x:c>
      <x:c r="J456" s="95" t="n">
        <x:v>1174</x:v>
      </x:c>
      <x:c r="K456" s="96" t="n">
        <x:f>IFERROR(L456/J456,0)</x:f>
        <x:v>0.04088586030664395</x:v>
      </x:c>
      <x:c r="L456" s="95" t="n">
        <x:v>48</x:v>
      </x:c>
      <x:c r="M456" s="97" t="n">
        <x:v>0.3951</x:v>
      </x:c>
      <x:c r="N456" s="97" t="n">
        <x:f>ROUND(L456*M456,2)</x:f>
        <x:v>18.96</x:v>
      </x:c>
      <x:c r="O456" s="94" t="n">
        <x:v>9</x:v>
      </x:c>
      <x:c r="P456" s="94" t="str">
        <x:v>模拟：Google/Microsoft Ads采购导入</x:v>
      </x:c>
    </x:row>
    <x:row r="457">
      <x:c r="A457" s="92" t="str">
        <x:v>PROC-0456</x:v>
      </x:c>
      <x:c r="B457" s="93" t="n">
        <x:v>46105</x:v>
      </x:c>
      <x:c r="C457" s="94" t="str">
        <x:v>Google Ads</x:v>
      </x:c>
      <x:c r="D457" s="94" t="str">
        <x:v>美国</x:v>
      </x:c>
      <x:c r="E457" s="94" t="str">
        <x:v>GGL-C18</x:v>
      </x:c>
      <x:c r="F457" s="94" t="str">
        <x:v>购物广告</x:v>
      </x:c>
      <x:c r="G457" s="94" t="str">
        <x:v>高评分商品</x:v>
      </x:c>
      <x:c r="H457" s="94" t="str">
        <x:v>移动端</x:v>
      </x:c>
      <x:c r="I457" s="94" t="str">
        <x:v>CPC</x:v>
      </x:c>
      <x:c r="J457" s="95" t="n">
        <x:v>920</x:v>
      </x:c>
      <x:c r="K457" s="96" t="n">
        <x:f>IFERROR(L457/J457,0)</x:f>
        <x:v>0.041304347826086954</x:v>
      </x:c>
      <x:c r="L457" s="95" t="n">
        <x:v>38</x:v>
      </x:c>
      <x:c r="M457" s="97" t="n">
        <x:v>0.3357</x:v>
      </x:c>
      <x:c r="N457" s="97" t="n">
        <x:f>ROUND(L457*M457,2)</x:f>
        <x:v>12.76</x:v>
      </x:c>
      <x:c r="O457" s="94" t="n">
        <x:v>7</x:v>
      </x:c>
      <x:c r="P457" s="94" t="str">
        <x:v>模拟：Google/Microsoft Ads采购导入</x:v>
      </x:c>
    </x:row>
    <x:row r="458">
      <x:c r="A458" s="92" t="str">
        <x:v>PROC-0457</x:v>
      </x:c>
      <x:c r="B458" s="93" t="n">
        <x:v>46105</x:v>
      </x:c>
      <x:c r="C458" s="94" t="str">
        <x:v>Microsoft Ads</x:v>
      </x:c>
      <x:c r="D458" s="94" t="str">
        <x:v>英国</x:v>
      </x:c>
      <x:c r="E458" s="94" t="str">
        <x:v>MSA-C05</x:v>
      </x:c>
      <x:c r="F458" s="94" t="str">
        <x:v>通用搜索</x:v>
      </x:c>
      <x:c r="G458" s="94" t="str">
        <x:v>专业精选</x:v>
      </x:c>
      <x:c r="H458" s="94" t="str">
        <x:v>移动端</x:v>
      </x:c>
      <x:c r="I458" s="94" t="str">
        <x:v>CPC</x:v>
      </x:c>
      <x:c r="J458" s="95" t="n">
        <x:v>1472</x:v>
      </x:c>
      <x:c r="K458" s="96" t="n">
        <x:f>IFERROR(L458/J458,0)</x:f>
        <x:v>0.03328804347826087</x:v>
      </x:c>
      <x:c r="L458" s="95" t="n">
        <x:v>49</x:v>
      </x:c>
      <x:c r="M458" s="97" t="n">
        <x:v>0.22</x:v>
      </x:c>
      <x:c r="N458" s="97" t="n">
        <x:f>ROUND(L458*M458,2)</x:f>
        <x:v>10.78</x:v>
      </x:c>
      <x:c r="O458" s="94" t="n">
        <x:v>8</x:v>
      </x:c>
      <x:c r="P458" s="94" t="str">
        <x:v>模拟：Google/Microsoft Ads采购导入</x:v>
      </x:c>
    </x:row>
    <x:row r="459">
      <x:c r="A459" s="92" t="str">
        <x:v>PROC-0458</x:v>
      </x:c>
      <x:c r="B459" s="93" t="n">
        <x:v>46105</x:v>
      </x:c>
      <x:c r="C459" s="94" t="str">
        <x:v>Google Ads</x:v>
      </x:c>
      <x:c r="D459" s="94" t="str">
        <x:v>美国</x:v>
      </x:c>
      <x:c r="E459" s="94" t="str">
        <x:v>GGL-C08</x:v>
      </x:c>
      <x:c r="F459" s="94" t="str">
        <x:v>购物广告</x:v>
      </x:c>
      <x:c r="G459" s="94" t="str">
        <x:v>畅销商品</x:v>
      </x:c>
      <x:c r="H459" s="94" t="str">
        <x:v>移动端</x:v>
      </x:c>
      <x:c r="I459" s="94" t="str">
        <x:v>CPC</x:v>
      </x:c>
      <x:c r="J459" s="95" t="n">
        <x:v>910</x:v>
      </x:c>
      <x:c r="K459" s="96" t="n">
        <x:f>IFERROR(L459/J459,0)</x:f>
        <x:v>0.045054945054945054</x:v>
      </x:c>
      <x:c r="L459" s="95" t="n">
        <x:v>41</x:v>
      </x:c>
      <x:c r="M459" s="97" t="n">
        <x:v>0.3357</x:v>
      </x:c>
      <x:c r="N459" s="97" t="n">
        <x:f>ROUND(L459*M459,2)</x:f>
        <x:v>13.76</x:v>
      </x:c>
      <x:c r="O459" s="94" t="n">
        <x:v>7</x:v>
      </x:c>
      <x:c r="P459" s="94" t="str">
        <x:v>模拟：Google/Microsoft Ads采购导入</x:v>
      </x:c>
    </x:row>
    <x:row r="460">
      <x:c r="A460" s="92" t="str">
        <x:v>PROC-0459</x:v>
      </x:c>
      <x:c r="B460" s="93" t="n">
        <x:v>46105</x:v>
      </x:c>
      <x:c r="C460" s="94" t="str">
        <x:v>Google Ads</x:v>
      </x:c>
      <x:c r="D460" s="94" t="str">
        <x:v>英国</x:v>
      </x:c>
      <x:c r="E460" s="94" t="str">
        <x:v>GGL-C16</x:v>
      </x:c>
      <x:c r="F460" s="94" t="str">
        <x:v>品牌搜索</x:v>
      </x:c>
      <x:c r="G460" s="94" t="str">
        <x:v>品牌评测词</x:v>
      </x:c>
      <x:c r="H460" s="94" t="str">
        <x:v>移动端</x:v>
      </x:c>
      <x:c r="I460" s="94" t="str">
        <x:v>CPC</x:v>
      </x:c>
      <x:c r="J460" s="95" t="n">
        <x:v>1161</x:v>
      </x:c>
      <x:c r="K460" s="96" t="n">
        <x:f>IFERROR(L460/J460,0)</x:f>
        <x:v>0.04909560723514212</x:v>
      </x:c>
      <x:c r="L460" s="95" t="n">
        <x:v>57</x:v>
      </x:c>
      <x:c r="M460" s="97" t="n">
        <x:v>0.2131</x:v>
      </x:c>
      <x:c r="N460" s="97" t="n">
        <x:f>ROUND(L460*M460,2)</x:f>
        <x:v>12.15</x:v>
      </x:c>
      <x:c r="O460" s="94" t="n">
        <x:v>7</x:v>
      </x:c>
      <x:c r="P460" s="94" t="str">
        <x:v>模拟：Google/Microsoft Ads采购导入</x:v>
      </x:c>
    </x:row>
    <x:row r="461">
      <x:c r="A461" s="92" t="str">
        <x:v>PROC-0460</x:v>
      </x:c>
      <x:c r="B461" s="93" t="n">
        <x:v>46106</x:v>
      </x:c>
      <x:c r="C461" s="94" t="str">
        <x:v>Google Ads</x:v>
      </x:c>
      <x:c r="D461" s="94" t="str">
        <x:v>英国</x:v>
      </x:c>
      <x:c r="E461" s="94" t="str">
        <x:v>GGL-C23</x:v>
      </x:c>
      <x:c r="F461" s="94" t="str">
        <x:v>通用搜索</x:v>
      </x:c>
      <x:c r="G461" s="94" t="str">
        <x:v>高性价比商品</x:v>
      </x:c>
      <x:c r="H461" s="94" t="str">
        <x:v>移动端</x:v>
      </x:c>
      <x:c r="I461" s="94" t="str">
        <x:v>CPC</x:v>
      </x:c>
      <x:c r="J461" s="95" t="n">
        <x:v>859</x:v>
      </x:c>
      <x:c r="K461" s="96" t="n">
        <x:f>IFERROR(L461/J461,0)</x:f>
        <x:v>0.03143189755529686</x:v>
      </x:c>
      <x:c r="L461" s="95" t="n">
        <x:v>27</x:v>
      </x:c>
      <x:c r="M461" s="97" t="n">
        <x:v>0.3521</x:v>
      </x:c>
      <x:c r="N461" s="97" t="n">
        <x:f>ROUND(L461*M461,2)</x:f>
        <x:v>9.51</x:v>
      </x:c>
      <x:c r="O461" s="94" t="n">
        <x:v>7</x:v>
      </x:c>
      <x:c r="P461" s="94" t="str">
        <x:v>模拟：Google/Microsoft Ads采购导入</x:v>
      </x:c>
    </x:row>
    <x:row r="462">
      <x:c r="A462" s="92" t="str">
        <x:v>PROC-0461</x:v>
      </x:c>
      <x:c r="B462" s="93" t="n">
        <x:v>46106</x:v>
      </x:c>
      <x:c r="C462" s="94" t="str">
        <x:v>Google Ads</x:v>
      </x:c>
      <x:c r="D462" s="94" t="str">
        <x:v>美国</x:v>
      </x:c>
      <x:c r="E462" s="94" t="str">
        <x:v>GGL-C07</x:v>
      </x:c>
      <x:c r="F462" s="94" t="str">
        <x:v>竞品搜索</x:v>
      </x:c>
      <x:c r="G462" s="94" t="str">
        <x:v>同类产品对比</x:v>
      </x:c>
      <x:c r="H462" s="94" t="str">
        <x:v>移动端</x:v>
      </x:c>
      <x:c r="I462" s="94" t="str">
        <x:v>CPC</x:v>
      </x:c>
      <x:c r="J462" s="95" t="n">
        <x:v>886</x:v>
      </x:c>
      <x:c r="K462" s="96" t="n">
        <x:f>IFERROR(L462/J462,0)</x:f>
        <x:v>0.0327313769751693</x:v>
      </x:c>
      <x:c r="L462" s="95" t="n">
        <x:v>29</x:v>
      </x:c>
      <x:c r="M462" s="97" t="n">
        <x:v>0.4005</x:v>
      </x:c>
      <x:c r="N462" s="97" t="n">
        <x:f>ROUND(L462*M462,2)</x:f>
        <x:v>11.61</x:v>
      </x:c>
      <x:c r="O462" s="94" t="n">
        <x:v>9</x:v>
      </x:c>
      <x:c r="P462" s="94" t="str">
        <x:v>模拟：Google/Microsoft Ads采购导入</x:v>
      </x:c>
    </x:row>
    <x:row r="463">
      <x:c r="A463" s="92" t="str">
        <x:v>PROC-0462</x:v>
      </x:c>
      <x:c r="B463" s="93" t="n">
        <x:v>46106</x:v>
      </x:c>
      <x:c r="C463" s="94" t="str">
        <x:v>Google Ads</x:v>
      </x:c>
      <x:c r="D463" s="94" t="str">
        <x:v>日本</x:v>
      </x:c>
      <x:c r="E463" s="94" t="str">
        <x:v>GGL-C14</x:v>
      </x:c>
      <x:c r="F463" s="94" t="str">
        <x:v>品牌搜索</x:v>
      </x:c>
      <x:c r="G463" s="94" t="str">
        <x:v>品牌配件词</x:v>
      </x:c>
      <x:c r="H463" s="94" t="str">
        <x:v>移动端</x:v>
      </x:c>
      <x:c r="I463" s="94" t="str">
        <x:v>CPC</x:v>
      </x:c>
      <x:c r="J463" s="95" t="n">
        <x:v>978</x:v>
      </x:c>
      <x:c r="K463" s="96" t="n">
        <x:f>IFERROR(L463/J463,0)</x:f>
        <x:v>0.04703476482617587</x:v>
      </x:c>
      <x:c r="L463" s="95" t="n">
        <x:v>46</x:v>
      </x:c>
      <x:c r="M463" s="97" t="n">
        <x:v>0.1934</x:v>
      </x:c>
      <x:c r="N463" s="97" t="n">
        <x:f>ROUND(L463*M463,2)</x:f>
        <x:v>8.9</x:v>
      </x:c>
      <x:c r="O463" s="94" t="n">
        <x:v>9</x:v>
      </x:c>
      <x:c r="P463" s="94" t="str">
        <x:v>模拟：Google/Microsoft Ads采购导入</x:v>
      </x:c>
    </x:row>
    <x:row r="464">
      <x:c r="A464" s="92" t="str">
        <x:v>PROC-0463</x:v>
      </x:c>
      <x:c r="B464" s="93" t="n">
        <x:v>46106</x:v>
      </x:c>
      <x:c r="C464" s="94" t="str">
        <x:v>Microsoft Ads</x:v>
      </x:c>
      <x:c r="D464" s="94" t="str">
        <x:v>美国</x:v>
      </x:c>
      <x:c r="E464" s="94" t="str">
        <x:v>MSA-C21</x:v>
      </x:c>
      <x:c r="F464" s="94" t="str">
        <x:v>通用搜索</x:v>
      </x:c>
      <x:c r="G464" s="94" t="str">
        <x:v>专业精选</x:v>
      </x:c>
      <x:c r="H464" s="94" t="str">
        <x:v>移动端</x:v>
      </x:c>
      <x:c r="I464" s="94" t="str">
        <x:v>CPC</x:v>
      </x:c>
      <x:c r="J464" s="95" t="n">
        <x:v>1441</x:v>
      </x:c>
      <x:c r="K464" s="96" t="n">
        <x:f>IFERROR(L464/J464,0)</x:f>
        <x:v>0.03261623872310895</x:v>
      </x:c>
      <x:c r="L464" s="95" t="n">
        <x:v>47</x:v>
      </x:c>
      <x:c r="M464" s="97" t="n">
        <x:v>0.2629</x:v>
      </x:c>
      <x:c r="N464" s="97" t="n">
        <x:f>ROUND(L464*M464,2)</x:f>
        <x:v>12.36</x:v>
      </x:c>
      <x:c r="O464" s="94" t="n">
        <x:v>7</x:v>
      </x:c>
      <x:c r="P464" s="94" t="str">
        <x:v>模拟：Google/Microsoft Ads采购导入</x:v>
      </x:c>
    </x:row>
    <x:row r="465">
      <x:c r="A465" s="92" t="str">
        <x:v>PROC-0464</x:v>
      </x:c>
      <x:c r="B465" s="93" t="n">
        <x:v>46106</x:v>
      </x:c>
      <x:c r="C465" s="94" t="str">
        <x:v>Google Ads</x:v>
      </x:c>
      <x:c r="D465" s="94" t="str">
        <x:v>美国</x:v>
      </x:c>
      <x:c r="E465" s="94" t="str">
        <x:v>GGL-C05</x:v>
      </x:c>
      <x:c r="F465" s="94" t="str">
        <x:v>购物广告</x:v>
      </x:c>
      <x:c r="G465" s="94" t="str">
        <x:v>折扣商品</x:v>
      </x:c>
      <x:c r="H465" s="94" t="str">
        <x:v>移动端</x:v>
      </x:c>
      <x:c r="I465" s="94" t="str">
        <x:v>CPC</x:v>
      </x:c>
      <x:c r="J465" s="95" t="n">
        <x:v>1022</x:v>
      </x:c>
      <x:c r="K465" s="96" t="n">
        <x:f>IFERROR(L465/J465,0)</x:f>
        <x:v>0.04207436399217221</x:v>
      </x:c>
      <x:c r="L465" s="95" t="n">
        <x:v>43</x:v>
      </x:c>
      <x:c r="M465" s="97" t="n">
        <x:v>0.3399</x:v>
      </x:c>
      <x:c r="N465" s="97" t="n">
        <x:f>ROUND(L465*M465,2)</x:f>
        <x:v>14.62</x:v>
      </x:c>
      <x:c r="O465" s="94" t="n">
        <x:v>9</x:v>
      </x:c>
      <x:c r="P465" s="94" t="str">
        <x:v>模拟：Google/Microsoft Ads采购导入</x:v>
      </x:c>
    </x:row>
    <x:row r="466">
      <x:c r="A466" s="92" t="str">
        <x:v>PROC-0465</x:v>
      </x:c>
      <x:c r="B466" s="93" t="n">
        <x:v>46106</x:v>
      </x:c>
      <x:c r="C466" s="94" t="str">
        <x:v>Google Ads</x:v>
      </x:c>
      <x:c r="D466" s="94" t="str">
        <x:v>英国</x:v>
      </x:c>
      <x:c r="E466" s="94" t="str">
        <x:v>GGL-C13</x:v>
      </x:c>
      <x:c r="F466" s="94" t="str">
        <x:v>购物广告</x:v>
      </x:c>
      <x:c r="G466" s="94" t="str">
        <x:v>高评分商品</x:v>
      </x:c>
      <x:c r="H466" s="94" t="str">
        <x:v>桌面端</x:v>
      </x:c>
      <x:c r="I466" s="94" t="str">
        <x:v>CPC</x:v>
      </x:c>
      <x:c r="J466" s="95" t="n">
        <x:v>856</x:v>
      </x:c>
      <x:c r="K466" s="96" t="n">
        <x:f>IFERROR(L466/J466,0)</x:f>
        <x:v>0.037383177570093455</x:v>
      </x:c>
      <x:c r="L466" s="95" t="n">
        <x:v>32</x:v>
      </x:c>
      <x:c r="M466" s="97" t="n">
        <x:v>0.3061</x:v>
      </x:c>
      <x:c r="N466" s="97" t="n">
        <x:f>ROUND(L466*M466,2)</x:f>
        <x:v>9.8</x:v>
      </x:c>
      <x:c r="O466" s="94" t="n">
        <x:v>7</x:v>
      </x:c>
      <x:c r="P466" s="94" t="str">
        <x:v>模拟：Google/Microsoft Ads采购导入</x:v>
      </x:c>
    </x:row>
    <x:row r="467">
      <x:c r="A467" s="92" t="str">
        <x:v>PROC-0466</x:v>
      </x:c>
      <x:c r="B467" s="93" t="n">
        <x:v>46107</x:v>
      </x:c>
      <x:c r="C467" s="94" t="str">
        <x:v>Microsoft Ads</x:v>
      </x:c>
      <x:c r="D467" s="94" t="str">
        <x:v>德国</x:v>
      </x:c>
      <x:c r="E467" s="94" t="str">
        <x:v>MSA-C16</x:v>
      </x:c>
      <x:c r="F467" s="94" t="str">
        <x:v>通用搜索</x:v>
      </x:c>
      <x:c r="G467" s="94" t="str">
        <x:v>家庭必备</x:v>
      </x:c>
      <x:c r="H467" s="94" t="str">
        <x:v>平板</x:v>
      </x:c>
      <x:c r="I467" s="94" t="str">
        <x:v>CPC</x:v>
      </x:c>
      <x:c r="J467" s="95" t="n">
        <x:v>939</x:v>
      </x:c>
      <x:c r="K467" s="96" t="n">
        <x:f>IFERROR(L467/J467,0)</x:f>
        <x:v>0.0362087326943557</x:v>
      </x:c>
      <x:c r="L467" s="95" t="n">
        <x:v>34</x:v>
      </x:c>
      <x:c r="M467" s="97" t="n">
        <x:v>0.2439</x:v>
      </x:c>
      <x:c r="N467" s="97" t="n">
        <x:f>ROUND(L467*M467,2)</x:f>
        <x:v>8.29</x:v>
      </x:c>
      <x:c r="O467" s="94" t="n">
        <x:v>7</x:v>
      </x:c>
      <x:c r="P467" s="94" t="str">
        <x:v>模拟：Google/Microsoft Ads采购导入</x:v>
      </x:c>
    </x:row>
    <x:row r="468">
      <x:c r="A468" s="92" t="str">
        <x:v>PROC-0467</x:v>
      </x:c>
      <x:c r="B468" s="93" t="n">
        <x:v>46107</x:v>
      </x:c>
      <x:c r="C468" s="94" t="str">
        <x:v>Google Ads</x:v>
      </x:c>
      <x:c r="D468" s="94" t="str">
        <x:v>日本</x:v>
      </x:c>
      <x:c r="E468" s="94" t="str">
        <x:v>GGL-C23</x:v>
      </x:c>
      <x:c r="F468" s="94" t="str">
        <x:v>通用搜索</x:v>
      </x:c>
      <x:c r="G468" s="94" t="str">
        <x:v>热门新品</x:v>
      </x:c>
      <x:c r="H468" s="94" t="str">
        <x:v>桌面端</x:v>
      </x:c>
      <x:c r="I468" s="94" t="str">
        <x:v>CPC</x:v>
      </x:c>
      <x:c r="J468" s="95" t="n">
        <x:v>1195</x:v>
      </x:c>
      <x:c r="K468" s="96" t="n">
        <x:f>IFERROR(L468/J468,0)</x:f>
        <x:v>0.032635983263598324</x:v>
      </x:c>
      <x:c r="L468" s="95" t="n">
        <x:v>39</x:v>
      </x:c>
      <x:c r="M468" s="97" t="n">
        <x:v>0.3038</x:v>
      </x:c>
      <x:c r="N468" s="97" t="n">
        <x:f>ROUND(L468*M468,2)</x:f>
        <x:v>11.85</x:v>
      </x:c>
      <x:c r="O468" s="94" t="n">
        <x:v>8</x:v>
      </x:c>
      <x:c r="P468" s="94" t="str">
        <x:v>模拟：Google/Microsoft Ads采购导入</x:v>
      </x:c>
    </x:row>
    <x:row r="469">
      <x:c r="A469" s="92" t="str">
        <x:v>PROC-0468</x:v>
      </x:c>
      <x:c r="B469" s="93" t="n">
        <x:v>46107</x:v>
      </x:c>
      <x:c r="C469" s="94" t="str">
        <x:v>Microsoft Ads</x:v>
      </x:c>
      <x:c r="D469" s="94" t="str">
        <x:v>日本</x:v>
      </x:c>
      <x:c r="E469" s="94" t="str">
        <x:v>MSA-C07</x:v>
      </x:c>
      <x:c r="F469" s="94" t="str">
        <x:v>通用搜索</x:v>
      </x:c>
      <x:c r="G469" s="94" t="str">
        <x:v>高性价比商品</x:v>
      </x:c>
      <x:c r="H469" s="94" t="str">
        <x:v>移动端</x:v>
      </x:c>
      <x:c r="I469" s="94" t="str">
        <x:v>CPC</x:v>
      </x:c>
      <x:c r="J469" s="95" t="n">
        <x:v>658</x:v>
      </x:c>
      <x:c r="K469" s="96" t="n">
        <x:f>IFERROR(L469/J469,0)</x:f>
        <x:v>0.028875379939209727</x:v>
      </x:c>
      <x:c r="L469" s="95" t="n">
        <x:v>19</x:v>
      </x:c>
      <x:c r="M469" s="97" t="n">
        <x:v>0.1881</x:v>
      </x:c>
      <x:c r="N469" s="97" t="n">
        <x:f>ROUND(L469*M469,2)</x:f>
        <x:v>3.57</x:v>
      </x:c>
      <x:c r="O469" s="94" t="n">
        <x:v>9</x:v>
      </x:c>
      <x:c r="P469" s="94" t="str">
        <x:v>模拟：Google/Microsoft Ads采购导入</x:v>
      </x:c>
    </x:row>
    <x:row r="470">
      <x:c r="A470" s="92" t="str">
        <x:v>PROC-0469</x:v>
      </x:c>
      <x:c r="B470" s="93" t="n">
        <x:v>46107</x:v>
      </x:c>
      <x:c r="C470" s="94" t="str">
        <x:v>Google Ads</x:v>
      </x:c>
      <x:c r="D470" s="94" t="str">
        <x:v>美国</x:v>
      </x:c>
      <x:c r="E470" s="94" t="str">
        <x:v>GGL-C16</x:v>
      </x:c>
      <x:c r="F470" s="94" t="str">
        <x:v>竞品搜索</x:v>
      </x:c>
      <x:c r="G470" s="94" t="str">
        <x:v>竞品评测</x:v>
      </x:c>
      <x:c r="H470" s="94" t="str">
        <x:v>移动端</x:v>
      </x:c>
      <x:c r="I470" s="94" t="str">
        <x:v>CPC</x:v>
      </x:c>
      <x:c r="J470" s="95" t="n">
        <x:v>886</x:v>
      </x:c>
      <x:c r="K470" s="96" t="n">
        <x:f>IFERROR(L470/J470,0)</x:f>
        <x:v>0.030474040632054177</x:v>
      </x:c>
      <x:c r="L470" s="95" t="n">
        <x:v>27</x:v>
      </x:c>
      <x:c r="M470" s="97" t="n">
        <x:v>0.4384</x:v>
      </x:c>
      <x:c r="N470" s="97" t="n">
        <x:f>ROUND(L470*M470,2)</x:f>
        <x:v>11.84</x:v>
      </x:c>
      <x:c r="O470" s="94" t="n">
        <x:v>6</x:v>
      </x:c>
      <x:c r="P470" s="94" t="str">
        <x:v>模拟：Google/Microsoft Ads采购导入</x:v>
      </x:c>
    </x:row>
    <x:row r="471">
      <x:c r="A471" s="92" t="str">
        <x:v>PROC-0470</x:v>
      </x:c>
      <x:c r="B471" s="93" t="n">
        <x:v>46107</x:v>
      </x:c>
      <x:c r="C471" s="94" t="str">
        <x:v>Microsoft Ads</x:v>
      </x:c>
      <x:c r="D471" s="94" t="str">
        <x:v>美国</x:v>
      </x:c>
      <x:c r="E471" s="94" t="str">
        <x:v>MSA-C23</x:v>
      </x:c>
      <x:c r="F471" s="94" t="str">
        <x:v>通用搜索</x:v>
      </x:c>
      <x:c r="G471" s="94" t="str">
        <x:v>专业精选</x:v>
      </x:c>
      <x:c r="H471" s="94" t="str">
        <x:v>移动端</x:v>
      </x:c>
      <x:c r="I471" s="94" t="str">
        <x:v>CPC</x:v>
      </x:c>
      <x:c r="J471" s="95" t="n">
        <x:v>1120</x:v>
      </x:c>
      <x:c r="K471" s="96" t="n">
        <x:f>IFERROR(L471/J471,0)</x:f>
        <x:v>0.04285714285714286</x:v>
      </x:c>
      <x:c r="L471" s="95" t="n">
        <x:v>48</x:v>
      </x:c>
      <x:c r="M471" s="97" t="n">
        <x:v>0.241</x:v>
      </x:c>
      <x:c r="N471" s="97" t="n">
        <x:f>ROUND(L471*M471,2)</x:f>
        <x:v>11.57</x:v>
      </x:c>
      <x:c r="O471" s="94" t="n">
        <x:v>6</x:v>
      </x:c>
      <x:c r="P471" s="94" t="str">
        <x:v>模拟：Google/Microsoft Ads采购导入</x:v>
      </x:c>
    </x:row>
    <x:row r="472">
      <x:c r="A472" s="92" t="str">
        <x:v>PROC-0471</x:v>
      </x:c>
      <x:c r="B472" s="93" t="n">
        <x:v>46108</x:v>
      </x:c>
      <x:c r="C472" s="94" t="str">
        <x:v>Microsoft Ads</x:v>
      </x:c>
      <x:c r="D472" s="94" t="str">
        <x:v>英国</x:v>
      </x:c>
      <x:c r="E472" s="94" t="str">
        <x:v>MSA-C06</x:v>
      </x:c>
      <x:c r="F472" s="94" t="str">
        <x:v>购物广告</x:v>
      </x:c>
      <x:c r="G472" s="94" t="str">
        <x:v>快速配送</x:v>
      </x:c>
      <x:c r="H472" s="94" t="str">
        <x:v>桌面端</x:v>
      </x:c>
      <x:c r="I472" s="94" t="str">
        <x:v>CPC</x:v>
      </x:c>
      <x:c r="J472" s="95" t="n">
        <x:v>773</x:v>
      </x:c>
      <x:c r="K472" s="96" t="n">
        <x:f>IFERROR(L472/J472,0)</x:f>
        <x:v>0.045278137128072445</x:v>
      </x:c>
      <x:c r="L472" s="95" t="n">
        <x:v>35</x:v>
      </x:c>
      <x:c r="M472" s="97" t="n">
        <x:v>0.2583</x:v>
      </x:c>
      <x:c r="N472" s="97" t="n">
        <x:f>ROUND(L472*M472,2)</x:f>
        <x:v>9.04</x:v>
      </x:c>
      <x:c r="O472" s="94" t="n">
        <x:v>6</x:v>
      </x:c>
      <x:c r="P472" s="94" t="str">
        <x:v>模拟：Google/Microsoft Ads采购导入</x:v>
      </x:c>
    </x:row>
    <x:row r="473">
      <x:c r="A473" s="92" t="str">
        <x:v>PROC-0472</x:v>
      </x:c>
      <x:c r="B473" s="93" t="n">
        <x:v>46108</x:v>
      </x:c>
      <x:c r="C473" s="94" t="str">
        <x:v>Microsoft Ads</x:v>
      </x:c>
      <x:c r="D473" s="94" t="str">
        <x:v>美国</x:v>
      </x:c>
      <x:c r="E473" s="94" t="str">
        <x:v>MSA-C10</x:v>
      </x:c>
      <x:c r="F473" s="94" t="str">
        <x:v>通用搜索</x:v>
      </x:c>
      <x:c r="G473" s="94" t="str">
        <x:v>高性价比商品</x:v>
      </x:c>
      <x:c r="H473" s="94" t="str">
        <x:v>桌面端</x:v>
      </x:c>
      <x:c r="I473" s="94" t="str">
        <x:v>CPC</x:v>
      </x:c>
      <x:c r="J473" s="95" t="n">
        <x:v>1461</x:v>
      </x:c>
      <x:c r="K473" s="96" t="n">
        <x:f>IFERROR(L473/J473,0)</x:f>
        <x:v>0.04106776180698152</x:v>
      </x:c>
      <x:c r="L473" s="95" t="n">
        <x:v>60</x:v>
      </x:c>
      <x:c r="M473" s="97" t="n">
        <x:v>0.2359</x:v>
      </x:c>
      <x:c r="N473" s="97" t="n">
        <x:f>ROUND(L473*M473,2)</x:f>
        <x:v>14.15</x:v>
      </x:c>
      <x:c r="O473" s="94" t="n">
        <x:v>6</x:v>
      </x:c>
      <x:c r="P473" s="94" t="str">
        <x:v>模拟：Google/Microsoft Ads采购导入</x:v>
      </x:c>
    </x:row>
    <x:row r="474">
      <x:c r="A474" s="92" t="str">
        <x:v>PROC-0473</x:v>
      </x:c>
      <x:c r="B474" s="93" t="n">
        <x:v>46108</x:v>
      </x:c>
      <x:c r="C474" s="94" t="str">
        <x:v>Google Ads</x:v>
      </x:c>
      <x:c r="D474" s="94" t="str">
        <x:v>美国</x:v>
      </x:c>
      <x:c r="E474" s="94" t="str">
        <x:v>GGL-C18</x:v>
      </x:c>
      <x:c r="F474" s="94" t="str">
        <x:v>购物广告</x:v>
      </x:c>
      <x:c r="G474" s="94" t="str">
        <x:v>高评分商品</x:v>
      </x:c>
      <x:c r="H474" s="94" t="str">
        <x:v>移动端</x:v>
      </x:c>
      <x:c r="I474" s="94" t="str">
        <x:v>CPC</x:v>
      </x:c>
      <x:c r="J474" s="95" t="n">
        <x:v>1631</x:v>
      </x:c>
      <x:c r="K474" s="96" t="n">
        <x:f>IFERROR(L474/J474,0)</x:f>
        <x:v>0.043531575720416923</x:v>
      </x:c>
      <x:c r="L474" s="95" t="n">
        <x:v>71</x:v>
      </x:c>
      <x:c r="M474" s="97" t="n">
        <x:v>0.3292</x:v>
      </x:c>
      <x:c r="N474" s="97" t="n">
        <x:f>ROUND(L474*M474,2)</x:f>
        <x:v>23.37</x:v>
      </x:c>
      <x:c r="O474" s="94" t="n">
        <x:v>9</x:v>
      </x:c>
      <x:c r="P474" s="94" t="str">
        <x:v>模拟：Google/Microsoft Ads采购导入</x:v>
      </x:c>
    </x:row>
    <x:row r="475">
      <x:c r="A475" s="92" t="str">
        <x:v>PROC-0474</x:v>
      </x:c>
      <x:c r="B475" s="93" t="n">
        <x:v>46108</x:v>
      </x:c>
      <x:c r="C475" s="94" t="str">
        <x:v>Google Ads</x:v>
      </x:c>
      <x:c r="D475" s="94" t="str">
        <x:v>日本</x:v>
      </x:c>
      <x:c r="E475" s="94" t="str">
        <x:v>GGL-C24</x:v>
      </x:c>
      <x:c r="F475" s="94" t="str">
        <x:v>通用搜索</x:v>
      </x:c>
      <x:c r="G475" s="94" t="str">
        <x:v>高性价比商品</x:v>
      </x:c>
      <x:c r="H475" s="94" t="str">
        <x:v>移动端</x:v>
      </x:c>
      <x:c r="I475" s="94" t="str">
        <x:v>CPC</x:v>
      </x:c>
      <x:c r="J475" s="95" t="n">
        <x:v>1004</x:v>
      </x:c>
      <x:c r="K475" s="96" t="n">
        <x:f>IFERROR(L475/J475,0)</x:f>
        <x:v>0.02888446215139442</x:v>
      </x:c>
      <x:c r="L475" s="95" t="n">
        <x:v>29</x:v>
      </x:c>
      <x:c r="M475" s="97" t="n">
        <x:v>0.2955</x:v>
      </x:c>
      <x:c r="N475" s="97" t="n">
        <x:f>ROUND(L475*M475,2)</x:f>
        <x:v>8.57</x:v>
      </x:c>
      <x:c r="O475" s="94" t="n">
        <x:v>8</x:v>
      </x:c>
      <x:c r="P475" s="94" t="str">
        <x:v>模拟：Google/Microsoft Ads采购导入</x:v>
      </x:c>
    </x:row>
    <x:row r="476">
      <x:c r="A476" s="92" t="str">
        <x:v>PROC-0475</x:v>
      </x:c>
      <x:c r="B476" s="93" t="n">
        <x:v>46108</x:v>
      </x:c>
      <x:c r="C476" s="94" t="str">
        <x:v>Microsoft Ads</x:v>
      </x:c>
      <x:c r="D476" s="94" t="str">
        <x:v>日本</x:v>
      </x:c>
      <x:c r="E476" s="94" t="str">
        <x:v>MSA-C10</x:v>
      </x:c>
      <x:c r="F476" s="94" t="str">
        <x:v>通用搜索</x:v>
      </x:c>
      <x:c r="G476" s="94" t="str">
        <x:v>高性价比商品</x:v>
      </x:c>
      <x:c r="H476" s="94" t="str">
        <x:v>移动端</x:v>
      </x:c>
      <x:c r="I476" s="94" t="str">
        <x:v>CPC</x:v>
      </x:c>
      <x:c r="J476" s="95" t="n">
        <x:v>875</x:v>
      </x:c>
      <x:c r="K476" s="96" t="n">
        <x:f>IFERROR(L476/J476,0)</x:f>
        <x:v>0.029714285714285714</x:v>
      </x:c>
      <x:c r="L476" s="95" t="n">
        <x:v>26</x:v>
      </x:c>
      <x:c r="M476" s="97" t="n">
        <x:v>0.1973</x:v>
      </x:c>
      <x:c r="N476" s="97" t="n">
        <x:f>ROUND(L476*M476,2)</x:f>
        <x:v>5.13</x:v>
      </x:c>
      <x:c r="O476" s="94" t="n">
        <x:v>7</x:v>
      </x:c>
      <x:c r="P476" s="94" t="str">
        <x:v>模拟：Google/Microsoft Ads采购导入</x:v>
      </x:c>
    </x:row>
    <x:row r="477">
      <x:c r="A477" s="92" t="str">
        <x:v>PROC-0476</x:v>
      </x:c>
      <x:c r="B477" s="93" t="n">
        <x:v>46108</x:v>
      </x:c>
      <x:c r="C477" s="94" t="str">
        <x:v>Google Ads</x:v>
      </x:c>
      <x:c r="D477" s="94" t="str">
        <x:v>德国</x:v>
      </x:c>
      <x:c r="E477" s="94" t="str">
        <x:v>GGL-C17</x:v>
      </x:c>
      <x:c r="F477" s="94" t="str">
        <x:v>竞品搜索</x:v>
      </x:c>
      <x:c r="G477" s="94" t="str">
        <x:v>价格替代</x:v>
      </x:c>
      <x:c r="H477" s="94" t="str">
        <x:v>桌面端</x:v>
      </x:c>
      <x:c r="I477" s="94" t="str">
        <x:v>CPC</x:v>
      </x:c>
      <x:c r="J477" s="95" t="n">
        <x:v>846</x:v>
      </x:c>
      <x:c r="K477" s="96" t="n">
        <x:f>IFERROR(L477/J477,0)</x:f>
        <x:v>0.027186761229314422</x:v>
      </x:c>
      <x:c r="L477" s="95" t="n">
        <x:v>23</x:v>
      </x:c>
      <x:c r="M477" s="97" t="n">
        <x:v>0.4</x:v>
      </x:c>
      <x:c r="N477" s="97" t="n">
        <x:f>ROUND(L477*M477,2)</x:f>
        <x:v>9.2</x:v>
      </x:c>
      <x:c r="O477" s="94" t="n">
        <x:v>6</x:v>
      </x:c>
      <x:c r="P477" s="94" t="str">
        <x:v>模拟：Google/Microsoft Ads采购导入</x:v>
      </x:c>
    </x:row>
    <x:row r="478">
      <x:c r="A478" s="92" t="str">
        <x:v>PROC-0477</x:v>
      </x:c>
      <x:c r="B478" s="93" t="n">
        <x:v>46109</x:v>
      </x:c>
      <x:c r="C478" s="94" t="str">
        <x:v>Google Ads</x:v>
      </x:c>
      <x:c r="D478" s="94" t="str">
        <x:v>美国</x:v>
      </x:c>
      <x:c r="E478" s="94" t="str">
        <x:v>GGL-C23</x:v>
      </x:c>
      <x:c r="F478" s="94" t="str">
        <x:v>通用搜索</x:v>
      </x:c>
      <x:c r="G478" s="94" t="str">
        <x:v>实用礼物</x:v>
      </x:c>
      <x:c r="H478" s="94" t="str">
        <x:v>平板</x:v>
      </x:c>
      <x:c r="I478" s="94" t="str">
        <x:v>CPC</x:v>
      </x:c>
      <x:c r="J478" s="95" t="n">
        <x:v>735</x:v>
      </x:c>
      <x:c r="K478" s="96" t="n">
        <x:f>IFERROR(L478/J478,0)</x:f>
        <x:v>0.031292517006802724</x:v>
      </x:c>
      <x:c r="L478" s="95" t="n">
        <x:v>23</x:v>
      </x:c>
      <x:c r="M478" s="97" t="n">
        <x:v>0.3094</x:v>
      </x:c>
      <x:c r="N478" s="97" t="n">
        <x:f>ROUND(L478*M478,2)</x:f>
        <x:v>7.12</x:v>
      </x:c>
      <x:c r="O478" s="94" t="n">
        <x:v>6</x:v>
      </x:c>
      <x:c r="P478" s="94" t="str">
        <x:v>模拟：Google/Microsoft Ads采购导入</x:v>
      </x:c>
    </x:row>
    <x:row r="479">
      <x:c r="A479" s="92" t="str">
        <x:v>PROC-0478</x:v>
      </x:c>
      <x:c r="B479" s="93" t="n">
        <x:v>46109</x:v>
      </x:c>
      <x:c r="C479" s="94" t="str">
        <x:v>Google Ads</x:v>
      </x:c>
      <x:c r="D479" s="94" t="str">
        <x:v>德国</x:v>
      </x:c>
      <x:c r="E479" s="94" t="str">
        <x:v>GGL-C05</x:v>
      </x:c>
      <x:c r="F479" s="94" t="str">
        <x:v>品牌搜索</x:v>
      </x:c>
      <x:c r="G479" s="94" t="str">
        <x:v>品牌评测词</x:v>
      </x:c>
      <x:c r="H479" s="94" t="str">
        <x:v>移动端</x:v>
      </x:c>
      <x:c r="I479" s="94" t="str">
        <x:v>CPC</x:v>
      </x:c>
      <x:c r="J479" s="95" t="n">
        <x:v>1351</x:v>
      </x:c>
      <x:c r="K479" s="96" t="n">
        <x:f>IFERROR(L479/J479,0)</x:f>
        <x:v>0.06439674315321983</x:v>
      </x:c>
      <x:c r="L479" s="95" t="n">
        <x:v>87</x:v>
      </x:c>
      <x:c r="M479" s="97" t="n">
        <x:v>0.2342</x:v>
      </x:c>
      <x:c r="N479" s="97" t="n">
        <x:f>ROUND(L479*M479,2)</x:f>
        <x:v>20.38</x:v>
      </x:c>
      <x:c r="O479" s="94" t="n">
        <x:v>8</x:v>
      </x:c>
      <x:c r="P479" s="94" t="str">
        <x:v>模拟：Google/Microsoft Ads采购导入</x:v>
      </x:c>
    </x:row>
    <x:row r="480">
      <x:c r="A480" s="92" t="str">
        <x:v>PROC-0479</x:v>
      </x:c>
      <x:c r="B480" s="93" t="n">
        <x:v>46109</x:v>
      </x:c>
      <x:c r="C480" s="94" t="str">
        <x:v>Google Ads</x:v>
      </x:c>
      <x:c r="D480" s="94" t="str">
        <x:v>日本</x:v>
      </x:c>
      <x:c r="E480" s="94" t="str">
        <x:v>GGL-C11</x:v>
      </x:c>
      <x:c r="F480" s="94" t="str">
        <x:v>品牌搜索</x:v>
      </x:c>
      <x:c r="G480" s="94" t="str">
        <x:v>品牌评测词</x:v>
      </x:c>
      <x:c r="H480" s="94" t="str">
        <x:v>桌面端</x:v>
      </x:c>
      <x:c r="I480" s="94" t="str">
        <x:v>CPC</x:v>
      </x:c>
      <x:c r="J480" s="95" t="n">
        <x:v>943</x:v>
      </x:c>
      <x:c r="K480" s="96" t="n">
        <x:f>IFERROR(L480/J480,0)</x:f>
        <x:v>0.061505832449628844</x:v>
      </x:c>
      <x:c r="L480" s="95" t="n">
        <x:v>58</x:v>
      </x:c>
      <x:c r="M480" s="97" t="n">
        <x:v>0.1824</x:v>
      </x:c>
      <x:c r="N480" s="97" t="n">
        <x:f>ROUND(L480*M480,2)</x:f>
        <x:v>10.58</x:v>
      </x:c>
      <x:c r="O480" s="94" t="n">
        <x:v>7</x:v>
      </x:c>
      <x:c r="P480" s="94" t="str">
        <x:v>模拟：Google/Microsoft Ads采购导入</x:v>
      </x:c>
    </x:row>
    <x:row r="481">
      <x:c r="A481" s="92" t="str">
        <x:v>PROC-0480</x:v>
      </x:c>
      <x:c r="B481" s="93" t="n">
        <x:v>46109</x:v>
      </x:c>
      <x:c r="C481" s="94" t="str">
        <x:v>Microsoft Ads</x:v>
      </x:c>
      <x:c r="D481" s="94" t="str">
        <x:v>美国</x:v>
      </x:c>
      <x:c r="E481" s="94" t="str">
        <x:v>MSA-C20</x:v>
      </x:c>
      <x:c r="F481" s="94" t="str">
        <x:v>通用搜索</x:v>
      </x:c>
      <x:c r="G481" s="94" t="str">
        <x:v>专业精选</x:v>
      </x:c>
      <x:c r="H481" s="94" t="str">
        <x:v>移动端</x:v>
      </x:c>
      <x:c r="I481" s="94" t="str">
        <x:v>CPC</x:v>
      </x:c>
      <x:c r="J481" s="95" t="n">
        <x:v>981</x:v>
      </x:c>
      <x:c r="K481" s="96" t="n">
        <x:f>IFERROR(L481/J481,0)</x:f>
        <x:v>0.04485219164118247</x:v>
      </x:c>
      <x:c r="L481" s="95" t="n">
        <x:v>44</x:v>
      </x:c>
      <x:c r="M481" s="97" t="n">
        <x:v>0.2695</x:v>
      </x:c>
      <x:c r="N481" s="97" t="n">
        <x:f>ROUND(L481*M481,2)</x:f>
        <x:v>11.86</x:v>
      </x:c>
      <x:c r="O481" s="94" t="n">
        <x:v>7</x:v>
      </x:c>
      <x:c r="P481" s="94" t="str">
        <x:v>模拟：Google/Microsoft Ads采购导入</x:v>
      </x:c>
    </x:row>
    <x:row r="482">
      <x:c r="A482" s="92" t="str">
        <x:v>PROC-0481</x:v>
      </x:c>
      <x:c r="B482" s="93" t="n">
        <x:v>46109</x:v>
      </x:c>
      <x:c r="C482" s="94" t="str">
        <x:v>Microsoft Ads</x:v>
      </x:c>
      <x:c r="D482" s="94" t="str">
        <x:v>英国</x:v>
      </x:c>
      <x:c r="E482" s="94" t="str">
        <x:v>MSA-C02</x:v>
      </x:c>
      <x:c r="F482" s="94" t="str">
        <x:v>竞品搜索</x:v>
      </x:c>
      <x:c r="G482" s="94" t="str">
        <x:v>更优选择</x:v>
      </x:c>
      <x:c r="H482" s="94" t="str">
        <x:v>移动端</x:v>
      </x:c>
      <x:c r="I482" s="94" t="str">
        <x:v>CPC</x:v>
      </x:c>
      <x:c r="J482" s="95" t="n">
        <x:v>900</x:v>
      </x:c>
      <x:c r="K482" s="96" t="n">
        <x:f>IFERROR(L482/J482,0)</x:f>
        <x:v>0.03888888888888889</x:v>
      </x:c>
      <x:c r="L482" s="95" t="n">
        <x:v>35</x:v>
      </x:c>
      <x:c r="M482" s="97" t="n">
        <x:v>0.2631</x:v>
      </x:c>
      <x:c r="N482" s="97" t="n">
        <x:f>ROUND(L482*M482,2)</x:f>
        <x:v>9.21</x:v>
      </x:c>
      <x:c r="O482" s="94" t="n">
        <x:v>7</x:v>
      </x:c>
      <x:c r="P482" s="94" t="str">
        <x:v>模拟：Google/Microsoft Ads采购导入</x:v>
      </x:c>
    </x:row>
    <x:row r="483">
      <x:c r="A483" s="92" t="str">
        <x:v>PROC-0482</x:v>
      </x:c>
      <x:c r="B483" s="93" t="n">
        <x:v>46110</x:v>
      </x:c>
      <x:c r="C483" s="94" t="str">
        <x:v>Google Ads</x:v>
      </x:c>
      <x:c r="D483" s="94" t="str">
        <x:v>美国</x:v>
      </x:c>
      <x:c r="E483" s="94" t="str">
        <x:v>GGL-C09</x:v>
      </x:c>
      <x:c r="F483" s="94" t="str">
        <x:v>购物广告</x:v>
      </x:c>
      <x:c r="G483" s="94" t="str">
        <x:v>折扣商品</x:v>
      </x:c>
      <x:c r="H483" s="94" t="str">
        <x:v>移动端</x:v>
      </x:c>
      <x:c r="I483" s="94" t="str">
        <x:v>CPC</x:v>
      </x:c>
      <x:c r="J483" s="95" t="n">
        <x:v>1430</x:v>
      </x:c>
      <x:c r="K483" s="96" t="n">
        <x:f>IFERROR(L483/J483,0)</x:f>
        <x:v>0.04965034965034965</x:v>
      </x:c>
      <x:c r="L483" s="95" t="n">
        <x:v>71</x:v>
      </x:c>
      <x:c r="M483" s="97" t="n">
        <x:v>0.3821</x:v>
      </x:c>
      <x:c r="N483" s="97" t="n">
        <x:f>ROUND(L483*M483,2)</x:f>
        <x:v>27.13</x:v>
      </x:c>
      <x:c r="O483" s="94" t="n">
        <x:v>7</x:v>
      </x:c>
      <x:c r="P483" s="94" t="str">
        <x:v>模拟：Google/Microsoft Ads采购导入</x:v>
      </x:c>
    </x:row>
    <x:row r="484">
      <x:c r="A484" s="92" t="str">
        <x:v>PROC-0483</x:v>
      </x:c>
      <x:c r="B484" s="93" t="n">
        <x:v>46110</x:v>
      </x:c>
      <x:c r="C484" s="94" t="str">
        <x:v>Microsoft Ads</x:v>
      </x:c>
      <x:c r="D484" s="94" t="str">
        <x:v>英国</x:v>
      </x:c>
      <x:c r="E484" s="94" t="str">
        <x:v>MSA-C18</x:v>
      </x:c>
      <x:c r="F484" s="94" t="str">
        <x:v>购物广告</x:v>
      </x:c>
      <x:c r="G484" s="94" t="str">
        <x:v>折扣商品</x:v>
      </x:c>
      <x:c r="H484" s="94" t="str">
        <x:v>移动端</x:v>
      </x:c>
      <x:c r="I484" s="94" t="str">
        <x:v>CPC</x:v>
      </x:c>
      <x:c r="J484" s="95" t="n">
        <x:v>1083</x:v>
      </x:c>
      <x:c r="K484" s="96" t="n">
        <x:f>IFERROR(L484/J484,0)</x:f>
        <x:v>0.04801477377654663</x:v>
      </x:c>
      <x:c r="L484" s="95" t="n">
        <x:v>52</x:v>
      </x:c>
      <x:c r="M484" s="97" t="n">
        <x:v>0.2504</x:v>
      </x:c>
      <x:c r="N484" s="97" t="n">
        <x:f>ROUND(L484*M484,2)</x:f>
        <x:v>13.02</x:v>
      </x:c>
      <x:c r="O484" s="94" t="n">
        <x:v>8</x:v>
      </x:c>
      <x:c r="P484" s="94" t="str">
        <x:v>模拟：Google/Microsoft Ads采购导入</x:v>
      </x:c>
    </x:row>
    <x:row r="485">
      <x:c r="A485" s="92" t="str">
        <x:v>PROC-0484</x:v>
      </x:c>
      <x:c r="B485" s="93" t="n">
        <x:v>46110</x:v>
      </x:c>
      <x:c r="C485" s="94" t="str">
        <x:v>Microsoft Ads</x:v>
      </x:c>
      <x:c r="D485" s="94" t="str">
        <x:v>美国</x:v>
      </x:c>
      <x:c r="E485" s="94" t="str">
        <x:v>MSA-C22</x:v>
      </x:c>
      <x:c r="F485" s="94" t="str">
        <x:v>通用搜索</x:v>
      </x:c>
      <x:c r="G485" s="94" t="str">
        <x:v>实用礼物</x:v>
      </x:c>
      <x:c r="H485" s="94" t="str">
        <x:v>桌面端</x:v>
      </x:c>
      <x:c r="I485" s="94" t="str">
        <x:v>CPC</x:v>
      </x:c>
      <x:c r="J485" s="95" t="n">
        <x:v>1166</x:v>
      </x:c>
      <x:c r="K485" s="96" t="n">
        <x:f>IFERROR(L485/J485,0)</x:f>
        <x:v>0.04202401372212693</x:v>
      </x:c>
      <x:c r="L485" s="95" t="n">
        <x:v>49</x:v>
      </x:c>
      <x:c r="M485" s="97" t="n">
        <x:v>0.2537</x:v>
      </x:c>
      <x:c r="N485" s="97" t="n">
        <x:f>ROUND(L485*M485,2)</x:f>
        <x:v>12.43</x:v>
      </x:c>
      <x:c r="O485" s="94" t="n">
        <x:v>7</x:v>
      </x:c>
      <x:c r="P485" s="94" t="str">
        <x:v>模拟：Google/Microsoft Ads采购导入</x:v>
      </x:c>
    </x:row>
    <x:row r="486">
      <x:c r="A486" s="92" t="str">
        <x:v>PROC-0485</x:v>
      </x:c>
      <x:c r="B486" s="93" t="n">
        <x:v>46110</x:v>
      </x:c>
      <x:c r="C486" s="94" t="str">
        <x:v>Microsoft Ads</x:v>
      </x:c>
      <x:c r="D486" s="94" t="str">
        <x:v>美国</x:v>
      </x:c>
      <x:c r="E486" s="94" t="str">
        <x:v>MSA-C05</x:v>
      </x:c>
      <x:c r="F486" s="94" t="str">
        <x:v>通用搜索</x:v>
      </x:c>
      <x:c r="G486" s="94" t="str">
        <x:v>实用礼物</x:v>
      </x:c>
      <x:c r="H486" s="94" t="str">
        <x:v>桌面端</x:v>
      </x:c>
      <x:c r="I486" s="94" t="str">
        <x:v>CPC</x:v>
      </x:c>
      <x:c r="J486" s="95" t="n">
        <x:v>1003</x:v>
      </x:c>
      <x:c r="K486" s="96" t="n">
        <x:f>IFERROR(L486/J486,0)</x:f>
        <x:v>0.038883349950149554</x:v>
      </x:c>
      <x:c r="L486" s="95" t="n">
        <x:v>39</x:v>
      </x:c>
      <x:c r="M486" s="97" t="n">
        <x:v>0.2395</x:v>
      </x:c>
      <x:c r="N486" s="97" t="n">
        <x:f>ROUND(L486*M486,2)</x:f>
        <x:v>9.34</x:v>
      </x:c>
      <x:c r="O486" s="94" t="n">
        <x:v>6</x:v>
      </x:c>
      <x:c r="P486" s="94" t="str">
        <x:v>模拟：Google/Microsoft Ads采购导入</x:v>
      </x:c>
    </x:row>
    <x:row r="487">
      <x:c r="A487" s="92" t="str">
        <x:v>PROC-0486</x:v>
      </x:c>
      <x:c r="B487" s="93" t="n">
        <x:v>46110</x:v>
      </x:c>
      <x:c r="C487" s="94" t="str">
        <x:v>Google Ads</x:v>
      </x:c>
      <x:c r="D487" s="94" t="str">
        <x:v>德国</x:v>
      </x:c>
      <x:c r="E487" s="94" t="str">
        <x:v>GGL-C12</x:v>
      </x:c>
      <x:c r="F487" s="94" t="str">
        <x:v>竞品搜索</x:v>
      </x:c>
      <x:c r="G487" s="94" t="str">
        <x:v>更优选择</x:v>
      </x:c>
      <x:c r="H487" s="94" t="str">
        <x:v>移动端</x:v>
      </x:c>
      <x:c r="I487" s="94" t="str">
        <x:v>CPC</x:v>
      </x:c>
      <x:c r="J487" s="95" t="n">
        <x:v>546</x:v>
      </x:c>
      <x:c r="K487" s="96" t="n">
        <x:f>IFERROR(L487/J487,0)</x:f>
        <x:v>0.0347985347985348</x:v>
      </x:c>
      <x:c r="L487" s="95" t="n">
        <x:v>19</x:v>
      </x:c>
      <x:c r="M487" s="97" t="n">
        <x:v>0.3151</x:v>
      </x:c>
      <x:c r="N487" s="97" t="n">
        <x:f>ROUND(L487*M487,2)</x:f>
        <x:v>5.99</x:v>
      </x:c>
      <x:c r="O487" s="94" t="n">
        <x:v>8</x:v>
      </x:c>
      <x:c r="P487" s="94" t="str">
        <x:v>模拟：Google/Microsoft Ads采购导入</x:v>
      </x:c>
    </x:row>
    <x:row r="488">
      <x:c r="A488" s="92" t="str">
        <x:v>PROC-0487</x:v>
      </x:c>
      <x:c r="B488" s="93" t="n">
        <x:v>46110</x:v>
      </x:c>
      <x:c r="C488" s="94" t="str">
        <x:v>Google Ads</x:v>
      </x:c>
      <x:c r="D488" s="94" t="str">
        <x:v>日本</x:v>
      </x:c>
      <x:c r="E488" s="94" t="str">
        <x:v>GGL-C19</x:v>
      </x:c>
      <x:c r="F488" s="94" t="str">
        <x:v>购物广告</x:v>
      </x:c>
      <x:c r="G488" s="94" t="str">
        <x:v>畅销商品</x:v>
      </x:c>
      <x:c r="H488" s="94" t="str">
        <x:v>移动端</x:v>
      </x:c>
      <x:c r="I488" s="94" t="str">
        <x:v>CPC</x:v>
      </x:c>
      <x:c r="J488" s="95" t="n">
        <x:v>1683</x:v>
      </x:c>
      <x:c r="K488" s="96" t="n">
        <x:f>IFERROR(L488/J488,0)</x:f>
        <x:v>0.0451574569221628</x:v>
      </x:c>
      <x:c r="L488" s="95" t="n">
        <x:v>76</x:v>
      </x:c>
      <x:c r="M488" s="97" t="n">
        <x:v>0.2369</x:v>
      </x:c>
      <x:c r="N488" s="97" t="n">
        <x:f>ROUND(L488*M488,2)</x:f>
        <x:v>18</x:v>
      </x:c>
      <x:c r="O488" s="94" t="n">
        <x:v>9</x:v>
      </x:c>
      <x:c r="P488" s="94" t="str">
        <x:v>模拟：Google/Microsoft Ads采购导入</x:v>
      </x:c>
    </x:row>
    <x:row r="489">
      <x:c r="A489" s="92" t="str">
        <x:v>PROC-0488</x:v>
      </x:c>
      <x:c r="B489" s="93" t="n">
        <x:v>46111</x:v>
      </x:c>
      <x:c r="C489" s="94" t="str">
        <x:v>Microsoft Ads</x:v>
      </x:c>
      <x:c r="D489" s="94" t="str">
        <x:v>英国</x:v>
      </x:c>
      <x:c r="E489" s="94" t="str">
        <x:v>MSA-C04</x:v>
      </x:c>
      <x:c r="F489" s="94" t="str">
        <x:v>竞品搜索</x:v>
      </x:c>
      <x:c r="G489" s="94" t="str">
        <x:v>竞品评测</x:v>
      </x:c>
      <x:c r="H489" s="94" t="str">
        <x:v>移动端</x:v>
      </x:c>
      <x:c r="I489" s="94" t="str">
        <x:v>CPC</x:v>
      </x:c>
      <x:c r="J489" s="95" t="n">
        <x:v>815</x:v>
      </x:c>
      <x:c r="K489" s="96" t="n">
        <x:f>IFERROR(L489/J489,0)</x:f>
        <x:v>0.03558282208588957</x:v>
      </x:c>
      <x:c r="L489" s="95" t="n">
        <x:v>29</x:v>
      </x:c>
      <x:c r="M489" s="97" t="n">
        <x:v>0.2953</x:v>
      </x:c>
      <x:c r="N489" s="97" t="n">
        <x:f>ROUND(L489*M489,2)</x:f>
        <x:v>8.56</x:v>
      </x:c>
      <x:c r="O489" s="94" t="n">
        <x:v>8</x:v>
      </x:c>
      <x:c r="P489" s="94" t="str">
        <x:v>模拟：Google/Microsoft Ads采购导入</x:v>
      </x:c>
    </x:row>
    <x:row r="490">
      <x:c r="A490" s="92" t="str">
        <x:v>PROC-0489</x:v>
      </x:c>
      <x:c r="B490" s="93" t="n">
        <x:v>46111</x:v>
      </x:c>
      <x:c r="C490" s="94" t="str">
        <x:v>Google Ads</x:v>
      </x:c>
      <x:c r="D490" s="94" t="str">
        <x:v>美国</x:v>
      </x:c>
      <x:c r="E490" s="94" t="str">
        <x:v>GGL-C11</x:v>
      </x:c>
      <x:c r="F490" s="94" t="str">
        <x:v>竞品搜索</x:v>
      </x:c>
      <x:c r="G490" s="94" t="str">
        <x:v>价格替代</x:v>
      </x:c>
      <x:c r="H490" s="94" t="str">
        <x:v>平板</x:v>
      </x:c>
      <x:c r="I490" s="94" t="str">
        <x:v>CPC</x:v>
      </x:c>
      <x:c r="J490" s="95" t="n">
        <x:v>560</x:v>
      </x:c>
      <x:c r="K490" s="96" t="n">
        <x:f>IFERROR(L490/J490,0)</x:f>
        <x:v>0.033928571428571426</x:v>
      </x:c>
      <x:c r="L490" s="95" t="n">
        <x:v>19</x:v>
      </x:c>
      <x:c r="M490" s="97" t="n">
        <x:v>0.5265</x:v>
      </x:c>
      <x:c r="N490" s="97" t="n">
        <x:f>ROUND(L490*M490,2)</x:f>
        <x:v>10</x:v>
      </x:c>
      <x:c r="O490" s="94" t="n">
        <x:v>8</x:v>
      </x:c>
      <x:c r="P490" s="94" t="str">
        <x:v>模拟：Google/Microsoft Ads采购导入</x:v>
      </x:c>
    </x:row>
    <x:row r="491">
      <x:c r="A491" s="92" t="str">
        <x:v>PROC-0490</x:v>
      </x:c>
      <x:c r="B491" s="93" t="n">
        <x:v>46111</x:v>
      </x:c>
      <x:c r="C491" s="94" t="str">
        <x:v>Google Ads</x:v>
      </x:c>
      <x:c r="D491" s="94" t="str">
        <x:v>英国</x:v>
      </x:c>
      <x:c r="E491" s="94" t="str">
        <x:v>GGL-C16</x:v>
      </x:c>
      <x:c r="F491" s="94" t="str">
        <x:v>通用搜索</x:v>
      </x:c>
      <x:c r="G491" s="94" t="str">
        <x:v>专业精选</x:v>
      </x:c>
      <x:c r="H491" s="94" t="str">
        <x:v>桌面端</x:v>
      </x:c>
      <x:c r="I491" s="94" t="str">
        <x:v>CPC</x:v>
      </x:c>
      <x:c r="J491" s="95" t="n">
        <x:v>803</x:v>
      </x:c>
      <x:c r="K491" s="96" t="n">
        <x:f>IFERROR(L491/J491,0)</x:f>
        <x:v>0.0361145703611457</x:v>
      </x:c>
      <x:c r="L491" s="95" t="n">
        <x:v>29</x:v>
      </x:c>
      <x:c r="M491" s="97" t="n">
        <x:v>0.2626</x:v>
      </x:c>
      <x:c r="N491" s="97" t="n">
        <x:f>ROUND(L491*M491,2)</x:f>
        <x:v>7.62</x:v>
      </x:c>
      <x:c r="O491" s="94" t="n">
        <x:v>8</x:v>
      </x:c>
      <x:c r="P491" s="94" t="str">
        <x:v>模拟：Google/Microsoft Ads采购导入</x:v>
      </x:c>
    </x:row>
    <x:row r="492">
      <x:c r="A492" s="92" t="str">
        <x:v>PROC-0491</x:v>
      </x:c>
      <x:c r="B492" s="93" t="n">
        <x:v>46111</x:v>
      </x:c>
      <x:c r="C492" s="94" t="str">
        <x:v>Google Ads</x:v>
      </x:c>
      <x:c r="D492" s="94" t="str">
        <x:v>美国</x:v>
      </x:c>
      <x:c r="E492" s="94" t="str">
        <x:v>GGL-C23</x:v>
      </x:c>
      <x:c r="F492" s="94" t="str">
        <x:v>购物广告</x:v>
      </x:c>
      <x:c r="G492" s="94" t="str">
        <x:v>高评分商品</x:v>
      </x:c>
      <x:c r="H492" s="94" t="str">
        <x:v>移动端</x:v>
      </x:c>
      <x:c r="I492" s="94" t="str">
        <x:v>CPC</x:v>
      </x:c>
      <x:c r="J492" s="95" t="n">
        <x:v>990</x:v>
      </x:c>
      <x:c r="K492" s="96" t="n">
        <x:f>IFERROR(L492/J492,0)</x:f>
        <x:v>0.045454545454545456</x:v>
      </x:c>
      <x:c r="L492" s="95" t="n">
        <x:v>45</x:v>
      </x:c>
      <x:c r="M492" s="97" t="n">
        <x:v>0.3929</x:v>
      </x:c>
      <x:c r="N492" s="97" t="n">
        <x:f>ROUND(L492*M492,2)</x:f>
        <x:v>17.68</x:v>
      </x:c>
      <x:c r="O492" s="94" t="n">
        <x:v>8</x:v>
      </x:c>
      <x:c r="P492" s="94" t="str">
        <x:v>模拟：Google/Microsoft Ads采购导入</x:v>
      </x:c>
    </x:row>
    <x:row r="493">
      <x:c r="A493" s="92" t="str">
        <x:v>PROC-0492</x:v>
      </x:c>
      <x:c r="B493" s="93" t="n">
        <x:v>46111</x:v>
      </x:c>
      <x:c r="C493" s="94" t="str">
        <x:v>Microsoft Ads</x:v>
      </x:c>
      <x:c r="D493" s="94" t="str">
        <x:v>美国</x:v>
      </x:c>
      <x:c r="E493" s="94" t="str">
        <x:v>MSA-C06</x:v>
      </x:c>
      <x:c r="F493" s="94" t="str">
        <x:v>购物广告</x:v>
      </x:c>
      <x:c r="G493" s="94" t="str">
        <x:v>高评分商品</x:v>
      </x:c>
      <x:c r="H493" s="94" t="str">
        <x:v>移动端</x:v>
      </x:c>
      <x:c r="I493" s="94" t="str">
        <x:v>CPC</x:v>
      </x:c>
      <x:c r="J493" s="95" t="n">
        <x:v>814</x:v>
      </x:c>
      <x:c r="K493" s="96" t="n">
        <x:f>IFERROR(L493/J493,0)</x:f>
        <x:v>0.04176904176904177</x:v>
      </x:c>
      <x:c r="L493" s="95" t="n">
        <x:v>34</x:v>
      </x:c>
      <x:c r="M493" s="97" t="n">
        <x:v>0.2922</x:v>
      </x:c>
      <x:c r="N493" s="97" t="n">
        <x:f>ROUND(L493*M493,2)</x:f>
        <x:v>9.93</x:v>
      </x:c>
      <x:c r="O493" s="94" t="n">
        <x:v>6</x:v>
      </x:c>
      <x:c r="P493" s="94" t="str">
        <x:v>模拟：Google/Microsoft Ads采购导入</x:v>
      </x:c>
    </x:row>
    <x:row r="494">
      <x:c r="A494" s="92" t="str">
        <x:v>PROC-0493</x:v>
      </x:c>
      <x:c r="B494" s="93" t="n">
        <x:v>46112</x:v>
      </x:c>
      <x:c r="C494" s="94" t="str">
        <x:v>Google Ads</x:v>
      </x:c>
      <x:c r="D494" s="94" t="str">
        <x:v>德国</x:v>
      </x:c>
      <x:c r="E494" s="94" t="str">
        <x:v>GGL-C15</x:v>
      </x:c>
      <x:c r="F494" s="94" t="str">
        <x:v>通用搜索</x:v>
      </x:c>
      <x:c r="G494" s="94" t="str">
        <x:v>实用礼物</x:v>
      </x:c>
      <x:c r="H494" s="94" t="str">
        <x:v>移动端</x:v>
      </x:c>
      <x:c r="I494" s="94" t="str">
        <x:v>CPC</x:v>
      </x:c>
      <x:c r="J494" s="95" t="n">
        <x:v>1143</x:v>
      </x:c>
      <x:c r="K494" s="96" t="n">
        <x:f>IFERROR(L494/J494,0)</x:f>
        <x:v>0.03674540682414698</x:v>
      </x:c>
      <x:c r="L494" s="95" t="n">
        <x:v>42</x:v>
      </x:c>
      <x:c r="M494" s="97" t="n">
        <x:v>0.2521</x:v>
      </x:c>
      <x:c r="N494" s="97" t="n">
        <x:f>ROUND(L494*M494,2)</x:f>
        <x:v>10.59</x:v>
      </x:c>
      <x:c r="O494" s="94" t="n">
        <x:v>7</x:v>
      </x:c>
      <x:c r="P494" s="94" t="str">
        <x:v>模拟：Google/Microsoft Ads采购导入</x:v>
      </x:c>
    </x:row>
    <x:row r="495">
      <x:c r="A495" s="92" t="str">
        <x:v>PROC-0494</x:v>
      </x:c>
      <x:c r="B495" s="93" t="n">
        <x:v>46112</x:v>
      </x:c>
      <x:c r="C495" s="94" t="str">
        <x:v>Google Ads</x:v>
      </x:c>
      <x:c r="D495" s="94" t="str">
        <x:v>英国</x:v>
      </x:c>
      <x:c r="E495" s="94" t="str">
        <x:v>GGL-C20</x:v>
      </x:c>
      <x:c r="F495" s="94" t="str">
        <x:v>品牌搜索</x:v>
      </x:c>
      <x:c r="G495" s="94" t="str">
        <x:v>品牌型号词</x:v>
      </x:c>
      <x:c r="H495" s="94" t="str">
        <x:v>移动端</x:v>
      </x:c>
      <x:c r="I495" s="94" t="str">
        <x:v>CPC</x:v>
      </x:c>
      <x:c r="J495" s="95" t="n">
        <x:v>725</x:v>
      </x:c>
      <x:c r="K495" s="96" t="n">
        <x:f>IFERROR(L495/J495,0)</x:f>
        <x:v>0.05655172413793103</x:v>
      </x:c>
      <x:c r="L495" s="95" t="n">
        <x:v>41</x:v>
      </x:c>
      <x:c r="M495" s="97" t="n">
        <x:v>0.2057</x:v>
      </x:c>
      <x:c r="N495" s="97" t="n">
        <x:f>ROUND(L495*M495,2)</x:f>
        <x:v>8.43</x:v>
      </x:c>
      <x:c r="O495" s="94" t="n">
        <x:v>7</x:v>
      </x:c>
      <x:c r="P495" s="94" t="str">
        <x:v>模拟：Google/Microsoft Ads采购导入</x:v>
      </x:c>
    </x:row>
    <x:row r="496">
      <x:c r="A496" s="92" t="str">
        <x:v>PROC-0495</x:v>
      </x:c>
      <x:c r="B496" s="93" t="n">
        <x:v>46112</x:v>
      </x:c>
      <x:c r="C496" s="94" t="str">
        <x:v>Google Ads</x:v>
      </x:c>
      <x:c r="D496" s="94" t="str">
        <x:v>德国</x:v>
      </x:c>
      <x:c r="E496" s="94" t="str">
        <x:v>GGL-C03</x:v>
      </x:c>
      <x:c r="F496" s="94" t="str">
        <x:v>通用搜索</x:v>
      </x:c>
      <x:c r="G496" s="94" t="str">
        <x:v>实用礼物</x:v>
      </x:c>
      <x:c r="H496" s="94" t="str">
        <x:v>桌面端</x:v>
      </x:c>
      <x:c r="I496" s="94" t="str">
        <x:v>CPC</x:v>
      </x:c>
      <x:c r="J496" s="95" t="n">
        <x:v>993</x:v>
      </x:c>
      <x:c r="K496" s="96" t="n">
        <x:f>IFERROR(L496/J496,0)</x:f>
        <x:v>0.03121852970795569</x:v>
      </x:c>
      <x:c r="L496" s="95" t="n">
        <x:v>31</x:v>
      </x:c>
      <x:c r="M496" s="97" t="n">
        <x:v>0.2748</x:v>
      </x:c>
      <x:c r="N496" s="97" t="n">
        <x:f>ROUND(L496*M496,2)</x:f>
        <x:v>8.52</x:v>
      </x:c>
      <x:c r="O496" s="94" t="n">
        <x:v>6</x:v>
      </x:c>
      <x:c r="P496" s="94" t="str">
        <x:v>模拟：Google/Microsoft Ads采购导入</x:v>
      </x:c>
    </x:row>
    <x:row r="497">
      <x:c r="A497" s="92" t="str">
        <x:v>PROC-0496</x:v>
      </x:c>
      <x:c r="B497" s="93" t="n">
        <x:v>46112</x:v>
      </x:c>
      <x:c r="C497" s="94" t="str">
        <x:v>Google Ads</x:v>
      </x:c>
      <x:c r="D497" s="94" t="str">
        <x:v>美国</x:v>
      </x:c>
      <x:c r="E497" s="94" t="str">
        <x:v>GGL-C10</x:v>
      </x:c>
      <x:c r="F497" s="94" t="str">
        <x:v>竞品搜索</x:v>
      </x:c>
      <x:c r="G497" s="94" t="str">
        <x:v>替代品比较</x:v>
      </x:c>
      <x:c r="H497" s="94" t="str">
        <x:v>移动端</x:v>
      </x:c>
      <x:c r="I497" s="94" t="str">
        <x:v>CPC</x:v>
      </x:c>
      <x:c r="J497" s="95" t="n">
        <x:v>1050</x:v>
      </x:c>
      <x:c r="K497" s="96" t="n">
        <x:f>IFERROR(L497/J497,0)</x:f>
        <x:v>0.0380952380952381</x:v>
      </x:c>
      <x:c r="L497" s="95" t="n">
        <x:v>40</x:v>
      </x:c>
      <x:c r="M497" s="97" t="n">
        <x:v>0.3807</x:v>
      </x:c>
      <x:c r="N497" s="97" t="n">
        <x:f>ROUND(L497*M497,2)</x:f>
        <x:v>15.23</x:v>
      </x:c>
      <x:c r="O497" s="94" t="n">
        <x:v>8</x:v>
      </x:c>
      <x:c r="P497" s="94" t="str">
        <x:v>模拟：Google/Microsoft Ads采购导入</x:v>
      </x:c>
    </x:row>
    <x:row r="498">
      <x:c r="A498" s="92" t="str">
        <x:v>PROC-0497</x:v>
      </x:c>
      <x:c r="B498" s="93" t="n">
        <x:v>46112</x:v>
      </x:c>
      <x:c r="C498" s="94" t="str">
        <x:v>Google Ads</x:v>
      </x:c>
      <x:c r="D498" s="94" t="str">
        <x:v>美国</x:v>
      </x:c>
      <x:c r="E498" s="94" t="str">
        <x:v>GGL-C18</x:v>
      </x:c>
      <x:c r="F498" s="94" t="str">
        <x:v>通用搜索</x:v>
      </x:c>
      <x:c r="G498" s="94" t="str">
        <x:v>家庭必备</x:v>
      </x:c>
      <x:c r="H498" s="94" t="str">
        <x:v>移动端</x:v>
      </x:c>
      <x:c r="I498" s="94" t="str">
        <x:v>CPC</x:v>
      </x:c>
      <x:c r="J498" s="95" t="n">
        <x:v>1201</x:v>
      </x:c>
      <x:c r="K498" s="96" t="n">
        <x:f>IFERROR(L498/J498,0)</x:f>
        <x:v>0.03413821815154038</x:v>
      </x:c>
      <x:c r="L498" s="95" t="n">
        <x:v>41</x:v>
      </x:c>
      <x:c r="M498" s="97" t="n">
        <x:v>0.3186</x:v>
      </x:c>
      <x:c r="N498" s="97" t="n">
        <x:f>ROUND(L498*M498,2)</x:f>
        <x:v>13.06</x:v>
      </x:c>
      <x:c r="O498" s="94" t="n">
        <x:v>6</x:v>
      </x:c>
      <x:c r="P498" s="94" t="str">
        <x:v>模拟：Google/Microsoft Ads采购导入</x:v>
      </x:c>
    </x:row>
    <x:row r="499">
      <x:c r="A499" s="92" t="str">
        <x:v>PROC-0498</x:v>
      </x:c>
      <x:c r="B499" s="93" t="n">
        <x:v>46112</x:v>
      </x:c>
      <x:c r="C499" s="94" t="str">
        <x:v>Microsoft Ads</x:v>
      </x:c>
      <x:c r="D499" s="94" t="str">
        <x:v>日本</x:v>
      </x:c>
      <x:c r="E499" s="94" t="str">
        <x:v>MSA-C04</x:v>
      </x:c>
      <x:c r="F499" s="94" t="str">
        <x:v>通用搜索</x:v>
      </x:c>
      <x:c r="G499" s="94" t="str">
        <x:v>家庭必备</x:v>
      </x:c>
      <x:c r="H499" s="94" t="str">
        <x:v>桌面端</x:v>
      </x:c>
      <x:c r="I499" s="94" t="str">
        <x:v>CPC</x:v>
      </x:c>
      <x:c r="J499" s="95" t="n">
        <x:v>1193</x:v>
      </x:c>
      <x:c r="K499" s="96" t="n">
        <x:f>IFERROR(L499/J499,0)</x:f>
        <x:v>0.03101424979044426</x:v>
      </x:c>
      <x:c r="L499" s="95" t="n">
        <x:v>37</x:v>
      </x:c>
      <x:c r="M499" s="97" t="n">
        <x:v>0.2255</x:v>
      </x:c>
      <x:c r="N499" s="97" t="n">
        <x:f>ROUND(L499*M499,2)</x:f>
        <x:v>8.34</x:v>
      </x:c>
      <x:c r="O499" s="94" t="n">
        <x:v>7</x:v>
      </x:c>
      <x:c r="P499" s="94" t="str">
        <x:v>模拟：Google/Microsoft Ads采购导入</x:v>
      </x:c>
    </x:row>
    <x:row r="500">
      <x:c r="A500" s="92" t="str">
        <x:v>PROC-0499</x:v>
      </x:c>
      <x:c r="B500" s="93" t="n">
        <x:v>46113</x:v>
      </x:c>
      <x:c r="C500" s="94" t="str">
        <x:v>Google Ads</x:v>
      </x:c>
      <x:c r="D500" s="94" t="str">
        <x:v>美国</x:v>
      </x:c>
      <x:c r="E500" s="94" t="str">
        <x:v>GGL-C09</x:v>
      </x:c>
      <x:c r="F500" s="94" t="str">
        <x:v>购物广告</x:v>
      </x:c>
      <x:c r="G500" s="94" t="str">
        <x:v>高评分商品</x:v>
      </x:c>
      <x:c r="H500" s="94" t="str">
        <x:v>移动端</x:v>
      </x:c>
      <x:c r="I500" s="94" t="str">
        <x:v>CPC</x:v>
      </x:c>
      <x:c r="J500" s="95" t="n">
        <x:v>1125</x:v>
      </x:c>
      <x:c r="K500" s="96" t="n">
        <x:f>IFERROR(L500/J500,0)</x:f>
        <x:v>0.04</x:v>
      </x:c>
      <x:c r="L500" s="95" t="n">
        <x:v>45</x:v>
      </x:c>
      <x:c r="M500" s="97" t="n">
        <x:v>0.3193</x:v>
      </x:c>
      <x:c r="N500" s="97" t="n">
        <x:f>ROUND(L500*M500,2)</x:f>
        <x:v>14.37</x:v>
      </x:c>
      <x:c r="O500" s="94" t="n">
        <x:v>7</x:v>
      </x:c>
      <x:c r="P500" s="94" t="str">
        <x:v>模拟：Google/Microsoft Ads采购导入</x:v>
      </x:c>
    </x:row>
    <x:row r="501">
      <x:c r="A501" s="92" t="str">
        <x:v>PROC-0500</x:v>
      </x:c>
      <x:c r="B501" s="93" t="n">
        <x:v>46113</x:v>
      </x:c>
      <x:c r="C501" s="94" t="str">
        <x:v>Google Ads</x:v>
      </x:c>
      <x:c r="D501" s="94" t="str">
        <x:v>日本</x:v>
      </x:c>
      <x:c r="E501" s="94" t="str">
        <x:v>GGL-C17</x:v>
      </x:c>
      <x:c r="F501" s="94" t="str">
        <x:v>通用搜索</x:v>
      </x:c>
      <x:c r="G501" s="94" t="str">
        <x:v>专业精选</x:v>
      </x:c>
      <x:c r="H501" s="94" t="str">
        <x:v>桌面端</x:v>
      </x:c>
      <x:c r="I501" s="94" t="str">
        <x:v>CPC</x:v>
      </x:c>
      <x:c r="J501" s="95" t="n">
        <x:v>1022</x:v>
      </x:c>
      <x:c r="K501" s="96" t="n">
        <x:f>IFERROR(L501/J501,0)</x:f>
        <x:v>0.030332681017612523</x:v>
      </x:c>
      <x:c r="L501" s="95" t="n">
        <x:v>31</x:v>
      </x:c>
      <x:c r="M501" s="97" t="n">
        <x:v>0.2145</x:v>
      </x:c>
      <x:c r="N501" s="97" t="n">
        <x:f>ROUND(L501*M501,2)</x:f>
        <x:v>6.65</x:v>
      </x:c>
      <x:c r="O501" s="94" t="n">
        <x:v>8</x:v>
      </x:c>
      <x:c r="P501" s="94" t="str">
        <x:v>模拟：Google/Microsoft Ads采购导入</x:v>
      </x:c>
    </x:row>
    <x:row r="502">
      <x:c r="A502" s="92" t="str">
        <x:v>PROC-0501</x:v>
      </x:c>
      <x:c r="B502" s="93" t="n">
        <x:v>46113</x:v>
      </x:c>
      <x:c r="C502" s="94" t="str">
        <x:v>Google Ads</x:v>
      </x:c>
      <x:c r="D502" s="94" t="str">
        <x:v>美国</x:v>
      </x:c>
      <x:c r="E502" s="94" t="str">
        <x:v>GGL-C24</x:v>
      </x:c>
      <x:c r="F502" s="94" t="str">
        <x:v>品牌搜索</x:v>
      </x:c>
      <x:c r="G502" s="94" t="str">
        <x:v>品牌配件词</x:v>
      </x:c>
      <x:c r="H502" s="94" t="str">
        <x:v>桌面端</x:v>
      </x:c>
      <x:c r="I502" s="94" t="str">
        <x:v>CPC</x:v>
      </x:c>
      <x:c r="J502" s="95" t="n">
        <x:v>1024</x:v>
      </x:c>
      <x:c r="K502" s="96" t="n">
        <x:f>IFERROR(L502/J502,0)</x:f>
        <x:v>0.068359375</x:v>
      </x:c>
      <x:c r="L502" s="95" t="n">
        <x:v>70</x:v>
      </x:c>
      <x:c r="M502" s="97" t="n">
        <x:v>0.2766</x:v>
      </x:c>
      <x:c r="N502" s="97" t="n">
        <x:f>ROUND(L502*M502,2)</x:f>
        <x:v>19.36</x:v>
      </x:c>
      <x:c r="O502" s="94" t="n">
        <x:v>7</x:v>
      </x:c>
      <x:c r="P502" s="94" t="str">
        <x:v>模拟：Google/Microsoft Ads采购导入</x:v>
      </x:c>
    </x:row>
    <x:row r="503">
      <x:c r="A503" s="92" t="str">
        <x:v>PROC-0502</x:v>
      </x:c>
      <x:c r="B503" s="93" t="n">
        <x:v>46113</x:v>
      </x:c>
      <x:c r="C503" s="94" t="str">
        <x:v>Google Ads</x:v>
      </x:c>
      <x:c r="D503" s="94" t="str">
        <x:v>美国</x:v>
      </x:c>
      <x:c r="E503" s="94" t="str">
        <x:v>GGL-C06</x:v>
      </x:c>
      <x:c r="F503" s="94" t="str">
        <x:v>竞品搜索</x:v>
      </x:c>
      <x:c r="G503" s="94" t="str">
        <x:v>更优选择</x:v>
      </x:c>
      <x:c r="H503" s="94" t="str">
        <x:v>桌面端</x:v>
      </x:c>
      <x:c r="I503" s="94" t="str">
        <x:v>CPC</x:v>
      </x:c>
      <x:c r="J503" s="95" t="n">
        <x:v>997</x:v>
      </x:c>
      <x:c r="K503" s="96" t="n">
        <x:f>IFERROR(L503/J503,0)</x:f>
        <x:v>0.028084252758274825</x:v>
      </x:c>
      <x:c r="L503" s="95" t="n">
        <x:v>28</x:v>
      </x:c>
      <x:c r="M503" s="97" t="n">
        <x:v>0.4021</x:v>
      </x:c>
      <x:c r="N503" s="97" t="n">
        <x:f>ROUND(L503*M503,2)</x:f>
        <x:v>11.26</x:v>
      </x:c>
      <x:c r="O503" s="94" t="n">
        <x:v>9</x:v>
      </x:c>
      <x:c r="P503" s="94" t="str">
        <x:v>模拟：Google/Microsoft Ads采购导入</x:v>
      </x:c>
    </x:row>
    <x:row r="504">
      <x:c r="A504" s="92" t="str">
        <x:v>PROC-0503</x:v>
      </x:c>
      <x:c r="B504" s="93" t="n">
        <x:v>46113</x:v>
      </x:c>
      <x:c r="C504" s="94" t="str">
        <x:v>Google Ads</x:v>
      </x:c>
      <x:c r="D504" s="94" t="str">
        <x:v>美国</x:v>
      </x:c>
      <x:c r="E504" s="94" t="str">
        <x:v>GGL-C12</x:v>
      </x:c>
      <x:c r="F504" s="94" t="str">
        <x:v>品牌搜索</x:v>
      </x:c>
      <x:c r="G504" s="94" t="str">
        <x:v>品牌优惠词</x:v>
      </x:c>
      <x:c r="H504" s="94" t="str">
        <x:v>移动端</x:v>
      </x:c>
      <x:c r="I504" s="94" t="str">
        <x:v>CPC</x:v>
      </x:c>
      <x:c r="J504" s="95" t="n">
        <x:v>931</x:v>
      </x:c>
      <x:c r="K504" s="96" t="n">
        <x:f>IFERROR(L504/J504,0)</x:f>
        <x:v>0.061224489795918366</x:v>
      </x:c>
      <x:c r="L504" s="95" t="n">
        <x:v>57</x:v>
      </x:c>
      <x:c r="M504" s="97" t="n">
        <x:v>0.2366</x:v>
      </x:c>
      <x:c r="N504" s="97" t="n">
        <x:f>ROUND(L504*M504,2)</x:f>
        <x:v>13.49</x:v>
      </x:c>
      <x:c r="O504" s="94" t="n">
        <x:v>7</x:v>
      </x:c>
      <x:c r="P504" s="94" t="str">
        <x:v>模拟：Google/Microsoft Ads采购导入</x:v>
      </x:c>
    </x:row>
    <x:row r="505">
      <x:c r="A505" s="92" t="str">
        <x:v>PROC-0504</x:v>
      </x:c>
      <x:c r="B505" s="93" t="n">
        <x:v>46114</x:v>
      </x:c>
      <x:c r="C505" s="94" t="str">
        <x:v>Google Ads</x:v>
      </x:c>
      <x:c r="D505" s="94" t="str">
        <x:v>美国</x:v>
      </x:c>
      <x:c r="E505" s="94" t="str">
        <x:v>GGL-C22</x:v>
      </x:c>
      <x:c r="F505" s="94" t="str">
        <x:v>竞品搜索</x:v>
      </x:c>
      <x:c r="G505" s="94" t="str">
        <x:v>替代品比较</x:v>
      </x:c>
      <x:c r="H505" s="94" t="str">
        <x:v>移动端</x:v>
      </x:c>
      <x:c r="I505" s="94" t="str">
        <x:v>CPC</x:v>
      </x:c>
      <x:c r="J505" s="95" t="n">
        <x:v>683</x:v>
      </x:c>
      <x:c r="K505" s="96" t="n">
        <x:f>IFERROR(L505/J505,0)</x:f>
        <x:v>0.029282576866764276</x:v>
      </x:c>
      <x:c r="L505" s="95" t="n">
        <x:v>20</x:v>
      </x:c>
      <x:c r="M505" s="97" t="n">
        <x:v>0.3719</x:v>
      </x:c>
      <x:c r="N505" s="97" t="n">
        <x:f>ROUND(L505*M505,2)</x:f>
        <x:v>7.44</x:v>
      </x:c>
      <x:c r="O505" s="94" t="n">
        <x:v>6</x:v>
      </x:c>
      <x:c r="P505" s="94" t="str">
        <x:v>模拟：Google/Microsoft Ads采购导入</x:v>
      </x:c>
    </x:row>
    <x:row r="506">
      <x:c r="A506" s="92" t="str">
        <x:v>PROC-0505</x:v>
      </x:c>
      <x:c r="B506" s="93" t="n">
        <x:v>46114</x:v>
      </x:c>
      <x:c r="C506" s="94" t="str">
        <x:v>Google Ads</x:v>
      </x:c>
      <x:c r="D506" s="94" t="str">
        <x:v>德国</x:v>
      </x:c>
      <x:c r="E506" s="94" t="str">
        <x:v>GGL-C03</x:v>
      </x:c>
      <x:c r="F506" s="94" t="str">
        <x:v>竞品搜索</x:v>
      </x:c>
      <x:c r="G506" s="94" t="str">
        <x:v>竞品评测</x:v>
      </x:c>
      <x:c r="H506" s="94" t="str">
        <x:v>移动端</x:v>
      </x:c>
      <x:c r="I506" s="94" t="str">
        <x:v>CPC</x:v>
      </x:c>
      <x:c r="J506" s="95" t="n">
        <x:v>881</x:v>
      </x:c>
      <x:c r="K506" s="96" t="n">
        <x:f>IFERROR(L506/J506,0)</x:f>
        <x:v>0.036322360953461974</x:v>
      </x:c>
      <x:c r="L506" s="95" t="n">
        <x:v>32</x:v>
      </x:c>
      <x:c r="M506" s="97" t="n">
        <x:v>0.306</x:v>
      </x:c>
      <x:c r="N506" s="97" t="n">
        <x:f>ROUND(L506*M506,2)</x:f>
        <x:v>9.79</x:v>
      </x:c>
      <x:c r="O506" s="94" t="n">
        <x:v>8</x:v>
      </x:c>
      <x:c r="P506" s="94" t="str">
        <x:v>模拟：Google/Microsoft Ads采购导入</x:v>
      </x:c>
    </x:row>
    <x:row r="507">
      <x:c r="A507" s="92" t="str">
        <x:v>PROC-0506</x:v>
      </x:c>
      <x:c r="B507" s="93" t="n">
        <x:v>46114</x:v>
      </x:c>
      <x:c r="C507" s="94" t="str">
        <x:v>Google Ads</x:v>
      </x:c>
      <x:c r="D507" s="94" t="str">
        <x:v>美国</x:v>
      </x:c>
      <x:c r="E507" s="94" t="str">
        <x:v>GGL-C10</x:v>
      </x:c>
      <x:c r="F507" s="94" t="str">
        <x:v>通用搜索</x:v>
      </x:c>
      <x:c r="G507" s="94" t="str">
        <x:v>家庭必备</x:v>
      </x:c>
      <x:c r="H507" s="94" t="str">
        <x:v>平板</x:v>
      </x:c>
      <x:c r="I507" s="94" t="str">
        <x:v>CPC</x:v>
      </x:c>
      <x:c r="J507" s="95" t="n">
        <x:v>1071</x:v>
      </x:c>
      <x:c r="K507" s="96" t="n">
        <x:f>IFERROR(L507/J507,0)</x:f>
        <x:v>0.03734827264239029</x:v>
      </x:c>
      <x:c r="L507" s="95" t="n">
        <x:v>40</x:v>
      </x:c>
      <x:c r="M507" s="97" t="n">
        <x:v>0.3236</x:v>
      </x:c>
      <x:c r="N507" s="97" t="n">
        <x:f>ROUND(L507*M507,2)</x:f>
        <x:v>12.94</x:v>
      </x:c>
      <x:c r="O507" s="94" t="n">
        <x:v>6</x:v>
      </x:c>
      <x:c r="P507" s="94" t="str">
        <x:v>模拟：Google/Microsoft Ads采购导入</x:v>
      </x:c>
    </x:row>
    <x:row r="508">
      <x:c r="A508" s="92" t="str">
        <x:v>PROC-0507</x:v>
      </x:c>
      <x:c r="B508" s="93" t="n">
        <x:v>46114</x:v>
      </x:c>
      <x:c r="C508" s="94" t="str">
        <x:v>Google Ads</x:v>
      </x:c>
      <x:c r="D508" s="94" t="str">
        <x:v>美国</x:v>
      </x:c>
      <x:c r="E508" s="94" t="str">
        <x:v>GGL-C17</x:v>
      </x:c>
      <x:c r="F508" s="94" t="str">
        <x:v>通用搜索</x:v>
      </x:c>
      <x:c r="G508" s="94" t="str">
        <x:v>高性价比商品</x:v>
      </x:c>
      <x:c r="H508" s="94" t="str">
        <x:v>移动端</x:v>
      </x:c>
      <x:c r="I508" s="94" t="str">
        <x:v>CPC</x:v>
      </x:c>
      <x:c r="J508" s="95" t="n">
        <x:v>1227</x:v>
      </x:c>
      <x:c r="K508" s="96" t="n">
        <x:f>IFERROR(L508/J508,0)</x:f>
        <x:v>0.034229828850855744</x:v>
      </x:c>
      <x:c r="L508" s="95" t="n">
        <x:v>42</x:v>
      </x:c>
      <x:c r="M508" s="97" t="n">
        <x:v>0.3083</x:v>
      </x:c>
      <x:c r="N508" s="97" t="n">
        <x:f>ROUND(L508*M508,2)</x:f>
        <x:v>12.95</x:v>
      </x:c>
      <x:c r="O508" s="94" t="n">
        <x:v>6</x:v>
      </x:c>
      <x:c r="P508" s="94" t="str">
        <x:v>模拟：Google/Microsoft Ads采购导入</x:v>
      </x:c>
    </x:row>
    <x:row r="509">
      <x:c r="A509" s="92" t="str">
        <x:v>PROC-0508</x:v>
      </x:c>
      <x:c r="B509" s="93" t="n">
        <x:v>46114</x:v>
      </x:c>
      <x:c r="C509" s="94" t="str">
        <x:v>Google Ads</x:v>
      </x:c>
      <x:c r="D509" s="94" t="str">
        <x:v>美国</x:v>
      </x:c>
      <x:c r="E509" s="94" t="str">
        <x:v>GGL-C01</x:v>
      </x:c>
      <x:c r="F509" s="94" t="str">
        <x:v>购物广告</x:v>
      </x:c>
      <x:c r="G509" s="94" t="str">
        <x:v>快速配送</x:v>
      </x:c>
      <x:c r="H509" s="94" t="str">
        <x:v>移动端</x:v>
      </x:c>
      <x:c r="I509" s="94" t="str">
        <x:v>CPC</x:v>
      </x:c>
      <x:c r="J509" s="95" t="n">
        <x:v>790</x:v>
      </x:c>
      <x:c r="K509" s="96" t="n">
        <x:f>IFERROR(L509/J509,0)</x:f>
        <x:v>0.0379746835443038</x:v>
      </x:c>
      <x:c r="L509" s="95" t="n">
        <x:v>30</x:v>
      </x:c>
      <x:c r="M509" s="97" t="n">
        <x:v>0.3243</x:v>
      </x:c>
      <x:c r="N509" s="97" t="n">
        <x:f>ROUND(L509*M509,2)</x:f>
        <x:v>9.73</x:v>
      </x:c>
      <x:c r="O509" s="94" t="n">
        <x:v>8</x:v>
      </x:c>
      <x:c r="P509" s="94" t="str">
        <x:v>模拟：Google/Microsoft Ads采购导入</x:v>
      </x:c>
    </x:row>
    <x:row r="510">
      <x:c r="A510" s="92" t="str">
        <x:v>PROC-0509</x:v>
      </x:c>
      <x:c r="B510" s="93" t="n">
        <x:v>46114</x:v>
      </x:c>
      <x:c r="C510" s="94" t="str">
        <x:v>Google Ads</x:v>
      </x:c>
      <x:c r="D510" s="94" t="str">
        <x:v>德国</x:v>
      </x:c>
      <x:c r="E510" s="94" t="str">
        <x:v>GGL-C08</x:v>
      </x:c>
      <x:c r="F510" s="94" t="str">
        <x:v>购物广告</x:v>
      </x:c>
      <x:c r="G510" s="94" t="str">
        <x:v>快速配送</x:v>
      </x:c>
      <x:c r="H510" s="94" t="str">
        <x:v>移动端</x:v>
      </x:c>
      <x:c r="I510" s="94" t="str">
        <x:v>CPC</x:v>
      </x:c>
      <x:c r="J510" s="95" t="n">
        <x:v>1060</x:v>
      </x:c>
      <x:c r="K510" s="96" t="n">
        <x:f>IFERROR(L510/J510,0)</x:f>
        <x:v>0.038679245283018866</x:v>
      </x:c>
      <x:c r="L510" s="95" t="n">
        <x:v>41</x:v>
      </x:c>
      <x:c r="M510" s="97" t="n">
        <x:v>0.2773</x:v>
      </x:c>
      <x:c r="N510" s="97" t="n">
        <x:f>ROUND(L510*M510,2)</x:f>
        <x:v>11.37</x:v>
      </x:c>
      <x:c r="O510" s="94" t="n">
        <x:v>8</x:v>
      </x:c>
      <x:c r="P510" s="94" t="str">
        <x:v>模拟：Google/Microsoft Ads采购导入</x:v>
      </x:c>
    </x:row>
    <x:row r="511">
      <x:c r="A511" s="92" t="str">
        <x:v>PROC-0510</x:v>
      </x:c>
      <x:c r="B511" s="93" t="n">
        <x:v>46115</x:v>
      </x:c>
      <x:c r="C511" s="94" t="str">
        <x:v>Google Ads</x:v>
      </x:c>
      <x:c r="D511" s="94" t="str">
        <x:v>美国</x:v>
      </x:c>
      <x:c r="E511" s="94" t="str">
        <x:v>GGL-C12</x:v>
      </x:c>
      <x:c r="F511" s="94" t="str">
        <x:v>通用搜索</x:v>
      </x:c>
      <x:c r="G511" s="94" t="str">
        <x:v>实用礼物</x:v>
      </x:c>
      <x:c r="H511" s="94" t="str">
        <x:v>移动端</x:v>
      </x:c>
      <x:c r="I511" s="94" t="str">
        <x:v>CPC</x:v>
      </x:c>
      <x:c r="J511" s="95" t="n">
        <x:v>1376</x:v>
      </x:c>
      <x:c r="K511" s="96" t="n">
        <x:f>IFERROR(L511/J511,0)</x:f>
        <x:v>0.03561046511627907</x:v>
      </x:c>
      <x:c r="L511" s="95" t="n">
        <x:v>49</x:v>
      </x:c>
      <x:c r="M511" s="97" t="n">
        <x:v>0.3941</x:v>
      </x:c>
      <x:c r="N511" s="97" t="n">
        <x:f>ROUND(L511*M511,2)</x:f>
        <x:v>19.31</x:v>
      </x:c>
      <x:c r="O511" s="94" t="n">
        <x:v>7</x:v>
      </x:c>
      <x:c r="P511" s="94" t="str">
        <x:v>模拟：Google/Microsoft Ads采购导入</x:v>
      </x:c>
    </x:row>
    <x:row r="512">
      <x:c r="A512" s="92" t="str">
        <x:v>PROC-0511</x:v>
      </x:c>
      <x:c r="B512" s="93" t="n">
        <x:v>46115</x:v>
      </x:c>
      <x:c r="C512" s="94" t="str">
        <x:v>Microsoft Ads</x:v>
      </x:c>
      <x:c r="D512" s="94" t="str">
        <x:v>英国</x:v>
      </x:c>
      <x:c r="E512" s="94" t="str">
        <x:v>MSA-C22</x:v>
      </x:c>
      <x:c r="F512" s="94" t="str">
        <x:v>购物广告</x:v>
      </x:c>
      <x:c r="G512" s="94" t="str">
        <x:v>折扣商品</x:v>
      </x:c>
      <x:c r="H512" s="94" t="str">
        <x:v>移动端</x:v>
      </x:c>
      <x:c r="I512" s="94" t="str">
        <x:v>CPC</x:v>
      </x:c>
      <x:c r="J512" s="95" t="n">
        <x:v>878</x:v>
      </x:c>
      <x:c r="K512" s="96" t="n">
        <x:f>IFERROR(L512/J512,0)</x:f>
        <x:v>0.04783599088838269</x:v>
      </x:c>
      <x:c r="L512" s="95" t="n">
        <x:v>42</x:v>
      </x:c>
      <x:c r="M512" s="97" t="n">
        <x:v>0.2755</x:v>
      </x:c>
      <x:c r="N512" s="97" t="n">
        <x:f>ROUND(L512*M512,2)</x:f>
        <x:v>11.57</x:v>
      </x:c>
      <x:c r="O512" s="94" t="n">
        <x:v>7</x:v>
      </x:c>
      <x:c r="P512" s="94" t="str">
        <x:v>模拟：Google/Microsoft Ads采购导入</x:v>
      </x:c>
    </x:row>
    <x:row r="513">
      <x:c r="A513" s="92" t="str">
        <x:v>PROC-0512</x:v>
      </x:c>
      <x:c r="B513" s="93" t="n">
        <x:v>46115</x:v>
      </x:c>
      <x:c r="C513" s="94" t="str">
        <x:v>Microsoft Ads</x:v>
      </x:c>
      <x:c r="D513" s="94" t="str">
        <x:v>美国</x:v>
      </x:c>
      <x:c r="E513" s="94" t="str">
        <x:v>MSA-C05</x:v>
      </x:c>
      <x:c r="F513" s="94" t="str">
        <x:v>通用搜索</x:v>
      </x:c>
      <x:c r="G513" s="94" t="str">
        <x:v>热门新品</x:v>
      </x:c>
      <x:c r="H513" s="94" t="str">
        <x:v>移动端</x:v>
      </x:c>
      <x:c r="I513" s="94" t="str">
        <x:v>CPC</x:v>
      </x:c>
      <x:c r="J513" s="95" t="n">
        <x:v>782</x:v>
      </x:c>
      <x:c r="K513" s="96" t="n">
        <x:f>IFERROR(L513/J513,0)</x:f>
        <x:v>0.043478260869565216</x:v>
      </x:c>
      <x:c r="L513" s="95" t="n">
        <x:v>34</x:v>
      </x:c>
      <x:c r="M513" s="97" t="n">
        <x:v>0.2679</x:v>
      </x:c>
      <x:c r="N513" s="97" t="n">
        <x:f>ROUND(L513*M513,2)</x:f>
        <x:v>9.11</x:v>
      </x:c>
      <x:c r="O513" s="94" t="n">
        <x:v>7</x:v>
      </x:c>
      <x:c r="P513" s="94" t="str">
        <x:v>模拟：Google/Microsoft Ads采购导入</x:v>
      </x:c>
    </x:row>
    <x:row r="514">
      <x:c r="A514" s="92" t="str">
        <x:v>PROC-0513</x:v>
      </x:c>
      <x:c r="B514" s="93" t="n">
        <x:v>46115</x:v>
      </x:c>
      <x:c r="C514" s="94" t="str">
        <x:v>Microsoft Ads</x:v>
      </x:c>
      <x:c r="D514" s="94" t="str">
        <x:v>美国</x:v>
      </x:c>
      <x:c r="E514" s="94" t="str">
        <x:v>MSA-C11</x:v>
      </x:c>
      <x:c r="F514" s="94" t="str">
        <x:v>购物广告</x:v>
      </x:c>
      <x:c r="G514" s="94" t="str">
        <x:v>高评分商品</x:v>
      </x:c>
      <x:c r="H514" s="94" t="str">
        <x:v>移动端</x:v>
      </x:c>
      <x:c r="I514" s="94" t="str">
        <x:v>CPC</x:v>
      </x:c>
      <x:c r="J514" s="95" t="n">
        <x:v>1027</x:v>
      </x:c>
      <x:c r="K514" s="96" t="n">
        <x:f>IFERROR(L514/J514,0)</x:f>
        <x:v>0.04186952288218111</x:v>
      </x:c>
      <x:c r="L514" s="95" t="n">
        <x:v>43</x:v>
      </x:c>
      <x:c r="M514" s="97" t="n">
        <x:v>0.3193</x:v>
      </x:c>
      <x:c r="N514" s="97" t="n">
        <x:f>ROUND(L514*M514,2)</x:f>
        <x:v>13.73</x:v>
      </x:c>
      <x:c r="O514" s="94" t="n">
        <x:v>8</x:v>
      </x:c>
      <x:c r="P514" s="94" t="str">
        <x:v>模拟：Google/Microsoft Ads采购导入</x:v>
      </x:c>
    </x:row>
    <x:row r="515">
      <x:c r="A515" s="92" t="str">
        <x:v>PROC-0514</x:v>
      </x:c>
      <x:c r="B515" s="93" t="n">
        <x:v>46115</x:v>
      </x:c>
      <x:c r="C515" s="94" t="str">
        <x:v>Google Ads</x:v>
      </x:c>
      <x:c r="D515" s="94" t="str">
        <x:v>美国</x:v>
      </x:c>
      <x:c r="E515" s="94" t="str">
        <x:v>GGL-C19</x:v>
      </x:c>
      <x:c r="F515" s="94" t="str">
        <x:v>通用搜索</x:v>
      </x:c>
      <x:c r="G515" s="94" t="str">
        <x:v>高性价比商品</x:v>
      </x:c>
      <x:c r="H515" s="94" t="str">
        <x:v>移动端</x:v>
      </x:c>
      <x:c r="I515" s="94" t="str">
        <x:v>CPC</x:v>
      </x:c>
      <x:c r="J515" s="95" t="n">
        <x:v>1028</x:v>
      </x:c>
      <x:c r="K515" s="96" t="n">
        <x:f>IFERROR(L515/J515,0)</x:f>
        <x:v>0.0311284046692607</x:v>
      </x:c>
      <x:c r="L515" s="95" t="n">
        <x:v>32</x:v>
      </x:c>
      <x:c r="M515" s="97" t="n">
        <x:v>0.3642</x:v>
      </x:c>
      <x:c r="N515" s="97" t="n">
        <x:f>ROUND(L515*M515,2)</x:f>
        <x:v>11.65</x:v>
      </x:c>
      <x:c r="O515" s="94" t="n">
        <x:v>6</x:v>
      </x:c>
      <x:c r="P515" s="94" t="str">
        <x:v>模拟：Google/Microsoft Ads采购导入</x:v>
      </x:c>
    </x:row>
    <x:row r="516">
      <x:c r="A516" s="92" t="str">
        <x:v>PROC-0515</x:v>
      </x:c>
      <x:c r="B516" s="93" t="n">
        <x:v>46116</x:v>
      </x:c>
      <x:c r="C516" s="94" t="str">
        <x:v>Google Ads</x:v>
      </x:c>
      <x:c r="D516" s="94" t="str">
        <x:v>日本</x:v>
      </x:c>
      <x:c r="E516" s="94" t="str">
        <x:v>GGL-C03</x:v>
      </x:c>
      <x:c r="F516" s="94" t="str">
        <x:v>通用搜索</x:v>
      </x:c>
      <x:c r="G516" s="94" t="str">
        <x:v>家庭必备</x:v>
      </x:c>
      <x:c r="H516" s="94" t="str">
        <x:v>移动端</x:v>
      </x:c>
      <x:c r="I516" s="94" t="str">
        <x:v>CPC</x:v>
      </x:c>
      <x:c r="J516" s="95" t="n">
        <x:v>869</x:v>
      </x:c>
      <x:c r="K516" s="96" t="n">
        <x:f>IFERROR(L516/J516,0)</x:f>
        <x:v>0.0333716915995397</x:v>
      </x:c>
      <x:c r="L516" s="95" t="n">
        <x:v>29</x:v>
      </x:c>
      <x:c r="M516" s="97" t="n">
        <x:v>0.2788</x:v>
      </x:c>
      <x:c r="N516" s="97" t="n">
        <x:f>ROUND(L516*M516,2)</x:f>
        <x:v>8.09</x:v>
      </x:c>
      <x:c r="O516" s="94" t="n">
        <x:v>8</x:v>
      </x:c>
      <x:c r="P516" s="94" t="str">
        <x:v>模拟：Google/Microsoft Ads采购导入</x:v>
      </x:c>
    </x:row>
    <x:row r="517">
      <x:c r="A517" s="92" t="str">
        <x:v>PROC-0516</x:v>
      </x:c>
      <x:c r="B517" s="93" t="n">
        <x:v>46116</x:v>
      </x:c>
      <x:c r="C517" s="94" t="str">
        <x:v>Google Ads</x:v>
      </x:c>
      <x:c r="D517" s="94" t="str">
        <x:v>美国</x:v>
      </x:c>
      <x:c r="E517" s="94" t="str">
        <x:v>GGL-C10</x:v>
      </x:c>
      <x:c r="F517" s="94" t="str">
        <x:v>购物广告</x:v>
      </x:c>
      <x:c r="G517" s="94" t="str">
        <x:v>价格比较</x:v>
      </x:c>
      <x:c r="H517" s="94" t="str">
        <x:v>移动端</x:v>
      </x:c>
      <x:c r="I517" s="94" t="str">
        <x:v>CPC</x:v>
      </x:c>
      <x:c r="J517" s="95" t="n">
        <x:v>1292</x:v>
      </x:c>
      <x:c r="K517" s="96" t="n">
        <x:f>IFERROR(L517/J517,0)</x:f>
        <x:v>0.03715170278637771</x:v>
      </x:c>
      <x:c r="L517" s="95" t="n">
        <x:v>48</x:v>
      </x:c>
      <x:c r="M517" s="97" t="n">
        <x:v>0.4356</x:v>
      </x:c>
      <x:c r="N517" s="97" t="n">
        <x:f>ROUND(L517*M517,2)</x:f>
        <x:v>20.91</x:v>
      </x:c>
      <x:c r="O517" s="94" t="n">
        <x:v>7</x:v>
      </x:c>
      <x:c r="P517" s="94" t="str">
        <x:v>模拟：Google/Microsoft Ads采购导入</x:v>
      </x:c>
    </x:row>
    <x:row r="518">
      <x:c r="A518" s="92" t="str">
        <x:v>PROC-0517</x:v>
      </x:c>
      <x:c r="B518" s="93" t="n">
        <x:v>46116</x:v>
      </x:c>
      <x:c r="C518" s="94" t="str">
        <x:v>Google Ads</x:v>
      </x:c>
      <x:c r="D518" s="94" t="str">
        <x:v>德国</x:v>
      </x:c>
      <x:c r="E518" s="94" t="str">
        <x:v>GGL-C17</x:v>
      </x:c>
      <x:c r="F518" s="94" t="str">
        <x:v>竞品搜索</x:v>
      </x:c>
      <x:c r="G518" s="94" t="str">
        <x:v>同类产品对比</x:v>
      </x:c>
      <x:c r="H518" s="94" t="str">
        <x:v>移动端</x:v>
      </x:c>
      <x:c r="I518" s="94" t="str">
        <x:v>CPC</x:v>
      </x:c>
      <x:c r="J518" s="95" t="n">
        <x:v>755</x:v>
      </x:c>
      <x:c r="K518" s="96" t="n">
        <x:f>IFERROR(L518/J518,0)</x:f>
        <x:v>0.03443708609271523</x:v>
      </x:c>
      <x:c r="L518" s="95" t="n">
        <x:v>26</x:v>
      </x:c>
      <x:c r="M518" s="97" t="n">
        <x:v>0.3179</x:v>
      </x:c>
      <x:c r="N518" s="97" t="n">
        <x:f>ROUND(L518*M518,2)</x:f>
        <x:v>8.27</x:v>
      </x:c>
      <x:c r="O518" s="94" t="n">
        <x:v>6</x:v>
      </x:c>
      <x:c r="P518" s="94" t="str">
        <x:v>模拟：Google/Microsoft Ads采购导入</x:v>
      </x:c>
    </x:row>
    <x:row r="519">
      <x:c r="A519" s="92" t="str">
        <x:v>PROC-0518</x:v>
      </x:c>
      <x:c r="B519" s="93" t="n">
        <x:v>46116</x:v>
      </x:c>
      <x:c r="C519" s="94" t="str">
        <x:v>Microsoft Ads</x:v>
      </x:c>
      <x:c r="D519" s="94" t="str">
        <x:v>美国</x:v>
      </x:c>
      <x:c r="E519" s="94" t="str">
        <x:v>MSA-C24</x:v>
      </x:c>
      <x:c r="F519" s="94" t="str">
        <x:v>购物广告</x:v>
      </x:c>
      <x:c r="G519" s="94" t="str">
        <x:v>畅销商品</x:v>
      </x:c>
      <x:c r="H519" s="94" t="str">
        <x:v>移动端</x:v>
      </x:c>
      <x:c r="I519" s="94" t="str">
        <x:v>CPC</x:v>
      </x:c>
      <x:c r="J519" s="95" t="n">
        <x:v>1082</x:v>
      </x:c>
      <x:c r="K519" s="96" t="n">
        <x:f>IFERROR(L519/J519,0)</x:f>
        <x:v>0.04343807763401109</x:v>
      </x:c>
      <x:c r="L519" s="95" t="n">
        <x:v>47</x:v>
      </x:c>
      <x:c r="M519" s="97" t="n">
        <x:v>0.2777</x:v>
      </x:c>
      <x:c r="N519" s="97" t="n">
        <x:f>ROUND(L519*M519,2)</x:f>
        <x:v>13.05</x:v>
      </x:c>
      <x:c r="O519" s="94" t="n">
        <x:v>8</x:v>
      </x:c>
      <x:c r="P519" s="94" t="str">
        <x:v>模拟：Google/Microsoft Ads采购导入</x:v>
      </x:c>
    </x:row>
    <x:row r="520">
      <x:c r="A520" s="92" t="str">
        <x:v>PROC-0519</x:v>
      </x:c>
      <x:c r="B520" s="93" t="n">
        <x:v>46116</x:v>
      </x:c>
      <x:c r="C520" s="94" t="str">
        <x:v>Google Ads</x:v>
      </x:c>
      <x:c r="D520" s="94" t="str">
        <x:v>德国</x:v>
      </x:c>
      <x:c r="E520" s="94" t="str">
        <x:v>GGL-C07</x:v>
      </x:c>
      <x:c r="F520" s="94" t="str">
        <x:v>通用搜索</x:v>
      </x:c>
      <x:c r="G520" s="94" t="str">
        <x:v>高性价比商品</x:v>
      </x:c>
      <x:c r="H520" s="94" t="str">
        <x:v>桌面端</x:v>
      </x:c>
      <x:c r="I520" s="94" t="str">
        <x:v>CPC</x:v>
      </x:c>
      <x:c r="J520" s="95" t="n">
        <x:v>1054</x:v>
      </x:c>
      <x:c r="K520" s="96" t="n">
        <x:f>IFERROR(L520/J520,0)</x:f>
        <x:v>0.036053130929791274</x:v>
      </x:c>
      <x:c r="L520" s="95" t="n">
        <x:v>38</x:v>
      </x:c>
      <x:c r="M520" s="97" t="n">
        <x:v>0.2624</x:v>
      </x:c>
      <x:c r="N520" s="97" t="n">
        <x:f>ROUND(L520*M520,2)</x:f>
        <x:v>9.97</x:v>
      </x:c>
      <x:c r="O520" s="94" t="n">
        <x:v>8</x:v>
      </x:c>
      <x:c r="P520" s="94" t="str">
        <x:v>模拟：Google/Microsoft Ads采购导入</x:v>
      </x:c>
    </x:row>
    <x:row r="521">
      <x:c r="A521" s="92" t="str">
        <x:v>PROC-0520</x:v>
      </x:c>
      <x:c r="B521" s="93" t="n">
        <x:v>46116</x:v>
      </x:c>
      <x:c r="C521" s="94" t="str">
        <x:v>Microsoft Ads</x:v>
      </x:c>
      <x:c r="D521" s="94" t="str">
        <x:v>美国</x:v>
      </x:c>
      <x:c r="E521" s="94" t="str">
        <x:v>MSA-C13</x:v>
      </x:c>
      <x:c r="F521" s="94" t="str">
        <x:v>品牌搜索</x:v>
      </x:c>
      <x:c r="G521" s="94" t="str">
        <x:v>品牌购买词</x:v>
      </x:c>
      <x:c r="H521" s="94" t="str">
        <x:v>移动端</x:v>
      </x:c>
      <x:c r="I521" s="94" t="str">
        <x:v>CPC</x:v>
      </x:c>
      <x:c r="J521" s="95" t="n">
        <x:v>913</x:v>
      </x:c>
      <x:c r="K521" s="96" t="n">
        <x:f>IFERROR(L521/J521,0)</x:f>
        <x:v>0.07119386637458927</x:v>
      </x:c>
      <x:c r="L521" s="95" t="n">
        <x:v>65</x:v>
      </x:c>
      <x:c r="M521" s="97" t="n">
        <x:v>0.1956</x:v>
      </x:c>
      <x:c r="N521" s="97" t="n">
        <x:f>ROUND(L521*M521,2)</x:f>
        <x:v>12.71</x:v>
      </x:c>
      <x:c r="O521" s="94" t="n">
        <x:v>8</x:v>
      </x:c>
      <x:c r="P521" s="94" t="str">
        <x:v>模拟：Google/Microsoft Ads采购导入</x:v>
      </x:c>
    </x:row>
    <x:row r="522">
      <x:c r="A522" s="92" t="str">
        <x:v>PROC-0521</x:v>
      </x:c>
      <x:c r="B522" s="93" t="n">
        <x:v>46117</x:v>
      </x:c>
      <x:c r="C522" s="94" t="str">
        <x:v>Google Ads</x:v>
      </x:c>
      <x:c r="D522" s="94" t="str">
        <x:v>美国</x:v>
      </x:c>
      <x:c r="E522" s="94" t="str">
        <x:v>GGL-C17</x:v>
      </x:c>
      <x:c r="F522" s="94" t="str">
        <x:v>竞品搜索</x:v>
      </x:c>
      <x:c r="G522" s="94" t="str">
        <x:v>竞品评测</x:v>
      </x:c>
      <x:c r="H522" s="94" t="str">
        <x:v>移动端</x:v>
      </x:c>
      <x:c r="I522" s="94" t="str">
        <x:v>CPC</x:v>
      </x:c>
      <x:c r="J522" s="95" t="n">
        <x:v>566</x:v>
      </x:c>
      <x:c r="K522" s="96" t="n">
        <x:f>IFERROR(L522/J522,0)</x:f>
        <x:v>0.03180212014134275</x:v>
      </x:c>
      <x:c r="L522" s="95" t="n">
        <x:v>18</x:v>
      </x:c>
      <x:c r="M522" s="97" t="n">
        <x:v>0.4912</x:v>
      </x:c>
      <x:c r="N522" s="97" t="n">
        <x:f>ROUND(L522*M522,2)</x:f>
        <x:v>8.84</x:v>
      </x:c>
      <x:c r="O522" s="94" t="n">
        <x:v>7</x:v>
      </x:c>
      <x:c r="P522" s="94" t="str">
        <x:v>模拟：Google/Microsoft Ads采购导入</x:v>
      </x:c>
    </x:row>
    <x:row r="523">
      <x:c r="A523" s="92" t="str">
        <x:v>PROC-0522</x:v>
      </x:c>
      <x:c r="B523" s="93" t="n">
        <x:v>46117</x:v>
      </x:c>
      <x:c r="C523" s="94" t="str">
        <x:v>Google Ads</x:v>
      </x:c>
      <x:c r="D523" s="94" t="str">
        <x:v>美国</x:v>
      </x:c>
      <x:c r="E523" s="94" t="str">
        <x:v>GGL-C01</x:v>
      </x:c>
      <x:c r="F523" s="94" t="str">
        <x:v>竞品搜索</x:v>
      </x:c>
      <x:c r="G523" s="94" t="str">
        <x:v>同类产品对比</x:v>
      </x:c>
      <x:c r="H523" s="94" t="str">
        <x:v>移动端</x:v>
      </x:c>
      <x:c r="I523" s="94" t="str">
        <x:v>CPC</x:v>
      </x:c>
      <x:c r="J523" s="95" t="n">
        <x:v>707</x:v>
      </x:c>
      <x:c r="K523" s="96" t="n">
        <x:f>IFERROR(L523/J523,0)</x:f>
        <x:v>0.028288543140028287</x:v>
      </x:c>
      <x:c r="L523" s="95" t="n">
        <x:v>20</x:v>
      </x:c>
      <x:c r="M523" s="97" t="n">
        <x:v>0.4959</x:v>
      </x:c>
      <x:c r="N523" s="97" t="n">
        <x:f>ROUND(L523*M523,2)</x:f>
        <x:v>9.92</x:v>
      </x:c>
      <x:c r="O523" s="94" t="n">
        <x:v>8</x:v>
      </x:c>
      <x:c r="P523" s="94" t="str">
        <x:v>模拟：Google/Microsoft Ads采购导入</x:v>
      </x:c>
    </x:row>
    <x:row r="524">
      <x:c r="A524" s="92" t="str">
        <x:v>PROC-0523</x:v>
      </x:c>
      <x:c r="B524" s="93" t="n">
        <x:v>46117</x:v>
      </x:c>
      <x:c r="C524" s="94" t="str">
        <x:v>Google Ads</x:v>
      </x:c>
      <x:c r="D524" s="94" t="str">
        <x:v>日本</x:v>
      </x:c>
      <x:c r="E524" s="94" t="str">
        <x:v>GGL-C07</x:v>
      </x:c>
      <x:c r="F524" s="94" t="str">
        <x:v>竞品搜索</x:v>
      </x:c>
      <x:c r="G524" s="94" t="str">
        <x:v>同类产品对比</x:v>
      </x:c>
      <x:c r="H524" s="94" t="str">
        <x:v>移动端</x:v>
      </x:c>
      <x:c r="I524" s="94" t="str">
        <x:v>CPC</x:v>
      </x:c>
      <x:c r="J524" s="95" t="n">
        <x:v>519</x:v>
      </x:c>
      <x:c r="K524" s="96" t="n">
        <x:f>IFERROR(L524/J524,0)</x:f>
        <x:v>0.030828516377649325</x:v>
      </x:c>
      <x:c r="L524" s="95" t="n">
        <x:v>16</x:v>
      </x:c>
      <x:c r="M524" s="97" t="n">
        <x:v>0.3802</x:v>
      </x:c>
      <x:c r="N524" s="97" t="n">
        <x:f>ROUND(L524*M524,2)</x:f>
        <x:v>6.08</x:v>
      </x:c>
      <x:c r="O524" s="94" t="n">
        <x:v>8</x:v>
      </x:c>
      <x:c r="P524" s="94" t="str">
        <x:v>模拟：Google/Microsoft Ads采购导入</x:v>
      </x:c>
    </x:row>
    <x:row r="525">
      <x:c r="A525" s="92" t="str">
        <x:v>PROC-0524</x:v>
      </x:c>
      <x:c r="B525" s="93" t="n">
        <x:v>46117</x:v>
      </x:c>
      <x:c r="C525" s="94" t="str">
        <x:v>Microsoft Ads</x:v>
      </x:c>
      <x:c r="D525" s="94" t="str">
        <x:v>日本</x:v>
      </x:c>
      <x:c r="E525" s="94" t="str">
        <x:v>MSA-C15</x:v>
      </x:c>
      <x:c r="F525" s="94" t="str">
        <x:v>通用搜索</x:v>
      </x:c>
      <x:c r="G525" s="94" t="str">
        <x:v>专业精选</x:v>
      </x:c>
      <x:c r="H525" s="94" t="str">
        <x:v>移动端</x:v>
      </x:c>
      <x:c r="I525" s="94" t="str">
        <x:v>CPC</x:v>
      </x:c>
      <x:c r="J525" s="95" t="n">
        <x:v>1245</x:v>
      </x:c>
      <x:c r="K525" s="96" t="n">
        <x:f>IFERROR(L525/J525,0)</x:f>
        <x:v>0.03132530120481928</x:v>
      </x:c>
      <x:c r="L525" s="95" t="n">
        <x:v>39</x:v>
      </x:c>
      <x:c r="M525" s="97" t="n">
        <x:v>0.2043</x:v>
      </x:c>
      <x:c r="N525" s="97" t="n">
        <x:f>ROUND(L525*M525,2)</x:f>
        <x:v>7.97</x:v>
      </x:c>
      <x:c r="O525" s="94" t="n">
        <x:v>6</x:v>
      </x:c>
      <x:c r="P525" s="94" t="str">
        <x:v>模拟：Google/Microsoft Ads采购导入</x:v>
      </x:c>
    </x:row>
    <x:row r="526">
      <x:c r="A526" s="92" t="str">
        <x:v>PROC-0525</x:v>
      </x:c>
      <x:c r="B526" s="93" t="n">
        <x:v>46117</x:v>
      </x:c>
      <x:c r="C526" s="94" t="str">
        <x:v>Google Ads</x:v>
      </x:c>
      <x:c r="D526" s="94" t="str">
        <x:v>美国</x:v>
      </x:c>
      <x:c r="E526" s="94" t="str">
        <x:v>GGL-C22</x:v>
      </x:c>
      <x:c r="F526" s="94" t="str">
        <x:v>品牌搜索</x:v>
      </x:c>
      <x:c r="G526" s="94" t="str">
        <x:v>品牌优惠词</x:v>
      </x:c>
      <x:c r="H526" s="94" t="str">
        <x:v>移动端</x:v>
      </x:c>
      <x:c r="I526" s="94" t="str">
        <x:v>CPC</x:v>
      </x:c>
      <x:c r="J526" s="95" t="n">
        <x:v>1475</x:v>
      </x:c>
      <x:c r="K526" s="96" t="n">
        <x:f>IFERROR(L526/J526,0)</x:f>
        <x:v>0.06779661016949153</x:v>
      </x:c>
      <x:c r="L526" s="95" t="n">
        <x:v>100</x:v>
      </x:c>
      <x:c r="M526" s="97" t="n">
        <x:v>0.262</x:v>
      </x:c>
      <x:c r="N526" s="97" t="n">
        <x:f>ROUND(L526*M526,2)</x:f>
        <x:v>26.2</x:v>
      </x:c>
      <x:c r="O526" s="94" t="n">
        <x:v>9</x:v>
      </x:c>
      <x:c r="P526" s="94" t="str">
        <x:v>模拟：Google/Microsoft Ads采购导入</x:v>
      </x:c>
    </x:row>
    <x:row r="527">
      <x:c r="A527" s="92" t="str">
        <x:v>PROC-0526</x:v>
      </x:c>
      <x:c r="B527" s="93" t="n">
        <x:v>46118</x:v>
      </x:c>
      <x:c r="C527" s="94" t="str">
        <x:v>Google Ads</x:v>
      </x:c>
      <x:c r="D527" s="94" t="str">
        <x:v>德国</x:v>
      </x:c>
      <x:c r="E527" s="94" t="str">
        <x:v>GGL-C06</x:v>
      </x:c>
      <x:c r="F527" s="94" t="str">
        <x:v>购物广告</x:v>
      </x:c>
      <x:c r="G527" s="94" t="str">
        <x:v>折扣商品</x:v>
      </x:c>
      <x:c r="H527" s="94" t="str">
        <x:v>桌面端</x:v>
      </x:c>
      <x:c r="I527" s="94" t="str">
        <x:v>CPC</x:v>
      </x:c>
      <x:c r="J527" s="95" t="n">
        <x:v>1609</x:v>
      </x:c>
      <x:c r="K527" s="96" t="n">
        <x:f>IFERROR(L527/J527,0)</x:f>
        <x:v>0.03915475450590429</x:v>
      </x:c>
      <x:c r="L527" s="95" t="n">
        <x:v>63</x:v>
      </x:c>
      <x:c r="M527" s="97" t="n">
        <x:v>0.2885</x:v>
      </x:c>
      <x:c r="N527" s="97" t="n">
        <x:f>ROUND(L527*M527,2)</x:f>
        <x:v>18.18</x:v>
      </x:c>
      <x:c r="O527" s="94" t="n">
        <x:v>6</x:v>
      </x:c>
      <x:c r="P527" s="94" t="str">
        <x:v>模拟：Google/Microsoft Ads采购导入</x:v>
      </x:c>
    </x:row>
    <x:row r="528">
      <x:c r="A528" s="92" t="str">
        <x:v>PROC-0527</x:v>
      </x:c>
      <x:c r="B528" s="93" t="n">
        <x:v>46118</x:v>
      </x:c>
      <x:c r="C528" s="94" t="str">
        <x:v>Google Ads</x:v>
      </x:c>
      <x:c r="D528" s="94" t="str">
        <x:v>英国</x:v>
      </x:c>
      <x:c r="E528" s="94" t="str">
        <x:v>GGL-C14</x:v>
      </x:c>
      <x:c r="F528" s="94" t="str">
        <x:v>品牌搜索</x:v>
      </x:c>
      <x:c r="G528" s="94" t="str">
        <x:v>品牌购买词</x:v>
      </x:c>
      <x:c r="H528" s="94" t="str">
        <x:v>移动端</x:v>
      </x:c>
      <x:c r="I528" s="94" t="str">
        <x:v>CPC</x:v>
      </x:c>
      <x:c r="J528" s="95" t="n">
        <x:v>666</x:v>
      </x:c>
      <x:c r="K528" s="96" t="n">
        <x:f>IFERROR(L528/J528,0)</x:f>
        <x:v>0.06756756756756757</x:v>
      </x:c>
      <x:c r="L528" s="95" t="n">
        <x:v>45</x:v>
      </x:c>
      <x:c r="M528" s="97" t="n">
        <x:v>0.2138</x:v>
      </x:c>
      <x:c r="N528" s="97" t="n">
        <x:f>ROUND(L528*M528,2)</x:f>
        <x:v>9.62</x:v>
      </x:c>
      <x:c r="O528" s="94" t="n">
        <x:v>8</x:v>
      </x:c>
      <x:c r="P528" s="94" t="str">
        <x:v>模拟：Google/Microsoft Ads采购导入</x:v>
      </x:c>
    </x:row>
    <x:row r="529">
      <x:c r="A529" s="92" t="str">
        <x:v>PROC-0528</x:v>
      </x:c>
      <x:c r="B529" s="93" t="n">
        <x:v>46118</x:v>
      </x:c>
      <x:c r="C529" s="94" t="str">
        <x:v>Microsoft Ads</x:v>
      </x:c>
      <x:c r="D529" s="94" t="str">
        <x:v>美国</x:v>
      </x:c>
      <x:c r="E529" s="94" t="str">
        <x:v>MSA-C19</x:v>
      </x:c>
      <x:c r="F529" s="94" t="str">
        <x:v>购物广告</x:v>
      </x:c>
      <x:c r="G529" s="94" t="str">
        <x:v>价格比较</x:v>
      </x:c>
      <x:c r="H529" s="94" t="str">
        <x:v>桌面端</x:v>
      </x:c>
      <x:c r="I529" s="94" t="str">
        <x:v>CPC</x:v>
      </x:c>
      <x:c r="J529" s="95" t="n">
        <x:v>1236</x:v>
      </x:c>
      <x:c r="K529" s="96" t="n">
        <x:f>IFERROR(L529/J529,0)</x:f>
        <x:v>0.04692556634304207</x:v>
      </x:c>
      <x:c r="L529" s="95" t="n">
        <x:v>58</x:v>
      </x:c>
      <x:c r="M529" s="97" t="n">
        <x:v>0.2535</x:v>
      </x:c>
      <x:c r="N529" s="97" t="n">
        <x:f>ROUND(L529*M529,2)</x:f>
        <x:v>14.7</x:v>
      </x:c>
      <x:c r="O529" s="94" t="n">
        <x:v>6</x:v>
      </x:c>
      <x:c r="P529" s="94" t="str">
        <x:v>模拟：Google/Microsoft Ads采购导入</x:v>
      </x:c>
    </x:row>
    <x:row r="530">
      <x:c r="A530" s="92" t="str">
        <x:v>PROC-0529</x:v>
      </x:c>
      <x:c r="B530" s="93" t="n">
        <x:v>46118</x:v>
      </x:c>
      <x:c r="C530" s="94" t="str">
        <x:v>Microsoft Ads</x:v>
      </x:c>
      <x:c r="D530" s="94" t="str">
        <x:v>英国</x:v>
      </x:c>
      <x:c r="E530" s="94" t="str">
        <x:v>MSA-C04</x:v>
      </x:c>
      <x:c r="F530" s="94" t="str">
        <x:v>品牌搜索</x:v>
      </x:c>
      <x:c r="G530" s="94" t="str">
        <x:v>品牌评测词</x:v>
      </x:c>
      <x:c r="H530" s="94" t="str">
        <x:v>移动端</x:v>
      </x:c>
      <x:c r="I530" s="94" t="str">
        <x:v>CPC</x:v>
      </x:c>
      <x:c r="J530" s="95" t="n">
        <x:v>622</x:v>
      </x:c>
      <x:c r="K530" s="96" t="n">
        <x:f>IFERROR(L530/J530,0)</x:f>
        <x:v>0.06752411575562701</x:v>
      </x:c>
      <x:c r="L530" s="95" t="n">
        <x:v>42</x:v>
      </x:c>
      <x:c r="M530" s="97" t="n">
        <x:v>0.1967</x:v>
      </x:c>
      <x:c r="N530" s="97" t="n">
        <x:f>ROUND(L530*M530,2)</x:f>
        <x:v>8.26</x:v>
      </x:c>
      <x:c r="O530" s="94" t="n">
        <x:v>10</x:v>
      </x:c>
      <x:c r="P530" s="94" t="str">
        <x:v>模拟：Google/Microsoft Ads采购导入</x:v>
      </x:c>
    </x:row>
    <x:row r="531">
      <x:c r="A531" s="92" t="str">
        <x:v>PROC-0530</x:v>
      </x:c>
      <x:c r="B531" s="93" t="n">
        <x:v>46118</x:v>
      </x:c>
      <x:c r="C531" s="94" t="str">
        <x:v>Google Ads</x:v>
      </x:c>
      <x:c r="D531" s="94" t="str">
        <x:v>美国</x:v>
      </x:c>
      <x:c r="E531" s="94" t="str">
        <x:v>GGL-C09</x:v>
      </x:c>
      <x:c r="F531" s="94" t="str">
        <x:v>通用搜索</x:v>
      </x:c>
      <x:c r="G531" s="94" t="str">
        <x:v>热门新品</x:v>
      </x:c>
      <x:c r="H531" s="94" t="str">
        <x:v>移动端</x:v>
      </x:c>
      <x:c r="I531" s="94" t="str">
        <x:v>CPC</x:v>
      </x:c>
      <x:c r="J531" s="95" t="n">
        <x:v>1463</x:v>
      </x:c>
      <x:c r="K531" s="96" t="n">
        <x:f>IFERROR(L531/J531,0)</x:f>
        <x:v>0.039644565960355434</x:v>
      </x:c>
      <x:c r="L531" s="95" t="n">
        <x:v>58</x:v>
      </x:c>
      <x:c r="M531" s="97" t="n">
        <x:v>0.3043</x:v>
      </x:c>
      <x:c r="N531" s="97" t="n">
        <x:f>ROUND(L531*M531,2)</x:f>
        <x:v>17.65</x:v>
      </x:c>
      <x:c r="O531" s="94" t="n">
        <x:v>9</x:v>
      </x:c>
      <x:c r="P531" s="94" t="str">
        <x:v>模拟：Google/Microsoft Ads采购导入</x:v>
      </x:c>
    </x:row>
    <x:row r="532">
      <x:c r="A532" s="92" t="str">
        <x:v>PROC-0531</x:v>
      </x:c>
      <x:c r="B532" s="93" t="n">
        <x:v>46118</x:v>
      </x:c>
      <x:c r="C532" s="94" t="str">
        <x:v>Google Ads</x:v>
      </x:c>
      <x:c r="D532" s="94" t="str">
        <x:v>日本</x:v>
      </x:c>
      <x:c r="E532" s="94" t="str">
        <x:v>GGL-C16</x:v>
      </x:c>
      <x:c r="F532" s="94" t="str">
        <x:v>通用搜索</x:v>
      </x:c>
      <x:c r="G532" s="94" t="str">
        <x:v>实用礼物</x:v>
      </x:c>
      <x:c r="H532" s="94" t="str">
        <x:v>平板</x:v>
      </x:c>
      <x:c r="I532" s="94" t="str">
        <x:v>CPC</x:v>
      </x:c>
      <x:c r="J532" s="95" t="n">
        <x:v>824</x:v>
      </x:c>
      <x:c r="K532" s="96" t="n">
        <x:f>IFERROR(L532/J532,0)</x:f>
        <x:v>0.03398058252427184</x:v>
      </x:c>
      <x:c r="L532" s="95" t="n">
        <x:v>28</x:v>
      </x:c>
      <x:c r="M532" s="97" t="n">
        <x:v>0.2549</x:v>
      </x:c>
      <x:c r="N532" s="97" t="n">
        <x:f>ROUND(L532*M532,2)</x:f>
        <x:v>7.14</x:v>
      </x:c>
      <x:c r="O532" s="94" t="n">
        <x:v>8</x:v>
      </x:c>
      <x:c r="P532" s="94" t="str">
        <x:v>模拟：Google/Microsoft Ads采购导入</x:v>
      </x:c>
    </x:row>
    <x:row r="533">
      <x:c r="A533" s="92" t="str">
        <x:v>PROC-0532</x:v>
      </x:c>
      <x:c r="B533" s="93" t="n">
        <x:v>46119</x:v>
      </x:c>
      <x:c r="C533" s="94" t="str">
        <x:v>Google Ads</x:v>
      </x:c>
      <x:c r="D533" s="94" t="str">
        <x:v>美国</x:v>
      </x:c>
      <x:c r="E533" s="94" t="str">
        <x:v>GGL-C01</x:v>
      </x:c>
      <x:c r="F533" s="94" t="str">
        <x:v>竞品搜索</x:v>
      </x:c>
      <x:c r="G533" s="94" t="str">
        <x:v>替代品比较</x:v>
      </x:c>
      <x:c r="H533" s="94" t="str">
        <x:v>移动端</x:v>
      </x:c>
      <x:c r="I533" s="94" t="str">
        <x:v>CPC</x:v>
      </x:c>
      <x:c r="J533" s="95" t="n">
        <x:v>957</x:v>
      </x:c>
      <x:c r="K533" s="96" t="n">
        <x:f>IFERROR(L533/J533,0)</x:f>
        <x:v>0.027168234064785787</x:v>
      </x:c>
      <x:c r="L533" s="95" t="n">
        <x:v>26</x:v>
      </x:c>
      <x:c r="M533" s="97" t="n">
        <x:v>0.3828</x:v>
      </x:c>
      <x:c r="N533" s="97" t="n">
        <x:f>ROUND(L533*M533,2)</x:f>
        <x:v>9.95</x:v>
      </x:c>
      <x:c r="O533" s="94" t="n">
        <x:v>8</x:v>
      </x:c>
      <x:c r="P533" s="94" t="str">
        <x:v>模拟：Google/Microsoft Ads采购导入</x:v>
      </x:c>
    </x:row>
    <x:row r="534">
      <x:c r="A534" s="92" t="str">
        <x:v>PROC-0533</x:v>
      </x:c>
      <x:c r="B534" s="93" t="n">
        <x:v>46119</x:v>
      </x:c>
      <x:c r="C534" s="94" t="str">
        <x:v>Google Ads</x:v>
      </x:c>
      <x:c r="D534" s="94" t="str">
        <x:v>美国</x:v>
      </x:c>
      <x:c r="E534" s="94" t="str">
        <x:v>GGL-C07</x:v>
      </x:c>
      <x:c r="F534" s="94" t="str">
        <x:v>品牌搜索</x:v>
      </x:c>
      <x:c r="G534" s="94" t="str">
        <x:v>品牌型号词</x:v>
      </x:c>
      <x:c r="H534" s="94" t="str">
        <x:v>移动端</x:v>
      </x:c>
      <x:c r="I534" s="94" t="str">
        <x:v>CPC</x:v>
      </x:c>
      <x:c r="J534" s="95" t="n">
        <x:v>1334</x:v>
      </x:c>
      <x:c r="K534" s="96" t="n">
        <x:f>IFERROR(L534/J534,0)</x:f>
        <x:v>0.050974512743628186</x:v>
      </x:c>
      <x:c r="L534" s="95" t="n">
        <x:v>68</x:v>
      </x:c>
      <x:c r="M534" s="97" t="n">
        <x:v>0.2249</x:v>
      </x:c>
      <x:c r="N534" s="97" t="n">
        <x:f>ROUND(L534*M534,2)</x:f>
        <x:v>15.29</x:v>
      </x:c>
      <x:c r="O534" s="94" t="n">
        <x:v>9</x:v>
      </x:c>
      <x:c r="P534" s="94" t="str">
        <x:v>模拟：Google/Microsoft Ads采购导入</x:v>
      </x:c>
    </x:row>
    <x:row r="535">
      <x:c r="A535" s="92" t="str">
        <x:v>PROC-0534</x:v>
      </x:c>
      <x:c r="B535" s="93" t="n">
        <x:v>46119</x:v>
      </x:c>
      <x:c r="C535" s="94" t="str">
        <x:v>Google Ads</x:v>
      </x:c>
      <x:c r="D535" s="94" t="str">
        <x:v>美国</x:v>
      </x:c>
      <x:c r="E535" s="94" t="str">
        <x:v>GGL-C14</x:v>
      </x:c>
      <x:c r="F535" s="94" t="str">
        <x:v>通用搜索</x:v>
      </x:c>
      <x:c r="G535" s="94" t="str">
        <x:v>高性价比商品</x:v>
      </x:c>
      <x:c r="H535" s="94" t="str">
        <x:v>移动端</x:v>
      </x:c>
      <x:c r="I535" s="94" t="str">
        <x:v>CPC</x:v>
      </x:c>
      <x:c r="J535" s="95" t="n">
        <x:v>1124</x:v>
      </x:c>
      <x:c r="K535" s="96" t="n">
        <x:f>IFERROR(L535/J535,0)</x:f>
        <x:v>0.04181494661921708</x:v>
      </x:c>
      <x:c r="L535" s="95" t="n">
        <x:v>47</x:v>
      </x:c>
      <x:c r="M535" s="97" t="n">
        <x:v>0.3182</x:v>
      </x:c>
      <x:c r="N535" s="97" t="n">
        <x:f>ROUND(L535*M535,2)</x:f>
        <x:v>14.96</x:v>
      </x:c>
      <x:c r="O535" s="94" t="n">
        <x:v>6</x:v>
      </x:c>
      <x:c r="P535" s="94" t="str">
        <x:v>模拟：Google/Microsoft Ads采购导入</x:v>
      </x:c>
    </x:row>
    <x:row r="536">
      <x:c r="A536" s="92" t="str">
        <x:v>PROC-0535</x:v>
      </x:c>
      <x:c r="B536" s="93" t="n">
        <x:v>46119</x:v>
      </x:c>
      <x:c r="C536" s="94" t="str">
        <x:v>Google Ads</x:v>
      </x:c>
      <x:c r="D536" s="94" t="str">
        <x:v>美国</x:v>
      </x:c>
      <x:c r="E536" s="94" t="str">
        <x:v>GGL-C21</x:v>
      </x:c>
      <x:c r="F536" s="94" t="str">
        <x:v>竞品搜索</x:v>
      </x:c>
      <x:c r="G536" s="94" t="str">
        <x:v>替代品比较</x:v>
      </x:c>
      <x:c r="H536" s="94" t="str">
        <x:v>移动端</x:v>
      </x:c>
      <x:c r="I536" s="94" t="str">
        <x:v>CPC</x:v>
      </x:c>
      <x:c r="J536" s="95" t="n">
        <x:v>1016</x:v>
      </x:c>
      <x:c r="K536" s="96" t="n">
        <x:f>IFERROR(L536/J536,0)</x:f>
        <x:v>0.03641732283464567</x:v>
      </x:c>
      <x:c r="L536" s="95" t="n">
        <x:v>37</x:v>
      </x:c>
      <x:c r="M536" s="97" t="n">
        <x:v>0.3709</x:v>
      </x:c>
      <x:c r="N536" s="97" t="n">
        <x:f>ROUND(L536*M536,2)</x:f>
        <x:v>13.72</x:v>
      </x:c>
      <x:c r="O536" s="94" t="n">
        <x:v>8</x:v>
      </x:c>
      <x:c r="P536" s="94" t="str">
        <x:v>模拟：Google/Microsoft Ads采购导入</x:v>
      </x:c>
    </x:row>
    <x:row r="537">
      <x:c r="A537" s="92" t="str">
        <x:v>PROC-0536</x:v>
      </x:c>
      <x:c r="B537" s="93" t="n">
        <x:v>46119</x:v>
      </x:c>
      <x:c r="C537" s="94" t="str">
        <x:v>Microsoft Ads</x:v>
      </x:c>
      <x:c r="D537" s="94" t="str">
        <x:v>英国</x:v>
      </x:c>
      <x:c r="E537" s="94" t="str">
        <x:v>MSA-C05</x:v>
      </x:c>
      <x:c r="F537" s="94" t="str">
        <x:v>竞品搜索</x:v>
      </x:c>
      <x:c r="G537" s="94" t="str">
        <x:v>替代品比较</x:v>
      </x:c>
      <x:c r="H537" s="94" t="str">
        <x:v>移动端</x:v>
      </x:c>
      <x:c r="I537" s="94" t="str">
        <x:v>CPC</x:v>
      </x:c>
      <x:c r="J537" s="95" t="n">
        <x:v>568</x:v>
      </x:c>
      <x:c r="K537" s="96" t="n">
        <x:f>IFERROR(L537/J537,0)</x:f>
        <x:v>0.02992957746478873</x:v>
      </x:c>
      <x:c r="L537" s="95" t="n">
        <x:v>17</x:v>
      </x:c>
      <x:c r="M537" s="97" t="n">
        <x:v>0.3125</x:v>
      </x:c>
      <x:c r="N537" s="97" t="n">
        <x:f>ROUND(L537*M537,2)</x:f>
        <x:v>5.31</x:v>
      </x:c>
      <x:c r="O537" s="94" t="n">
        <x:v>8</x:v>
      </x:c>
      <x:c r="P537" s="94" t="str">
        <x:v>模拟：Google/Microsoft Ads采购导入</x:v>
      </x:c>
    </x:row>
    <x:row r="538">
      <x:c r="A538" s="92" t="str">
        <x:v>PROC-0537</x:v>
      </x:c>
      <x:c r="B538" s="93" t="n">
        <x:v>46120</x:v>
      </x:c>
      <x:c r="C538" s="94" t="str">
        <x:v>Microsoft Ads</x:v>
      </x:c>
      <x:c r="D538" s="94" t="str">
        <x:v>日本</x:v>
      </x:c>
      <x:c r="E538" s="94" t="str">
        <x:v>MSA-C09</x:v>
      </x:c>
      <x:c r="F538" s="94" t="str">
        <x:v>购物广告</x:v>
      </x:c>
      <x:c r="G538" s="94" t="str">
        <x:v>畅销商品</x:v>
      </x:c>
      <x:c r="H538" s="94" t="str">
        <x:v>移动端</x:v>
      </x:c>
      <x:c r="I538" s="94" t="str">
        <x:v>CPC</x:v>
      </x:c>
      <x:c r="J538" s="95" t="n">
        <x:v>1257</x:v>
      </x:c>
      <x:c r="K538" s="96" t="n">
        <x:f>IFERROR(L538/J538,0)</x:f>
        <x:v>0.049323786793953855</x:v>
      </x:c>
      <x:c r="L538" s="95" t="n">
        <x:v>62</x:v>
      </x:c>
      <x:c r="M538" s="97" t="n">
        <x:v>0.2516</x:v>
      </x:c>
      <x:c r="N538" s="97" t="n">
        <x:f>ROUND(L538*M538,2)</x:f>
        <x:v>15.6</x:v>
      </x:c>
      <x:c r="O538" s="94" t="n">
        <x:v>6</x:v>
      </x:c>
      <x:c r="P538" s="94" t="str">
        <x:v>模拟：Google/Microsoft Ads采购导入</x:v>
      </x:c>
    </x:row>
    <x:row r="539">
      <x:c r="A539" s="92" t="str">
        <x:v>PROC-0538</x:v>
      </x:c>
      <x:c r="B539" s="93" t="n">
        <x:v>46120</x:v>
      </x:c>
      <x:c r="C539" s="94" t="str">
        <x:v>Google Ads</x:v>
      </x:c>
      <x:c r="D539" s="94" t="str">
        <x:v>德国</x:v>
      </x:c>
      <x:c r="E539" s="94" t="str">
        <x:v>GGL-C19</x:v>
      </x:c>
      <x:c r="F539" s="94" t="str">
        <x:v>通用搜索</x:v>
      </x:c>
      <x:c r="G539" s="94" t="str">
        <x:v>热门新品</x:v>
      </x:c>
      <x:c r="H539" s="94" t="str">
        <x:v>桌面端</x:v>
      </x:c>
      <x:c r="I539" s="94" t="str">
        <x:v>CPC</x:v>
      </x:c>
      <x:c r="J539" s="95" t="n">
        <x:v>1333</x:v>
      </x:c>
      <x:c r="K539" s="96" t="n">
        <x:f>IFERROR(L539/J539,0)</x:f>
        <x:v>0.03900975243810953</x:v>
      </x:c>
      <x:c r="L539" s="95" t="n">
        <x:v>52</x:v>
      </x:c>
      <x:c r="M539" s="97" t="n">
        <x:v>0.2619</x:v>
      </x:c>
      <x:c r="N539" s="97" t="n">
        <x:f>ROUND(L539*M539,2)</x:f>
        <x:v>13.62</x:v>
      </x:c>
      <x:c r="O539" s="94" t="n">
        <x:v>6</x:v>
      </x:c>
      <x:c r="P539" s="94" t="str">
        <x:v>模拟：Google/Microsoft Ads采购导入</x:v>
      </x:c>
    </x:row>
    <x:row r="540">
      <x:c r="A540" s="92" t="str">
        <x:v>PROC-0539</x:v>
      </x:c>
      <x:c r="B540" s="93" t="n">
        <x:v>46120</x:v>
      </x:c>
      <x:c r="C540" s="94" t="str">
        <x:v>Microsoft Ads</x:v>
      </x:c>
      <x:c r="D540" s="94" t="str">
        <x:v>英国</x:v>
      </x:c>
      <x:c r="E540" s="94" t="str">
        <x:v>MSA-C02</x:v>
      </x:c>
      <x:c r="F540" s="94" t="str">
        <x:v>购物广告</x:v>
      </x:c>
      <x:c r="G540" s="94" t="str">
        <x:v>快速配送</x:v>
      </x:c>
      <x:c r="H540" s="94" t="str">
        <x:v>桌面端</x:v>
      </x:c>
      <x:c r="I540" s="94" t="str">
        <x:v>CPC</x:v>
      </x:c>
      <x:c r="J540" s="95" t="n">
        <x:v>1061</x:v>
      </x:c>
      <x:c r="K540" s="96" t="n">
        <x:f>IFERROR(L540/J540,0)</x:f>
        <x:v>0.0527803958529689</x:v>
      </x:c>
      <x:c r="L540" s="95" t="n">
        <x:v>56</x:v>
      </x:c>
      <x:c r="M540" s="97" t="n">
        <x:v>0.2142</x:v>
      </x:c>
      <x:c r="N540" s="97" t="n">
        <x:f>ROUND(L540*M540,2)</x:f>
        <x:v>12</x:v>
      </x:c>
      <x:c r="O540" s="94" t="n">
        <x:v>8</x:v>
      </x:c>
      <x:c r="P540" s="94" t="str">
        <x:v>模拟：Google/Microsoft Ads采购导入</x:v>
      </x:c>
    </x:row>
    <x:row r="541">
      <x:c r="A541" s="92" t="str">
        <x:v>PROC-0540</x:v>
      </x:c>
      <x:c r="B541" s="93" t="n">
        <x:v>46120</x:v>
      </x:c>
      <x:c r="C541" s="94" t="str">
        <x:v>Microsoft Ads</x:v>
      </x:c>
      <x:c r="D541" s="94" t="str">
        <x:v>德国</x:v>
      </x:c>
      <x:c r="E541" s="94" t="str">
        <x:v>MSA-C09</x:v>
      </x:c>
      <x:c r="F541" s="94" t="str">
        <x:v>竞品搜索</x:v>
      </x:c>
      <x:c r="G541" s="94" t="str">
        <x:v>替代品比较</x:v>
      </x:c>
      <x:c r="H541" s="94" t="str">
        <x:v>桌面端</x:v>
      </x:c>
      <x:c r="I541" s="94" t="str">
        <x:v>CPC</x:v>
      </x:c>
      <x:c r="J541" s="95" t="n">
        <x:v>713</x:v>
      </x:c>
      <x:c r="K541" s="96" t="n">
        <x:f>IFERROR(L541/J541,0)</x:f>
        <x:v>0.029453015427769985</x:v>
      </x:c>
      <x:c r="L541" s="95" t="n">
        <x:v>21</x:v>
      </x:c>
      <x:c r="M541" s="97" t="n">
        <x:v>0.3229</x:v>
      </x:c>
      <x:c r="N541" s="97" t="n">
        <x:f>ROUND(L541*M541,2)</x:f>
        <x:v>6.78</x:v>
      </x:c>
      <x:c r="O541" s="94" t="n">
        <x:v>6</x:v>
      </x:c>
      <x:c r="P541" s="94" t="str">
        <x:v>模拟：Google/Microsoft Ads采购导入</x:v>
      </x:c>
    </x:row>
    <x:row r="542">
      <x:c r="A542" s="92" t="str">
        <x:v>PROC-0541</x:v>
      </x:c>
      <x:c r="B542" s="93" t="n">
        <x:v>46120</x:v>
      </x:c>
      <x:c r="C542" s="94" t="str">
        <x:v>Google Ads</x:v>
      </x:c>
      <x:c r="D542" s="94" t="str">
        <x:v>英国</x:v>
      </x:c>
      <x:c r="E542" s="94" t="str">
        <x:v>GGL-C16</x:v>
      </x:c>
      <x:c r="F542" s="94" t="str">
        <x:v>购物广告</x:v>
      </x:c>
      <x:c r="G542" s="94" t="str">
        <x:v>价格比较</x:v>
      </x:c>
      <x:c r="H542" s="94" t="str">
        <x:v>移动端</x:v>
      </x:c>
      <x:c r="I542" s="94" t="str">
        <x:v>CPC</x:v>
      </x:c>
      <x:c r="J542" s="95" t="n">
        <x:v>807</x:v>
      </x:c>
      <x:c r="K542" s="96" t="n">
        <x:f>IFERROR(L542/J542,0)</x:f>
        <x:v>0.04708798017348203</x:v>
      </x:c>
      <x:c r="L542" s="95" t="n">
        <x:v>38</x:v>
      </x:c>
      <x:c r="M542" s="97" t="n">
        <x:v>0.3564</x:v>
      </x:c>
      <x:c r="N542" s="97" t="n">
        <x:f>ROUND(L542*M542,2)</x:f>
        <x:v>13.54</x:v>
      </x:c>
      <x:c r="O542" s="94" t="n">
        <x:v>7</x:v>
      </x:c>
      <x:c r="P542" s="94" t="str">
        <x:v>模拟：Google/Microsoft Ads采购导入</x:v>
      </x:c>
    </x:row>
    <x:row r="543">
      <x:c r="A543" s="92" t="str">
        <x:v>PROC-0542</x:v>
      </x:c>
      <x:c r="B543" s="93" t="n">
        <x:v>46120</x:v>
      </x:c>
      <x:c r="C543" s="94" t="str">
        <x:v>Google Ads</x:v>
      </x:c>
      <x:c r="D543" s="94" t="str">
        <x:v>英国</x:v>
      </x:c>
      <x:c r="E543" s="94" t="str">
        <x:v>GGL-C23</x:v>
      </x:c>
      <x:c r="F543" s="94" t="str">
        <x:v>通用搜索</x:v>
      </x:c>
      <x:c r="G543" s="94" t="str">
        <x:v>实用礼物</x:v>
      </x:c>
      <x:c r="H543" s="94" t="str">
        <x:v>移动端</x:v>
      </x:c>
      <x:c r="I543" s="94" t="str">
        <x:v>CPC</x:v>
      </x:c>
      <x:c r="J543" s="95" t="n">
        <x:v>1052</x:v>
      </x:c>
      <x:c r="K543" s="96" t="n">
        <x:f>IFERROR(L543/J543,0)</x:f>
        <x:v>0.04182509505703422</x:v>
      </x:c>
      <x:c r="L543" s="95" t="n">
        <x:v>44</x:v>
      </x:c>
      <x:c r="M543" s="97" t="n">
        <x:v>0.3067</x:v>
      </x:c>
      <x:c r="N543" s="97" t="n">
        <x:f>ROUND(L543*M543,2)</x:f>
        <x:v>13.49</x:v>
      </x:c>
      <x:c r="O543" s="94" t="n">
        <x:v>6</x:v>
      </x:c>
      <x:c r="P543" s="94" t="str">
        <x:v>模拟：Google/Microsoft Ads采购导入</x:v>
      </x:c>
    </x:row>
    <x:row r="544">
      <x:c r="A544" s="92" t="str">
        <x:v>PROC-0543</x:v>
      </x:c>
      <x:c r="B544" s="93" t="n">
        <x:v>46121</x:v>
      </x:c>
      <x:c r="C544" s="94" t="str">
        <x:v>Google Ads</x:v>
      </x:c>
      <x:c r="D544" s="94" t="str">
        <x:v>美国</x:v>
      </x:c>
      <x:c r="E544" s="94" t="str">
        <x:v>GGL-C06</x:v>
      </x:c>
      <x:c r="F544" s="94" t="str">
        <x:v>通用搜索</x:v>
      </x:c>
      <x:c r="G544" s="94" t="str">
        <x:v>热门新品</x:v>
      </x:c>
      <x:c r="H544" s="94" t="str">
        <x:v>移动端</x:v>
      </x:c>
      <x:c r="I544" s="94" t="str">
        <x:v>CPC</x:v>
      </x:c>
      <x:c r="J544" s="95" t="n">
        <x:v>1415</x:v>
      </x:c>
      <x:c r="K544" s="96" t="n">
        <x:f>IFERROR(L544/J544,0)</x:f>
        <x:v>0.03674911660777385</x:v>
      </x:c>
      <x:c r="L544" s="95" t="n">
        <x:v>52</x:v>
      </x:c>
      <x:c r="M544" s="97" t="n">
        <x:v>0.3335</x:v>
      </x:c>
      <x:c r="N544" s="97" t="n">
        <x:f>ROUND(L544*M544,2)</x:f>
        <x:v>17.34</x:v>
      </x:c>
      <x:c r="O544" s="94" t="n">
        <x:v>6</x:v>
      </x:c>
      <x:c r="P544" s="94" t="str">
        <x:v>模拟：Google/Microsoft Ads采购导入</x:v>
      </x:c>
    </x:row>
    <x:row r="545">
      <x:c r="A545" s="92" t="str">
        <x:v>PROC-0544</x:v>
      </x:c>
      <x:c r="B545" s="93" t="n">
        <x:v>46121</x:v>
      </x:c>
      <x:c r="C545" s="94" t="str">
        <x:v>Google Ads</x:v>
      </x:c>
      <x:c r="D545" s="94" t="str">
        <x:v>美国</x:v>
      </x:c>
      <x:c r="E545" s="94" t="str">
        <x:v>GGL-C14</x:v>
      </x:c>
      <x:c r="F545" s="94" t="str">
        <x:v>竞品搜索</x:v>
      </x:c>
      <x:c r="G545" s="94" t="str">
        <x:v>竞品评测</x:v>
      </x:c>
      <x:c r="H545" s="94" t="str">
        <x:v>移动端</x:v>
      </x:c>
      <x:c r="I545" s="94" t="str">
        <x:v>CPC</x:v>
      </x:c>
      <x:c r="J545" s="95" t="n">
        <x:v>790</x:v>
      </x:c>
      <x:c r="K545" s="96" t="n">
        <x:f>IFERROR(L545/J545,0)</x:f>
        <x:v>0.030379746835443037</x:v>
      </x:c>
      <x:c r="L545" s="95" t="n">
        <x:v>24</x:v>
      </x:c>
      <x:c r="M545" s="97" t="n">
        <x:v>0.3921</x:v>
      </x:c>
      <x:c r="N545" s="97" t="n">
        <x:f>ROUND(L545*M545,2)</x:f>
        <x:v>9.41</x:v>
      </x:c>
      <x:c r="O545" s="94" t="n">
        <x:v>6</x:v>
      </x:c>
      <x:c r="P545" s="94" t="str">
        <x:v>模拟：Google/Microsoft Ads采购导入</x:v>
      </x:c>
    </x:row>
    <x:row r="546">
      <x:c r="A546" s="92" t="str">
        <x:v>PROC-0545</x:v>
      </x:c>
      <x:c r="B546" s="93" t="n">
        <x:v>46121</x:v>
      </x:c>
      <x:c r="C546" s="94" t="str">
        <x:v>Microsoft Ads</x:v>
      </x:c>
      <x:c r="D546" s="94" t="str">
        <x:v>德国</x:v>
      </x:c>
      <x:c r="E546" s="94" t="str">
        <x:v>MSA-C19</x:v>
      </x:c>
      <x:c r="F546" s="94" t="str">
        <x:v>竞品搜索</x:v>
      </x:c>
      <x:c r="G546" s="94" t="str">
        <x:v>价格替代</x:v>
      </x:c>
      <x:c r="H546" s="94" t="str">
        <x:v>移动端</x:v>
      </x:c>
      <x:c r="I546" s="94" t="str">
        <x:v>CPC</x:v>
      </x:c>
      <x:c r="J546" s="95" t="n">
        <x:v>595</x:v>
      </x:c>
      <x:c r="K546" s="96" t="n">
        <x:f>IFERROR(L546/J546,0)</x:f>
        <x:v>0.02689075630252101</x:v>
      </x:c>
      <x:c r="L546" s="95" t="n">
        <x:v>16</x:v>
      </x:c>
      <x:c r="M546" s="97" t="n">
        <x:v>0.3075</x:v>
      </x:c>
      <x:c r="N546" s="97" t="n">
        <x:f>ROUND(L546*M546,2)</x:f>
        <x:v>4.92</x:v>
      </x:c>
      <x:c r="O546" s="94" t="n">
        <x:v>9</x:v>
      </x:c>
      <x:c r="P546" s="94" t="str">
        <x:v>模拟：Google/Microsoft Ads采购导入</x:v>
      </x:c>
    </x:row>
    <x:row r="547">
      <x:c r="A547" s="92" t="str">
        <x:v>PROC-0546</x:v>
      </x:c>
      <x:c r="B547" s="93" t="n">
        <x:v>46121</x:v>
      </x:c>
      <x:c r="C547" s="94" t="str">
        <x:v>Microsoft Ads</x:v>
      </x:c>
      <x:c r="D547" s="94" t="str">
        <x:v>美国</x:v>
      </x:c>
      <x:c r="E547" s="94" t="str">
        <x:v>MSA-C03</x:v>
      </x:c>
      <x:c r="F547" s="94" t="str">
        <x:v>通用搜索</x:v>
      </x:c>
      <x:c r="G547" s="94" t="str">
        <x:v>专业精选</x:v>
      </x:c>
      <x:c r="H547" s="94" t="str">
        <x:v>移动端</x:v>
      </x:c>
      <x:c r="I547" s="94" t="str">
        <x:v>CPC</x:v>
      </x:c>
      <x:c r="J547" s="95" t="n">
        <x:v>1452</x:v>
      </x:c>
      <x:c r="K547" s="96" t="n">
        <x:f>IFERROR(L547/J547,0)</x:f>
        <x:v>0.03512396694214876</x:v>
      </x:c>
      <x:c r="L547" s="95" t="n">
        <x:v>51</x:v>
      </x:c>
      <x:c r="M547" s="97" t="n">
        <x:v>0.2362</x:v>
      </x:c>
      <x:c r="N547" s="97" t="n">
        <x:f>ROUND(L547*M547,2)</x:f>
        <x:v>12.05</x:v>
      </x:c>
      <x:c r="O547" s="94" t="n">
        <x:v>6</x:v>
      </x:c>
      <x:c r="P547" s="94" t="str">
        <x:v>模拟：Google/Microsoft Ads采购导入</x:v>
      </x:c>
    </x:row>
    <x:row r="548">
      <x:c r="A548" s="92" t="str">
        <x:v>PROC-0547</x:v>
      </x:c>
      <x:c r="B548" s="93" t="n">
        <x:v>46121</x:v>
      </x:c>
      <x:c r="C548" s="94" t="str">
        <x:v>Microsoft Ads</x:v>
      </x:c>
      <x:c r="D548" s="94" t="str">
        <x:v>英国</x:v>
      </x:c>
      <x:c r="E548" s="94" t="str">
        <x:v>MSA-C08</x:v>
      </x:c>
      <x:c r="F548" s="94" t="str">
        <x:v>购物广告</x:v>
      </x:c>
      <x:c r="G548" s="94" t="str">
        <x:v>折扣商品</x:v>
      </x:c>
      <x:c r="H548" s="94" t="str">
        <x:v>移动端</x:v>
      </x:c>
      <x:c r="I548" s="94" t="str">
        <x:v>CPC</x:v>
      </x:c>
      <x:c r="J548" s="95" t="n">
        <x:v>1270</x:v>
      </x:c>
      <x:c r="K548" s="96" t="n">
        <x:f>IFERROR(L548/J548,0)</x:f>
        <x:v>0.05354330708661417</x:v>
      </x:c>
      <x:c r="L548" s="95" t="n">
        <x:v>68</x:v>
      </x:c>
      <x:c r="M548" s="97" t="n">
        <x:v>0.2318</x:v>
      </x:c>
      <x:c r="N548" s="97" t="n">
        <x:f>ROUND(L548*M548,2)</x:f>
        <x:v>15.76</x:v>
      </x:c>
      <x:c r="O548" s="94" t="n">
        <x:v>7</x:v>
      </x:c>
      <x:c r="P548" s="94" t="str">
        <x:v>模拟：Google/Microsoft Ads采购导入</x:v>
      </x:c>
    </x:row>
    <x:row r="549">
      <x:c r="A549" s="92" t="str">
        <x:v>PROC-0548</x:v>
      </x:c>
      <x:c r="B549" s="93" t="n">
        <x:v>46122</x:v>
      </x:c>
      <x:c r="C549" s="94" t="str">
        <x:v>Google Ads</x:v>
      </x:c>
      <x:c r="D549" s="94" t="str">
        <x:v>美国</x:v>
      </x:c>
      <x:c r="E549" s="94" t="str">
        <x:v>GGL-C14</x:v>
      </x:c>
      <x:c r="F549" s="94" t="str">
        <x:v>购物广告</x:v>
      </x:c>
      <x:c r="G549" s="94" t="str">
        <x:v>折扣商品</x:v>
      </x:c>
      <x:c r="H549" s="94" t="str">
        <x:v>移动端</x:v>
      </x:c>
      <x:c r="I549" s="94" t="str">
        <x:v>CPC</x:v>
      </x:c>
      <x:c r="J549" s="95" t="n">
        <x:v>1389</x:v>
      </x:c>
      <x:c r="K549" s="96" t="n">
        <x:f>IFERROR(L549/J549,0)</x:f>
        <x:v>0.05255579553635709</x:v>
      </x:c>
      <x:c r="L549" s="95" t="n">
        <x:v>73</x:v>
      </x:c>
      <x:c r="M549" s="97" t="n">
        <x:v>0.4017</x:v>
      </x:c>
      <x:c r="N549" s="97" t="n">
        <x:f>ROUND(L549*M549,2)</x:f>
        <x:v>29.32</x:v>
      </x:c>
      <x:c r="O549" s="94" t="n">
        <x:v>8</x:v>
      </x:c>
      <x:c r="P549" s="94" t="str">
        <x:v>模拟：Google/Microsoft Ads采购导入</x:v>
      </x:c>
    </x:row>
    <x:row r="550">
      <x:c r="A550" s="92" t="str">
        <x:v>PROC-0549</x:v>
      </x:c>
      <x:c r="B550" s="93" t="n">
        <x:v>46122</x:v>
      </x:c>
      <x:c r="C550" s="94" t="str">
        <x:v>Google Ads</x:v>
      </x:c>
      <x:c r="D550" s="94" t="str">
        <x:v>美国</x:v>
      </x:c>
      <x:c r="E550" s="94" t="str">
        <x:v>GGL-C01</x:v>
      </x:c>
      <x:c r="F550" s="94" t="str">
        <x:v>竞品搜索</x:v>
      </x:c>
      <x:c r="G550" s="94" t="str">
        <x:v>更优选择</x:v>
      </x:c>
      <x:c r="H550" s="94" t="str">
        <x:v>移动端</x:v>
      </x:c>
      <x:c r="I550" s="94" t="str">
        <x:v>CPC</x:v>
      </x:c>
      <x:c r="J550" s="95" t="n">
        <x:v>703</x:v>
      </x:c>
      <x:c r="K550" s="96" t="n">
        <x:f>IFERROR(L550/J550,0)</x:f>
        <x:v>0.031294452347083924</x:v>
      </x:c>
      <x:c r="L550" s="95" t="n">
        <x:v>22</x:v>
      </x:c>
      <x:c r="M550" s="97" t="n">
        <x:v>0.448</x:v>
      </x:c>
      <x:c r="N550" s="97" t="n">
        <x:f>ROUND(L550*M550,2)</x:f>
        <x:v>9.86</x:v>
      </x:c>
      <x:c r="O550" s="94" t="n">
        <x:v>6</x:v>
      </x:c>
      <x:c r="P550" s="94" t="str">
        <x:v>模拟：Google/Microsoft Ads采购导入</x:v>
      </x:c>
    </x:row>
    <x:row r="551">
      <x:c r="A551" s="92" t="str">
        <x:v>PROC-0550</x:v>
      </x:c>
      <x:c r="B551" s="93" t="n">
        <x:v>46122</x:v>
      </x:c>
      <x:c r="C551" s="94" t="str">
        <x:v>Google Ads</x:v>
      </x:c>
      <x:c r="D551" s="94" t="str">
        <x:v>德国</x:v>
      </x:c>
      <x:c r="E551" s="94" t="str">
        <x:v>GGL-C07</x:v>
      </x:c>
      <x:c r="F551" s="94" t="str">
        <x:v>通用搜索</x:v>
      </x:c>
      <x:c r="G551" s="94" t="str">
        <x:v>专业精选</x:v>
      </x:c>
      <x:c r="H551" s="94" t="str">
        <x:v>移动端</x:v>
      </x:c>
      <x:c r="I551" s="94" t="str">
        <x:v>CPC</x:v>
      </x:c>
      <x:c r="J551" s="95" t="n">
        <x:v>1433</x:v>
      </x:c>
      <x:c r="K551" s="96" t="n">
        <x:f>IFERROR(L551/J551,0)</x:f>
        <x:v>0.039078855547801813</x:v>
      </x:c>
      <x:c r="L551" s="95" t="n">
        <x:v>56</x:v>
      </x:c>
      <x:c r="M551" s="97" t="n">
        <x:v>0.2967</x:v>
      </x:c>
      <x:c r="N551" s="97" t="n">
        <x:f>ROUND(L551*M551,2)</x:f>
        <x:v>16.62</x:v>
      </x:c>
      <x:c r="O551" s="94" t="n">
        <x:v>8</x:v>
      </x:c>
      <x:c r="P551" s="94" t="str">
        <x:v>模拟：Google/Microsoft Ads采购导入</x:v>
      </x:c>
    </x:row>
    <x:row r="552">
      <x:c r="A552" s="92" t="str">
        <x:v>PROC-0551</x:v>
      </x:c>
      <x:c r="B552" s="93" t="n">
        <x:v>46122</x:v>
      </x:c>
      <x:c r="C552" s="94" t="str">
        <x:v>Microsoft Ads</x:v>
      </x:c>
      <x:c r="D552" s="94" t="str">
        <x:v>美国</x:v>
      </x:c>
      <x:c r="E552" s="94" t="str">
        <x:v>MSA-C12</x:v>
      </x:c>
      <x:c r="F552" s="94" t="str">
        <x:v>购物广告</x:v>
      </x:c>
      <x:c r="G552" s="94" t="str">
        <x:v>畅销商品</x:v>
      </x:c>
      <x:c r="H552" s="94" t="str">
        <x:v>桌面端</x:v>
      </x:c>
      <x:c r="I552" s="94" t="str">
        <x:v>CPC</x:v>
      </x:c>
      <x:c r="J552" s="95" t="n">
        <x:v>1374</x:v>
      </x:c>
      <x:c r="K552" s="96" t="n">
        <x:f>IFERROR(L552/J552,0)</x:f>
        <x:v>0.04585152838427948</x:v>
      </x:c>
      <x:c r="L552" s="95" t="n">
        <x:v>63</x:v>
      </x:c>
      <x:c r="M552" s="97" t="n">
        <x:v>0.2751</x:v>
      </x:c>
      <x:c r="N552" s="97" t="n">
        <x:f>ROUND(L552*M552,2)</x:f>
        <x:v>17.33</x:v>
      </x:c>
      <x:c r="O552" s="94" t="n">
        <x:v>6</x:v>
      </x:c>
      <x:c r="P552" s="94" t="str">
        <x:v>模拟：Google/Microsoft Ads采购导入</x:v>
      </x:c>
    </x:row>
    <x:row r="553">
      <x:c r="A553" s="92" t="str">
        <x:v>PROC-0552</x:v>
      </x:c>
      <x:c r="B553" s="93" t="n">
        <x:v>46122</x:v>
      </x:c>
      <x:c r="C553" s="94" t="str">
        <x:v>Microsoft Ads</x:v>
      </x:c>
      <x:c r="D553" s="94" t="str">
        <x:v>英国</x:v>
      </x:c>
      <x:c r="E553" s="94" t="str">
        <x:v>MSA-C20</x:v>
      </x:c>
      <x:c r="F553" s="94" t="str">
        <x:v>购物广告</x:v>
      </x:c>
      <x:c r="G553" s="94" t="str">
        <x:v>折扣商品</x:v>
      </x:c>
      <x:c r="H553" s="94" t="str">
        <x:v>桌面端</x:v>
      </x:c>
      <x:c r="I553" s="94" t="str">
        <x:v>CPC</x:v>
      </x:c>
      <x:c r="J553" s="95" t="n">
        <x:v>1337</x:v>
      </x:c>
      <x:c r="K553" s="96" t="n">
        <x:f>IFERROR(L553/J553,0)</x:f>
        <x:v>0.04487658937920718</x:v>
      </x:c>
      <x:c r="L553" s="95" t="n">
        <x:v>60</x:v>
      </x:c>
      <x:c r="M553" s="97" t="n">
        <x:v>0.2373</x:v>
      </x:c>
      <x:c r="N553" s="97" t="n">
        <x:f>ROUND(L553*M553,2)</x:f>
        <x:v>14.24</x:v>
      </x:c>
      <x:c r="O553" s="94" t="n">
        <x:v>9</x:v>
      </x:c>
      <x:c r="P553" s="94" t="str">
        <x:v>模拟：Google/Microsoft Ads采购导入</x:v>
      </x:c>
    </x:row>
    <x:row r="554">
      <x:c r="A554" s="92" t="str">
        <x:v>PROC-0553</x:v>
      </x:c>
      <x:c r="B554" s="93" t="n">
        <x:v>46122</x:v>
      </x:c>
      <x:c r="C554" s="94" t="str">
        <x:v>Google Ads</x:v>
      </x:c>
      <x:c r="D554" s="94" t="str">
        <x:v>美国</x:v>
      </x:c>
      <x:c r="E554" s="94" t="str">
        <x:v>GGL-C01</x:v>
      </x:c>
      <x:c r="F554" s="94" t="str">
        <x:v>通用搜索</x:v>
      </x:c>
      <x:c r="G554" s="94" t="str">
        <x:v>高性价比商品</x:v>
      </x:c>
      <x:c r="H554" s="94" t="str">
        <x:v>桌面端</x:v>
      </x:c>
      <x:c r="I554" s="94" t="str">
        <x:v>CPC</x:v>
      </x:c>
      <x:c r="J554" s="95" t="n">
        <x:v>1167</x:v>
      </x:c>
      <x:c r="K554" s="96" t="n">
        <x:f>IFERROR(L554/J554,0)</x:f>
        <x:v>0.031705227077977724</x:v>
      </x:c>
      <x:c r="L554" s="95" t="n">
        <x:v>37</x:v>
      </x:c>
      <x:c r="M554" s="97" t="n">
        <x:v>0.3683</x:v>
      </x:c>
      <x:c r="N554" s="97" t="n">
        <x:f>ROUND(L554*M554,2)</x:f>
        <x:v>13.63</x:v>
      </x:c>
      <x:c r="O554" s="94" t="n">
        <x:v>8</x:v>
      </x:c>
      <x:c r="P554" s="94" t="str">
        <x:v>模拟：Google/Microsoft Ads采购导入</x:v>
      </x:c>
    </x:row>
    <x:row r="555">
      <x:c r="A555" s="92" t="str">
        <x:v>PROC-0554</x:v>
      </x:c>
      <x:c r="B555" s="93" t="n">
        <x:v>46123</x:v>
      </x:c>
      <x:c r="C555" s="94" t="str">
        <x:v>Microsoft Ads</x:v>
      </x:c>
      <x:c r="D555" s="94" t="str">
        <x:v>英国</x:v>
      </x:c>
      <x:c r="E555" s="94" t="str">
        <x:v>MSA-C08</x:v>
      </x:c>
      <x:c r="F555" s="94" t="str">
        <x:v>购物广告</x:v>
      </x:c>
      <x:c r="G555" s="94" t="str">
        <x:v>高评分商品</x:v>
      </x:c>
      <x:c r="H555" s="94" t="str">
        <x:v>桌面端</x:v>
      </x:c>
      <x:c r="I555" s="94" t="str">
        <x:v>CPC</x:v>
      </x:c>
      <x:c r="J555" s="95" t="n">
        <x:v>1201</x:v>
      </x:c>
      <x:c r="K555" s="96" t="n">
        <x:f>IFERROR(L555/J555,0)</x:f>
        <x:v>0.044962531223980015</x:v>
      </x:c>
      <x:c r="L555" s="95" t="n">
        <x:v>54</x:v>
      </x:c>
      <x:c r="M555" s="97" t="n">
        <x:v>0.2764</x:v>
      </x:c>
      <x:c r="N555" s="97" t="n">
        <x:f>ROUND(L555*M555,2)</x:f>
        <x:v>14.93</x:v>
      </x:c>
      <x:c r="O555" s="94" t="n">
        <x:v>7</x:v>
      </x:c>
      <x:c r="P555" s="94" t="str">
        <x:v>模拟：Google/Microsoft Ads采购导入</x:v>
      </x:c>
    </x:row>
    <x:row r="556">
      <x:c r="A556" s="92" t="str">
        <x:v>PROC-0555</x:v>
      </x:c>
      <x:c r="B556" s="93" t="n">
        <x:v>46123</x:v>
      </x:c>
      <x:c r="C556" s="94" t="str">
        <x:v>Google Ads</x:v>
      </x:c>
      <x:c r="D556" s="94" t="str">
        <x:v>美国</x:v>
      </x:c>
      <x:c r="E556" s="94" t="str">
        <x:v>GGL-C18</x:v>
      </x:c>
      <x:c r="F556" s="94" t="str">
        <x:v>通用搜索</x:v>
      </x:c>
      <x:c r="G556" s="94" t="str">
        <x:v>专业精选</x:v>
      </x:c>
      <x:c r="H556" s="94" t="str">
        <x:v>移动端</x:v>
      </x:c>
      <x:c r="I556" s="94" t="str">
        <x:v>CPC</x:v>
      </x:c>
      <x:c r="J556" s="95" t="n">
        <x:v>809</x:v>
      </x:c>
      <x:c r="K556" s="96" t="n">
        <x:f>IFERROR(L556/J556,0)</x:f>
        <x:v>0.03337453646477132</x:v>
      </x:c>
      <x:c r="L556" s="95" t="n">
        <x:v>27</x:v>
      </x:c>
      <x:c r="M556" s="97" t="n">
        <x:v>0.3351</x:v>
      </x:c>
      <x:c r="N556" s="97" t="n">
        <x:f>ROUND(L556*M556,2)</x:f>
        <x:v>9.05</x:v>
      </x:c>
      <x:c r="O556" s="94" t="n">
        <x:v>7</x:v>
      </x:c>
      <x:c r="P556" s="94" t="str">
        <x:v>模拟：Google/Microsoft Ads采购导入</x:v>
      </x:c>
    </x:row>
    <x:row r="557">
      <x:c r="A557" s="92" t="str">
        <x:v>PROC-0556</x:v>
      </x:c>
      <x:c r="B557" s="93" t="n">
        <x:v>46123</x:v>
      </x:c>
      <x:c r="C557" s="94" t="str">
        <x:v>Microsoft Ads</x:v>
      </x:c>
      <x:c r="D557" s="94" t="str">
        <x:v>美国</x:v>
      </x:c>
      <x:c r="E557" s="94" t="str">
        <x:v>MSA-C01</x:v>
      </x:c>
      <x:c r="F557" s="94" t="str">
        <x:v>购物广告</x:v>
      </x:c>
      <x:c r="G557" s="94" t="str">
        <x:v>高评分商品</x:v>
      </x:c>
      <x:c r="H557" s="94" t="str">
        <x:v>桌面端</x:v>
      </x:c>
      <x:c r="I557" s="94" t="str">
        <x:v>CPC</x:v>
      </x:c>
      <x:c r="J557" s="95" t="n">
        <x:v>885</x:v>
      </x:c>
      <x:c r="K557" s="96" t="n">
        <x:f>IFERROR(L557/J557,0)</x:f>
        <x:v>0.04858757062146893</x:v>
      </x:c>
      <x:c r="L557" s="95" t="n">
        <x:v>43</x:v>
      </x:c>
      <x:c r="M557" s="97" t="n">
        <x:v>0.3086</x:v>
      </x:c>
      <x:c r="N557" s="97" t="n">
        <x:f>ROUND(L557*M557,2)</x:f>
        <x:v>13.27</x:v>
      </x:c>
      <x:c r="O557" s="94" t="n">
        <x:v>7</x:v>
      </x:c>
      <x:c r="P557" s="94" t="str">
        <x:v>模拟：Google/Microsoft Ads采购导入</x:v>
      </x:c>
    </x:row>
    <x:row r="558">
      <x:c r="A558" s="92" t="str">
        <x:v>PROC-0557</x:v>
      </x:c>
      <x:c r="B558" s="93" t="n">
        <x:v>46123</x:v>
      </x:c>
      <x:c r="C558" s="94" t="str">
        <x:v>Google Ads</x:v>
      </x:c>
      <x:c r="D558" s="94" t="str">
        <x:v>美国</x:v>
      </x:c>
      <x:c r="E558" s="94" t="str">
        <x:v>GGL-C05</x:v>
      </x:c>
      <x:c r="F558" s="94" t="str">
        <x:v>购物广告</x:v>
      </x:c>
      <x:c r="G558" s="94" t="str">
        <x:v>高评分商品</x:v>
      </x:c>
      <x:c r="H558" s="94" t="str">
        <x:v>移动端</x:v>
      </x:c>
      <x:c r="I558" s="94" t="str">
        <x:v>CPC</x:v>
      </x:c>
      <x:c r="J558" s="95" t="n">
        <x:v>1377</x:v>
      </x:c>
      <x:c r="K558" s="96" t="n">
        <x:f>IFERROR(L558/J558,0)</x:f>
        <x:v>0.042846768336964415</x:v>
      </x:c>
      <x:c r="L558" s="95" t="n">
        <x:v>59</x:v>
      </x:c>
      <x:c r="M558" s="97" t="n">
        <x:v>0.3378</x:v>
      </x:c>
      <x:c r="N558" s="97" t="n">
        <x:f>ROUND(L558*M558,2)</x:f>
        <x:v>19.93</x:v>
      </x:c>
      <x:c r="O558" s="94" t="n">
        <x:v>7</x:v>
      </x:c>
      <x:c r="P558" s="94" t="str">
        <x:v>模拟：Google/Microsoft Ads采购导入</x:v>
      </x:c>
    </x:row>
    <x:row r="559">
      <x:c r="A559" s="92" t="str">
        <x:v>PROC-0558</x:v>
      </x:c>
      <x:c r="B559" s="93" t="n">
        <x:v>46123</x:v>
      </x:c>
      <x:c r="C559" s="94" t="str">
        <x:v>Google Ads</x:v>
      </x:c>
      <x:c r="D559" s="94" t="str">
        <x:v>德国</x:v>
      </x:c>
      <x:c r="E559" s="94" t="str">
        <x:v>GGL-C16</x:v>
      </x:c>
      <x:c r="F559" s="94" t="str">
        <x:v>竞品搜索</x:v>
      </x:c>
      <x:c r="G559" s="94" t="str">
        <x:v>更优选择</x:v>
      </x:c>
      <x:c r="H559" s="94" t="str">
        <x:v>移动端</x:v>
      </x:c>
      <x:c r="I559" s="94" t="str">
        <x:v>CPC</x:v>
      </x:c>
      <x:c r="J559" s="95" t="n">
        <x:v>987</x:v>
      </x:c>
      <x:c r="K559" s="96" t="n">
        <x:f>IFERROR(L559/J559,0)</x:f>
        <x:v>0.028368794326241134</x:v>
      </x:c>
      <x:c r="L559" s="95" t="n">
        <x:v>28</x:v>
      </x:c>
      <x:c r="M559" s="97" t="n">
        <x:v>0.3637</x:v>
      </x:c>
      <x:c r="N559" s="97" t="n">
        <x:f>ROUND(L559*M559,2)</x:f>
        <x:v>10.18</x:v>
      </x:c>
      <x:c r="O559" s="94" t="n">
        <x:v>7</x:v>
      </x:c>
      <x:c r="P559" s="94" t="str">
        <x:v>模拟：Google/Microsoft Ads采购导入</x:v>
      </x:c>
    </x:row>
    <x:row r="560">
      <x:c r="A560" s="92" t="str">
        <x:v>PROC-0559</x:v>
      </x:c>
      <x:c r="B560" s="93" t="n">
        <x:v>46123</x:v>
      </x:c>
      <x:c r="C560" s="94" t="str">
        <x:v>Microsoft Ads</x:v>
      </x:c>
      <x:c r="D560" s="94" t="str">
        <x:v>英国</x:v>
      </x:c>
      <x:c r="E560" s="94" t="str">
        <x:v>MSA-C22</x:v>
      </x:c>
      <x:c r="F560" s="94" t="str">
        <x:v>品牌搜索</x:v>
      </x:c>
      <x:c r="G560" s="94" t="str">
        <x:v>品牌优惠词</x:v>
      </x:c>
      <x:c r="H560" s="94" t="str">
        <x:v>移动端</x:v>
      </x:c>
      <x:c r="I560" s="94" t="str">
        <x:v>CPC</x:v>
      </x:c>
      <x:c r="J560" s="95" t="n">
        <x:v>766</x:v>
      </x:c>
      <x:c r="K560" s="96" t="n">
        <x:f>IFERROR(L560/J560,0)</x:f>
        <x:v>0.07049608355091384</x:v>
      </x:c>
      <x:c r="L560" s="95" t="n">
        <x:v>54</x:v>
      </x:c>
      <x:c r="M560" s="97" t="n">
        <x:v>0.168</x:v>
      </x:c>
      <x:c r="N560" s="97" t="n">
        <x:f>ROUND(L560*M560,2)</x:f>
        <x:v>9.07</x:v>
      </x:c>
      <x:c r="O560" s="94" t="n">
        <x:v>7</x:v>
      </x:c>
      <x:c r="P560" s="94" t="str">
        <x:v>模拟：Google/Microsoft Ads采购导入</x:v>
      </x:c>
    </x:row>
    <x:row r="561">
      <x:c r="A561" s="92" t="str">
        <x:v>PROC-0560</x:v>
      </x:c>
      <x:c r="B561" s="93" t="n">
        <x:v>46124</x:v>
      </x:c>
      <x:c r="C561" s="94" t="str">
        <x:v>Google Ads</x:v>
      </x:c>
      <x:c r="D561" s="94" t="str">
        <x:v>美国</x:v>
      </x:c>
      <x:c r="E561" s="94" t="str">
        <x:v>GGL-C05</x:v>
      </x:c>
      <x:c r="F561" s="94" t="str">
        <x:v>通用搜索</x:v>
      </x:c>
      <x:c r="G561" s="94" t="str">
        <x:v>热门新品</x:v>
      </x:c>
      <x:c r="H561" s="94" t="str">
        <x:v>移动端</x:v>
      </x:c>
      <x:c r="I561" s="94" t="str">
        <x:v>CPC</x:v>
      </x:c>
      <x:c r="J561" s="95" t="n">
        <x:v>982</x:v>
      </x:c>
      <x:c r="K561" s="96" t="n">
        <x:f>IFERROR(L561/J561,0)</x:f>
        <x:v>0.031568228105906315</x:v>
      </x:c>
      <x:c r="L561" s="95" t="n">
        <x:v>31</x:v>
      </x:c>
      <x:c r="M561" s="97" t="n">
        <x:v>0.2855</x:v>
      </x:c>
      <x:c r="N561" s="97" t="n">
        <x:f>ROUND(L561*M561,2)</x:f>
        <x:v>8.85</x:v>
      </x:c>
      <x:c r="O561" s="94" t="n">
        <x:v>9</x:v>
      </x:c>
      <x:c r="P561" s="94" t="str">
        <x:v>模拟：Google/Microsoft Ads采购导入</x:v>
      </x:c>
    </x:row>
    <x:row r="562">
      <x:c r="A562" s="92" t="str">
        <x:v>PROC-0561</x:v>
      </x:c>
      <x:c r="B562" s="93" t="n">
        <x:v>46124</x:v>
      </x:c>
      <x:c r="C562" s="94" t="str">
        <x:v>Google Ads</x:v>
      </x:c>
      <x:c r="D562" s="94" t="str">
        <x:v>美国</x:v>
      </x:c>
      <x:c r="E562" s="94" t="str">
        <x:v>GGL-C09</x:v>
      </x:c>
      <x:c r="F562" s="94" t="str">
        <x:v>通用搜索</x:v>
      </x:c>
      <x:c r="G562" s="94" t="str">
        <x:v>热门新品</x:v>
      </x:c>
      <x:c r="H562" s="94" t="str">
        <x:v>移动端</x:v>
      </x:c>
      <x:c r="I562" s="94" t="str">
        <x:v>CPC</x:v>
      </x:c>
      <x:c r="J562" s="95" t="n">
        <x:v>1155</x:v>
      </x:c>
      <x:c r="K562" s="96" t="n">
        <x:f>IFERROR(L562/J562,0)</x:f>
        <x:v>0.032034632034632034</x:v>
      </x:c>
      <x:c r="L562" s="95" t="n">
        <x:v>37</x:v>
      </x:c>
      <x:c r="M562" s="97" t="n">
        <x:v>0.3725</x:v>
      </x:c>
      <x:c r="N562" s="97" t="n">
        <x:f>ROUND(L562*M562,2)</x:f>
        <x:v>13.78</x:v>
      </x:c>
      <x:c r="O562" s="94" t="n">
        <x:v>6</x:v>
      </x:c>
      <x:c r="P562" s="94" t="str">
        <x:v>模拟：Google/Microsoft Ads采购导入</x:v>
      </x:c>
    </x:row>
    <x:row r="563">
      <x:c r="A563" s="92" t="str">
        <x:v>PROC-0562</x:v>
      </x:c>
      <x:c r="B563" s="93" t="n">
        <x:v>46124</x:v>
      </x:c>
      <x:c r="C563" s="94" t="str">
        <x:v>Google Ads</x:v>
      </x:c>
      <x:c r="D563" s="94" t="str">
        <x:v>德国</x:v>
      </x:c>
      <x:c r="E563" s="94" t="str">
        <x:v>GGL-C17</x:v>
      </x:c>
      <x:c r="F563" s="94" t="str">
        <x:v>购物广告</x:v>
      </x:c>
      <x:c r="G563" s="94" t="str">
        <x:v>畅销商品</x:v>
      </x:c>
      <x:c r="H563" s="94" t="str">
        <x:v>桌面端</x:v>
      </x:c>
      <x:c r="I563" s="94" t="str">
        <x:v>CPC</x:v>
      </x:c>
      <x:c r="J563" s="95" t="n">
        <x:v>1481</x:v>
      </x:c>
      <x:c r="K563" s="96" t="n">
        <x:f>IFERROR(L563/J563,0)</x:f>
        <x:v>0.03646185010128292</x:v>
      </x:c>
      <x:c r="L563" s="95" t="n">
        <x:v>54</x:v>
      </x:c>
      <x:c r="M563" s="97" t="n">
        <x:v>0.2858</x:v>
      </x:c>
      <x:c r="N563" s="97" t="n">
        <x:f>ROUND(L563*M563,2)</x:f>
        <x:v>15.43</x:v>
      </x:c>
      <x:c r="O563" s="94" t="n">
        <x:v>6</x:v>
      </x:c>
      <x:c r="P563" s="94" t="str">
        <x:v>模拟：Google/Microsoft Ads采购导入</x:v>
      </x:c>
    </x:row>
    <x:row r="564">
      <x:c r="A564" s="92" t="str">
        <x:v>PROC-0563</x:v>
      </x:c>
      <x:c r="B564" s="93" t="n">
        <x:v>46124</x:v>
      </x:c>
      <x:c r="C564" s="94" t="str">
        <x:v>Microsoft Ads</x:v>
      </x:c>
      <x:c r="D564" s="94" t="str">
        <x:v>美国</x:v>
      </x:c>
      <x:c r="E564" s="94" t="str">
        <x:v>MSA-C03</x:v>
      </x:c>
      <x:c r="F564" s="94" t="str">
        <x:v>购物广告</x:v>
      </x:c>
      <x:c r="G564" s="94" t="str">
        <x:v>价格比较</x:v>
      </x:c>
      <x:c r="H564" s="94" t="str">
        <x:v>平板</x:v>
      </x:c>
      <x:c r="I564" s="94" t="str">
        <x:v>CPC</x:v>
      </x:c>
      <x:c r="J564" s="95" t="n">
        <x:v>1321</x:v>
      </x:c>
      <x:c r="K564" s="96" t="n">
        <x:f>IFERROR(L564/J564,0)</x:f>
        <x:v>0.03936411809235428</x:v>
      </x:c>
      <x:c r="L564" s="95" t="n">
        <x:v>52</x:v>
      </x:c>
      <x:c r="M564" s="97" t="n">
        <x:v>0.3114</x:v>
      </x:c>
      <x:c r="N564" s="97" t="n">
        <x:f>ROUND(L564*M564,2)</x:f>
        <x:v>16.19</x:v>
      </x:c>
      <x:c r="O564" s="94" t="n">
        <x:v>8</x:v>
      </x:c>
      <x:c r="P564" s="94" t="str">
        <x:v>模拟：Google/Microsoft Ads采购导入</x:v>
      </x:c>
    </x:row>
    <x:row r="565">
      <x:c r="A565" s="92" t="str">
        <x:v>PROC-0564</x:v>
      </x:c>
      <x:c r="B565" s="93" t="n">
        <x:v>46124</x:v>
      </x:c>
      <x:c r="C565" s="94" t="str">
        <x:v>Google Ads</x:v>
      </x:c>
      <x:c r="D565" s="94" t="str">
        <x:v>日本</x:v>
      </x:c>
      <x:c r="E565" s="94" t="str">
        <x:v>GGL-C06</x:v>
      </x:c>
      <x:c r="F565" s="94" t="str">
        <x:v>通用搜索</x:v>
      </x:c>
      <x:c r="G565" s="94" t="str">
        <x:v>实用礼物</x:v>
      </x:c>
      <x:c r="H565" s="94" t="str">
        <x:v>移动端</x:v>
      </x:c>
      <x:c r="I565" s="94" t="str">
        <x:v>CPC</x:v>
      </x:c>
      <x:c r="J565" s="95" t="n">
        <x:v>1337</x:v>
      </x:c>
      <x:c r="K565" s="96" t="n">
        <x:f>IFERROR(L565/J565,0)</x:f>
        <x:v>0.029917726252804786</x:v>
      </x:c>
      <x:c r="L565" s="95" t="n">
        <x:v>40</x:v>
      </x:c>
      <x:c r="M565" s="97" t="n">
        <x:v>0.2343</x:v>
      </x:c>
      <x:c r="N565" s="97" t="n">
        <x:f>ROUND(L565*M565,2)</x:f>
        <x:v>9.37</x:v>
      </x:c>
      <x:c r="O565" s="94" t="n">
        <x:v>8</x:v>
      </x:c>
      <x:c r="P565" s="94" t="str">
        <x:v>模拟：Google/Microsoft Ads采购导入</x:v>
      </x:c>
    </x:row>
    <x:row r="566">
      <x:c r="A566" s="92" t="str">
        <x:v>PROC-0565</x:v>
      </x:c>
      <x:c r="B566" s="93" t="n">
        <x:v>46125</x:v>
      </x:c>
      <x:c r="C566" s="94" t="str">
        <x:v>Microsoft Ads</x:v>
      </x:c>
      <x:c r="D566" s="94" t="str">
        <x:v>美国</x:v>
      </x:c>
      <x:c r="E566" s="94" t="str">
        <x:v>MSA-C17</x:v>
      </x:c>
      <x:c r="F566" s="94" t="str">
        <x:v>竞品搜索</x:v>
      </x:c>
      <x:c r="G566" s="94" t="str">
        <x:v>替代品比较</x:v>
      </x:c>
      <x:c r="H566" s="94" t="str">
        <x:v>移动端</x:v>
      </x:c>
      <x:c r="I566" s="94" t="str">
        <x:v>CPC</x:v>
      </x:c>
      <x:c r="J566" s="95" t="n">
        <x:v>1205</x:v>
      </x:c>
      <x:c r="K566" s="96" t="n">
        <x:f>IFERROR(L566/J566,0)</x:f>
        <x:v>0.02987551867219917</x:v>
      </x:c>
      <x:c r="L566" s="95" t="n">
        <x:v>36</x:v>
      </x:c>
      <x:c r="M566" s="97" t="n">
        <x:v>0.4027</x:v>
      </x:c>
      <x:c r="N566" s="97" t="n">
        <x:f>ROUND(L566*M566,2)</x:f>
        <x:v>14.5</x:v>
      </x:c>
      <x:c r="O566" s="94" t="n">
        <x:v>6</x:v>
      </x:c>
      <x:c r="P566" s="94" t="str">
        <x:v>模拟：Google/Microsoft Ads采购导入</x:v>
      </x:c>
    </x:row>
    <x:row r="567">
      <x:c r="A567" s="92" t="str">
        <x:v>PROC-0566</x:v>
      </x:c>
      <x:c r="B567" s="93" t="n">
        <x:v>46125</x:v>
      </x:c>
      <x:c r="C567" s="94" t="str">
        <x:v>Google Ads</x:v>
      </x:c>
      <x:c r="D567" s="94" t="str">
        <x:v>德国</x:v>
      </x:c>
      <x:c r="E567" s="94" t="str">
        <x:v>GGL-C20</x:v>
      </x:c>
      <x:c r="F567" s="94" t="str">
        <x:v>购物广告</x:v>
      </x:c>
      <x:c r="G567" s="94" t="str">
        <x:v>高评分商品</x:v>
      </x:c>
      <x:c r="H567" s="94" t="str">
        <x:v>移动端</x:v>
      </x:c>
      <x:c r="I567" s="94" t="str">
        <x:v>CPC</x:v>
      </x:c>
      <x:c r="J567" s="95" t="n">
        <x:v>1205</x:v>
      </x:c>
      <x:c r="K567" s="96" t="n">
        <x:f>IFERROR(L567/J567,0)</x:f>
        <x:v>0.03983402489626556</x:v>
      </x:c>
      <x:c r="L567" s="95" t="n">
        <x:v>48</x:v>
      </x:c>
      <x:c r="M567" s="97" t="n">
        <x:v>0.2551</x:v>
      </x:c>
      <x:c r="N567" s="97" t="n">
        <x:f>ROUND(L567*M567,2)</x:f>
        <x:v>12.24</x:v>
      </x:c>
      <x:c r="O567" s="94" t="n">
        <x:v>9</x:v>
      </x:c>
      <x:c r="P567" s="94" t="str">
        <x:v>模拟：Google/Microsoft Ads采购导入</x:v>
      </x:c>
    </x:row>
    <x:row r="568">
      <x:c r="A568" s="92" t="str">
        <x:v>PROC-0567</x:v>
      </x:c>
      <x:c r="B568" s="93" t="n">
        <x:v>46125</x:v>
      </x:c>
      <x:c r="C568" s="94" t="str">
        <x:v>Microsoft Ads</x:v>
      </x:c>
      <x:c r="D568" s="94" t="str">
        <x:v>德国</x:v>
      </x:c>
      <x:c r="E568" s="94" t="str">
        <x:v>MSA-C04</x:v>
      </x:c>
      <x:c r="F568" s="94" t="str">
        <x:v>品牌搜索</x:v>
      </x:c>
      <x:c r="G568" s="94" t="str">
        <x:v>品牌评测词</x:v>
      </x:c>
      <x:c r="H568" s="94" t="str">
        <x:v>移动端</x:v>
      </x:c>
      <x:c r="I568" s="94" t="str">
        <x:v>CPC</x:v>
      </x:c>
      <x:c r="J568" s="95" t="n">
        <x:v>1155</x:v>
      </x:c>
      <x:c r="K568" s="96" t="n">
        <x:f>IFERROR(L568/J568,0)</x:f>
        <x:v>0.05194805194805195</x:v>
      </x:c>
      <x:c r="L568" s="95" t="n">
        <x:v>60</x:v>
      </x:c>
      <x:c r="M568" s="97" t="n">
        <x:v>0.1654</x:v>
      </x:c>
      <x:c r="N568" s="97" t="n">
        <x:f>ROUND(L568*M568,2)</x:f>
        <x:v>9.92</x:v>
      </x:c>
      <x:c r="O568" s="94" t="n">
        <x:v>8</x:v>
      </x:c>
      <x:c r="P568" s="94" t="str">
        <x:v>模拟：Google/Microsoft Ads采购导入</x:v>
      </x:c>
    </x:row>
    <x:row r="569">
      <x:c r="A569" s="92" t="str">
        <x:v>PROC-0568</x:v>
      </x:c>
      <x:c r="B569" s="93" t="n">
        <x:v>46125</x:v>
      </x:c>
      <x:c r="C569" s="94" t="str">
        <x:v>Microsoft Ads</x:v>
      </x:c>
      <x:c r="D569" s="94" t="str">
        <x:v>英国</x:v>
      </x:c>
      <x:c r="E569" s="94" t="str">
        <x:v>MSA-C12</x:v>
      </x:c>
      <x:c r="F569" s="94" t="str">
        <x:v>通用搜索</x:v>
      </x:c>
      <x:c r="G569" s="94" t="str">
        <x:v>实用礼物</x:v>
      </x:c>
      <x:c r="H569" s="94" t="str">
        <x:v>平板</x:v>
      </x:c>
      <x:c r="I569" s="94" t="str">
        <x:v>CPC</x:v>
      </x:c>
      <x:c r="J569" s="95" t="n">
        <x:v>991</x:v>
      </x:c>
      <x:c r="K569" s="96" t="n">
        <x:f>IFERROR(L569/J569,0)</x:f>
        <x:v>0.03229061553985873</x:v>
      </x:c>
      <x:c r="L569" s="95" t="n">
        <x:v>32</x:v>
      </x:c>
      <x:c r="M569" s="97" t="n">
        <x:v>0.2412</x:v>
      </x:c>
      <x:c r="N569" s="97" t="n">
        <x:f>ROUND(L569*M569,2)</x:f>
        <x:v>7.72</x:v>
      </x:c>
      <x:c r="O569" s="94" t="n">
        <x:v>6</x:v>
      </x:c>
      <x:c r="P569" s="94" t="str">
        <x:v>模拟：Google/Microsoft Ads采购导入</x:v>
      </x:c>
    </x:row>
    <x:row r="570">
      <x:c r="A570" s="92" t="str">
        <x:v>PROC-0569</x:v>
      </x:c>
      <x:c r="B570" s="93" t="n">
        <x:v>46125</x:v>
      </x:c>
      <x:c r="C570" s="94" t="str">
        <x:v>Google Ads</x:v>
      </x:c>
      <x:c r="D570" s="94" t="str">
        <x:v>日本</x:v>
      </x:c>
      <x:c r="E570" s="94" t="str">
        <x:v>GGL-C21</x:v>
      </x:c>
      <x:c r="F570" s="94" t="str">
        <x:v>通用搜索</x:v>
      </x:c>
      <x:c r="G570" s="94" t="str">
        <x:v>实用礼物</x:v>
      </x:c>
      <x:c r="H570" s="94" t="str">
        <x:v>移动端</x:v>
      </x:c>
      <x:c r="I570" s="94" t="str">
        <x:v>CPC</x:v>
      </x:c>
      <x:c r="J570" s="95" t="n">
        <x:v>714</x:v>
      </x:c>
      <x:c r="K570" s="96" t="n">
        <x:f>IFERROR(L570/J570,0)</x:f>
        <x:v>0.0350140056022409</x:v>
      </x:c>
      <x:c r="L570" s="95" t="n">
        <x:v>25</x:v>
      </x:c>
      <x:c r="M570" s="97" t="n">
        <x:v>0.2633</x:v>
      </x:c>
      <x:c r="N570" s="97" t="n">
        <x:f>ROUND(L570*M570,2)</x:f>
        <x:v>6.58</x:v>
      </x:c>
      <x:c r="O570" s="94" t="n">
        <x:v>8</x:v>
      </x:c>
      <x:c r="P570" s="94" t="str">
        <x:v>模拟：Google/Microsoft Ads采购导入</x:v>
      </x:c>
    </x:row>
    <x:row r="571">
      <x:c r="A571" s="92" t="str">
        <x:v>PROC-0570</x:v>
      </x:c>
      <x:c r="B571" s="93" t="n">
        <x:v>46125</x:v>
      </x:c>
      <x:c r="C571" s="94" t="str">
        <x:v>Google Ads</x:v>
      </x:c>
      <x:c r="D571" s="94" t="str">
        <x:v>美国</x:v>
      </x:c>
      <x:c r="E571" s="94" t="str">
        <x:v>GGL-C02</x:v>
      </x:c>
      <x:c r="F571" s="94" t="str">
        <x:v>购物广告</x:v>
      </x:c>
      <x:c r="G571" s="94" t="str">
        <x:v>快速配送</x:v>
      </x:c>
      <x:c r="H571" s="94" t="str">
        <x:v>移动端</x:v>
      </x:c>
      <x:c r="I571" s="94" t="str">
        <x:v>CPC</x:v>
      </x:c>
      <x:c r="J571" s="95" t="n">
        <x:v>1596</x:v>
      </x:c>
      <x:c r="K571" s="96" t="n">
        <x:f>IFERROR(L571/J571,0)</x:f>
        <x:v>0.041979949874686714</x:v>
      </x:c>
      <x:c r="L571" s="95" t="n">
        <x:v>67</x:v>
      </x:c>
      <x:c r="M571" s="97" t="n">
        <x:v>0.4297</x:v>
      </x:c>
      <x:c r="N571" s="97" t="n">
        <x:f>ROUND(L571*M571,2)</x:f>
        <x:v>28.79</x:v>
      </x:c>
      <x:c r="O571" s="94" t="n">
        <x:v>8</x:v>
      </x:c>
      <x:c r="P571" s="94" t="str">
        <x:v>模拟：Google/Microsoft Ads采购导入</x:v>
      </x:c>
    </x:row>
    <x:row r="572">
      <x:c r="A572" s="92" t="str">
        <x:v>PROC-0571</x:v>
      </x:c>
      <x:c r="B572" s="93" t="n">
        <x:v>46126</x:v>
      </x:c>
      <x:c r="C572" s="94" t="str">
        <x:v>Microsoft Ads</x:v>
      </x:c>
      <x:c r="D572" s="94" t="str">
        <x:v>美国</x:v>
      </x:c>
      <x:c r="E572" s="94" t="str">
        <x:v>MSA-C08</x:v>
      </x:c>
      <x:c r="F572" s="94" t="str">
        <x:v>通用搜索</x:v>
      </x:c>
      <x:c r="G572" s="94" t="str">
        <x:v>家庭必备</x:v>
      </x:c>
      <x:c r="H572" s="94" t="str">
        <x:v>桌面端</x:v>
      </x:c>
      <x:c r="I572" s="94" t="str">
        <x:v>CPC</x:v>
      </x:c>
      <x:c r="J572" s="95" t="n">
        <x:v>897</x:v>
      </x:c>
      <x:c r="K572" s="96" t="n">
        <x:f>IFERROR(L572/J572,0)</x:f>
        <x:v>0.0379041248606466</x:v>
      </x:c>
      <x:c r="L572" s="95" t="n">
        <x:v>34</x:v>
      </x:c>
      <x:c r="M572" s="97" t="n">
        <x:v>0.2443</x:v>
      </x:c>
      <x:c r="N572" s="97" t="n">
        <x:f>ROUND(L572*M572,2)</x:f>
        <x:v>8.31</x:v>
      </x:c>
      <x:c r="O572" s="94" t="n">
        <x:v>8</x:v>
      </x:c>
      <x:c r="P572" s="94" t="str">
        <x:v>模拟：Google/Microsoft Ads采购导入</x:v>
      </x:c>
    </x:row>
    <x:row r="573">
      <x:c r="A573" s="92" t="str">
        <x:v>PROC-0572</x:v>
      </x:c>
      <x:c r="B573" s="93" t="n">
        <x:v>46126</x:v>
      </x:c>
      <x:c r="C573" s="94" t="str">
        <x:v>Microsoft Ads</x:v>
      </x:c>
      <x:c r="D573" s="94" t="str">
        <x:v>日本</x:v>
      </x:c>
      <x:c r="E573" s="94" t="str">
        <x:v>MSA-C18</x:v>
      </x:c>
      <x:c r="F573" s="94" t="str">
        <x:v>品牌搜索</x:v>
      </x:c>
      <x:c r="G573" s="94" t="str">
        <x:v>品牌型号词</x:v>
      </x:c>
      <x:c r="H573" s="94" t="str">
        <x:v>移动端</x:v>
      </x:c>
      <x:c r="I573" s="94" t="str">
        <x:v>CPC</x:v>
      </x:c>
      <x:c r="J573" s="95" t="n">
        <x:v>1015</x:v>
      </x:c>
      <x:c r="K573" s="96" t="n">
        <x:f>IFERROR(L573/J573,0)</x:f>
        <x:v>0.06305418719211822</x:v>
      </x:c>
      <x:c r="L573" s="95" t="n">
        <x:v>64</x:v>
      </x:c>
      <x:c r="M573" s="97" t="n">
        <x:v>0.1726</x:v>
      </x:c>
      <x:c r="N573" s="97" t="n">
        <x:f>ROUND(L573*M573,2)</x:f>
        <x:v>11.05</x:v>
      </x:c>
      <x:c r="O573" s="94" t="n">
        <x:v>8</x:v>
      </x:c>
      <x:c r="P573" s="94" t="str">
        <x:v>模拟：Google/Microsoft Ads采购导入</x:v>
      </x:c>
    </x:row>
    <x:row r="574">
      <x:c r="A574" s="92" t="str">
        <x:v>PROC-0573</x:v>
      </x:c>
      <x:c r="B574" s="93" t="n">
        <x:v>46126</x:v>
      </x:c>
      <x:c r="C574" s="94" t="str">
        <x:v>Google Ads</x:v>
      </x:c>
      <x:c r="D574" s="94" t="str">
        <x:v>美国</x:v>
      </x:c>
      <x:c r="E574" s="94" t="str">
        <x:v>GGL-C21</x:v>
      </x:c>
      <x:c r="F574" s="94" t="str">
        <x:v>竞品搜索</x:v>
      </x:c>
      <x:c r="G574" s="94" t="str">
        <x:v>替代品比较</x:v>
      </x:c>
      <x:c r="H574" s="94" t="str">
        <x:v>移动端</x:v>
      </x:c>
      <x:c r="I574" s="94" t="str">
        <x:v>CPC</x:v>
      </x:c>
      <x:c r="J574" s="95" t="n">
        <x:v>1062</x:v>
      </x:c>
      <x:c r="K574" s="96" t="n">
        <x:f>IFERROR(L574/J574,0)</x:f>
        <x:v>0.03295668549905838</x:v>
      </x:c>
      <x:c r="L574" s="95" t="n">
        <x:v>35</x:v>
      </x:c>
      <x:c r="M574" s="97" t="n">
        <x:v>0.3881</x:v>
      </x:c>
      <x:c r="N574" s="97" t="n">
        <x:f>ROUND(L574*M574,2)</x:f>
        <x:v>13.58</x:v>
      </x:c>
      <x:c r="O574" s="94" t="n">
        <x:v>6</x:v>
      </x:c>
      <x:c r="P574" s="94" t="str">
        <x:v>模拟：Google/Microsoft Ads采购导入</x:v>
      </x:c>
    </x:row>
    <x:row r="575">
      <x:c r="A575" s="92" t="str">
        <x:v>PROC-0574</x:v>
      </x:c>
      <x:c r="B575" s="93" t="n">
        <x:v>46126</x:v>
      </x:c>
      <x:c r="C575" s="94" t="str">
        <x:v>Microsoft Ads</x:v>
      </x:c>
      <x:c r="D575" s="94" t="str">
        <x:v>美国</x:v>
      </x:c>
      <x:c r="E575" s="94" t="str">
        <x:v>MSA-C07</x:v>
      </x:c>
      <x:c r="F575" s="94" t="str">
        <x:v>购物广告</x:v>
      </x:c>
      <x:c r="G575" s="94" t="str">
        <x:v>折扣商品</x:v>
      </x:c>
      <x:c r="H575" s="94" t="str">
        <x:v>桌面端</x:v>
      </x:c>
      <x:c r="I575" s="94" t="str">
        <x:v>CPC</x:v>
      </x:c>
      <x:c r="J575" s="95" t="n">
        <x:v>1591</x:v>
      </x:c>
      <x:c r="K575" s="96" t="n">
        <x:f>IFERROR(L575/J575,0)</x:f>
        <x:v>0.0502828409805154</x:v>
      </x:c>
      <x:c r="L575" s="95" t="n">
        <x:v>80</x:v>
      </x:c>
      <x:c r="M575" s="97" t="n">
        <x:v>0.2356</x:v>
      </x:c>
      <x:c r="N575" s="97" t="n">
        <x:f>ROUND(L575*M575,2)</x:f>
        <x:v>18.85</x:v>
      </x:c>
      <x:c r="O575" s="94" t="n">
        <x:v>9</x:v>
      </x:c>
      <x:c r="P575" s="94" t="str">
        <x:v>模拟：Google/Microsoft Ads采购导入</x:v>
      </x:c>
    </x:row>
    <x:row r="576">
      <x:c r="A576" s="92" t="str">
        <x:v>PROC-0575</x:v>
      </x:c>
      <x:c r="B576" s="93" t="n">
        <x:v>46126</x:v>
      </x:c>
      <x:c r="C576" s="94" t="str">
        <x:v>Google Ads</x:v>
      </x:c>
      <x:c r="D576" s="94" t="str">
        <x:v>英国</x:v>
      </x:c>
      <x:c r="E576" s="94" t="str">
        <x:v>GGL-C12</x:v>
      </x:c>
      <x:c r="F576" s="94" t="str">
        <x:v>通用搜索</x:v>
      </x:c>
      <x:c r="G576" s="94" t="str">
        <x:v>高性价比商品</x:v>
      </x:c>
      <x:c r="H576" s="94" t="str">
        <x:v>移动端</x:v>
      </x:c>
      <x:c r="I576" s="94" t="str">
        <x:v>CPC</x:v>
      </x:c>
      <x:c r="J576" s="95" t="n">
        <x:v>1009</x:v>
      </x:c>
      <x:c r="K576" s="96" t="n">
        <x:f>IFERROR(L576/J576,0)</x:f>
        <x:v>0.036669970267591674</x:v>
      </x:c>
      <x:c r="L576" s="95" t="n">
        <x:v>37</x:v>
      </x:c>
      <x:c r="M576" s="97" t="n">
        <x:v>0.2968</x:v>
      </x:c>
      <x:c r="N576" s="97" t="n">
        <x:f>ROUND(L576*M576,2)</x:f>
        <x:v>10.98</x:v>
      </x:c>
      <x:c r="O576" s="94" t="n">
        <x:v>7</x:v>
      </x:c>
      <x:c r="P576" s="94" t="str">
        <x:v>模拟：Google/Microsoft Ads采购导入</x:v>
      </x:c>
    </x:row>
    <x:row r="577">
      <x:c r="A577" s="92" t="str">
        <x:v>PROC-0576</x:v>
      </x:c>
      <x:c r="B577" s="93" t="n">
        <x:v>46127</x:v>
      </x:c>
      <x:c r="C577" s="94" t="str">
        <x:v>Google Ads</x:v>
      </x:c>
      <x:c r="D577" s="94" t="str">
        <x:v>美国</x:v>
      </x:c>
      <x:c r="E577" s="94" t="str">
        <x:v>GGL-C18</x:v>
      </x:c>
      <x:c r="F577" s="94" t="str">
        <x:v>购物广告</x:v>
      </x:c>
      <x:c r="G577" s="94" t="str">
        <x:v>高评分商品</x:v>
      </x:c>
      <x:c r="H577" s="94" t="str">
        <x:v>移动端</x:v>
      </x:c>
      <x:c r="I577" s="94" t="str">
        <x:v>CPC</x:v>
      </x:c>
      <x:c r="J577" s="95" t="n">
        <x:v>1248</x:v>
      </x:c>
      <x:c r="K577" s="96" t="n">
        <x:f>IFERROR(L577/J577,0)</x:f>
        <x:v>0.047275641025641024</x:v>
      </x:c>
      <x:c r="L577" s="95" t="n">
        <x:v>59</x:v>
      </x:c>
      <x:c r="M577" s="97" t="n">
        <x:v>0.3567</x:v>
      </x:c>
      <x:c r="N577" s="97" t="n">
        <x:f>ROUND(L577*M577,2)</x:f>
        <x:v>21.05</x:v>
      </x:c>
      <x:c r="O577" s="94" t="n">
        <x:v>7</x:v>
      </x:c>
      <x:c r="P577" s="94" t="str">
        <x:v>模拟：Google/Microsoft Ads采购导入</x:v>
      </x:c>
    </x:row>
    <x:row r="578">
      <x:c r="A578" s="92" t="str">
        <x:v>PROC-0577</x:v>
      </x:c>
      <x:c r="B578" s="93" t="n">
        <x:v>46127</x:v>
      </x:c>
      <x:c r="C578" s="94" t="str">
        <x:v>Microsoft Ads</x:v>
      </x:c>
      <x:c r="D578" s="94" t="str">
        <x:v>德国</x:v>
      </x:c>
      <x:c r="E578" s="94" t="str">
        <x:v>MSA-C04</x:v>
      </x:c>
      <x:c r="F578" s="94" t="str">
        <x:v>通用搜索</x:v>
      </x:c>
      <x:c r="G578" s="94" t="str">
        <x:v>实用礼物</x:v>
      </x:c>
      <x:c r="H578" s="94" t="str">
        <x:v>桌面端</x:v>
      </x:c>
      <x:c r="I578" s="94" t="str">
        <x:v>CPC</x:v>
      </x:c>
      <x:c r="J578" s="95" t="n">
        <x:v>977</x:v>
      </x:c>
      <x:c r="K578" s="96" t="n">
        <x:f>IFERROR(L578/J578,0)</x:f>
        <x:v>0.037871033776867964</x:v>
      </x:c>
      <x:c r="L578" s="95" t="n">
        <x:v>37</x:v>
      </x:c>
      <x:c r="M578" s="97" t="n">
        <x:v>0.2219</x:v>
      </x:c>
      <x:c r="N578" s="97" t="n">
        <x:f>ROUND(L578*M578,2)</x:f>
        <x:v>8.21</x:v>
      </x:c>
      <x:c r="O578" s="94" t="n">
        <x:v>8</x:v>
      </x:c>
      <x:c r="P578" s="94" t="str">
        <x:v>模拟：Google/Microsoft Ads采购导入</x:v>
      </x:c>
    </x:row>
    <x:row r="579">
      <x:c r="A579" s="92" t="str">
        <x:v>PROC-0578</x:v>
      </x:c>
      <x:c r="B579" s="93" t="n">
        <x:v>46127</x:v>
      </x:c>
      <x:c r="C579" s="94" t="str">
        <x:v>Google Ads</x:v>
      </x:c>
      <x:c r="D579" s="94" t="str">
        <x:v>美国</x:v>
      </x:c>
      <x:c r="E579" s="94" t="str">
        <x:v>GGL-C10</x:v>
      </x:c>
      <x:c r="F579" s="94" t="str">
        <x:v>通用搜索</x:v>
      </x:c>
      <x:c r="G579" s="94" t="str">
        <x:v>专业精选</x:v>
      </x:c>
      <x:c r="H579" s="94" t="str">
        <x:v>移动端</x:v>
      </x:c>
      <x:c r="I579" s="94" t="str">
        <x:v>CPC</x:v>
      </x:c>
      <x:c r="J579" s="95" t="n">
        <x:v>1086</x:v>
      </x:c>
      <x:c r="K579" s="96" t="n">
        <x:f>IFERROR(L579/J579,0)</x:f>
        <x:v>0.037753222836095765</x:v>
      </x:c>
      <x:c r="L579" s="95" t="n">
        <x:v>41</x:v>
      </x:c>
      <x:c r="M579" s="97" t="n">
        <x:v>0.3827</x:v>
      </x:c>
      <x:c r="N579" s="97" t="n">
        <x:f>ROUND(L579*M579,2)</x:f>
        <x:v>15.69</x:v>
      </x:c>
      <x:c r="O579" s="94" t="n">
        <x:v>6</x:v>
      </x:c>
      <x:c r="P579" s="94" t="str">
        <x:v>模拟：Google/Microsoft Ads采购导入</x:v>
      </x:c>
    </x:row>
    <x:row r="580">
      <x:c r="A580" s="92" t="str">
        <x:v>PROC-0579</x:v>
      </x:c>
      <x:c r="B580" s="93" t="n">
        <x:v>46127</x:v>
      </x:c>
      <x:c r="C580" s="94" t="str">
        <x:v>Google Ads</x:v>
      </x:c>
      <x:c r="D580" s="94" t="str">
        <x:v>日本</x:v>
      </x:c>
      <x:c r="E580" s="94" t="str">
        <x:v>GGL-C15</x:v>
      </x:c>
      <x:c r="F580" s="94" t="str">
        <x:v>竞品搜索</x:v>
      </x:c>
      <x:c r="G580" s="94" t="str">
        <x:v>替代品比较</x:v>
      </x:c>
      <x:c r="H580" s="94" t="str">
        <x:v>移动端</x:v>
      </x:c>
      <x:c r="I580" s="94" t="str">
        <x:v>CPC</x:v>
      </x:c>
      <x:c r="J580" s="95" t="n">
        <x:v>847</x:v>
      </x:c>
      <x:c r="K580" s="96" t="n">
        <x:f>IFERROR(L580/J580,0)</x:f>
        <x:v>0.02715466351829988</x:v>
      </x:c>
      <x:c r="L580" s="95" t="n">
        <x:v>23</x:v>
      </x:c>
      <x:c r="M580" s="97" t="n">
        <x:v>0.3196</x:v>
      </x:c>
      <x:c r="N580" s="97" t="n">
        <x:f>ROUND(L580*M580,2)</x:f>
        <x:v>7.35</x:v>
      </x:c>
      <x:c r="O580" s="94" t="n">
        <x:v>8</x:v>
      </x:c>
      <x:c r="P580" s="94" t="str">
        <x:v>模拟：Google/Microsoft Ads采购导入</x:v>
      </x:c>
    </x:row>
    <x:row r="581">
      <x:c r="A581" s="92" t="str">
        <x:v>PROC-0580</x:v>
      </x:c>
      <x:c r="B581" s="93" t="n">
        <x:v>46127</x:v>
      </x:c>
      <x:c r="C581" s="94" t="str">
        <x:v>Google Ads</x:v>
      </x:c>
      <x:c r="D581" s="94" t="str">
        <x:v>日本</x:v>
      </x:c>
      <x:c r="E581" s="94" t="str">
        <x:v>GGL-C22</x:v>
      </x:c>
      <x:c r="F581" s="94" t="str">
        <x:v>通用搜索</x:v>
      </x:c>
      <x:c r="G581" s="94" t="str">
        <x:v>高性价比商品</x:v>
      </x:c>
      <x:c r="H581" s="94" t="str">
        <x:v>桌面端</x:v>
      </x:c>
      <x:c r="I581" s="94" t="str">
        <x:v>CPC</x:v>
      </x:c>
      <x:c r="J581" s="95" t="n">
        <x:v>860</x:v>
      </x:c>
      <x:c r="K581" s="96" t="n">
        <x:f>IFERROR(L581/J581,0)</x:f>
        <x:v>0.037209302325581395</x:v>
      </x:c>
      <x:c r="L581" s="95" t="n">
        <x:v>32</x:v>
      </x:c>
      <x:c r="M581" s="97" t="n">
        <x:v>0.2667</x:v>
      </x:c>
      <x:c r="N581" s="97" t="n">
        <x:f>ROUND(L581*M581,2)</x:f>
        <x:v>8.53</x:v>
      </x:c>
      <x:c r="O581" s="94" t="n">
        <x:v>8</x:v>
      </x:c>
      <x:c r="P581" s="94" t="str">
        <x:v>模拟：Google/Microsoft Ads采购导入</x:v>
      </x:c>
    </x:row>
    <x:row r="582">
      <x:c r="A582" s="92" t="str">
        <x:v>PROC-0581</x:v>
      </x:c>
      <x:c r="B582" s="93" t="n">
        <x:v>46127</x:v>
      </x:c>
      <x:c r="C582" s="94" t="str">
        <x:v>Microsoft Ads</x:v>
      </x:c>
      <x:c r="D582" s="94" t="str">
        <x:v>德国</x:v>
      </x:c>
      <x:c r="E582" s="94" t="str">
        <x:v>MSA-C08</x:v>
      </x:c>
      <x:c r="F582" s="94" t="str">
        <x:v>品牌搜索</x:v>
      </x:c>
      <x:c r="G582" s="94" t="str">
        <x:v>品牌优惠词</x:v>
      </x:c>
      <x:c r="H582" s="94" t="str">
        <x:v>移动端</x:v>
      </x:c>
      <x:c r="I582" s="94" t="str">
        <x:v>CPC</x:v>
      </x:c>
      <x:c r="J582" s="95" t="n">
        <x:v>1301</x:v>
      </x:c>
      <x:c r="K582" s="96" t="n">
        <x:f>IFERROR(L582/J582,0)</x:f>
        <x:v>0.05918524212144504</x:v>
      </x:c>
      <x:c r="L582" s="95" t="n">
        <x:v>77</x:v>
      </x:c>
      <x:c r="M582" s="97" t="n">
        <x:v>0.176</x:v>
      </x:c>
      <x:c r="N582" s="97" t="n">
        <x:f>ROUND(L582*M582,2)</x:f>
        <x:v>13.55</x:v>
      </x:c>
      <x:c r="O582" s="94" t="n">
        <x:v>9</x:v>
      </x:c>
      <x:c r="P582" s="94" t="str">
        <x:v>模拟：Google/Microsoft Ads采购导入</x:v>
      </x:c>
    </x:row>
    <x:row r="583">
      <x:c r="A583" s="92" t="str">
        <x:v>PROC-0582</x:v>
      </x:c>
      <x:c r="B583" s="93" t="n">
        <x:v>46128</x:v>
      </x:c>
      <x:c r="C583" s="94" t="str">
        <x:v>Google Ads</x:v>
      </x:c>
      <x:c r="D583" s="94" t="str">
        <x:v>日本</x:v>
      </x:c>
      <x:c r="E583" s="94" t="str">
        <x:v>GGL-C16</x:v>
      </x:c>
      <x:c r="F583" s="94" t="str">
        <x:v>品牌搜索</x:v>
      </x:c>
      <x:c r="G583" s="94" t="str">
        <x:v>品牌购买词</x:v>
      </x:c>
      <x:c r="H583" s="94" t="str">
        <x:v>桌面端</x:v>
      </x:c>
      <x:c r="I583" s="94" t="str">
        <x:v>CPC</x:v>
      </x:c>
      <x:c r="J583" s="95" t="n">
        <x:v>993</x:v>
      </x:c>
      <x:c r="K583" s="96" t="n">
        <x:f>IFERROR(L583/J583,0)</x:f>
        <x:v>0.044310171198388724</x:v>
      </x:c>
      <x:c r="L583" s="95" t="n">
        <x:v>44</x:v>
      </x:c>
      <x:c r="M583" s="97" t="n">
        <x:v>0.1899</x:v>
      </x:c>
      <x:c r="N583" s="97" t="n">
        <x:f>ROUND(L583*M583,2)</x:f>
        <x:v>8.36</x:v>
      </x:c>
      <x:c r="O583" s="94" t="n">
        <x:v>9</x:v>
      </x:c>
      <x:c r="P583" s="94" t="str">
        <x:v>模拟：Google/Microsoft Ads采购导入</x:v>
      </x:c>
    </x:row>
    <x:row r="584">
      <x:c r="A584" s="92" t="str">
        <x:v>PROC-0583</x:v>
      </x:c>
      <x:c r="B584" s="93" t="n">
        <x:v>46128</x:v>
      </x:c>
      <x:c r="C584" s="94" t="str">
        <x:v>Google Ads</x:v>
      </x:c>
      <x:c r="D584" s="94" t="str">
        <x:v>美国</x:v>
      </x:c>
      <x:c r="E584" s="94" t="str">
        <x:v>GGL-C20</x:v>
      </x:c>
      <x:c r="F584" s="94" t="str">
        <x:v>购物广告</x:v>
      </x:c>
      <x:c r="G584" s="94" t="str">
        <x:v>高评分商品</x:v>
      </x:c>
      <x:c r="H584" s="94" t="str">
        <x:v>移动端</x:v>
      </x:c>
      <x:c r="I584" s="94" t="str">
        <x:v>CPC</x:v>
      </x:c>
      <x:c r="J584" s="95" t="n">
        <x:v>1519</x:v>
      </x:c>
      <x:c r="K584" s="96" t="n">
        <x:f>IFERROR(L584/J584,0)</x:f>
        <x:v>0.04739960500329164</x:v>
      </x:c>
      <x:c r="L584" s="95" t="n">
        <x:v>72</x:v>
      </x:c>
      <x:c r="M584" s="97" t="n">
        <x:v>0.4046</x:v>
      </x:c>
      <x:c r="N584" s="97" t="n">
        <x:f>ROUND(L584*M584,2)</x:f>
        <x:v>29.13</x:v>
      </x:c>
      <x:c r="O584" s="94" t="n">
        <x:v>9</x:v>
      </x:c>
      <x:c r="P584" s="94" t="str">
        <x:v>模拟：Google/Microsoft Ads采购导入</x:v>
      </x:c>
    </x:row>
    <x:row r="585">
      <x:c r="A585" s="92" t="str">
        <x:v>PROC-0584</x:v>
      </x:c>
      <x:c r="B585" s="93" t="n">
        <x:v>46128</x:v>
      </x:c>
      <x:c r="C585" s="94" t="str">
        <x:v>Microsoft Ads</x:v>
      </x:c>
      <x:c r="D585" s="94" t="str">
        <x:v>美国</x:v>
      </x:c>
      <x:c r="E585" s="94" t="str">
        <x:v>MSA-C04</x:v>
      </x:c>
      <x:c r="F585" s="94" t="str">
        <x:v>购物广告</x:v>
      </x:c>
      <x:c r="G585" s="94" t="str">
        <x:v>快速配送</x:v>
      </x:c>
      <x:c r="H585" s="94" t="str">
        <x:v>平板</x:v>
      </x:c>
      <x:c r="I585" s="94" t="str">
        <x:v>CPC</x:v>
      </x:c>
      <x:c r="J585" s="95" t="n">
        <x:v>1611</x:v>
      </x:c>
      <x:c r="K585" s="96" t="n">
        <x:f>IFERROR(L585/J585,0)</x:f>
        <x:v>0.040968342644320296</x:v>
      </x:c>
      <x:c r="L585" s="95" t="n">
        <x:v>66</x:v>
      </x:c>
      <x:c r="M585" s="97" t="n">
        <x:v>0.2644</x:v>
      </x:c>
      <x:c r="N585" s="97" t="n">
        <x:f>ROUND(L585*M585,2)</x:f>
        <x:v>17.45</x:v>
      </x:c>
      <x:c r="O585" s="94" t="n">
        <x:v>9</x:v>
      </x:c>
      <x:c r="P585" s="94" t="str">
        <x:v>模拟：Google/Microsoft Ads采购导入</x:v>
      </x:c>
    </x:row>
    <x:row r="586">
      <x:c r="A586" s="92" t="str">
        <x:v>PROC-0585</x:v>
      </x:c>
      <x:c r="B586" s="93" t="n">
        <x:v>46128</x:v>
      </x:c>
      <x:c r="C586" s="94" t="str">
        <x:v>Microsoft Ads</x:v>
      </x:c>
      <x:c r="D586" s="94" t="str">
        <x:v>德国</x:v>
      </x:c>
      <x:c r="E586" s="94" t="str">
        <x:v>MSA-C13</x:v>
      </x:c>
      <x:c r="F586" s="94" t="str">
        <x:v>通用搜索</x:v>
      </x:c>
      <x:c r="G586" s="94" t="str">
        <x:v>家庭必备</x:v>
      </x:c>
      <x:c r="H586" s="94" t="str">
        <x:v>移动端</x:v>
      </x:c>
      <x:c r="I586" s="94" t="str">
        <x:v>CPC</x:v>
      </x:c>
      <x:c r="J586" s="95" t="n">
        <x:v>1277</x:v>
      </x:c>
      <x:c r="K586" s="96" t="n">
        <x:f>IFERROR(L586/J586,0)</x:f>
        <x:v>0.02975724353954581</x:v>
      </x:c>
      <x:c r="L586" s="95" t="n">
        <x:v>38</x:v>
      </x:c>
      <x:c r="M586" s="97" t="n">
        <x:v>0.2223</x:v>
      </x:c>
      <x:c r="N586" s="97" t="n">
        <x:f>ROUND(L586*M586,2)</x:f>
        <x:v>8.45</x:v>
      </x:c>
      <x:c r="O586" s="94" t="n">
        <x:v>8</x:v>
      </x:c>
      <x:c r="P586" s="94" t="str">
        <x:v>模拟：Google/Microsoft Ads采购导入</x:v>
      </x:c>
    </x:row>
    <x:row r="587">
      <x:c r="A587" s="92" t="str">
        <x:v>PROC-0586</x:v>
      </x:c>
      <x:c r="B587" s="93" t="n">
        <x:v>46128</x:v>
      </x:c>
      <x:c r="C587" s="94" t="str">
        <x:v>Google Ads</x:v>
      </x:c>
      <x:c r="D587" s="94" t="str">
        <x:v>美国</x:v>
      </x:c>
      <x:c r="E587" s="94" t="str">
        <x:v>GGL-C16</x:v>
      </x:c>
      <x:c r="F587" s="94" t="str">
        <x:v>竞品搜索</x:v>
      </x:c>
      <x:c r="G587" s="94" t="str">
        <x:v>价格替代</x:v>
      </x:c>
      <x:c r="H587" s="94" t="str">
        <x:v>移动端</x:v>
      </x:c>
      <x:c r="I587" s="94" t="str">
        <x:v>CPC</x:v>
      </x:c>
      <x:c r="J587" s="95" t="n">
        <x:v>830</x:v>
      </x:c>
      <x:c r="K587" s="96" t="n">
        <x:f>IFERROR(L587/J587,0)</x:f>
        <x:v>0.03855421686746988</x:v>
      </x:c>
      <x:c r="L587" s="95" t="n">
        <x:v>32</x:v>
      </x:c>
      <x:c r="M587" s="97" t="n">
        <x:v>0.37</x:v>
      </x:c>
      <x:c r="N587" s="97" t="n">
        <x:f>ROUND(L587*M587,2)</x:f>
        <x:v>11.84</x:v>
      </x:c>
      <x:c r="O587" s="94" t="n">
        <x:v>8</x:v>
      </x:c>
      <x:c r="P587" s="94" t="str">
        <x:v>模拟：Google/Microsoft Ads采购导入</x:v>
      </x:c>
    </x:row>
    <x:row r="588">
      <x:c r="A588" s="92" t="str">
        <x:v>PROC-0587</x:v>
      </x:c>
      <x:c r="B588" s="93" t="n">
        <x:v>46129</x:v>
      </x:c>
      <x:c r="C588" s="94" t="str">
        <x:v>Microsoft Ads</x:v>
      </x:c>
      <x:c r="D588" s="94" t="str">
        <x:v>日本</x:v>
      </x:c>
      <x:c r="E588" s="94" t="str">
        <x:v>MSA-C01</x:v>
      </x:c>
      <x:c r="F588" s="94" t="str">
        <x:v>购物广告</x:v>
      </x:c>
      <x:c r="G588" s="94" t="str">
        <x:v>快速配送</x:v>
      </x:c>
      <x:c r="H588" s="94" t="str">
        <x:v>移动端</x:v>
      </x:c>
      <x:c r="I588" s="94" t="str">
        <x:v>CPC</x:v>
      </x:c>
      <x:c r="J588" s="95" t="n">
        <x:v>1475</x:v>
      </x:c>
      <x:c r="K588" s="96" t="n">
        <x:f>IFERROR(L588/J588,0)</x:f>
        <x:v>0.04677966101694915</x:v>
      </x:c>
      <x:c r="L588" s="95" t="n">
        <x:v>69</x:v>
      </x:c>
      <x:c r="M588" s="97" t="n">
        <x:v>0.1913</x:v>
      </x:c>
      <x:c r="N588" s="97" t="n">
        <x:f>ROUND(L588*M588,2)</x:f>
        <x:v>13.2</x:v>
      </x:c>
      <x:c r="O588" s="94" t="n">
        <x:v>6</x:v>
      </x:c>
      <x:c r="P588" s="94" t="str">
        <x:v>模拟：Google/Microsoft Ads采购导入</x:v>
      </x:c>
    </x:row>
    <x:row r="589">
      <x:c r="A589" s="92" t="str">
        <x:v>PROC-0588</x:v>
      </x:c>
      <x:c r="B589" s="93" t="n">
        <x:v>46129</x:v>
      </x:c>
      <x:c r="C589" s="94" t="str">
        <x:v>Microsoft Ads</x:v>
      </x:c>
      <x:c r="D589" s="94" t="str">
        <x:v>英国</x:v>
      </x:c>
      <x:c r="E589" s="94" t="str">
        <x:v>MSA-C10</x:v>
      </x:c>
      <x:c r="F589" s="94" t="str">
        <x:v>通用搜索</x:v>
      </x:c>
      <x:c r="G589" s="94" t="str">
        <x:v>专业精选</x:v>
      </x:c>
      <x:c r="H589" s="94" t="str">
        <x:v>桌面端</x:v>
      </x:c>
      <x:c r="I589" s="94" t="str">
        <x:v>CPC</x:v>
      </x:c>
      <x:c r="J589" s="95" t="n">
        <x:v>1344</x:v>
      </x:c>
      <x:c r="K589" s="96" t="n">
        <x:f>IFERROR(L589/J589,0)</x:f>
        <x:v>0.03125</x:v>
      </x:c>
      <x:c r="L589" s="95" t="n">
        <x:v>42</x:v>
      </x:c>
      <x:c r="M589" s="97" t="n">
        <x:v>0.2425</x:v>
      </x:c>
      <x:c r="N589" s="97" t="n">
        <x:f>ROUND(L589*M589,2)</x:f>
        <x:v>10.19</x:v>
      </x:c>
      <x:c r="O589" s="94" t="n">
        <x:v>7</x:v>
      </x:c>
      <x:c r="P589" s="94" t="str">
        <x:v>模拟：Google/Microsoft Ads采购导入</x:v>
      </x:c>
    </x:row>
    <x:row r="590">
      <x:c r="A590" s="92" t="str">
        <x:v>PROC-0589</x:v>
      </x:c>
      <x:c r="B590" s="93" t="n">
        <x:v>46129</x:v>
      </x:c>
      <x:c r="C590" s="94" t="str">
        <x:v>Google Ads</x:v>
      </x:c>
      <x:c r="D590" s="94" t="str">
        <x:v>英国</x:v>
      </x:c>
      <x:c r="E590" s="94" t="str">
        <x:v>GGL-C16</x:v>
      </x:c>
      <x:c r="F590" s="94" t="str">
        <x:v>竞品搜索</x:v>
      </x:c>
      <x:c r="G590" s="94" t="str">
        <x:v>价格替代</x:v>
      </x:c>
      <x:c r="H590" s="94" t="str">
        <x:v>桌面端</x:v>
      </x:c>
      <x:c r="I590" s="94" t="str">
        <x:v>CPC</x:v>
      </x:c>
      <x:c r="J590" s="95" t="n">
        <x:v>839</x:v>
      </x:c>
      <x:c r="K590" s="96" t="n">
        <x:f>IFERROR(L590/J590,0)</x:f>
        <x:v>0.03098927294398093</x:v>
      </x:c>
      <x:c r="L590" s="95" t="n">
        <x:v>26</x:v>
      </x:c>
      <x:c r="M590" s="97" t="n">
        <x:v>0.3549</x:v>
      </x:c>
      <x:c r="N590" s="97" t="n">
        <x:f>ROUND(L590*M590,2)</x:f>
        <x:v>9.23</x:v>
      </x:c>
      <x:c r="O590" s="94" t="n">
        <x:v>6</x:v>
      </x:c>
      <x:c r="P590" s="94" t="str">
        <x:v>模拟：Google/Microsoft Ads采购导入</x:v>
      </x:c>
    </x:row>
    <x:row r="591">
      <x:c r="A591" s="92" t="str">
        <x:v>PROC-0590</x:v>
      </x:c>
      <x:c r="B591" s="93" t="n">
        <x:v>46129</x:v>
      </x:c>
      <x:c r="C591" s="94" t="str">
        <x:v>Google Ads</x:v>
      </x:c>
      <x:c r="D591" s="94" t="str">
        <x:v>日本</x:v>
      </x:c>
      <x:c r="E591" s="94" t="str">
        <x:v>GGL-C22</x:v>
      </x:c>
      <x:c r="F591" s="94" t="str">
        <x:v>购物广告</x:v>
      </x:c>
      <x:c r="G591" s="94" t="str">
        <x:v>高评分商品</x:v>
      </x:c>
      <x:c r="H591" s="94" t="str">
        <x:v>移动端</x:v>
      </x:c>
      <x:c r="I591" s="94" t="str">
        <x:v>CPC</x:v>
      </x:c>
      <x:c r="J591" s="95" t="n">
        <x:v>1653</x:v>
      </x:c>
      <x:c r="K591" s="96" t="n">
        <x:f>IFERROR(L591/J591,0)</x:f>
        <x:v>0.036297640653357534</x:v>
      </x:c>
      <x:c r="L591" s="95" t="n">
        <x:v>60</x:v>
      </x:c>
      <x:c r="M591" s="97" t="n">
        <x:v>0.2372</x:v>
      </x:c>
      <x:c r="N591" s="97" t="n">
        <x:f>ROUND(L591*M591,2)</x:f>
        <x:v>14.23</x:v>
      </x:c>
      <x:c r="O591" s="94" t="n">
        <x:v>6</x:v>
      </x:c>
      <x:c r="P591" s="94" t="str">
        <x:v>模拟：Google/Microsoft Ads采购导入</x:v>
      </x:c>
    </x:row>
    <x:row r="592">
      <x:c r="A592" s="92" t="str">
        <x:v>PROC-0591</x:v>
      </x:c>
      <x:c r="B592" s="93" t="n">
        <x:v>46129</x:v>
      </x:c>
      <x:c r="C592" s="94" t="str">
        <x:v>Google Ads</x:v>
      </x:c>
      <x:c r="D592" s="94" t="str">
        <x:v>英国</x:v>
      </x:c>
      <x:c r="E592" s="94" t="str">
        <x:v>GGL-C04</x:v>
      </x:c>
      <x:c r="F592" s="94" t="str">
        <x:v>品牌搜索</x:v>
      </x:c>
      <x:c r="G592" s="94" t="str">
        <x:v>品牌购买词</x:v>
      </x:c>
      <x:c r="H592" s="94" t="str">
        <x:v>桌面端</x:v>
      </x:c>
      <x:c r="I592" s="94" t="str">
        <x:v>CPC</x:v>
      </x:c>
      <x:c r="J592" s="95" t="n">
        <x:v>1162</x:v>
      </x:c>
      <x:c r="K592" s="96" t="n">
        <x:f>IFERROR(L592/J592,0)</x:f>
        <x:v>0.055077452667814115</x:v>
      </x:c>
      <x:c r="L592" s="95" t="n">
        <x:v>64</x:v>
      </x:c>
      <x:c r="M592" s="97" t="n">
        <x:v>0.219</x:v>
      </x:c>
      <x:c r="N592" s="97" t="n">
        <x:f>ROUND(L592*M592,2)</x:f>
        <x:v>14.02</x:v>
      </x:c>
      <x:c r="O592" s="94" t="n">
        <x:v>8</x:v>
      </x:c>
      <x:c r="P592" s="94" t="str">
        <x:v>模拟：Google/Microsoft Ads采购导入</x:v>
      </x:c>
    </x:row>
    <x:row r="593">
      <x:c r="A593" s="92" t="str">
        <x:v>PROC-0592</x:v>
      </x:c>
      <x:c r="B593" s="93" t="n">
        <x:v>46129</x:v>
      </x:c>
      <x:c r="C593" s="94" t="str">
        <x:v>Google Ads</x:v>
      </x:c>
      <x:c r="D593" s="94" t="str">
        <x:v>美国</x:v>
      </x:c>
      <x:c r="E593" s="94" t="str">
        <x:v>GGL-C10</x:v>
      </x:c>
      <x:c r="F593" s="94" t="str">
        <x:v>通用搜索</x:v>
      </x:c>
      <x:c r="G593" s="94" t="str">
        <x:v>实用礼物</x:v>
      </x:c>
      <x:c r="H593" s="94" t="str">
        <x:v>桌面端</x:v>
      </x:c>
      <x:c r="I593" s="94" t="str">
        <x:v>CPC</x:v>
      </x:c>
      <x:c r="J593" s="95" t="n">
        <x:v>1233</x:v>
      </x:c>
      <x:c r="K593" s="96" t="n">
        <x:f>IFERROR(L593/J593,0)</x:f>
        <x:v>0.042173560421735604</x:v>
      </x:c>
      <x:c r="L593" s="95" t="n">
        <x:v>52</x:v>
      </x:c>
      <x:c r="M593" s="97" t="n">
        <x:v>0.3351</x:v>
      </x:c>
      <x:c r="N593" s="97" t="n">
        <x:f>ROUND(L593*M593,2)</x:f>
        <x:v>17.43</x:v>
      </x:c>
      <x:c r="O593" s="94" t="n">
        <x:v>8</x:v>
      </x:c>
      <x:c r="P593" s="94" t="str">
        <x:v>模拟：Google/Microsoft Ads采购导入</x:v>
      </x:c>
    </x:row>
    <x:row r="594">
      <x:c r="A594" s="92" t="str">
        <x:v>PROC-0593</x:v>
      </x:c>
      <x:c r="B594" s="93" t="n">
        <x:v>46130</x:v>
      </x:c>
      <x:c r="C594" s="94" t="str">
        <x:v>Google Ads</x:v>
      </x:c>
      <x:c r="D594" s="94" t="str">
        <x:v>美国</x:v>
      </x:c>
      <x:c r="E594" s="94" t="str">
        <x:v>GGL-C17</x:v>
      </x:c>
      <x:c r="F594" s="94" t="str">
        <x:v>购物广告</x:v>
      </x:c>
      <x:c r="G594" s="94" t="str">
        <x:v>价格比较</x:v>
      </x:c>
      <x:c r="H594" s="94" t="str">
        <x:v>移动端</x:v>
      </x:c>
      <x:c r="I594" s="94" t="str">
        <x:v>CPC</x:v>
      </x:c>
      <x:c r="J594" s="95" t="n">
        <x:v>1002</x:v>
      </x:c>
      <x:c r="K594" s="96" t="n">
        <x:f>IFERROR(L594/J594,0)</x:f>
        <x:v>0.04590818363273453</x:v>
      </x:c>
      <x:c r="L594" s="95" t="n">
        <x:v>46</x:v>
      </x:c>
      <x:c r="M594" s="97" t="n">
        <x:v>0.4223</x:v>
      </x:c>
      <x:c r="N594" s="97" t="n">
        <x:f>ROUND(L594*M594,2)</x:f>
        <x:v>19.43</x:v>
      </x:c>
      <x:c r="O594" s="94" t="n">
        <x:v>6</x:v>
      </x:c>
      <x:c r="P594" s="94" t="str">
        <x:v>模拟：Google/Microsoft Ads采购导入</x:v>
      </x:c>
    </x:row>
    <x:row r="595">
      <x:c r="A595" s="92" t="str">
        <x:v>PROC-0594</x:v>
      </x:c>
      <x:c r="B595" s="93" t="n">
        <x:v>46130</x:v>
      </x:c>
      <x:c r="C595" s="94" t="str">
        <x:v>Google Ads</x:v>
      </x:c>
      <x:c r="D595" s="94" t="str">
        <x:v>美国</x:v>
      </x:c>
      <x:c r="E595" s="94" t="str">
        <x:v>GGL-C24</x:v>
      </x:c>
      <x:c r="F595" s="94" t="str">
        <x:v>品牌搜索</x:v>
      </x:c>
      <x:c r="G595" s="94" t="str">
        <x:v>品牌评测词</x:v>
      </x:c>
      <x:c r="H595" s="94" t="str">
        <x:v>移动端</x:v>
      </x:c>
      <x:c r="I595" s="94" t="str">
        <x:v>CPC</x:v>
      </x:c>
      <x:c r="J595" s="95" t="n">
        <x:v>892</x:v>
      </x:c>
      <x:c r="K595" s="96" t="n">
        <x:f>IFERROR(L595/J595,0)</x:f>
        <x:v>0.05717488789237668</x:v>
      </x:c>
      <x:c r="L595" s="95" t="n">
        <x:v>51</x:v>
      </x:c>
      <x:c r="M595" s="97" t="n">
        <x:v>0.2417</x:v>
      </x:c>
      <x:c r="N595" s="97" t="n">
        <x:f>ROUND(L595*M595,2)</x:f>
        <x:v>12.33</x:v>
      </x:c>
      <x:c r="O595" s="94" t="n">
        <x:v>8</x:v>
      </x:c>
      <x:c r="P595" s="94" t="str">
        <x:v>模拟：Google/Microsoft Ads采购导入</x:v>
      </x:c>
    </x:row>
    <x:row r="596">
      <x:c r="A596" s="92" t="str">
        <x:v>PROC-0595</x:v>
      </x:c>
      <x:c r="B596" s="93" t="n">
        <x:v>46130</x:v>
      </x:c>
      <x:c r="C596" s="94" t="str">
        <x:v>Google Ads</x:v>
      </x:c>
      <x:c r="D596" s="94" t="str">
        <x:v>英国</x:v>
      </x:c>
      <x:c r="E596" s="94" t="str">
        <x:v>GGL-C11</x:v>
      </x:c>
      <x:c r="F596" s="94" t="str">
        <x:v>购物广告</x:v>
      </x:c>
      <x:c r="G596" s="94" t="str">
        <x:v>价格比较</x:v>
      </x:c>
      <x:c r="H596" s="94" t="str">
        <x:v>桌面端</x:v>
      </x:c>
      <x:c r="I596" s="94" t="str">
        <x:v>CPC</x:v>
      </x:c>
      <x:c r="J596" s="95" t="n">
        <x:v>1441</x:v>
      </x:c>
      <x:c r="K596" s="96" t="n">
        <x:f>IFERROR(L596/J596,0)</x:f>
        <x:v>0.03816793893129771</x:v>
      </x:c>
      <x:c r="L596" s="95" t="n">
        <x:v>55</x:v>
      </x:c>
      <x:c r="M596" s="97" t="n">
        <x:v>0.2921</x:v>
      </x:c>
      <x:c r="N596" s="97" t="n">
        <x:f>ROUND(L596*M596,2)</x:f>
        <x:v>16.07</x:v>
      </x:c>
      <x:c r="O596" s="94" t="n">
        <x:v>6</x:v>
      </x:c>
      <x:c r="P596" s="94" t="str">
        <x:v>模拟：Google/Microsoft Ads采购导入</x:v>
      </x:c>
    </x:row>
    <x:row r="597">
      <x:c r="A597" s="92" t="str">
        <x:v>PROC-0596</x:v>
      </x:c>
      <x:c r="B597" s="93" t="n">
        <x:v>46130</x:v>
      </x:c>
      <x:c r="C597" s="94" t="str">
        <x:v>Microsoft Ads</x:v>
      </x:c>
      <x:c r="D597" s="94" t="str">
        <x:v>美国</x:v>
      </x:c>
      <x:c r="E597" s="94" t="str">
        <x:v>MSA-C17</x:v>
      </x:c>
      <x:c r="F597" s="94" t="str">
        <x:v>购物广告</x:v>
      </x:c>
      <x:c r="G597" s="94" t="str">
        <x:v>折扣商品</x:v>
      </x:c>
      <x:c r="H597" s="94" t="str">
        <x:v>移动端</x:v>
      </x:c>
      <x:c r="I597" s="94" t="str">
        <x:v>CPC</x:v>
      </x:c>
      <x:c r="J597" s="95" t="n">
        <x:v>977</x:v>
      </x:c>
      <x:c r="K597" s="96" t="n">
        <x:f>IFERROR(L597/J597,0)</x:f>
        <x:v>0.042988741044012284</x:v>
      </x:c>
      <x:c r="L597" s="95" t="n">
        <x:v>42</x:v>
      </x:c>
      <x:c r="M597" s="97" t="n">
        <x:v>0.2735</x:v>
      </x:c>
      <x:c r="N597" s="97" t="n">
        <x:f>ROUND(L597*M597,2)</x:f>
        <x:v>11.49</x:v>
      </x:c>
      <x:c r="O597" s="94" t="n">
        <x:v>9</x:v>
      </x:c>
      <x:c r="P597" s="94" t="str">
        <x:v>模拟：Google/Microsoft Ads采购导入</x:v>
      </x:c>
    </x:row>
    <x:row r="598">
      <x:c r="A598" s="92" t="str">
        <x:v>PROC-0597</x:v>
      </x:c>
      <x:c r="B598" s="93" t="n">
        <x:v>46130</x:v>
      </x:c>
      <x:c r="C598" s="94" t="str">
        <x:v>Microsoft Ads</x:v>
      </x:c>
      <x:c r="D598" s="94" t="str">
        <x:v>美国</x:v>
      </x:c>
      <x:c r="E598" s="94" t="str">
        <x:v>MSA-C24</x:v>
      </x:c>
      <x:c r="F598" s="94" t="str">
        <x:v>竞品搜索</x:v>
      </x:c>
      <x:c r="G598" s="94" t="str">
        <x:v>竞品评测</x:v>
      </x:c>
      <x:c r="H598" s="94" t="str">
        <x:v>移动端</x:v>
      </x:c>
      <x:c r="I598" s="94" t="str">
        <x:v>CPC</x:v>
      </x:c>
      <x:c r="J598" s="95" t="n">
        <x:v>1209</x:v>
      </x:c>
      <x:c r="K598" s="96" t="n">
        <x:f>IFERROR(L598/J598,0)</x:f>
        <x:v>0.03143093465674111</x:v>
      </x:c>
      <x:c r="L598" s="95" t="n">
        <x:v>38</x:v>
      </x:c>
      <x:c r="M598" s="97" t="n">
        <x:v>0.2828</x:v>
      </x:c>
      <x:c r="N598" s="97" t="n">
        <x:f>ROUND(L598*M598,2)</x:f>
        <x:v>10.75</x:v>
      </x:c>
      <x:c r="O598" s="94" t="n">
        <x:v>7</x:v>
      </x:c>
      <x:c r="P598" s="94" t="str">
        <x:v>模拟：Google/Microsoft Ads采购导入</x:v>
      </x:c>
    </x:row>
    <x:row r="599">
      <x:c r="A599" s="92" t="str">
        <x:v>PROC-0598</x:v>
      </x:c>
      <x:c r="B599" s="93" t="n">
        <x:v>46131</x:v>
      </x:c>
      <x:c r="C599" s="94" t="str">
        <x:v>Microsoft Ads</x:v>
      </x:c>
      <x:c r="D599" s="94" t="str">
        <x:v>美国</x:v>
      </x:c>
      <x:c r="E599" s="94" t="str">
        <x:v>MSA-C04</x:v>
      </x:c>
      <x:c r="F599" s="94" t="str">
        <x:v>购物广告</x:v>
      </x:c>
      <x:c r="G599" s="94" t="str">
        <x:v>畅销商品</x:v>
      </x:c>
      <x:c r="H599" s="94" t="str">
        <x:v>移动端</x:v>
      </x:c>
      <x:c r="I599" s="94" t="str">
        <x:v>CPC</x:v>
      </x:c>
      <x:c r="J599" s="95" t="n">
        <x:v>1009</x:v>
      </x:c>
      <x:c r="K599" s="96" t="n">
        <x:f>IFERROR(L599/J599,0)</x:f>
        <x:v>0.048562933597621406</x:v>
      </x:c>
      <x:c r="L599" s="95" t="n">
        <x:v>49</x:v>
      </x:c>
      <x:c r="M599" s="97" t="n">
        <x:v>0.3014</x:v>
      </x:c>
      <x:c r="N599" s="97" t="n">
        <x:f>ROUND(L599*M599,2)</x:f>
        <x:v>14.77</x:v>
      </x:c>
      <x:c r="O599" s="94" t="n">
        <x:v>8</x:v>
      </x:c>
      <x:c r="P599" s="94" t="str">
        <x:v>模拟：Google/Microsoft Ads采购导入</x:v>
      </x:c>
    </x:row>
    <x:row r="600">
      <x:c r="A600" s="92" t="str">
        <x:v>PROC-0599</x:v>
      </x:c>
      <x:c r="B600" s="93" t="n">
        <x:v>46131</x:v>
      </x:c>
      <x:c r="C600" s="94" t="str">
        <x:v>Microsoft Ads</x:v>
      </x:c>
      <x:c r="D600" s="94" t="str">
        <x:v>德国</x:v>
      </x:c>
      <x:c r="E600" s="94" t="str">
        <x:v>MSA-C14</x:v>
      </x:c>
      <x:c r="F600" s="94" t="str">
        <x:v>购物广告</x:v>
      </x:c>
      <x:c r="G600" s="94" t="str">
        <x:v>折扣商品</x:v>
      </x:c>
      <x:c r="H600" s="94" t="str">
        <x:v>平板</x:v>
      </x:c>
      <x:c r="I600" s="94" t="str">
        <x:v>CPC</x:v>
      </x:c>
      <x:c r="J600" s="95" t="n">
        <x:v>907</x:v>
      </x:c>
      <x:c r="K600" s="96" t="n">
        <x:f>IFERROR(L600/J600,0)</x:f>
        <x:v>0.03858875413450937</x:v>
      </x:c>
      <x:c r="L600" s="95" t="n">
        <x:v>35</x:v>
      </x:c>
      <x:c r="M600" s="97" t="n">
        <x:v>0.2506</x:v>
      </x:c>
      <x:c r="N600" s="97" t="n">
        <x:f>ROUND(L600*M600,2)</x:f>
        <x:v>8.77</x:v>
      </x:c>
      <x:c r="O600" s="94" t="n">
        <x:v>7</x:v>
      </x:c>
      <x:c r="P600" s="94" t="str">
        <x:v>模拟：Google/Microsoft Ads采购导入</x:v>
      </x:c>
    </x:row>
    <x:row r="601">
      <x:c r="A601" s="92" t="str">
        <x:v>PROC-0600</x:v>
      </x:c>
      <x:c r="B601" s="93" t="n">
        <x:v>46131</x:v>
      </x:c>
      <x:c r="C601" s="94" t="str">
        <x:v>Google Ads</x:v>
      </x:c>
      <x:c r="D601" s="94" t="str">
        <x:v>日本</x:v>
      </x:c>
      <x:c r="E601" s="94" t="str">
        <x:v>GGL-C21</x:v>
      </x:c>
      <x:c r="F601" s="94" t="str">
        <x:v>购物广告</x:v>
      </x:c>
      <x:c r="G601" s="94" t="str">
        <x:v>高评分商品</x:v>
      </x:c>
      <x:c r="H601" s="94" t="str">
        <x:v>移动端</x:v>
      </x:c>
      <x:c r="I601" s="94" t="str">
        <x:v>CPC</x:v>
      </x:c>
      <x:c r="J601" s="95" t="n">
        <x:v>831</x:v>
      </x:c>
      <x:c r="K601" s="96" t="n">
        <x:f>IFERROR(L601/J601,0)</x:f>
        <x:v>0.0457280385078219</x:v>
      </x:c>
      <x:c r="L601" s="95" t="n">
        <x:v>38</x:v>
      </x:c>
      <x:c r="M601" s="97" t="n">
        <x:v>0.3131</x:v>
      </x:c>
      <x:c r="N601" s="97" t="n">
        <x:f>ROUND(L601*M601,2)</x:f>
        <x:v>11.9</x:v>
      </x:c>
      <x:c r="O601" s="94" t="n">
        <x:v>6</x:v>
      </x:c>
      <x:c r="P601" s="94" t="str">
        <x:v>模拟：Google/Microsoft Ads采购导入</x:v>
      </x:c>
    </x:row>
    <x:row r="602">
      <x:c r="A602" s="92" t="str">
        <x:v>PROC-0601</x:v>
      </x:c>
      <x:c r="B602" s="93" t="n">
        <x:v>46131</x:v>
      </x:c>
      <x:c r="C602" s="94" t="str">
        <x:v>Google Ads</x:v>
      </x:c>
      <x:c r="D602" s="94" t="str">
        <x:v>英国</x:v>
      </x:c>
      <x:c r="E602" s="94" t="str">
        <x:v>GGL-C05</x:v>
      </x:c>
      <x:c r="F602" s="94" t="str">
        <x:v>竞品搜索</x:v>
      </x:c>
      <x:c r="G602" s="94" t="str">
        <x:v>价格替代</x:v>
      </x:c>
      <x:c r="H602" s="94" t="str">
        <x:v>平板</x:v>
      </x:c>
      <x:c r="I602" s="94" t="str">
        <x:v>CPC</x:v>
      </x:c>
      <x:c r="J602" s="95" t="n">
        <x:v>1201</x:v>
      </x:c>
      <x:c r="K602" s="96" t="n">
        <x:f>IFERROR(L602/J602,0)</x:f>
        <x:v>0.030807660283097418</x:v>
      </x:c>
      <x:c r="L602" s="95" t="n">
        <x:v>37</x:v>
      </x:c>
      <x:c r="M602" s="97" t="n">
        <x:v>0.3602</x:v>
      </x:c>
      <x:c r="N602" s="97" t="n">
        <x:f>ROUND(L602*M602,2)</x:f>
        <x:v>13.33</x:v>
      </x:c>
      <x:c r="O602" s="94" t="n">
        <x:v>6</x:v>
      </x:c>
      <x:c r="P602" s="94" t="str">
        <x:v>模拟：Google/Microsoft Ads采购导入</x:v>
      </x:c>
    </x:row>
    <x:row r="603">
      <x:c r="A603" s="92" t="str">
        <x:v>PROC-0602</x:v>
      </x:c>
      <x:c r="B603" s="93" t="n">
        <x:v>46131</x:v>
      </x:c>
      <x:c r="C603" s="94" t="str">
        <x:v>Google Ads</x:v>
      </x:c>
      <x:c r="D603" s="94" t="str">
        <x:v>日本</x:v>
      </x:c>
      <x:c r="E603" s="94" t="str">
        <x:v>GGL-C09</x:v>
      </x:c>
      <x:c r="F603" s="94" t="str">
        <x:v>竞品搜索</x:v>
      </x:c>
      <x:c r="G603" s="94" t="str">
        <x:v>竞品评测</x:v>
      </x:c>
      <x:c r="H603" s="94" t="str">
        <x:v>移动端</x:v>
      </x:c>
      <x:c r="I603" s="94" t="str">
        <x:v>CPC</x:v>
      </x:c>
      <x:c r="J603" s="95" t="n">
        <x:v>511</x:v>
      </x:c>
      <x:c r="K603" s="96" t="n">
        <x:f>IFERROR(L603/J603,0)</x:f>
        <x:v>0.025440313111545987</x:v>
      </x:c>
      <x:c r="L603" s="95" t="n">
        <x:v>13</x:v>
      </x:c>
      <x:c r="M603" s="97" t="n">
        <x:v>0.3038</x:v>
      </x:c>
      <x:c r="N603" s="97" t="n">
        <x:f>ROUND(L603*M603,2)</x:f>
        <x:v>3.95</x:v>
      </x:c>
      <x:c r="O603" s="94" t="n">
        <x:v>8</x:v>
      </x:c>
      <x:c r="P603" s="94" t="str">
        <x:v>模拟：Google/Microsoft Ads采购导入</x:v>
      </x:c>
    </x:row>
    <x:row r="604">
      <x:c r="A604" s="92" t="str">
        <x:v>PROC-0603</x:v>
      </x:c>
      <x:c r="B604" s="93" t="n">
        <x:v>46131</x:v>
      </x:c>
      <x:c r="C604" s="94" t="str">
        <x:v>Google Ads</x:v>
      </x:c>
      <x:c r="D604" s="94" t="str">
        <x:v>德国</x:v>
      </x:c>
      <x:c r="E604" s="94" t="str">
        <x:v>GGL-C18</x:v>
      </x:c>
      <x:c r="F604" s="94" t="str">
        <x:v>竞品搜索</x:v>
      </x:c>
      <x:c r="G604" s="94" t="str">
        <x:v>更优选择</x:v>
      </x:c>
      <x:c r="H604" s="94" t="str">
        <x:v>桌面端</x:v>
      </x:c>
      <x:c r="I604" s="94" t="str">
        <x:v>CPC</x:v>
      </x:c>
      <x:c r="J604" s="95" t="n">
        <x:v>872</x:v>
      </x:c>
      <x:c r="K604" s="96" t="n">
        <x:f>IFERROR(L604/J604,0)</x:f>
        <x:v>0.034403669724770644</x:v>
      </x:c>
      <x:c r="L604" s="95" t="n">
        <x:v>30</x:v>
      </x:c>
      <x:c r="M604" s="97" t="n">
        <x:v>0.3589</x:v>
      </x:c>
      <x:c r="N604" s="97" t="n">
        <x:f>ROUND(L604*M604,2)</x:f>
        <x:v>10.77</x:v>
      </x:c>
      <x:c r="O604" s="94" t="n">
        <x:v>7</x:v>
      </x:c>
      <x:c r="P604" s="94" t="str">
        <x:v>模拟：Google/Microsoft Ads采购导入</x:v>
      </x:c>
    </x:row>
    <x:row r="605">
      <x:c r="A605" s="92" t="str">
        <x:v>PROC-0604</x:v>
      </x:c>
      <x:c r="B605" s="93" t="n">
        <x:v>46132</x:v>
      </x:c>
      <x:c r="C605" s="94" t="str">
        <x:v>Google Ads</x:v>
      </x:c>
      <x:c r="D605" s="94" t="str">
        <x:v>美国</x:v>
      </x:c>
      <x:c r="E605" s="94" t="str">
        <x:v>GGL-C23</x:v>
      </x:c>
      <x:c r="F605" s="94" t="str">
        <x:v>购物广告</x:v>
      </x:c>
      <x:c r="G605" s="94" t="str">
        <x:v>畅销商品</x:v>
      </x:c>
      <x:c r="H605" s="94" t="str">
        <x:v>移动端</x:v>
      </x:c>
      <x:c r="I605" s="94" t="str">
        <x:v>CPC</x:v>
      </x:c>
      <x:c r="J605" s="95" t="n">
        <x:v>760</x:v>
      </x:c>
      <x:c r="K605" s="96" t="n">
        <x:f>IFERROR(L605/J605,0)</x:f>
        <x:v>0.039473684210526314</x:v>
      </x:c>
      <x:c r="L605" s="95" t="n">
        <x:v>30</x:v>
      </x:c>
      <x:c r="M605" s="97" t="n">
        <x:v>0.3385</x:v>
      </x:c>
      <x:c r="N605" s="97" t="n">
        <x:f>ROUND(L605*M605,2)</x:f>
        <x:v>10.16</x:v>
      </x:c>
      <x:c r="O605" s="94" t="n">
        <x:v>7</x:v>
      </x:c>
      <x:c r="P605" s="94" t="str">
        <x:v>模拟：Google/Microsoft Ads采购导入</x:v>
      </x:c>
    </x:row>
    <x:row r="606">
      <x:c r="A606" s="92" t="str">
        <x:v>PROC-0605</x:v>
      </x:c>
      <x:c r="B606" s="93" t="n">
        <x:v>46132</x:v>
      </x:c>
      <x:c r="C606" s="94" t="str">
        <x:v>Google Ads</x:v>
      </x:c>
      <x:c r="D606" s="94" t="str">
        <x:v>英国</x:v>
      </x:c>
      <x:c r="E606" s="94" t="str">
        <x:v>GGL-C05</x:v>
      </x:c>
      <x:c r="F606" s="94" t="str">
        <x:v>竞品搜索</x:v>
      </x:c>
      <x:c r="G606" s="94" t="str">
        <x:v>竞品评测</x:v>
      </x:c>
      <x:c r="H606" s="94" t="str">
        <x:v>平板</x:v>
      </x:c>
      <x:c r="I606" s="94" t="str">
        <x:v>CPC</x:v>
      </x:c>
      <x:c r="J606" s="95" t="n">
        <x:v>752</x:v>
      </x:c>
      <x:c r="K606" s="96" t="n">
        <x:f>IFERROR(L606/J606,0)</x:f>
        <x:v>0.03723404255319149</x:v>
      </x:c>
      <x:c r="L606" s="95" t="n">
        <x:v>28</x:v>
      </x:c>
      <x:c r="M606" s="97" t="n">
        <x:v>0.3603</x:v>
      </x:c>
      <x:c r="N606" s="97" t="n">
        <x:f>ROUND(L606*M606,2)</x:f>
        <x:v>10.09</x:v>
      </x:c>
      <x:c r="O606" s="94" t="n">
        <x:v>6</x:v>
      </x:c>
      <x:c r="P606" s="94" t="str">
        <x:v>模拟：Google/Microsoft Ads采购导入</x:v>
      </x:c>
    </x:row>
    <x:row r="607">
      <x:c r="A607" s="92" t="str">
        <x:v>PROC-0606</x:v>
      </x:c>
      <x:c r="B607" s="93" t="n">
        <x:v>46132</x:v>
      </x:c>
      <x:c r="C607" s="94" t="str">
        <x:v>Google Ads</x:v>
      </x:c>
      <x:c r="D607" s="94" t="str">
        <x:v>美国</x:v>
      </x:c>
      <x:c r="E607" s="94" t="str">
        <x:v>GGL-C13</x:v>
      </x:c>
      <x:c r="F607" s="94" t="str">
        <x:v>购物广告</x:v>
      </x:c>
      <x:c r="G607" s="94" t="str">
        <x:v>快速配送</x:v>
      </x:c>
      <x:c r="H607" s="94" t="str">
        <x:v>移动端</x:v>
      </x:c>
      <x:c r="I607" s="94" t="str">
        <x:v>CPC</x:v>
      </x:c>
      <x:c r="J607" s="95" t="n">
        <x:v>1364</x:v>
      </x:c>
      <x:c r="K607" s="96" t="n">
        <x:f>IFERROR(L607/J607,0)</x:f>
        <x:v>0.045454545454545456</x:v>
      </x:c>
      <x:c r="L607" s="95" t="n">
        <x:v>62</x:v>
      </x:c>
      <x:c r="M607" s="97" t="n">
        <x:v>0.3957</x:v>
      </x:c>
      <x:c r="N607" s="97" t="n">
        <x:f>ROUND(L607*M607,2)</x:f>
        <x:v>24.53</x:v>
      </x:c>
      <x:c r="O607" s="94" t="n">
        <x:v>7</x:v>
      </x:c>
      <x:c r="P607" s="94" t="str">
        <x:v>模拟：Google/Microsoft Ads采购导入</x:v>
      </x:c>
    </x:row>
    <x:row r="608">
      <x:c r="A608" s="92" t="str">
        <x:v>PROC-0607</x:v>
      </x:c>
      <x:c r="B608" s="93" t="n">
        <x:v>46132</x:v>
      </x:c>
      <x:c r="C608" s="94" t="str">
        <x:v>Microsoft Ads</x:v>
      </x:c>
      <x:c r="D608" s="94" t="str">
        <x:v>英国</x:v>
      </x:c>
      <x:c r="E608" s="94" t="str">
        <x:v>MSA-C20</x:v>
      </x:c>
      <x:c r="F608" s="94" t="str">
        <x:v>品牌搜索</x:v>
      </x:c>
      <x:c r="G608" s="94" t="str">
        <x:v>品牌优惠词</x:v>
      </x:c>
      <x:c r="H608" s="94" t="str">
        <x:v>桌面端</x:v>
      </x:c>
      <x:c r="I608" s="94" t="str">
        <x:v>CPC</x:v>
      </x:c>
      <x:c r="J608" s="95" t="n">
        <x:v>840</x:v>
      </x:c>
      <x:c r="K608" s="96" t="n">
        <x:f>IFERROR(L608/J608,0)</x:f>
        <x:v>0.058333333333333334</x:v>
      </x:c>
      <x:c r="L608" s="95" t="n">
        <x:v>49</x:v>
      </x:c>
      <x:c r="M608" s="97" t="n">
        <x:v>0.1696</x:v>
      </x:c>
      <x:c r="N608" s="97" t="n">
        <x:f>ROUND(L608*M608,2)</x:f>
        <x:v>8.31</x:v>
      </x:c>
      <x:c r="O608" s="94" t="n">
        <x:v>8</x:v>
      </x:c>
      <x:c r="P608" s="94" t="str">
        <x:v>模拟：Google/Microsoft Ads采购导入</x:v>
      </x:c>
    </x:row>
    <x:row r="609">
      <x:c r="A609" s="92" t="str">
        <x:v>PROC-0608</x:v>
      </x:c>
      <x:c r="B609" s="93" t="n">
        <x:v>46132</x:v>
      </x:c>
      <x:c r="C609" s="94" t="str">
        <x:v>Google Ads</x:v>
      </x:c>
      <x:c r="D609" s="94" t="str">
        <x:v>日本</x:v>
      </x:c>
      <x:c r="E609" s="94" t="str">
        <x:v>GGL-C04</x:v>
      </x:c>
      <x:c r="F609" s="94" t="str">
        <x:v>通用搜索</x:v>
      </x:c>
      <x:c r="G609" s="94" t="str">
        <x:v>专业精选</x:v>
      </x:c>
      <x:c r="H609" s="94" t="str">
        <x:v>移动端</x:v>
      </x:c>
      <x:c r="I609" s="94" t="str">
        <x:v>CPC</x:v>
      </x:c>
      <x:c r="J609" s="95" t="n">
        <x:v>807</x:v>
      </x:c>
      <x:c r="K609" s="96" t="n">
        <x:f>IFERROR(L609/J609,0)</x:f>
        <x:v>0.02973977695167286</x:v>
      </x:c>
      <x:c r="L609" s="95" t="n">
        <x:v>24</x:v>
      </x:c>
      <x:c r="M609" s="97" t="n">
        <x:v>0.2522</x:v>
      </x:c>
      <x:c r="N609" s="97" t="n">
        <x:f>ROUND(L609*M609,2)</x:f>
        <x:v>6.05</x:v>
      </x:c>
      <x:c r="O609" s="94" t="n">
        <x:v>7</x:v>
      </x:c>
      <x:c r="P609" s="94" t="str">
        <x:v>模拟：Google/Microsoft Ads采购导入</x:v>
      </x:c>
    </x:row>
    <x:row r="610">
      <x:c r="A610" s="92" t="str">
        <x:v>PROC-0609</x:v>
      </x:c>
      <x:c r="B610" s="93" t="n">
        <x:v>46133</x:v>
      </x:c>
      <x:c r="C610" s="94" t="str">
        <x:v>Google Ads</x:v>
      </x:c>
      <x:c r="D610" s="94" t="str">
        <x:v>美国</x:v>
      </x:c>
      <x:c r="E610" s="94" t="str">
        <x:v>GGL-C10</x:v>
      </x:c>
      <x:c r="F610" s="94" t="str">
        <x:v>品牌搜索</x:v>
      </x:c>
      <x:c r="G610" s="94" t="str">
        <x:v>品牌优惠词</x:v>
      </x:c>
      <x:c r="H610" s="94" t="str">
        <x:v>桌面端</x:v>
      </x:c>
      <x:c r="I610" s="94" t="str">
        <x:v>CPC</x:v>
      </x:c>
      <x:c r="J610" s="95" t="n">
        <x:v>1022</x:v>
      </x:c>
      <x:c r="K610" s="96" t="n">
        <x:f>IFERROR(L610/J610,0)</x:f>
        <x:v>0.057729941291585124</x:v>
      </x:c>
      <x:c r="L610" s="95" t="n">
        <x:v>59</x:v>
      </x:c>
      <x:c r="M610" s="97" t="n">
        <x:v>0.2139</x:v>
      </x:c>
      <x:c r="N610" s="97" t="n">
        <x:f>ROUND(L610*M610,2)</x:f>
        <x:v>12.62</x:v>
      </x:c>
      <x:c r="O610" s="94" t="n">
        <x:v>10</x:v>
      </x:c>
      <x:c r="P610" s="94" t="str">
        <x:v>模拟：Google/Microsoft Ads采购导入</x:v>
      </x:c>
    </x:row>
    <x:row r="611">
      <x:c r="A611" s="92" t="str">
        <x:v>PROC-0610</x:v>
      </x:c>
      <x:c r="B611" s="93" t="n">
        <x:v>46133</x:v>
      </x:c>
      <x:c r="C611" s="94" t="str">
        <x:v>Microsoft Ads</x:v>
      </x:c>
      <x:c r="D611" s="94" t="str">
        <x:v>美国</x:v>
      </x:c>
      <x:c r="E611" s="94" t="str">
        <x:v>MSA-C20</x:v>
      </x:c>
      <x:c r="F611" s="94" t="str">
        <x:v>通用搜索</x:v>
      </x:c>
      <x:c r="G611" s="94" t="str">
        <x:v>实用礼物</x:v>
      </x:c>
      <x:c r="H611" s="94" t="str">
        <x:v>移动端</x:v>
      </x:c>
      <x:c r="I611" s="94" t="str">
        <x:v>CPC</x:v>
      </x:c>
      <x:c r="J611" s="95" t="n">
        <x:v>1477</x:v>
      </x:c>
      <x:c r="K611" s="96" t="n">
        <x:f>IFERROR(L611/J611,0)</x:f>
        <x:v>0.040622884224779957</x:v>
      </x:c>
      <x:c r="L611" s="95" t="n">
        <x:v>60</x:v>
      </x:c>
      <x:c r="M611" s="97" t="n">
        <x:v>0.2685</x:v>
      </x:c>
      <x:c r="N611" s="97" t="n">
        <x:f>ROUND(L611*M611,2)</x:f>
        <x:v>16.11</x:v>
      </x:c>
      <x:c r="O611" s="94" t="n">
        <x:v>6</x:v>
      </x:c>
      <x:c r="P611" s="94" t="str">
        <x:v>模拟：Google/Microsoft Ads采购导入</x:v>
      </x:c>
    </x:row>
    <x:row r="612">
      <x:c r="A612" s="92" t="str">
        <x:v>PROC-0611</x:v>
      </x:c>
      <x:c r="B612" s="93" t="n">
        <x:v>46133</x:v>
      </x:c>
      <x:c r="C612" s="94" t="str">
        <x:v>Google Ads</x:v>
      </x:c>
      <x:c r="D612" s="94" t="str">
        <x:v>美国</x:v>
      </x:c>
      <x:c r="E612" s="94" t="str">
        <x:v>GGL-C02</x:v>
      </x:c>
      <x:c r="F612" s="94" t="str">
        <x:v>品牌搜索</x:v>
      </x:c>
      <x:c r="G612" s="94" t="str">
        <x:v>品牌购买词</x:v>
      </x:c>
      <x:c r="H612" s="94" t="str">
        <x:v>移动端</x:v>
      </x:c>
      <x:c r="I612" s="94" t="str">
        <x:v>CPC</x:v>
      </x:c>
      <x:c r="J612" s="95" t="n">
        <x:v>932</x:v>
      </x:c>
      <x:c r="K612" s="96" t="n">
        <x:f>IFERROR(L612/J612,0)</x:f>
        <x:v>0.06759656652360516</x:v>
      </x:c>
      <x:c r="L612" s="95" t="n">
        <x:v>63</x:v>
      </x:c>
      <x:c r="M612" s="97" t="n">
        <x:v>0.2709</x:v>
      </x:c>
      <x:c r="N612" s="97" t="n">
        <x:f>ROUND(L612*M612,2)</x:f>
        <x:v>17.07</x:v>
      </x:c>
      <x:c r="O612" s="94" t="n">
        <x:v>9</x:v>
      </x:c>
      <x:c r="P612" s="94" t="str">
        <x:v>模拟：Google/Microsoft Ads采购导入</x:v>
      </x:c>
    </x:row>
    <x:row r="613">
      <x:c r="A613" s="92" t="str">
        <x:v>PROC-0612</x:v>
      </x:c>
      <x:c r="B613" s="93" t="n">
        <x:v>46133</x:v>
      </x:c>
      <x:c r="C613" s="94" t="str">
        <x:v>Microsoft Ads</x:v>
      </x:c>
      <x:c r="D613" s="94" t="str">
        <x:v>美国</x:v>
      </x:c>
      <x:c r="E613" s="94" t="str">
        <x:v>MSA-C10</x:v>
      </x:c>
      <x:c r="F613" s="94" t="str">
        <x:v>品牌搜索</x:v>
      </x:c>
      <x:c r="G613" s="94" t="str">
        <x:v>品牌购买词</x:v>
      </x:c>
      <x:c r="H613" s="94" t="str">
        <x:v>移动端</x:v>
      </x:c>
      <x:c r="I613" s="94" t="str">
        <x:v>CPC</x:v>
      </x:c>
      <x:c r="J613" s="95" t="n">
        <x:v>1440</x:v>
      </x:c>
      <x:c r="K613" s="96" t="n">
        <x:f>IFERROR(L613/J613,0)</x:f>
        <x:v>0.06666666666666667</x:v>
      </x:c>
      <x:c r="L613" s="95" t="n">
        <x:v>96</x:v>
      </x:c>
      <x:c r="M613" s="97" t="n">
        <x:v>0.1875</x:v>
      </x:c>
      <x:c r="N613" s="97" t="n">
        <x:f>ROUND(L613*M613,2)</x:f>
        <x:v>18</x:v>
      </x:c>
      <x:c r="O613" s="94" t="n">
        <x:v>8</x:v>
      </x:c>
      <x:c r="P613" s="94" t="str">
        <x:v>模拟：Google/Microsoft Ads采购导入</x:v>
      </x:c>
    </x:row>
    <x:row r="614">
      <x:c r="A614" s="92" t="str">
        <x:v>PROC-0613</x:v>
      </x:c>
      <x:c r="B614" s="93" t="n">
        <x:v>46133</x:v>
      </x:c>
      <x:c r="C614" s="94" t="str">
        <x:v>Google Ads</x:v>
      </x:c>
      <x:c r="D614" s="94" t="str">
        <x:v>美国</x:v>
      </x:c>
      <x:c r="E614" s="94" t="str">
        <x:v>GGL-C15</x:v>
      </x:c>
      <x:c r="F614" s="94" t="str">
        <x:v>竞品搜索</x:v>
      </x:c>
      <x:c r="G614" s="94" t="str">
        <x:v>同类产品对比</x:v>
      </x:c>
      <x:c r="H614" s="94" t="str">
        <x:v>移动端</x:v>
      </x:c>
      <x:c r="I614" s="94" t="str">
        <x:v>CPC</x:v>
      </x:c>
      <x:c r="J614" s="95" t="n">
        <x:v>867</x:v>
      </x:c>
      <x:c r="K614" s="96" t="n">
        <x:f>IFERROR(L614/J614,0)</x:f>
        <x:v>0.03575547866205306</x:v>
      </x:c>
      <x:c r="L614" s="95" t="n">
        <x:v>31</x:v>
      </x:c>
      <x:c r="M614" s="97" t="n">
        <x:v>0.4262</x:v>
      </x:c>
      <x:c r="N614" s="97" t="n">
        <x:f>ROUND(L614*M614,2)</x:f>
        <x:v>13.21</x:v>
      </x:c>
      <x:c r="O614" s="94" t="n">
        <x:v>7</x:v>
      </x:c>
      <x:c r="P614" s="94" t="str">
        <x:v>模拟：Google/Microsoft Ads采购导入</x:v>
      </x:c>
    </x:row>
    <x:row r="615">
      <x:c r="A615" s="92" t="str">
        <x:v>PROC-0614</x:v>
      </x:c>
      <x:c r="B615" s="93" t="n">
        <x:v>46133</x:v>
      </x:c>
      <x:c r="C615" s="94" t="str">
        <x:v>Google Ads</x:v>
      </x:c>
      <x:c r="D615" s="94" t="str">
        <x:v>美国</x:v>
      </x:c>
      <x:c r="E615" s="94" t="str">
        <x:v>GGL-C20</x:v>
      </x:c>
      <x:c r="F615" s="94" t="str">
        <x:v>品牌搜索</x:v>
      </x:c>
      <x:c r="G615" s="94" t="str">
        <x:v>品牌型号词</x:v>
      </x:c>
      <x:c r="H615" s="94" t="str">
        <x:v>移动端</x:v>
      </x:c>
      <x:c r="I615" s="94" t="str">
        <x:v>CPC</x:v>
      </x:c>
      <x:c r="J615" s="95" t="n">
        <x:v>1473</x:v>
      </x:c>
      <x:c r="K615" s="96" t="n">
        <x:f>IFERROR(L615/J615,0)</x:f>
        <x:v>0.055668703326544465</x:v>
      </x:c>
      <x:c r="L615" s="95" t="n">
        <x:v>82</x:v>
      </x:c>
      <x:c r="M615" s="97" t="n">
        <x:v>0.2191</x:v>
      </x:c>
      <x:c r="N615" s="97" t="n">
        <x:f>ROUND(L615*M615,2)</x:f>
        <x:v>17.97</x:v>
      </x:c>
      <x:c r="O615" s="94" t="n">
        <x:v>8</x:v>
      </x:c>
      <x:c r="P615" s="94" t="str">
        <x:v>模拟：Google/Microsoft Ads采购导入</x:v>
      </x:c>
    </x:row>
    <x:row r="616">
      <x:c r="A616" s="92" t="str">
        <x:v>PROC-0615</x:v>
      </x:c>
      <x:c r="B616" s="93" t="n">
        <x:v>46134</x:v>
      </x:c>
      <x:c r="C616" s="94" t="str">
        <x:v>Google Ads</x:v>
      </x:c>
      <x:c r="D616" s="94" t="str">
        <x:v>美国</x:v>
      </x:c>
      <x:c r="E616" s="94" t="str">
        <x:v>GGL-C06</x:v>
      </x:c>
      <x:c r="F616" s="94" t="str">
        <x:v>通用搜索</x:v>
      </x:c>
      <x:c r="G616" s="94" t="str">
        <x:v>实用礼物</x:v>
      </x:c>
      <x:c r="H616" s="94" t="str">
        <x:v>桌面端</x:v>
      </x:c>
      <x:c r="I616" s="94" t="str">
        <x:v>CPC</x:v>
      </x:c>
      <x:c r="J616" s="95" t="n">
        <x:v>1318</x:v>
      </x:c>
      <x:c r="K616" s="96" t="n">
        <x:f>IFERROR(L616/J616,0)</x:f>
        <x:v>0.042488619119878605</x:v>
      </x:c>
      <x:c r="L616" s="95" t="n">
        <x:v>56</x:v>
      </x:c>
      <x:c r="M616" s="97" t="n">
        <x:v>0.3821</x:v>
      </x:c>
      <x:c r="N616" s="97" t="n">
        <x:f>ROUND(L616*M616,2)</x:f>
        <x:v>21.4</x:v>
      </x:c>
      <x:c r="O616" s="94" t="n">
        <x:v>7</x:v>
      </x:c>
      <x:c r="P616" s="94" t="str">
        <x:v>模拟：Google/Microsoft Ads采购导入</x:v>
      </x:c>
    </x:row>
    <x:row r="617">
      <x:c r="A617" s="92" t="str">
        <x:v>PROC-0616</x:v>
      </x:c>
      <x:c r="B617" s="93" t="n">
        <x:v>46134</x:v>
      </x:c>
      <x:c r="C617" s="94" t="str">
        <x:v>Google Ads</x:v>
      </x:c>
      <x:c r="D617" s="94" t="str">
        <x:v>美国</x:v>
      </x:c>
      <x:c r="E617" s="94" t="str">
        <x:v>GGL-C11</x:v>
      </x:c>
      <x:c r="F617" s="94" t="str">
        <x:v>购物广告</x:v>
      </x:c>
      <x:c r="G617" s="94" t="str">
        <x:v>畅销商品</x:v>
      </x:c>
      <x:c r="H617" s="94" t="str">
        <x:v>桌面端</x:v>
      </x:c>
      <x:c r="I617" s="94" t="str">
        <x:v>CPC</x:v>
      </x:c>
      <x:c r="J617" s="95" t="n">
        <x:v>809</x:v>
      </x:c>
      <x:c r="K617" s="96" t="n">
        <x:f>IFERROR(L617/J617,0)</x:f>
        <x:v>0.038318912237330034</x:v>
      </x:c>
      <x:c r="L617" s="95" t="n">
        <x:v>31</x:v>
      </x:c>
      <x:c r="M617" s="97" t="n">
        <x:v>0.3605</x:v>
      </x:c>
      <x:c r="N617" s="97" t="n">
        <x:f>ROUND(L617*M617,2)</x:f>
        <x:v>11.18</x:v>
      </x:c>
      <x:c r="O617" s="94" t="n">
        <x:v>7</x:v>
      </x:c>
      <x:c r="P617" s="94" t="str">
        <x:v>模拟：Google/Microsoft Ads采购导入</x:v>
      </x:c>
    </x:row>
    <x:row r="618">
      <x:c r="A618" s="92" t="str">
        <x:v>PROC-0617</x:v>
      </x:c>
      <x:c r="B618" s="93" t="n">
        <x:v>46134</x:v>
      </x:c>
      <x:c r="C618" s="94" t="str">
        <x:v>Microsoft Ads</x:v>
      </x:c>
      <x:c r="D618" s="94" t="str">
        <x:v>德国</x:v>
      </x:c>
      <x:c r="E618" s="94" t="str">
        <x:v>MSA-C19</x:v>
      </x:c>
      <x:c r="F618" s="94" t="str">
        <x:v>通用搜索</x:v>
      </x:c>
      <x:c r="G618" s="94" t="str">
        <x:v>专业精选</x:v>
      </x:c>
      <x:c r="H618" s="94" t="str">
        <x:v>桌面端</x:v>
      </x:c>
      <x:c r="I618" s="94" t="str">
        <x:v>CPC</x:v>
      </x:c>
      <x:c r="J618" s="95" t="n">
        <x:v>916</x:v>
      </x:c>
      <x:c r="K618" s="96" t="n">
        <x:f>IFERROR(L618/J618,0)</x:f>
        <x:v>0.036026200873362446</x:v>
      </x:c>
      <x:c r="L618" s="95" t="n">
        <x:v>33</x:v>
      </x:c>
      <x:c r="M618" s="97" t="n">
        <x:v>0.2017</x:v>
      </x:c>
      <x:c r="N618" s="97" t="n">
        <x:f>ROUND(L618*M618,2)</x:f>
        <x:v>6.66</x:v>
      </x:c>
      <x:c r="O618" s="94" t="n">
        <x:v>8</x:v>
      </x:c>
      <x:c r="P618" s="94" t="str">
        <x:v>模拟：Google/Microsoft Ads采购导入</x:v>
      </x:c>
    </x:row>
    <x:row r="619">
      <x:c r="A619" s="92" t="str">
        <x:v>PROC-0618</x:v>
      </x:c>
      <x:c r="B619" s="93" t="n">
        <x:v>46134</x:v>
      </x:c>
      <x:c r="C619" s="94" t="str">
        <x:v>Google Ads</x:v>
      </x:c>
      <x:c r="D619" s="94" t="str">
        <x:v>美国</x:v>
      </x:c>
      <x:c r="E619" s="94" t="str">
        <x:v>GGL-C02</x:v>
      </x:c>
      <x:c r="F619" s="94" t="str">
        <x:v>竞品搜索</x:v>
      </x:c>
      <x:c r="G619" s="94" t="str">
        <x:v>同类产品对比</x:v>
      </x:c>
      <x:c r="H619" s="94" t="str">
        <x:v>桌面端</x:v>
      </x:c>
      <x:c r="I619" s="94" t="str">
        <x:v>CPC</x:v>
      </x:c>
      <x:c r="J619" s="95" t="n">
        <x:v>615</x:v>
      </x:c>
      <x:c r="K619" s="96" t="n">
        <x:f>IFERROR(L619/J619,0)</x:f>
        <x:v>0.03414634146341464</x:v>
      </x:c>
      <x:c r="L619" s="95" t="n">
        <x:v>21</x:v>
      </x:c>
      <x:c r="M619" s="97" t="n">
        <x:v>0.4733</x:v>
      </x:c>
      <x:c r="N619" s="97" t="n">
        <x:f>ROUND(L619*M619,2)</x:f>
        <x:v>9.94</x:v>
      </x:c>
      <x:c r="O619" s="94" t="n">
        <x:v>8</x:v>
      </x:c>
      <x:c r="P619" s="94" t="str">
        <x:v>模拟：Google/Microsoft Ads采购导入</x:v>
      </x:c>
    </x:row>
    <x:row r="620">
      <x:c r="A620" s="92" t="str">
        <x:v>PROC-0619</x:v>
      </x:c>
      <x:c r="B620" s="93" t="n">
        <x:v>46134</x:v>
      </x:c>
      <x:c r="C620" s="94" t="str">
        <x:v>Google Ads</x:v>
      </x:c>
      <x:c r="D620" s="94" t="str">
        <x:v>日本</x:v>
      </x:c>
      <x:c r="E620" s="94" t="str">
        <x:v>GGL-C09</x:v>
      </x:c>
      <x:c r="F620" s="94" t="str">
        <x:v>竞品搜索</x:v>
      </x:c>
      <x:c r="G620" s="94" t="str">
        <x:v>价格替代</x:v>
      </x:c>
      <x:c r="H620" s="94" t="str">
        <x:v>移动端</x:v>
      </x:c>
      <x:c r="I620" s="94" t="str">
        <x:v>CPC</x:v>
      </x:c>
      <x:c r="J620" s="95" t="n">
        <x:v>528</x:v>
      </x:c>
      <x:c r="K620" s="96" t="n">
        <x:f>IFERROR(L620/J620,0)</x:f>
        <x:v>0.030303030303030304</x:v>
      </x:c>
      <x:c r="L620" s="95" t="n">
        <x:v>16</x:v>
      </x:c>
      <x:c r="M620" s="97" t="n">
        <x:v>0.3674</x:v>
      </x:c>
      <x:c r="N620" s="97" t="n">
        <x:f>ROUND(L620*M620,2)</x:f>
        <x:v>5.88</x:v>
      </x:c>
      <x:c r="O620" s="94" t="n">
        <x:v>6</x:v>
      </x:c>
      <x:c r="P620" s="94" t="str">
        <x:v>模拟：Google/Microsoft Ads采购导入</x:v>
      </x:c>
    </x:row>
    <x:row r="621">
      <x:c r="A621" s="92" t="str">
        <x:v>PROC-0620</x:v>
      </x:c>
      <x:c r="B621" s="93" t="n">
        <x:v>46135</x:v>
      </x:c>
      <x:c r="C621" s="94" t="str">
        <x:v>Google Ads</x:v>
      </x:c>
      <x:c r="D621" s="94" t="str">
        <x:v>英国</x:v>
      </x:c>
      <x:c r="E621" s="94" t="str">
        <x:v>GGL-C17</x:v>
      </x:c>
      <x:c r="F621" s="94" t="str">
        <x:v>品牌搜索</x:v>
      </x:c>
      <x:c r="G621" s="94" t="str">
        <x:v>品牌评测词</x:v>
      </x:c>
      <x:c r="H621" s="94" t="str">
        <x:v>桌面端</x:v>
      </x:c>
      <x:c r="I621" s="94" t="str">
        <x:v>CPC</x:v>
      </x:c>
      <x:c r="J621" s="95" t="n">
        <x:v>630</x:v>
      </x:c>
      <x:c r="K621" s="96" t="n">
        <x:f>IFERROR(L621/J621,0)</x:f>
        <x:v>0.05396825396825397</x:v>
      </x:c>
      <x:c r="L621" s="95" t="n">
        <x:v>34</x:v>
      </x:c>
      <x:c r="M621" s="97" t="n">
        <x:v>0.2563</x:v>
      </x:c>
      <x:c r="N621" s="97" t="n">
        <x:f>ROUND(L621*M621,2)</x:f>
        <x:v>8.71</x:v>
      </x:c>
      <x:c r="O621" s="94" t="n">
        <x:v>8</x:v>
      </x:c>
      <x:c r="P621" s="94" t="str">
        <x:v>模拟：Google/Microsoft Ads采购导入</x:v>
      </x:c>
    </x:row>
    <x:row r="622">
      <x:c r="A622" s="92" t="str">
        <x:v>PROC-0621</x:v>
      </x:c>
      <x:c r="B622" s="93" t="n">
        <x:v>46135</x:v>
      </x:c>
      <x:c r="C622" s="94" t="str">
        <x:v>Google Ads</x:v>
      </x:c>
      <x:c r="D622" s="94" t="str">
        <x:v>美国</x:v>
      </x:c>
      <x:c r="E622" s="94" t="str">
        <x:v>GGL-C22</x:v>
      </x:c>
      <x:c r="F622" s="94" t="str">
        <x:v>购物广告</x:v>
      </x:c>
      <x:c r="G622" s="94" t="str">
        <x:v>折扣商品</x:v>
      </x:c>
      <x:c r="H622" s="94" t="str">
        <x:v>移动端</x:v>
      </x:c>
      <x:c r="I622" s="94" t="str">
        <x:v>CPC</x:v>
      </x:c>
      <x:c r="J622" s="95" t="n">
        <x:v>938</x:v>
      </x:c>
      <x:c r="K622" s="96" t="n">
        <x:f>IFERROR(L622/J622,0)</x:f>
        <x:v>0.046908315565031986</x:v>
      </x:c>
      <x:c r="L622" s="95" t="n">
        <x:v>44</x:v>
      </x:c>
      <x:c r="M622" s="97" t="n">
        <x:v>0.3191</x:v>
      </x:c>
      <x:c r="N622" s="97" t="n">
        <x:f>ROUND(L622*M622,2)</x:f>
        <x:v>14.04</x:v>
      </x:c>
      <x:c r="O622" s="94" t="n">
        <x:v>9</x:v>
      </x:c>
      <x:c r="P622" s="94" t="str">
        <x:v>模拟：Google/Microsoft Ads采购导入</x:v>
      </x:c>
    </x:row>
    <x:row r="623">
      <x:c r="A623" s="92" t="str">
        <x:v>PROC-0622</x:v>
      </x:c>
      <x:c r="B623" s="93" t="n">
        <x:v>46135</x:v>
      </x:c>
      <x:c r="C623" s="94" t="str">
        <x:v>Google Ads</x:v>
      </x:c>
      <x:c r="D623" s="94" t="str">
        <x:v>美国</x:v>
      </x:c>
      <x:c r="E623" s="94" t="str">
        <x:v>GGL-C07</x:v>
      </x:c>
      <x:c r="F623" s="94" t="str">
        <x:v>竞品搜索</x:v>
      </x:c>
      <x:c r="G623" s="94" t="str">
        <x:v>竞品评测</x:v>
      </x:c>
      <x:c r="H623" s="94" t="str">
        <x:v>桌面端</x:v>
      </x:c>
      <x:c r="I623" s="94" t="str">
        <x:v>CPC</x:v>
      </x:c>
      <x:c r="J623" s="95" t="n">
        <x:v>1198</x:v>
      </x:c>
      <x:c r="K623" s="96" t="n">
        <x:f>IFERROR(L623/J623,0)</x:f>
        <x:v>0.02921535893155259</x:v>
      </x:c>
      <x:c r="L623" s="95" t="n">
        <x:v>35</x:v>
      </x:c>
      <x:c r="M623" s="97" t="n">
        <x:v>0.3859</x:v>
      </x:c>
      <x:c r="N623" s="97" t="n">
        <x:f>ROUND(L623*M623,2)</x:f>
        <x:v>13.51</x:v>
      </x:c>
      <x:c r="O623" s="94" t="n">
        <x:v>9</x:v>
      </x:c>
      <x:c r="P623" s="94" t="str">
        <x:v>模拟：Google/Microsoft Ads采购导入</x:v>
      </x:c>
    </x:row>
    <x:row r="624">
      <x:c r="A624" s="92" t="str">
        <x:v>PROC-0623</x:v>
      </x:c>
      <x:c r="B624" s="93" t="n">
        <x:v>46135</x:v>
      </x:c>
      <x:c r="C624" s="94" t="str">
        <x:v>Microsoft Ads</x:v>
      </x:c>
      <x:c r="D624" s="94" t="str">
        <x:v>英国</x:v>
      </x:c>
      <x:c r="E624" s="94" t="str">
        <x:v>MSA-C15</x:v>
      </x:c>
      <x:c r="F624" s="94" t="str">
        <x:v>购物广告</x:v>
      </x:c>
      <x:c r="G624" s="94" t="str">
        <x:v>快速配送</x:v>
      </x:c>
      <x:c r="H624" s="94" t="str">
        <x:v>平板</x:v>
      </x:c>
      <x:c r="I624" s="94" t="str">
        <x:v>CPC</x:v>
      </x:c>
      <x:c r="J624" s="95" t="n">
        <x:v>1410</x:v>
      </x:c>
      <x:c r="K624" s="96" t="n">
        <x:f>IFERROR(L624/J624,0)</x:f>
        <x:v>0.04680851063829787</x:v>
      </x:c>
      <x:c r="L624" s="95" t="n">
        <x:v>66</x:v>
      </x:c>
      <x:c r="M624" s="97" t="n">
        <x:v>0.2986</x:v>
      </x:c>
      <x:c r="N624" s="97" t="n">
        <x:f>ROUND(L624*M624,2)</x:f>
        <x:v>19.71</x:v>
      </x:c>
      <x:c r="O624" s="94" t="n">
        <x:v>7</x:v>
      </x:c>
      <x:c r="P624" s="94" t="str">
        <x:v>模拟：Google/Microsoft Ads采购导入</x:v>
      </x:c>
    </x:row>
    <x:row r="625">
      <x:c r="A625" s="92" t="str">
        <x:v>PROC-0624</x:v>
      </x:c>
      <x:c r="B625" s="93" t="n">
        <x:v>46135</x:v>
      </x:c>
      <x:c r="C625" s="94" t="str">
        <x:v>Microsoft Ads</x:v>
      </x:c>
      <x:c r="D625" s="94" t="str">
        <x:v>英国</x:v>
      </x:c>
      <x:c r="E625" s="94" t="str">
        <x:v>MSA-C22</x:v>
      </x:c>
      <x:c r="F625" s="94" t="str">
        <x:v>通用搜索</x:v>
      </x:c>
      <x:c r="G625" s="94" t="str">
        <x:v>家庭必备</x:v>
      </x:c>
      <x:c r="H625" s="94" t="str">
        <x:v>移动端</x:v>
      </x:c>
      <x:c r="I625" s="94" t="str">
        <x:v>CPC</x:v>
      </x:c>
      <x:c r="J625" s="95" t="n">
        <x:v>1032</x:v>
      </x:c>
      <x:c r="K625" s="96" t="n">
        <x:f>IFERROR(L625/J625,0)</x:f>
        <x:v>0.035852713178294575</x:v>
      </x:c>
      <x:c r="L625" s="95" t="n">
        <x:v>37</x:v>
      </x:c>
      <x:c r="M625" s="97" t="n">
        <x:v>0.2155</x:v>
      </x:c>
      <x:c r="N625" s="97" t="n">
        <x:f>ROUND(L625*M625,2)</x:f>
        <x:v>7.97</x:v>
      </x:c>
      <x:c r="O625" s="94" t="n">
        <x:v>8</x:v>
      </x:c>
      <x:c r="P625" s="94" t="str">
        <x:v>模拟：Google/Microsoft Ads采购导入</x:v>
      </x:c>
    </x:row>
    <x:row r="626">
      <x:c r="A626" s="92" t="str">
        <x:v>PROC-0625</x:v>
      </x:c>
      <x:c r="B626" s="93" t="n">
        <x:v>46135</x:v>
      </x:c>
      <x:c r="C626" s="94" t="str">
        <x:v>Google Ads</x:v>
      </x:c>
      <x:c r="D626" s="94" t="str">
        <x:v>英国</x:v>
      </x:c>
      <x:c r="E626" s="94" t="str">
        <x:v>GGL-C01</x:v>
      </x:c>
      <x:c r="F626" s="94" t="str">
        <x:v>购物广告</x:v>
      </x:c>
      <x:c r="G626" s="94" t="str">
        <x:v>高评分商品</x:v>
      </x:c>
      <x:c r="H626" s="94" t="str">
        <x:v>移动端</x:v>
      </x:c>
      <x:c r="I626" s="94" t="str">
        <x:v>CPC</x:v>
      </x:c>
      <x:c r="J626" s="95" t="n">
        <x:v>1446</x:v>
      </x:c>
      <x:c r="K626" s="96" t="n">
        <x:f>IFERROR(L626/J626,0)</x:f>
        <x:v>0.043568464730290454</x:v>
      </x:c>
      <x:c r="L626" s="95" t="n">
        <x:v>63</x:v>
      </x:c>
      <x:c r="M626" s="97" t="n">
        <x:v>0.3368</x:v>
      </x:c>
      <x:c r="N626" s="97" t="n">
        <x:f>ROUND(L626*M626,2)</x:f>
        <x:v>21.22</x:v>
      </x:c>
      <x:c r="O626" s="94" t="n">
        <x:v>7</x:v>
      </x:c>
      <x:c r="P626" s="94" t="str">
        <x:v>模拟：Google/Microsoft Ads采购导入</x:v>
      </x:c>
    </x:row>
    <x:row r="627">
      <x:c r="A627" s="92" t="str">
        <x:v>PROC-0626</x:v>
      </x:c>
      <x:c r="B627" s="93" t="n">
        <x:v>46136</x:v>
      </x:c>
      <x:c r="C627" s="94" t="str">
        <x:v>Microsoft Ads</x:v>
      </x:c>
      <x:c r="D627" s="94" t="str">
        <x:v>德国</x:v>
      </x:c>
      <x:c r="E627" s="94" t="str">
        <x:v>MSA-C10</x:v>
      </x:c>
      <x:c r="F627" s="94" t="str">
        <x:v>品牌搜索</x:v>
      </x:c>
      <x:c r="G627" s="94" t="str">
        <x:v>品牌优惠词</x:v>
      </x:c>
      <x:c r="H627" s="94" t="str">
        <x:v>移动端</x:v>
      </x:c>
      <x:c r="I627" s="94" t="str">
        <x:v>CPC</x:v>
      </x:c>
      <x:c r="J627" s="95" t="n">
        <x:v>668</x:v>
      </x:c>
      <x:c r="K627" s="96" t="n">
        <x:f>IFERROR(L627/J627,0)</x:f>
        <x:v>0.04790419161676647</x:v>
      </x:c>
      <x:c r="L627" s="95" t="n">
        <x:v>32</x:v>
      </x:c>
      <x:c r="M627" s="97" t="n">
        <x:v>0.151</x:v>
      </x:c>
      <x:c r="N627" s="97" t="n">
        <x:f>ROUND(L627*M627,2)</x:f>
        <x:v>4.83</x:v>
      </x:c>
      <x:c r="O627" s="94" t="n">
        <x:v>7</x:v>
      </x:c>
      <x:c r="P627" s="94" t="str">
        <x:v>模拟：Google/Microsoft Ads采购导入</x:v>
      </x:c>
    </x:row>
    <x:row r="628">
      <x:c r="A628" s="92" t="str">
        <x:v>PROC-0627</x:v>
      </x:c>
      <x:c r="B628" s="93" t="n">
        <x:v>46136</x:v>
      </x:c>
      <x:c r="C628" s="94" t="str">
        <x:v>Google Ads</x:v>
      </x:c>
      <x:c r="D628" s="94" t="str">
        <x:v>美国</x:v>
      </x:c>
      <x:c r="E628" s="94" t="str">
        <x:v>GGL-C16</x:v>
      </x:c>
      <x:c r="F628" s="94" t="str">
        <x:v>竞品搜索</x:v>
      </x:c>
      <x:c r="G628" s="94" t="str">
        <x:v>替代品比较</x:v>
      </x:c>
      <x:c r="H628" s="94" t="str">
        <x:v>移动端</x:v>
      </x:c>
      <x:c r="I628" s="94" t="str">
        <x:v>CPC</x:v>
      </x:c>
      <x:c r="J628" s="95" t="n">
        <x:v>884</x:v>
      </x:c>
      <x:c r="K628" s="96" t="n">
        <x:f>IFERROR(L628/J628,0)</x:f>
        <x:v>0.02828054298642534</x:v>
      </x:c>
      <x:c r="L628" s="95" t="n">
        <x:v>25</x:v>
      </x:c>
      <x:c r="M628" s="97" t="n">
        <x:v>0.5053</x:v>
      </x:c>
      <x:c r="N628" s="97" t="n">
        <x:f>ROUND(L628*M628,2)</x:f>
        <x:v>12.63</x:v>
      </x:c>
      <x:c r="O628" s="94" t="n">
        <x:v>8</x:v>
      </x:c>
      <x:c r="P628" s="94" t="str">
        <x:v>模拟：Google/Microsoft Ads采购导入</x:v>
      </x:c>
    </x:row>
    <x:row r="629">
      <x:c r="A629" s="92" t="str">
        <x:v>PROC-0628</x:v>
      </x:c>
      <x:c r="B629" s="93" t="n">
        <x:v>46136</x:v>
      </x:c>
      <x:c r="C629" s="94" t="str">
        <x:v>Google Ads</x:v>
      </x:c>
      <x:c r="D629" s="94" t="str">
        <x:v>英国</x:v>
      </x:c>
      <x:c r="E629" s="94" t="str">
        <x:v>GGL-C02</x:v>
      </x:c>
      <x:c r="F629" s="94" t="str">
        <x:v>购物广告</x:v>
      </x:c>
      <x:c r="G629" s="94" t="str">
        <x:v>价格比较</x:v>
      </x:c>
      <x:c r="H629" s="94" t="str">
        <x:v>桌面端</x:v>
      </x:c>
      <x:c r="I629" s="94" t="str">
        <x:v>CPC</x:v>
      </x:c>
      <x:c r="J629" s="95" t="n">
        <x:v>1328</x:v>
      </x:c>
      <x:c r="K629" s="96" t="n">
        <x:f>IFERROR(L629/J629,0)</x:f>
        <x:v>0.050451807228915665</x:v>
      </x:c>
      <x:c r="L629" s="95" t="n">
        <x:v>67</x:v>
      </x:c>
      <x:c r="M629" s="97" t="n">
        <x:v>0.2841</x:v>
      </x:c>
      <x:c r="N629" s="97" t="n">
        <x:f>ROUND(L629*M629,2)</x:f>
        <x:v>19.03</x:v>
      </x:c>
      <x:c r="O629" s="94" t="n">
        <x:v>7</x:v>
      </x:c>
      <x:c r="P629" s="94" t="str">
        <x:v>模拟：Google/Microsoft Ads采购导入</x:v>
      </x:c>
    </x:row>
    <x:row r="630">
      <x:c r="A630" s="92" t="str">
        <x:v>PROC-0629</x:v>
      </x:c>
      <x:c r="B630" s="93" t="n">
        <x:v>46136</x:v>
      </x:c>
      <x:c r="C630" s="94" t="str">
        <x:v>Google Ads</x:v>
      </x:c>
      <x:c r="D630" s="94" t="str">
        <x:v>英国</x:v>
      </x:c>
      <x:c r="E630" s="94" t="str">
        <x:v>GGL-C06</x:v>
      </x:c>
      <x:c r="F630" s="94" t="str">
        <x:v>品牌搜索</x:v>
      </x:c>
      <x:c r="G630" s="94" t="str">
        <x:v>品牌配件词</x:v>
      </x:c>
      <x:c r="H630" s="94" t="str">
        <x:v>移动端</x:v>
      </x:c>
      <x:c r="I630" s="94" t="str">
        <x:v>CPC</x:v>
      </x:c>
      <x:c r="J630" s="95" t="n">
        <x:v>1309</x:v>
      </x:c>
      <x:c r="K630" s="96" t="n">
        <x:f>IFERROR(L630/J630,0)</x:f>
        <x:v>0.05194805194805195</x:v>
      </x:c>
      <x:c r="L630" s="95" t="n">
        <x:v>68</x:v>
      </x:c>
      <x:c r="M630" s="97" t="n">
        <x:v>0.2632</x:v>
      </x:c>
      <x:c r="N630" s="97" t="n">
        <x:f>ROUND(L630*M630,2)</x:f>
        <x:v>17.9</x:v>
      </x:c>
      <x:c r="O630" s="94" t="n">
        <x:v>10</x:v>
      </x:c>
      <x:c r="P630" s="94" t="str">
        <x:v>模拟：Google/Microsoft Ads采购导入</x:v>
      </x:c>
    </x:row>
    <x:row r="631">
      <x:c r="A631" s="92" t="str">
        <x:v>PROC-0630</x:v>
      </x:c>
      <x:c r="B631" s="93" t="n">
        <x:v>46136</x:v>
      </x:c>
      <x:c r="C631" s="94" t="str">
        <x:v>Google Ads</x:v>
      </x:c>
      <x:c r="D631" s="94" t="str">
        <x:v>美国</x:v>
      </x:c>
      <x:c r="E631" s="94" t="str">
        <x:v>GGL-C14</x:v>
      </x:c>
      <x:c r="F631" s="94" t="str">
        <x:v>品牌搜索</x:v>
      </x:c>
      <x:c r="G631" s="94" t="str">
        <x:v>品牌配件词</x:v>
      </x:c>
      <x:c r="H631" s="94" t="str">
        <x:v>桌面端</x:v>
      </x:c>
      <x:c r="I631" s="94" t="str">
        <x:v>CPC</x:v>
      </x:c>
      <x:c r="J631" s="95" t="n">
        <x:v>940</x:v>
      </x:c>
      <x:c r="K631" s="96" t="n">
        <x:f>IFERROR(L631/J631,0)</x:f>
        <x:v>0.05531914893617021</x:v>
      </x:c>
      <x:c r="L631" s="95" t="n">
        <x:v>52</x:v>
      </x:c>
      <x:c r="M631" s="97" t="n">
        <x:v>0.2897</x:v>
      </x:c>
      <x:c r="N631" s="97" t="n">
        <x:f>ROUND(L631*M631,2)</x:f>
        <x:v>15.06</x:v>
      </x:c>
      <x:c r="O631" s="94" t="n">
        <x:v>10</x:v>
      </x:c>
      <x:c r="P631" s="94" t="str">
        <x:v>模拟：Google/Microsoft Ads采购导入</x:v>
      </x:c>
    </x:row>
    <x:row r="632">
      <x:c r="A632" s="92" t="str">
        <x:v>PROC-0631</x:v>
      </x:c>
      <x:c r="B632" s="93" t="n">
        <x:v>46137</x:v>
      </x:c>
      <x:c r="C632" s="94" t="str">
        <x:v>Microsoft Ads</x:v>
      </x:c>
      <x:c r="D632" s="94" t="str">
        <x:v>英国</x:v>
      </x:c>
      <x:c r="E632" s="94" t="str">
        <x:v>MSA-C21</x:v>
      </x:c>
      <x:c r="F632" s="94" t="str">
        <x:v>品牌搜索</x:v>
      </x:c>
      <x:c r="G632" s="94" t="str">
        <x:v>品牌配件词</x:v>
      </x:c>
      <x:c r="H632" s="94" t="str">
        <x:v>移动端</x:v>
      </x:c>
      <x:c r="I632" s="94" t="str">
        <x:v>CPC</x:v>
      </x:c>
      <x:c r="J632" s="95" t="n">
        <x:v>718</x:v>
      </x:c>
      <x:c r="K632" s="96" t="n">
        <x:f>IFERROR(L632/J632,0)</x:f>
        <x:v>0.06128133704735376</x:v>
      </x:c>
      <x:c r="L632" s="95" t="n">
        <x:v>44</x:v>
      </x:c>
      <x:c r="M632" s="97" t="n">
        <x:v>0.1821</x:v>
      </x:c>
      <x:c r="N632" s="97" t="n">
        <x:f>ROUND(L632*M632,2)</x:f>
        <x:v>8.01</x:v>
      </x:c>
      <x:c r="O632" s="94" t="n">
        <x:v>7</x:v>
      </x:c>
      <x:c r="P632" s="94" t="str">
        <x:v>模拟：Google/Microsoft Ads采购导入</x:v>
      </x:c>
    </x:row>
    <x:row r="633">
      <x:c r="A633" s="92" t="str">
        <x:v>PROC-0632</x:v>
      </x:c>
      <x:c r="B633" s="93" t="n">
        <x:v>46137</x:v>
      </x:c>
      <x:c r="C633" s="94" t="str">
        <x:v>Microsoft Ads</x:v>
      </x:c>
      <x:c r="D633" s="94" t="str">
        <x:v>日本</x:v>
      </x:c>
      <x:c r="E633" s="94" t="str">
        <x:v>MSA-C02</x:v>
      </x:c>
      <x:c r="F633" s="94" t="str">
        <x:v>竞品搜索</x:v>
      </x:c>
      <x:c r="G633" s="94" t="str">
        <x:v>替代品比较</x:v>
      </x:c>
      <x:c r="H633" s="94" t="str">
        <x:v>移动端</x:v>
      </x:c>
      <x:c r="I633" s="94" t="str">
        <x:v>CPC</x:v>
      </x:c>
      <x:c r="J633" s="95" t="n">
        <x:v>622</x:v>
      </x:c>
      <x:c r="K633" s="96" t="n">
        <x:f>IFERROR(L633/J633,0)</x:f>
        <x:v>0.03054662379421222</x:v>
      </x:c>
      <x:c r="L633" s="95" t="n">
        <x:v>19</x:v>
      </x:c>
      <x:c r="M633" s="97" t="n">
        <x:v>0.285</x:v>
      </x:c>
      <x:c r="N633" s="97" t="n">
        <x:f>ROUND(L633*M633,2)</x:f>
        <x:v>5.41</x:v>
      </x:c>
      <x:c r="O633" s="94" t="n">
        <x:v>8</x:v>
      </x:c>
      <x:c r="P633" s="94" t="str">
        <x:v>模拟：Google/Microsoft Ads采购导入</x:v>
      </x:c>
    </x:row>
    <x:row r="634">
      <x:c r="A634" s="92" t="str">
        <x:v>PROC-0633</x:v>
      </x:c>
      <x:c r="B634" s="93" t="n">
        <x:v>46137</x:v>
      </x:c>
      <x:c r="C634" s="94" t="str">
        <x:v>Google Ads</x:v>
      </x:c>
      <x:c r="D634" s="94" t="str">
        <x:v>英国</x:v>
      </x:c>
      <x:c r="E634" s="94" t="str">
        <x:v>GGL-C13</x:v>
      </x:c>
      <x:c r="F634" s="94" t="str">
        <x:v>购物广告</x:v>
      </x:c>
      <x:c r="G634" s="94" t="str">
        <x:v>折扣商品</x:v>
      </x:c>
      <x:c r="H634" s="94" t="str">
        <x:v>移动端</x:v>
      </x:c>
      <x:c r="I634" s="94" t="str">
        <x:v>CPC</x:v>
      </x:c>
      <x:c r="J634" s="95" t="n">
        <x:v>764</x:v>
      </x:c>
      <x:c r="K634" s="96" t="n">
        <x:f>IFERROR(L634/J634,0)</x:f>
        <x:v>0.03664921465968586</x:v>
      </x:c>
      <x:c r="L634" s="95" t="n">
        <x:v>28</x:v>
      </x:c>
      <x:c r="M634" s="97" t="n">
        <x:v>0.3701</x:v>
      </x:c>
      <x:c r="N634" s="97" t="n">
        <x:f>ROUND(L634*M634,2)</x:f>
        <x:v>10.36</x:v>
      </x:c>
      <x:c r="O634" s="94" t="n">
        <x:v>8</x:v>
      </x:c>
      <x:c r="P634" s="94" t="str">
        <x:v>模拟：Google/Microsoft Ads采购导入</x:v>
      </x:c>
    </x:row>
    <x:row r="635">
      <x:c r="A635" s="92" t="str">
        <x:v>PROC-0634</x:v>
      </x:c>
      <x:c r="B635" s="93" t="n">
        <x:v>46137</x:v>
      </x:c>
      <x:c r="C635" s="94" t="str">
        <x:v>Google Ads</x:v>
      </x:c>
      <x:c r="D635" s="94" t="str">
        <x:v>美国</x:v>
      </x:c>
      <x:c r="E635" s="94" t="str">
        <x:v>GGL-C18</x:v>
      </x:c>
      <x:c r="F635" s="94" t="str">
        <x:v>通用搜索</x:v>
      </x:c>
      <x:c r="G635" s="94" t="str">
        <x:v>热门新品</x:v>
      </x:c>
      <x:c r="H635" s="94" t="str">
        <x:v>桌面端</x:v>
      </x:c>
      <x:c r="I635" s="94" t="str">
        <x:v>CPC</x:v>
      </x:c>
      <x:c r="J635" s="95" t="n">
        <x:v>767</x:v>
      </x:c>
      <x:c r="K635" s="96" t="n">
        <x:f>IFERROR(L635/J635,0)</x:f>
        <x:v>0.04041720990873533</x:v>
      </x:c>
      <x:c r="L635" s="95" t="n">
        <x:v>31</x:v>
      </x:c>
      <x:c r="M635" s="97" t="n">
        <x:v>0.3574</x:v>
      </x:c>
      <x:c r="N635" s="97" t="n">
        <x:f>ROUND(L635*M635,2)</x:f>
        <x:v>11.08</x:v>
      </x:c>
      <x:c r="O635" s="94" t="n">
        <x:v>6</x:v>
      </x:c>
      <x:c r="P635" s="94" t="str">
        <x:v>模拟：Google/Microsoft Ads采购导入</x:v>
      </x:c>
    </x:row>
    <x:row r="636">
      <x:c r="A636" s="92" t="str">
        <x:v>PROC-0635</x:v>
      </x:c>
      <x:c r="B636" s="93" t="n">
        <x:v>46137</x:v>
      </x:c>
      <x:c r="C636" s="94" t="str">
        <x:v>Google Ads</x:v>
      </x:c>
      <x:c r="D636" s="94" t="str">
        <x:v>英国</x:v>
      </x:c>
      <x:c r="E636" s="94" t="str">
        <x:v>GGL-C02</x:v>
      </x:c>
      <x:c r="F636" s="94" t="str">
        <x:v>竞品搜索</x:v>
      </x:c>
      <x:c r="G636" s="94" t="str">
        <x:v>竞品评测</x:v>
      </x:c>
      <x:c r="H636" s="94" t="str">
        <x:v>移动端</x:v>
      </x:c>
      <x:c r="I636" s="94" t="str">
        <x:v>CPC</x:v>
      </x:c>
      <x:c r="J636" s="95" t="n">
        <x:v>594</x:v>
      </x:c>
      <x:c r="K636" s="96" t="n">
        <x:f>IFERROR(L636/J636,0)</x:f>
        <x:v>0.03367003367003367</x:v>
      </x:c>
      <x:c r="L636" s="95" t="n">
        <x:v>20</x:v>
      </x:c>
      <x:c r="M636" s="97" t="n">
        <x:v>0.4316</x:v>
      </x:c>
      <x:c r="N636" s="97" t="n">
        <x:f>ROUND(L636*M636,2)</x:f>
        <x:v>8.63</x:v>
      </x:c>
      <x:c r="O636" s="94" t="n">
        <x:v>8</x:v>
      </x:c>
      <x:c r="P636" s="94" t="str">
        <x:v>模拟：Google/Microsoft Ads采购导入</x:v>
      </x:c>
    </x:row>
    <x:row r="637">
      <x:c r="A637" s="92" t="str">
        <x:v>PROC-0636</x:v>
      </x:c>
      <x:c r="B637" s="93" t="n">
        <x:v>46137</x:v>
      </x:c>
      <x:c r="C637" s="94" t="str">
        <x:v>Google Ads</x:v>
      </x:c>
      <x:c r="D637" s="94" t="str">
        <x:v>德国</x:v>
      </x:c>
      <x:c r="E637" s="94" t="str">
        <x:v>GGL-C07</x:v>
      </x:c>
      <x:c r="F637" s="94" t="str">
        <x:v>通用搜索</x:v>
      </x:c>
      <x:c r="G637" s="94" t="str">
        <x:v>实用礼物</x:v>
      </x:c>
      <x:c r="H637" s="94" t="str">
        <x:v>移动端</x:v>
      </x:c>
      <x:c r="I637" s="94" t="str">
        <x:v>CPC</x:v>
      </x:c>
      <x:c r="J637" s="95" t="n">
        <x:v>1478</x:v>
      </x:c>
      <x:c r="K637" s="96" t="n">
        <x:f>IFERROR(L637/J637,0)</x:f>
        <x:v>0.029769959404600813</x:v>
      </x:c>
      <x:c r="L637" s="95" t="n">
        <x:v>44</x:v>
      </x:c>
      <x:c r="M637" s="97" t="n">
        <x:v>0.2425</x:v>
      </x:c>
      <x:c r="N637" s="97" t="n">
        <x:f>ROUND(L637*M637,2)</x:f>
        <x:v>10.67</x:v>
      </x:c>
      <x:c r="O637" s="94" t="n">
        <x:v>7</x:v>
      </x:c>
      <x:c r="P637" s="94" t="str">
        <x:v>模拟：Google/Microsoft Ads采购导入</x:v>
      </x:c>
    </x:row>
    <x:row r="638">
      <x:c r="A638" s="92" t="str">
        <x:v>PROC-0637</x:v>
      </x:c>
      <x:c r="B638" s="93" t="n">
        <x:v>46138</x:v>
      </x:c>
      <x:c r="C638" s="94" t="str">
        <x:v>Google Ads</x:v>
      </x:c>
      <x:c r="D638" s="94" t="str">
        <x:v>美国</x:v>
      </x:c>
      <x:c r="E638" s="94" t="str">
        <x:v>GGL-C17</x:v>
      </x:c>
      <x:c r="F638" s="94" t="str">
        <x:v>购物广告</x:v>
      </x:c>
      <x:c r="G638" s="94" t="str">
        <x:v>畅销商品</x:v>
      </x:c>
      <x:c r="H638" s="94" t="str">
        <x:v>移动端</x:v>
      </x:c>
      <x:c r="I638" s="94" t="str">
        <x:v>CPC</x:v>
      </x:c>
      <x:c r="J638" s="95" t="n">
        <x:v>1176</x:v>
      </x:c>
      <x:c r="K638" s="96" t="n">
        <x:f>IFERROR(L638/J638,0)</x:f>
        <x:v>0.0467687074829932</x:v>
      </x:c>
      <x:c r="L638" s="95" t="n">
        <x:v>55</x:v>
      </x:c>
      <x:c r="M638" s="97" t="n">
        <x:v>0.4308</x:v>
      </x:c>
      <x:c r="N638" s="97" t="n">
        <x:f>ROUND(L638*M638,2)</x:f>
        <x:v>23.69</x:v>
      </x:c>
      <x:c r="O638" s="94" t="n">
        <x:v>6</x:v>
      </x:c>
      <x:c r="P638" s="94" t="str">
        <x:v>模拟：Google/Microsoft Ads采购导入</x:v>
      </x:c>
    </x:row>
    <x:row r="639">
      <x:c r="A639" s="92" t="str">
        <x:v>PROC-0638</x:v>
      </x:c>
      <x:c r="B639" s="93" t="n">
        <x:v>46138</x:v>
      </x:c>
      <x:c r="C639" s="94" t="str">
        <x:v>Google Ads</x:v>
      </x:c>
      <x:c r="D639" s="94" t="str">
        <x:v>美国</x:v>
      </x:c>
      <x:c r="E639" s="94" t="str">
        <x:v>GGL-C20</x:v>
      </x:c>
      <x:c r="F639" s="94" t="str">
        <x:v>品牌搜索</x:v>
      </x:c>
      <x:c r="G639" s="94" t="str">
        <x:v>品牌型号词</x:v>
      </x:c>
      <x:c r="H639" s="94" t="str">
        <x:v>移动端</x:v>
      </x:c>
      <x:c r="I639" s="94" t="str">
        <x:v>CPC</x:v>
      </x:c>
      <x:c r="J639" s="95" t="n">
        <x:v>1320</x:v>
      </x:c>
      <x:c r="K639" s="96" t="n">
        <x:f>IFERROR(L639/J639,0)</x:f>
        <x:v>0.04924242424242424</x:v>
      </x:c>
      <x:c r="L639" s="95" t="n">
        <x:v>65</x:v>
      </x:c>
      <x:c r="M639" s="97" t="n">
        <x:v>0.2499</x:v>
      </x:c>
      <x:c r="N639" s="97" t="n">
        <x:f>ROUND(L639*M639,2)</x:f>
        <x:v>16.24</x:v>
      </x:c>
      <x:c r="O639" s="94" t="n">
        <x:v>10</x:v>
      </x:c>
      <x:c r="P639" s="94" t="str">
        <x:v>模拟：Google/Microsoft Ads采购导入</x:v>
      </x:c>
    </x:row>
    <x:row r="640">
      <x:c r="A640" s="92" t="str">
        <x:v>PROC-0639</x:v>
      </x:c>
      <x:c r="B640" s="93" t="n">
        <x:v>46138</x:v>
      </x:c>
      <x:c r="C640" s="94" t="str">
        <x:v>Microsoft Ads</x:v>
      </x:c>
      <x:c r="D640" s="94" t="str">
        <x:v>美国</x:v>
      </x:c>
      <x:c r="E640" s="94" t="str">
        <x:v>MSA-C07</x:v>
      </x:c>
      <x:c r="F640" s="94" t="str">
        <x:v>购物广告</x:v>
      </x:c>
      <x:c r="G640" s="94" t="str">
        <x:v>高评分商品</x:v>
      </x:c>
      <x:c r="H640" s="94" t="str">
        <x:v>移动端</x:v>
      </x:c>
      <x:c r="I640" s="94" t="str">
        <x:v>CPC</x:v>
      </x:c>
      <x:c r="J640" s="95" t="n">
        <x:v>1612</x:v>
      </x:c>
      <x:c r="K640" s="96" t="n">
        <x:f>IFERROR(L640/J640,0)</x:f>
        <x:v>0.04094292803970223</x:v>
      </x:c>
      <x:c r="L640" s="95" t="n">
        <x:v>66</x:v>
      </x:c>
      <x:c r="M640" s="97" t="n">
        <x:v>0.2308</x:v>
      </x:c>
      <x:c r="N640" s="97" t="n">
        <x:f>ROUND(L640*M640,2)</x:f>
        <x:v>15.23</x:v>
      </x:c>
      <x:c r="O640" s="94" t="n">
        <x:v>7</x:v>
      </x:c>
      <x:c r="P640" s="94" t="str">
        <x:v>模拟：Google/Microsoft Ads采购导入</x:v>
      </x:c>
    </x:row>
    <x:row r="641">
      <x:c r="A641" s="92" t="str">
        <x:v>PROC-0640</x:v>
      </x:c>
      <x:c r="B641" s="93" t="n">
        <x:v>46138</x:v>
      </x:c>
      <x:c r="C641" s="94" t="str">
        <x:v>Google Ads</x:v>
      </x:c>
      <x:c r="D641" s="94" t="str">
        <x:v>美国</x:v>
      </x:c>
      <x:c r="E641" s="94" t="str">
        <x:v>GGL-C12</x:v>
      </x:c>
      <x:c r="F641" s="94" t="str">
        <x:v>购物广告</x:v>
      </x:c>
      <x:c r="G641" s="94" t="str">
        <x:v>价格比较</x:v>
      </x:c>
      <x:c r="H641" s="94" t="str">
        <x:v>移动端</x:v>
      </x:c>
      <x:c r="I641" s="94" t="str">
        <x:v>CPC</x:v>
      </x:c>
      <x:c r="J641" s="95" t="n">
        <x:v>759</x:v>
      </x:c>
      <x:c r="K641" s="96" t="n">
        <x:f>IFERROR(L641/J641,0)</x:f>
        <x:v>0.04216073781291173</x:v>
      </x:c>
      <x:c r="L641" s="95" t="n">
        <x:v>32</x:v>
      </x:c>
      <x:c r="M641" s="97" t="n">
        <x:v>0.3147</x:v>
      </x:c>
      <x:c r="N641" s="97" t="n">
        <x:f>ROUND(L641*M641,2)</x:f>
        <x:v>10.07</x:v>
      </x:c>
      <x:c r="O641" s="94" t="n">
        <x:v>8</x:v>
      </x:c>
      <x:c r="P641" s="94" t="str">
        <x:v>模拟：Google/Microsoft Ads采购导入</x:v>
      </x:c>
    </x:row>
    <x:row r="642">
      <x:c r="A642" s="92" t="str">
        <x:v>PROC-0641</x:v>
      </x:c>
      <x:c r="B642" s="93" t="n">
        <x:v>46138</x:v>
      </x:c>
      <x:c r="C642" s="94" t="str">
        <x:v>Google Ads</x:v>
      </x:c>
      <x:c r="D642" s="94" t="str">
        <x:v>美国</x:v>
      </x:c>
      <x:c r="E642" s="94" t="str">
        <x:v>GGL-C20</x:v>
      </x:c>
      <x:c r="F642" s="94" t="str">
        <x:v>品牌搜索</x:v>
      </x:c>
      <x:c r="G642" s="94" t="str">
        <x:v>品牌评测词</x:v>
      </x:c>
      <x:c r="H642" s="94" t="str">
        <x:v>移动端</x:v>
      </x:c>
      <x:c r="I642" s="94" t="str">
        <x:v>CPC</x:v>
      </x:c>
      <x:c r="J642" s="95" t="n">
        <x:v>803</x:v>
      </x:c>
      <x:c r="K642" s="96" t="n">
        <x:f>IFERROR(L642/J642,0)</x:f>
        <x:v>0.06102117061021171</x:v>
      </x:c>
      <x:c r="L642" s="95" t="n">
        <x:v>49</x:v>
      </x:c>
      <x:c r="M642" s="97" t="n">
        <x:v>0.2191</x:v>
      </x:c>
      <x:c r="N642" s="97" t="n">
        <x:f>ROUND(L642*M642,2)</x:f>
        <x:v>10.74</x:v>
      </x:c>
      <x:c r="O642" s="94" t="n">
        <x:v>9</x:v>
      </x:c>
      <x:c r="P642" s="94" t="str">
        <x:v>模拟：Google/Microsoft Ads采购导入</x:v>
      </x:c>
    </x:row>
    <x:row r="643">
      <x:c r="A643" s="92" t="str">
        <x:v>PROC-0642</x:v>
      </x:c>
      <x:c r="B643" s="93" t="n">
        <x:v>46139</x:v>
      </x:c>
      <x:c r="C643" s="94" t="str">
        <x:v>Google Ads</x:v>
      </x:c>
      <x:c r="D643" s="94" t="str">
        <x:v>美国</x:v>
      </x:c>
      <x:c r="E643" s="94" t="str">
        <x:v>GGL-C24</x:v>
      </x:c>
      <x:c r="F643" s="94" t="str">
        <x:v>通用搜索</x:v>
      </x:c>
      <x:c r="G643" s="94" t="str">
        <x:v>高性价比商品</x:v>
      </x:c>
      <x:c r="H643" s="94" t="str">
        <x:v>桌面端</x:v>
      </x:c>
      <x:c r="I643" s="94" t="str">
        <x:v>CPC</x:v>
      </x:c>
      <x:c r="J643" s="95" t="n">
        <x:v>1311</x:v>
      </x:c>
      <x:c r="K643" s="96" t="n">
        <x:f>IFERROR(L643/J643,0)</x:f>
        <x:v>0.04042715484363082</x:v>
      </x:c>
      <x:c r="L643" s="95" t="n">
        <x:v>53</x:v>
      </x:c>
      <x:c r="M643" s="97" t="n">
        <x:v>0.3278</x:v>
      </x:c>
      <x:c r="N643" s="97" t="n">
        <x:f>ROUND(L643*M643,2)</x:f>
        <x:v>17.37</x:v>
      </x:c>
      <x:c r="O643" s="94" t="n">
        <x:v>8</x:v>
      </x:c>
      <x:c r="P643" s="94" t="str">
        <x:v>模拟：Google/Microsoft Ads采购导入</x:v>
      </x:c>
    </x:row>
    <x:row r="644">
      <x:c r="A644" s="92" t="str">
        <x:v>PROC-0643</x:v>
      </x:c>
      <x:c r="B644" s="93" t="n">
        <x:v>46139</x:v>
      </x:c>
      <x:c r="C644" s="94" t="str">
        <x:v>Google Ads</x:v>
      </x:c>
      <x:c r="D644" s="94" t="str">
        <x:v>日本</x:v>
      </x:c>
      <x:c r="E644" s="94" t="str">
        <x:v>GGL-C09</x:v>
      </x:c>
      <x:c r="F644" s="94" t="str">
        <x:v>通用搜索</x:v>
      </x:c>
      <x:c r="G644" s="94" t="str">
        <x:v>实用礼物</x:v>
      </x:c>
      <x:c r="H644" s="94" t="str">
        <x:v>移动端</x:v>
      </x:c>
      <x:c r="I644" s="94" t="str">
        <x:v>CPC</x:v>
      </x:c>
      <x:c r="J644" s="95" t="n">
        <x:v>1327</x:v>
      </x:c>
      <x:c r="K644" s="96" t="n">
        <x:f>IFERROR(L644/J644,0)</x:f>
        <x:v>0.031650339110776186</x:v>
      </x:c>
      <x:c r="L644" s="95" t="n">
        <x:v>42</x:v>
      </x:c>
      <x:c r="M644" s="97" t="n">
        <x:v>0.278</x:v>
      </x:c>
      <x:c r="N644" s="97" t="n">
        <x:f>ROUND(L644*M644,2)</x:f>
        <x:v>11.68</x:v>
      </x:c>
      <x:c r="O644" s="94" t="n">
        <x:v>9</x:v>
      </x:c>
      <x:c r="P644" s="94" t="str">
        <x:v>模拟：Google/Microsoft Ads采购导入</x:v>
      </x:c>
    </x:row>
    <x:row r="645">
      <x:c r="A645" s="92" t="str">
        <x:v>PROC-0644</x:v>
      </x:c>
      <x:c r="B645" s="93" t="n">
        <x:v>46139</x:v>
      </x:c>
      <x:c r="C645" s="94" t="str">
        <x:v>Google Ads</x:v>
      </x:c>
      <x:c r="D645" s="94" t="str">
        <x:v>英国</x:v>
      </x:c>
      <x:c r="E645" s="94" t="str">
        <x:v>GGL-C18</x:v>
      </x:c>
      <x:c r="F645" s="94" t="str">
        <x:v>通用搜索</x:v>
      </x:c>
      <x:c r="G645" s="94" t="str">
        <x:v>家庭必备</x:v>
      </x:c>
      <x:c r="H645" s="94" t="str">
        <x:v>桌面端</x:v>
      </x:c>
      <x:c r="I645" s="94" t="str">
        <x:v>CPC</x:v>
      </x:c>
      <x:c r="J645" s="95" t="n">
        <x:v>1457</x:v>
      </x:c>
      <x:c r="K645" s="96" t="n">
        <x:f>IFERROR(L645/J645,0)</x:f>
        <x:v>0.04118050789293068</x:v>
      </x:c>
      <x:c r="L645" s="95" t="n">
        <x:v>60</x:v>
      </x:c>
      <x:c r="M645" s="97" t="n">
        <x:v>0.2587</x:v>
      </x:c>
      <x:c r="N645" s="97" t="n">
        <x:f>ROUND(L645*M645,2)</x:f>
        <x:v>15.52</x:v>
      </x:c>
      <x:c r="O645" s="94" t="n">
        <x:v>6</x:v>
      </x:c>
      <x:c r="P645" s="94" t="str">
        <x:v>模拟：Google/Microsoft Ads采购导入</x:v>
      </x:c>
    </x:row>
    <x:row r="646">
      <x:c r="A646" s="92" t="str">
        <x:v>PROC-0645</x:v>
      </x:c>
      <x:c r="B646" s="93" t="n">
        <x:v>46139</x:v>
      </x:c>
      <x:c r="C646" s="94" t="str">
        <x:v>Google Ads</x:v>
      </x:c>
      <x:c r="D646" s="94" t="str">
        <x:v>德国</x:v>
      </x:c>
      <x:c r="E646" s="94" t="str">
        <x:v>GGL-C21</x:v>
      </x:c>
      <x:c r="F646" s="94" t="str">
        <x:v>竞品搜索</x:v>
      </x:c>
      <x:c r="G646" s="94" t="str">
        <x:v>替代品比较</x:v>
      </x:c>
      <x:c r="H646" s="94" t="str">
        <x:v>平板</x:v>
      </x:c>
      <x:c r="I646" s="94" t="str">
        <x:v>CPC</x:v>
      </x:c>
      <x:c r="J646" s="95" t="n">
        <x:v>577</x:v>
      </x:c>
      <x:c r="K646" s="96" t="n">
        <x:f>IFERROR(L646/J646,0)</x:f>
        <x:v>0.025996533795493933</x:v>
      </x:c>
      <x:c r="L646" s="95" t="n">
        <x:v>15</x:v>
      </x:c>
      <x:c r="M646" s="97" t="n">
        <x:v>0.3649</x:v>
      </x:c>
      <x:c r="N646" s="97" t="n">
        <x:f>ROUND(L646*M646,2)</x:f>
        <x:v>5.47</x:v>
      </x:c>
      <x:c r="O646" s="94" t="n">
        <x:v>7</x:v>
      </x:c>
      <x:c r="P646" s="94" t="str">
        <x:v>模拟：Google/Microsoft Ads采购导入</x:v>
      </x:c>
    </x:row>
    <x:row r="647">
      <x:c r="A647" s="92" t="str">
        <x:v>PROC-0646</x:v>
      </x:c>
      <x:c r="B647" s="93" t="n">
        <x:v>46139</x:v>
      </x:c>
      <x:c r="C647" s="94" t="str">
        <x:v>Microsoft Ads</x:v>
      </x:c>
      <x:c r="D647" s="94" t="str">
        <x:v>德国</x:v>
      </x:c>
      <x:c r="E647" s="94" t="str">
        <x:v>MSA-C08</x:v>
      </x:c>
      <x:c r="F647" s="94" t="str">
        <x:v>购物广告</x:v>
      </x:c>
      <x:c r="G647" s="94" t="str">
        <x:v>高评分商品</x:v>
      </x:c>
      <x:c r="H647" s="94" t="str">
        <x:v>移动端</x:v>
      </x:c>
      <x:c r="I647" s="94" t="str">
        <x:v>CPC</x:v>
      </x:c>
      <x:c r="J647" s="95" t="n">
        <x:v>1051</x:v>
      </x:c>
      <x:c r="K647" s="96" t="n">
        <x:f>IFERROR(L647/J647,0)</x:f>
        <x:v>0.039961941008563276</x:v>
      </x:c>
      <x:c r="L647" s="95" t="n">
        <x:v>42</x:v>
      </x:c>
      <x:c r="M647" s="97" t="n">
        <x:v>0.244</x:v>
      </x:c>
      <x:c r="N647" s="97" t="n">
        <x:f>ROUND(L647*M647,2)</x:f>
        <x:v>10.25</x:v>
      </x:c>
      <x:c r="O647" s="94" t="n">
        <x:v>8</x:v>
      </x:c>
      <x:c r="P647" s="94" t="str">
        <x:v>模拟：Google/Microsoft Ads采购导入</x:v>
      </x:c>
    </x:row>
    <x:row r="648">
      <x:c r="A648" s="92" t="str">
        <x:v>PROC-0647</x:v>
      </x:c>
      <x:c r="B648" s="93" t="n">
        <x:v>46139</x:v>
      </x:c>
      <x:c r="C648" s="94" t="str">
        <x:v>Google Ads</x:v>
      </x:c>
      <x:c r="D648" s="94" t="str">
        <x:v>美国</x:v>
      </x:c>
      <x:c r="E648" s="94" t="str">
        <x:v>GGL-C14</x:v>
      </x:c>
      <x:c r="F648" s="94" t="str">
        <x:v>通用搜索</x:v>
      </x:c>
      <x:c r="G648" s="94" t="str">
        <x:v>专业精选</x:v>
      </x:c>
      <x:c r="H648" s="94" t="str">
        <x:v>移动端</x:v>
      </x:c>
      <x:c r="I648" s="94" t="str">
        <x:v>CPC</x:v>
      </x:c>
      <x:c r="J648" s="95" t="n">
        <x:v>1338</x:v>
      </x:c>
      <x:c r="K648" s="96" t="n">
        <x:f>IFERROR(L648/J648,0)</x:f>
        <x:v>0.03811659192825112</x:v>
      </x:c>
      <x:c r="L648" s="95" t="n">
        <x:v>51</x:v>
      </x:c>
      <x:c r="M648" s="97" t="n">
        <x:v>0.3059</x:v>
      </x:c>
      <x:c r="N648" s="97" t="n">
        <x:f>ROUND(L648*M648,2)</x:f>
        <x:v>15.6</x:v>
      </x:c>
      <x:c r="O648" s="94" t="n">
        <x:v>9</x:v>
      </x:c>
      <x:c r="P648" s="94" t="str">
        <x:v>模拟：Google/Microsoft Ads采购导入</x:v>
      </x:c>
    </x:row>
    <x:row r="649">
      <x:c r="A649" s="92" t="str">
        <x:v>PROC-0648</x:v>
      </x:c>
      <x:c r="B649" s="93" t="n">
        <x:v>46140</x:v>
      </x:c>
      <x:c r="C649" s="94" t="str">
        <x:v>Google Ads</x:v>
      </x:c>
      <x:c r="D649" s="94" t="str">
        <x:v>英国</x:v>
      </x:c>
      <x:c r="E649" s="94" t="str">
        <x:v>GGL-C19</x:v>
      </x:c>
      <x:c r="F649" s="94" t="str">
        <x:v>购物广告</x:v>
      </x:c>
      <x:c r="G649" s="94" t="str">
        <x:v>高评分商品</x:v>
      </x:c>
      <x:c r="H649" s="94" t="str">
        <x:v>移动端</x:v>
      </x:c>
      <x:c r="I649" s="94" t="str">
        <x:v>CPC</x:v>
      </x:c>
      <x:c r="J649" s="95" t="n">
        <x:v>1087</x:v>
      </x:c>
      <x:c r="K649" s="96" t="n">
        <x:f>IFERROR(L649/J649,0)</x:f>
        <x:v>0.045078196872125116</x:v>
      </x:c>
      <x:c r="L649" s="95" t="n">
        <x:v>49</x:v>
      </x:c>
      <x:c r="M649" s="97" t="n">
        <x:v>0.3242</x:v>
      </x:c>
      <x:c r="N649" s="97" t="n">
        <x:f>ROUND(L649*M649,2)</x:f>
        <x:v>15.89</x:v>
      </x:c>
      <x:c r="O649" s="94" t="n">
        <x:v>7</x:v>
      </x:c>
      <x:c r="P649" s="94" t="str">
        <x:v>模拟：Google/Microsoft Ads采购导入</x:v>
      </x:c>
    </x:row>
    <x:row r="650">
      <x:c r="A650" s="92" t="str">
        <x:v>PROC-0649</x:v>
      </x:c>
      <x:c r="B650" s="93" t="n">
        <x:v>46140</x:v>
      </x:c>
      <x:c r="C650" s="94" t="str">
        <x:v>Google Ads</x:v>
      </x:c>
      <x:c r="D650" s="94" t="str">
        <x:v>德国</x:v>
      </x:c>
      <x:c r="E650" s="94" t="str">
        <x:v>GGL-C02</x:v>
      </x:c>
      <x:c r="F650" s="94" t="str">
        <x:v>购物广告</x:v>
      </x:c>
      <x:c r="G650" s="94" t="str">
        <x:v>高评分商品</x:v>
      </x:c>
      <x:c r="H650" s="94" t="str">
        <x:v>桌面端</x:v>
      </x:c>
      <x:c r="I650" s="94" t="str">
        <x:v>CPC</x:v>
      </x:c>
      <x:c r="J650" s="95" t="n">
        <x:v>1337</x:v>
      </x:c>
      <x:c r="K650" s="96" t="n">
        <x:f>IFERROR(L650/J650,0)</x:f>
        <x:v>0.048616305160807775</x:v>
      </x:c>
      <x:c r="L650" s="95" t="n">
        <x:v>65</x:v>
      </x:c>
      <x:c r="M650" s="97" t="n">
        <x:v>0.3344</x:v>
      </x:c>
      <x:c r="N650" s="97" t="n">
        <x:f>ROUND(L650*M650,2)</x:f>
        <x:v>21.74</x:v>
      </x:c>
      <x:c r="O650" s="94" t="n">
        <x:v>7</x:v>
      </x:c>
      <x:c r="P650" s="94" t="str">
        <x:v>模拟：Google/Microsoft Ads采购导入</x:v>
      </x:c>
    </x:row>
    <x:row r="651">
      <x:c r="A651" s="92" t="str">
        <x:v>PROC-0650</x:v>
      </x:c>
      <x:c r="B651" s="93" t="n">
        <x:v>46140</x:v>
      </x:c>
      <x:c r="C651" s="94" t="str">
        <x:v>Google Ads</x:v>
      </x:c>
      <x:c r="D651" s="94" t="str">
        <x:v>美国</x:v>
      </x:c>
      <x:c r="E651" s="94" t="str">
        <x:v>GGL-C09</x:v>
      </x:c>
      <x:c r="F651" s="94" t="str">
        <x:v>竞品搜索</x:v>
      </x:c>
      <x:c r="G651" s="94" t="str">
        <x:v>同类产品对比</x:v>
      </x:c>
      <x:c r="H651" s="94" t="str">
        <x:v>移动端</x:v>
      </x:c>
      <x:c r="I651" s="94" t="str">
        <x:v>CPC</x:v>
      </x:c>
      <x:c r="J651" s="95" t="n">
        <x:v>1017</x:v>
      </x:c>
      <x:c r="K651" s="96" t="n">
        <x:f>IFERROR(L651/J651,0)</x:f>
        <x:v>0.0344149459193707</x:v>
      </x:c>
      <x:c r="L651" s="95" t="n">
        <x:v>35</x:v>
      </x:c>
      <x:c r="M651" s="97" t="n">
        <x:v>0.4851</x:v>
      </x:c>
      <x:c r="N651" s="97" t="n">
        <x:f>ROUND(L651*M651,2)</x:f>
        <x:v>16.98</x:v>
      </x:c>
      <x:c r="O651" s="94" t="n">
        <x:v>6</x:v>
      </x:c>
      <x:c r="P651" s="94" t="str">
        <x:v>模拟：Google/Microsoft Ads采购导入</x:v>
      </x:c>
    </x:row>
    <x:row r="652">
      <x:c r="A652" s="92" t="str">
        <x:v>PROC-0651</x:v>
      </x:c>
      <x:c r="B652" s="93" t="n">
        <x:v>46140</x:v>
      </x:c>
      <x:c r="C652" s="94" t="str">
        <x:v>Microsoft Ads</x:v>
      </x:c>
      <x:c r="D652" s="94" t="str">
        <x:v>日本</x:v>
      </x:c>
      <x:c r="E652" s="94" t="str">
        <x:v>MSA-C17</x:v>
      </x:c>
      <x:c r="F652" s="94" t="str">
        <x:v>购物广告</x:v>
      </x:c>
      <x:c r="G652" s="94" t="str">
        <x:v>畅销商品</x:v>
      </x:c>
      <x:c r="H652" s="94" t="str">
        <x:v>移动端</x:v>
      </x:c>
      <x:c r="I652" s="94" t="str">
        <x:v>CPC</x:v>
      </x:c>
      <x:c r="J652" s="95" t="n">
        <x:v>1482</x:v>
      </x:c>
      <x:c r="K652" s="96" t="n">
        <x:f>IFERROR(L652/J652,0)</x:f>
        <x:v>0.04251012145748988</x:v>
      </x:c>
      <x:c r="L652" s="95" t="n">
        <x:v>63</x:v>
      </x:c>
      <x:c r="M652" s="97" t="n">
        <x:v>0.2543</x:v>
      </x:c>
      <x:c r="N652" s="97" t="n">
        <x:f>ROUND(L652*M652,2)</x:f>
        <x:v>16.02</x:v>
      </x:c>
      <x:c r="O652" s="94" t="n">
        <x:v>7</x:v>
      </x:c>
      <x:c r="P652" s="94" t="str">
        <x:v>模拟：Google/Microsoft Ads采购导入</x:v>
      </x:c>
    </x:row>
    <x:row r="653">
      <x:c r="A653" s="92" t="str">
        <x:v>PROC-0652</x:v>
      </x:c>
      <x:c r="B653" s="93" t="n">
        <x:v>46140</x:v>
      </x:c>
      <x:c r="C653" s="94" t="str">
        <x:v>Microsoft Ads</x:v>
      </x:c>
      <x:c r="D653" s="94" t="str">
        <x:v>英国</x:v>
      </x:c>
      <x:c r="E653" s="94" t="str">
        <x:v>MSA-C24</x:v>
      </x:c>
      <x:c r="F653" s="94" t="str">
        <x:v>通用搜索</x:v>
      </x:c>
      <x:c r="G653" s="94" t="str">
        <x:v>家庭必备</x:v>
      </x:c>
      <x:c r="H653" s="94" t="str">
        <x:v>移动端</x:v>
      </x:c>
      <x:c r="I653" s="94" t="str">
        <x:v>CPC</x:v>
      </x:c>
      <x:c r="J653" s="95" t="n">
        <x:v>906</x:v>
      </x:c>
      <x:c r="K653" s="96" t="n">
        <x:f>IFERROR(L653/J653,0)</x:f>
        <x:v>0.04304635761589404</x:v>
      </x:c>
      <x:c r="L653" s="95" t="n">
        <x:v>39</x:v>
      </x:c>
      <x:c r="M653" s="97" t="n">
        <x:v>0.2686</x:v>
      </x:c>
      <x:c r="N653" s="97" t="n">
        <x:f>ROUND(L653*M653,2)</x:f>
        <x:v>10.48</x:v>
      </x:c>
      <x:c r="O653" s="94" t="n">
        <x:v>8</x:v>
      </x:c>
      <x:c r="P653" s="94" t="str">
        <x:v>模拟：Google/Microsoft Ads采购导入</x:v>
      </x:c>
    </x:row>
    <x:row r="654">
      <x:c r="A654" s="92" t="str">
        <x:v>PROC-0653</x:v>
      </x:c>
      <x:c r="B654" s="93" t="n">
        <x:v>46141</x:v>
      </x:c>
      <x:c r="C654" s="94" t="str">
        <x:v>Google Ads</x:v>
      </x:c>
      <x:c r="D654" s="94" t="str">
        <x:v>日本</x:v>
      </x:c>
      <x:c r="E654" s="94" t="str">
        <x:v>GGL-C09</x:v>
      </x:c>
      <x:c r="F654" s="94" t="str">
        <x:v>品牌搜索</x:v>
      </x:c>
      <x:c r="G654" s="94" t="str">
        <x:v>品牌配件词</x:v>
      </x:c>
      <x:c r="H654" s="94" t="str">
        <x:v>移动端</x:v>
      </x:c>
      <x:c r="I654" s="94" t="str">
        <x:v>CPC</x:v>
      </x:c>
      <x:c r="J654" s="95" t="n">
        <x:v>955</x:v>
      </x:c>
      <x:c r="K654" s="96" t="n">
        <x:f>IFERROR(L654/J654,0)</x:f>
        <x:v>0.049214659685863874</x:v>
      </x:c>
      <x:c r="L654" s="95" t="n">
        <x:v>47</x:v>
      </x:c>
      <x:c r="M654" s="97" t="n">
        <x:v>0.2099</x:v>
      </x:c>
      <x:c r="N654" s="97" t="n">
        <x:f>ROUND(L654*M654,2)</x:f>
        <x:v>9.87</x:v>
      </x:c>
      <x:c r="O654" s="94" t="n">
        <x:v>9</x:v>
      </x:c>
      <x:c r="P654" s="94" t="str">
        <x:v>模拟：Google/Microsoft Ads采购导入</x:v>
      </x:c>
    </x:row>
    <x:row r="655">
      <x:c r="A655" s="92" t="str">
        <x:v>PROC-0654</x:v>
      </x:c>
      <x:c r="B655" s="93" t="n">
        <x:v>46141</x:v>
      </x:c>
      <x:c r="C655" s="94" t="str">
        <x:v>Microsoft Ads</x:v>
      </x:c>
      <x:c r="D655" s="94" t="str">
        <x:v>日本</x:v>
      </x:c>
      <x:c r="E655" s="94" t="str">
        <x:v>MSA-C13</x:v>
      </x:c>
      <x:c r="F655" s="94" t="str">
        <x:v>竞品搜索</x:v>
      </x:c>
      <x:c r="G655" s="94" t="str">
        <x:v>竞品评测</x:v>
      </x:c>
      <x:c r="H655" s="94" t="str">
        <x:v>移动端</x:v>
      </x:c>
      <x:c r="I655" s="94" t="str">
        <x:v>CPC</x:v>
      </x:c>
      <x:c r="J655" s="95" t="n">
        <x:v>934</x:v>
      </x:c>
      <x:c r="K655" s="96" t="n">
        <x:f>IFERROR(L655/J655,0)</x:f>
        <x:v>0.03640256959314775</x:v>
      </x:c>
      <x:c r="L655" s="95" t="n">
        <x:v>34</x:v>
      </x:c>
      <x:c r="M655" s="97" t="n">
        <x:v>0.2506</x:v>
      </x:c>
      <x:c r="N655" s="97" t="n">
        <x:f>ROUND(L655*M655,2)</x:f>
        <x:v>8.52</x:v>
      </x:c>
      <x:c r="O655" s="94" t="n">
        <x:v>8</x:v>
      </x:c>
      <x:c r="P655" s="94" t="str">
        <x:v>模拟：Google/Microsoft Ads采购导入</x:v>
      </x:c>
    </x:row>
    <x:row r="656">
      <x:c r="A656" s="92" t="str">
        <x:v>PROC-0655</x:v>
      </x:c>
      <x:c r="B656" s="93" t="n">
        <x:v>46141</x:v>
      </x:c>
      <x:c r="C656" s="94" t="str">
        <x:v>Google Ads</x:v>
      </x:c>
      <x:c r="D656" s="94" t="str">
        <x:v>美国</x:v>
      </x:c>
      <x:c r="E656" s="94" t="str">
        <x:v>GGL-C22</x:v>
      </x:c>
      <x:c r="F656" s="94" t="str">
        <x:v>品牌搜索</x:v>
      </x:c>
      <x:c r="G656" s="94" t="str">
        <x:v>品牌购买词</x:v>
      </x:c>
      <x:c r="H656" s="94" t="str">
        <x:v>移动端</x:v>
      </x:c>
      <x:c r="I656" s="94" t="str">
        <x:v>CPC</x:v>
      </x:c>
      <x:c r="J656" s="95" t="n">
        <x:v>1060</x:v>
      </x:c>
      <x:c r="K656" s="96" t="n">
        <x:f>IFERROR(L656/J656,0)</x:f>
        <x:v>0.0660377358490566</x:v>
      </x:c>
      <x:c r="L656" s="95" t="n">
        <x:v>70</x:v>
      </x:c>
      <x:c r="M656" s="97" t="n">
        <x:v>0.2275</x:v>
      </x:c>
      <x:c r="N656" s="97" t="n">
        <x:f>ROUND(L656*M656,2)</x:f>
        <x:v>15.93</x:v>
      </x:c>
      <x:c r="O656" s="94" t="n">
        <x:v>10</x:v>
      </x:c>
      <x:c r="P656" s="94" t="str">
        <x:v>模拟：Google/Microsoft Ads采购导入</x:v>
      </x:c>
    </x:row>
    <x:row r="657">
      <x:c r="A657" s="92" t="str">
        <x:v>PROC-0656</x:v>
      </x:c>
      <x:c r="B657" s="93" t="n">
        <x:v>46141</x:v>
      </x:c>
      <x:c r="C657" s="94" t="str">
        <x:v>Microsoft Ads</x:v>
      </x:c>
      <x:c r="D657" s="94" t="str">
        <x:v>德国</x:v>
      </x:c>
      <x:c r="E657" s="94" t="str">
        <x:v>MSA-C04</x:v>
      </x:c>
      <x:c r="F657" s="94" t="str">
        <x:v>购物广告</x:v>
      </x:c>
      <x:c r="G657" s="94" t="str">
        <x:v>高评分商品</x:v>
      </x:c>
      <x:c r="H657" s="94" t="str">
        <x:v>桌面端</x:v>
      </x:c>
      <x:c r="I657" s="94" t="str">
        <x:v>CPC</x:v>
      </x:c>
      <x:c r="J657" s="95" t="n">
        <x:v>985</x:v>
      </x:c>
      <x:c r="K657" s="96" t="n">
        <x:f>IFERROR(L657/J657,0)</x:f>
        <x:v>0.03959390862944162</x:v>
      </x:c>
      <x:c r="L657" s="95" t="n">
        <x:v>39</x:v>
      </x:c>
      <x:c r="M657" s="97" t="n">
        <x:v>0.2059</x:v>
      </x:c>
      <x:c r="N657" s="97" t="n">
        <x:f>ROUND(L657*M657,2)</x:f>
        <x:v>8.03</x:v>
      </x:c>
      <x:c r="O657" s="94" t="n">
        <x:v>8</x:v>
      </x:c>
      <x:c r="P657" s="94" t="str">
        <x:v>模拟：Google/Microsoft Ads采购导入</x:v>
      </x:c>
    </x:row>
    <x:row r="658">
      <x:c r="A658" s="92" t="str">
        <x:v>PROC-0657</x:v>
      </x:c>
      <x:c r="B658" s="93" t="n">
        <x:v>46141</x:v>
      </x:c>
      <x:c r="C658" s="94" t="str">
        <x:v>Microsoft Ads</x:v>
      </x:c>
      <x:c r="D658" s="94" t="str">
        <x:v>英国</x:v>
      </x:c>
      <x:c r="E658" s="94" t="str">
        <x:v>MSA-C10</x:v>
      </x:c>
      <x:c r="F658" s="94" t="str">
        <x:v>购物广告</x:v>
      </x:c>
      <x:c r="G658" s="94" t="str">
        <x:v>价格比较</x:v>
      </x:c>
      <x:c r="H658" s="94" t="str">
        <x:v>移动端</x:v>
      </x:c>
      <x:c r="I658" s="94" t="str">
        <x:v>CPC</x:v>
      </x:c>
      <x:c r="J658" s="95" t="n">
        <x:v>1587</x:v>
      </x:c>
      <x:c r="K658" s="96" t="n">
        <x:f>IFERROR(L658/J658,0)</x:f>
        <x:v>0.048519218651543794</x:v>
      </x:c>
      <x:c r="L658" s="95" t="n">
        <x:v>77</x:v>
      </x:c>
      <x:c r="M658" s="97" t="n">
        <x:v>0.2876</x:v>
      </x:c>
      <x:c r="N658" s="97" t="n">
        <x:f>ROUND(L658*M658,2)</x:f>
        <x:v>22.15</x:v>
      </x:c>
      <x:c r="O658" s="94" t="n">
        <x:v>9</x:v>
      </x:c>
      <x:c r="P658" s="94" t="str">
        <x:v>模拟：Google/Microsoft Ads采购导入</x:v>
      </x:c>
    </x:row>
    <x:row r="659">
      <x:c r="A659" s="92" t="str">
        <x:v>PROC-0658</x:v>
      </x:c>
      <x:c r="B659" s="93" t="n">
        <x:v>46141</x:v>
      </x:c>
      <x:c r="C659" s="94" t="str">
        <x:v>Google Ads</x:v>
      </x:c>
      <x:c r="D659" s="94" t="str">
        <x:v>英国</x:v>
      </x:c>
      <x:c r="E659" s="94" t="str">
        <x:v>GGL-C17</x:v>
      </x:c>
      <x:c r="F659" s="94" t="str">
        <x:v>购物广告</x:v>
      </x:c>
      <x:c r="G659" s="94" t="str">
        <x:v>价格比较</x:v>
      </x:c>
      <x:c r="H659" s="94" t="str">
        <x:v>移动端</x:v>
      </x:c>
      <x:c r="I659" s="94" t="str">
        <x:v>CPC</x:v>
      </x:c>
      <x:c r="J659" s="95" t="n">
        <x:v>1566</x:v>
      </x:c>
      <x:c r="K659" s="96" t="n">
        <x:f>IFERROR(L659/J659,0)</x:f>
        <x:v>0.04342273307790549</x:v>
      </x:c>
      <x:c r="L659" s="95" t="n">
        <x:v>68</x:v>
      </x:c>
      <x:c r="M659" s="97" t="n">
        <x:v>0.2967</x:v>
      </x:c>
      <x:c r="N659" s="97" t="n">
        <x:f>ROUND(L659*M659,2)</x:f>
        <x:v>20.18</x:v>
      </x:c>
      <x:c r="O659" s="94" t="n">
        <x:v>7</x:v>
      </x:c>
      <x:c r="P659" s="94" t="str">
        <x:v>模拟：Google/Microsoft Ads采购导入</x:v>
      </x:c>
    </x:row>
    <x:row r="660">
      <x:c r="A660" s="92" t="str">
        <x:v>PROC-0659</x:v>
      </x:c>
      <x:c r="B660" s="93" t="n">
        <x:v>46142</x:v>
      </x:c>
      <x:c r="C660" s="94" t="str">
        <x:v>Google Ads</x:v>
      </x:c>
      <x:c r="D660" s="94" t="str">
        <x:v>美国</x:v>
      </x:c>
      <x:c r="E660" s="94" t="str">
        <x:v>GGL-C24</x:v>
      </x:c>
      <x:c r="F660" s="94" t="str">
        <x:v>通用搜索</x:v>
      </x:c>
      <x:c r="G660" s="94" t="str">
        <x:v>家庭必备</x:v>
      </x:c>
      <x:c r="H660" s="94" t="str">
        <x:v>移动端</x:v>
      </x:c>
      <x:c r="I660" s="94" t="str">
        <x:v>CPC</x:v>
      </x:c>
      <x:c r="J660" s="95" t="n">
        <x:v>1379</x:v>
      </x:c>
      <x:c r="K660" s="96" t="n">
        <x:f>IFERROR(L660/J660,0)</x:f>
        <x:v>0.03770848440899202</x:v>
      </x:c>
      <x:c r="L660" s="95" t="n">
        <x:v>52</x:v>
      </x:c>
      <x:c r="M660" s="97" t="n">
        <x:v>0.3797</x:v>
      </x:c>
      <x:c r="N660" s="97" t="n">
        <x:f>ROUND(L660*M660,2)</x:f>
        <x:v>19.74</x:v>
      </x:c>
      <x:c r="O660" s="94" t="n">
        <x:v>8</x:v>
      </x:c>
      <x:c r="P660" s="94" t="str">
        <x:v>模拟：Google/Microsoft Ads采购导入</x:v>
      </x:c>
    </x:row>
    <x:row r="661">
      <x:c r="A661" s="92" t="str">
        <x:v>PROC-0660</x:v>
      </x:c>
      <x:c r="B661" s="93" t="n">
        <x:v>46142</x:v>
      </x:c>
      <x:c r="C661" s="94" t="str">
        <x:v>Google Ads</x:v>
      </x:c>
      <x:c r="D661" s="94" t="str">
        <x:v>日本</x:v>
      </x:c>
      <x:c r="E661" s="94" t="str">
        <x:v>GGL-C07</x:v>
      </x:c>
      <x:c r="F661" s="94" t="str">
        <x:v>品牌搜索</x:v>
      </x:c>
      <x:c r="G661" s="94" t="str">
        <x:v>品牌型号词</x:v>
      </x:c>
      <x:c r="H661" s="94" t="str">
        <x:v>移动端</x:v>
      </x:c>
      <x:c r="I661" s="94" t="str">
        <x:v>CPC</x:v>
      </x:c>
      <x:c r="J661" s="95" t="n">
        <x:v>878</x:v>
      </x:c>
      <x:c r="K661" s="96" t="n">
        <x:f>IFERROR(L661/J661,0)</x:f>
        <x:v>0.05239179954441914</x:v>
      </x:c>
      <x:c r="L661" s="95" t="n">
        <x:v>46</x:v>
      </x:c>
      <x:c r="M661" s="97" t="n">
        <x:v>0.2096</x:v>
      </x:c>
      <x:c r="N661" s="97" t="n">
        <x:f>ROUND(L661*M661,2)</x:f>
        <x:v>9.64</x:v>
      </x:c>
      <x:c r="O661" s="94" t="n">
        <x:v>7</x:v>
      </x:c>
      <x:c r="P661" s="94" t="str">
        <x:v>模拟：Google/Microsoft Ads采购导入</x:v>
      </x:c>
    </x:row>
    <x:row r="662">
      <x:c r="A662" s="92" t="str">
        <x:v>PROC-0661</x:v>
      </x:c>
      <x:c r="B662" s="93" t="n">
        <x:v>46142</x:v>
      </x:c>
      <x:c r="C662" s="94" t="str">
        <x:v>Google Ads</x:v>
      </x:c>
      <x:c r="D662" s="94" t="str">
        <x:v>德国</x:v>
      </x:c>
      <x:c r="E662" s="94" t="str">
        <x:v>GGL-C16</x:v>
      </x:c>
      <x:c r="F662" s="94" t="str">
        <x:v>购物广告</x:v>
      </x:c>
      <x:c r="G662" s="94" t="str">
        <x:v>高评分商品</x:v>
      </x:c>
      <x:c r="H662" s="94" t="str">
        <x:v>移动端</x:v>
      </x:c>
      <x:c r="I662" s="94" t="str">
        <x:v>CPC</x:v>
      </x:c>
      <x:c r="J662" s="95" t="n">
        <x:v>1488</x:v>
      </x:c>
      <x:c r="K662" s="96" t="n">
        <x:f>IFERROR(L662/J662,0)</x:f>
        <x:v>0.0396505376344086</x:v>
      </x:c>
      <x:c r="L662" s="95" t="n">
        <x:v>59</x:v>
      </x:c>
      <x:c r="M662" s="97" t="n">
        <x:v>0.2525</x:v>
      </x:c>
      <x:c r="N662" s="97" t="n">
        <x:f>ROUND(L662*M662,2)</x:f>
        <x:v>14.9</x:v>
      </x:c>
      <x:c r="O662" s="94" t="n">
        <x:v>7</x:v>
      </x:c>
      <x:c r="P662" s="94" t="str">
        <x:v>模拟：Google/Microsoft Ads采购导入</x:v>
      </x:c>
    </x:row>
    <x:row r="663">
      <x:c r="A663" s="92" t="str">
        <x:v>PROC-0662</x:v>
      </x:c>
      <x:c r="B663" s="93" t="n">
        <x:v>46142</x:v>
      </x:c>
      <x:c r="C663" s="94" t="str">
        <x:v>Google Ads</x:v>
      </x:c>
      <x:c r="D663" s="94" t="str">
        <x:v>美国</x:v>
      </x:c>
      <x:c r="E663" s="94" t="str">
        <x:v>GGL-C24</x:v>
      </x:c>
      <x:c r="F663" s="94" t="str">
        <x:v>购物广告</x:v>
      </x:c>
      <x:c r="G663" s="94" t="str">
        <x:v>畅销商品</x:v>
      </x:c>
      <x:c r="H663" s="94" t="str">
        <x:v>移动端</x:v>
      </x:c>
      <x:c r="I663" s="94" t="str">
        <x:v>CPC</x:v>
      </x:c>
      <x:c r="J663" s="95" t="n">
        <x:v>989</x:v>
      </x:c>
      <x:c r="K663" s="96" t="n">
        <x:f>IFERROR(L663/J663,0)</x:f>
        <x:v>0.05358948432760364</x:v>
      </x:c>
      <x:c r="L663" s="95" t="n">
        <x:v>53</x:v>
      </x:c>
      <x:c r="M663" s="97" t="n">
        <x:v>0.4168</x:v>
      </x:c>
      <x:c r="N663" s="97" t="n">
        <x:f>ROUND(L663*M663,2)</x:f>
        <x:v>22.09</x:v>
      </x:c>
      <x:c r="O663" s="94" t="n">
        <x:v>7</x:v>
      </x:c>
      <x:c r="P663" s="94" t="str">
        <x:v>模拟：Google/Microsoft Ads采购导入</x:v>
      </x:c>
    </x:row>
    <x:row r="664">
      <x:c r="A664" s="92" t="str">
        <x:v>PROC-0663</x:v>
      </x:c>
      <x:c r="B664" s="93" t="n">
        <x:v>46142</x:v>
      </x:c>
      <x:c r="C664" s="94" t="str">
        <x:v>Google Ads</x:v>
      </x:c>
      <x:c r="D664" s="94" t="str">
        <x:v>德国</x:v>
      </x:c>
      <x:c r="E664" s="94" t="str">
        <x:v>GGL-C03</x:v>
      </x:c>
      <x:c r="F664" s="94" t="str">
        <x:v>购物广告</x:v>
      </x:c>
      <x:c r="G664" s="94" t="str">
        <x:v>高评分商品</x:v>
      </x:c>
      <x:c r="H664" s="94" t="str">
        <x:v>桌面端</x:v>
      </x:c>
      <x:c r="I664" s="94" t="str">
        <x:v>CPC</x:v>
      </x:c>
      <x:c r="J664" s="95" t="n">
        <x:v>1149</x:v>
      </x:c>
      <x:c r="K664" s="96" t="n">
        <x:f>IFERROR(L664/J664,0)</x:f>
        <x:v>0.038294168842471714</x:v>
      </x:c>
      <x:c r="L664" s="95" t="n">
        <x:v>44</x:v>
      </x:c>
      <x:c r="M664" s="97" t="n">
        <x:v>0.3292</x:v>
      </x:c>
      <x:c r="N664" s="97" t="n">
        <x:f>ROUND(L664*M664,2)</x:f>
        <x:v>14.48</x:v>
      </x:c>
      <x:c r="O664" s="94" t="n">
        <x:v>6</x:v>
      </x:c>
      <x:c r="P664" s="94" t="str">
        <x:v>模拟：Google/Microsoft Ads采购导入</x:v>
      </x:c>
    </x:row>
    <x:row r="665">
      <x:c r="A665" s="92" t="str">
        <x:v>PROC-0664</x:v>
      </x:c>
      <x:c r="B665" s="93" t="n">
        <x:v>46143</x:v>
      </x:c>
      <x:c r="C665" s="94" t="str">
        <x:v>Microsoft Ads</x:v>
      </x:c>
      <x:c r="D665" s="94" t="str">
        <x:v>德国</x:v>
      </x:c>
      <x:c r="E665" s="94" t="str">
        <x:v>MSA-C12</x:v>
      </x:c>
      <x:c r="F665" s="94" t="str">
        <x:v>购物广告</x:v>
      </x:c>
      <x:c r="G665" s="94" t="str">
        <x:v>价格比较</x:v>
      </x:c>
      <x:c r="H665" s="94" t="str">
        <x:v>桌面端</x:v>
      </x:c>
      <x:c r="I665" s="94" t="str">
        <x:v>CPC</x:v>
      </x:c>
      <x:c r="J665" s="95" t="n">
        <x:v>1458</x:v>
      </x:c>
      <x:c r="K665" s="96" t="n">
        <x:f>IFERROR(L665/J665,0)</x:f>
        <x:v>0.0411522633744856</x:v>
      </x:c>
      <x:c r="L665" s="95" t="n">
        <x:v>60</x:v>
      </x:c>
      <x:c r="M665" s="97" t="n">
        <x:v>0.2394</x:v>
      </x:c>
      <x:c r="N665" s="97" t="n">
        <x:f>ROUND(L665*M665,2)</x:f>
        <x:v>14.36</x:v>
      </x:c>
      <x:c r="O665" s="94" t="n">
        <x:v>7</x:v>
      </x:c>
      <x:c r="P665" s="94" t="str">
        <x:v>模拟：Google/Microsoft Ads采购导入</x:v>
      </x:c>
    </x:row>
    <x:row r="666">
      <x:c r="A666" s="92" t="str">
        <x:v>PROC-0665</x:v>
      </x:c>
      <x:c r="B666" s="93" t="n">
        <x:v>46143</x:v>
      </x:c>
      <x:c r="C666" s="94" t="str">
        <x:v>Microsoft Ads</x:v>
      </x:c>
      <x:c r="D666" s="94" t="str">
        <x:v>美国</x:v>
      </x:c>
      <x:c r="E666" s="94" t="str">
        <x:v>MSA-C21</x:v>
      </x:c>
      <x:c r="F666" s="94" t="str">
        <x:v>通用搜索</x:v>
      </x:c>
      <x:c r="G666" s="94" t="str">
        <x:v>家庭必备</x:v>
      </x:c>
      <x:c r="H666" s="94" t="str">
        <x:v>移动端</x:v>
      </x:c>
      <x:c r="I666" s="94" t="str">
        <x:v>CPC</x:v>
      </x:c>
      <x:c r="J666" s="95" t="n">
        <x:v>1461</x:v>
      </x:c>
      <x:c r="K666" s="96" t="n">
        <x:f>IFERROR(L666/J666,0)</x:f>
        <x:v>0.04380561259411362</x:v>
      </x:c>
      <x:c r="L666" s="95" t="n">
        <x:v>64</x:v>
      </x:c>
      <x:c r="M666" s="97" t="n">
        <x:v>0.2327</x:v>
      </x:c>
      <x:c r="N666" s="97" t="n">
        <x:f>ROUND(L666*M666,2)</x:f>
        <x:v>14.89</x:v>
      </x:c>
      <x:c r="O666" s="94" t="n">
        <x:v>8</x:v>
      </x:c>
      <x:c r="P666" s="94" t="str">
        <x:v>模拟：Google/Microsoft Ads采购导入</x:v>
      </x:c>
    </x:row>
    <x:row r="667">
      <x:c r="A667" s="92" t="str">
        <x:v>PROC-0666</x:v>
      </x:c>
      <x:c r="B667" s="93" t="n">
        <x:v>46143</x:v>
      </x:c>
      <x:c r="C667" s="94" t="str">
        <x:v>Google Ads</x:v>
      </x:c>
      <x:c r="D667" s="94" t="str">
        <x:v>日本</x:v>
      </x:c>
      <x:c r="E667" s="94" t="str">
        <x:v>GGL-C04</x:v>
      </x:c>
      <x:c r="F667" s="94" t="str">
        <x:v>品牌搜索</x:v>
      </x:c>
      <x:c r="G667" s="94" t="str">
        <x:v>品牌评测词</x:v>
      </x:c>
      <x:c r="H667" s="94" t="str">
        <x:v>移动端</x:v>
      </x:c>
      <x:c r="I667" s="94" t="str">
        <x:v>CPC</x:v>
      </x:c>
      <x:c r="J667" s="95" t="n">
        <x:v>1228</x:v>
      </x:c>
      <x:c r="K667" s="96" t="n">
        <x:f>IFERROR(L667/J667,0)</x:f>
        <x:v>0.05456026058631922</x:v>
      </x:c>
      <x:c r="L667" s="95" t="n">
        <x:v>67</x:v>
      </x:c>
      <x:c r="M667" s="97" t="n">
        <x:v>0.1695</x:v>
      </x:c>
      <x:c r="N667" s="97" t="n">
        <x:f>ROUND(L667*M667,2)</x:f>
        <x:v>11.36</x:v>
      </x:c>
      <x:c r="O667" s="94" t="n">
        <x:v>9</x:v>
      </x:c>
      <x:c r="P667" s="94" t="str">
        <x:v>模拟：Google/Microsoft Ads采购导入</x:v>
      </x:c>
    </x:row>
    <x:row r="668">
      <x:c r="A668" s="92" t="str">
        <x:v>PROC-0667</x:v>
      </x:c>
      <x:c r="B668" s="93" t="n">
        <x:v>46143</x:v>
      </x:c>
      <x:c r="C668" s="94" t="str">
        <x:v>Google Ads</x:v>
      </x:c>
      <x:c r="D668" s="94" t="str">
        <x:v>美国</x:v>
      </x:c>
      <x:c r="E668" s="94" t="str">
        <x:v>GGL-C11</x:v>
      </x:c>
      <x:c r="F668" s="94" t="str">
        <x:v>通用搜索</x:v>
      </x:c>
      <x:c r="G668" s="94" t="str">
        <x:v>高性价比商品</x:v>
      </x:c>
      <x:c r="H668" s="94" t="str">
        <x:v>平板</x:v>
      </x:c>
      <x:c r="I668" s="94" t="str">
        <x:v>CPC</x:v>
      </x:c>
      <x:c r="J668" s="95" t="n">
        <x:v>638</x:v>
      </x:c>
      <x:c r="K668" s="96" t="n">
        <x:f>IFERROR(L668/J668,0)</x:f>
        <x:v>0.03918495297805643</x:v>
      </x:c>
      <x:c r="L668" s="95" t="n">
        <x:v>25</x:v>
      </x:c>
      <x:c r="M668" s="97" t="n">
        <x:v>0.3437</x:v>
      </x:c>
      <x:c r="N668" s="97" t="n">
        <x:f>ROUND(L668*M668,2)</x:f>
        <x:v>8.59</x:v>
      </x:c>
      <x:c r="O668" s="94" t="n">
        <x:v>7</x:v>
      </x:c>
      <x:c r="P668" s="94" t="str">
        <x:v>模拟：Google/Microsoft Ads采购导入</x:v>
      </x:c>
    </x:row>
    <x:row r="669">
      <x:c r="A669" s="92" t="str">
        <x:v>PROC-0668</x:v>
      </x:c>
      <x:c r="B669" s="93" t="n">
        <x:v>46143</x:v>
      </x:c>
      <x:c r="C669" s="94" t="str">
        <x:v>Google Ads</x:v>
      </x:c>
      <x:c r="D669" s="94" t="str">
        <x:v>英国</x:v>
      </x:c>
      <x:c r="E669" s="94" t="str">
        <x:v>GGL-C17</x:v>
      </x:c>
      <x:c r="F669" s="94" t="str">
        <x:v>通用搜索</x:v>
      </x:c>
      <x:c r="G669" s="94" t="str">
        <x:v>高性价比商品</x:v>
      </x:c>
      <x:c r="H669" s="94" t="str">
        <x:v>桌面端</x:v>
      </x:c>
      <x:c r="I669" s="94" t="str">
        <x:v>CPC</x:v>
      </x:c>
      <x:c r="J669" s="95" t="n">
        <x:v>1033</x:v>
      </x:c>
      <x:c r="K669" s="96" t="n">
        <x:f>IFERROR(L669/J669,0)</x:f>
        <x:v>0.03291384317521781</x:v>
      </x:c>
      <x:c r="L669" s="95" t="n">
        <x:v>34</x:v>
      </x:c>
      <x:c r="M669" s="97" t="n">
        <x:v>0.3407</x:v>
      </x:c>
      <x:c r="N669" s="97" t="n">
        <x:f>ROUND(L669*M669,2)</x:f>
        <x:v>11.58</x:v>
      </x:c>
      <x:c r="O669" s="94" t="n">
        <x:v>8</x:v>
      </x:c>
      <x:c r="P669" s="94" t="str">
        <x:v>模拟：Google/Microsoft Ads采购导入</x:v>
      </x:c>
    </x:row>
    <x:row r="670">
      <x:c r="A670" s="92" t="str">
        <x:v>PROC-0669</x:v>
      </x:c>
      <x:c r="B670" s="93" t="n">
        <x:v>46143</x:v>
      </x:c>
      <x:c r="C670" s="94" t="str">
        <x:v>Microsoft Ads</x:v>
      </x:c>
      <x:c r="D670" s="94" t="str">
        <x:v>美国</x:v>
      </x:c>
      <x:c r="E670" s="94" t="str">
        <x:v>MSA-C01</x:v>
      </x:c>
      <x:c r="F670" s="94" t="str">
        <x:v>通用搜索</x:v>
      </x:c>
      <x:c r="G670" s="94" t="str">
        <x:v>专业精选</x:v>
      </x:c>
      <x:c r="H670" s="94" t="str">
        <x:v>桌面端</x:v>
      </x:c>
      <x:c r="I670" s="94" t="str">
        <x:v>CPC</x:v>
      </x:c>
      <x:c r="J670" s="95" t="n">
        <x:v>989</x:v>
      </x:c>
      <x:c r="K670" s="96" t="n">
        <x:f>IFERROR(L670/J670,0)</x:f>
        <x:v>0.03134479271991911</x:v>
      </x:c>
      <x:c r="L670" s="95" t="n">
        <x:v>31</x:v>
      </x:c>
      <x:c r="M670" s="97" t="n">
        <x:v>0.2811</x:v>
      </x:c>
      <x:c r="N670" s="97" t="n">
        <x:f>ROUND(L670*M670,2)</x:f>
        <x:v>8.71</x:v>
      </x:c>
      <x:c r="O670" s="94" t="n">
        <x:v>8</x:v>
      </x:c>
      <x:c r="P670" s="94" t="str">
        <x:v>模拟：Google/Microsoft Ads采购导入</x:v>
      </x:c>
    </x:row>
    <x:row r="671">
      <x:c r="A671" s="92" t="str">
        <x:v>PROC-0670</x:v>
      </x:c>
      <x:c r="B671" s="93" t="n">
        <x:v>46144</x:v>
      </x:c>
      <x:c r="C671" s="94" t="str">
        <x:v>Google Ads</x:v>
      </x:c>
      <x:c r="D671" s="94" t="str">
        <x:v>德国</x:v>
      </x:c>
      <x:c r="E671" s="94" t="str">
        <x:v>GGL-C08</x:v>
      </x:c>
      <x:c r="F671" s="94" t="str">
        <x:v>购物广告</x:v>
      </x:c>
      <x:c r="G671" s="94" t="str">
        <x:v>高评分商品</x:v>
      </x:c>
      <x:c r="H671" s="94" t="str">
        <x:v>桌面端</x:v>
      </x:c>
      <x:c r="I671" s="94" t="str">
        <x:v>CPC</x:v>
      </x:c>
      <x:c r="J671" s="95" t="n">
        <x:v>1148</x:v>
      </x:c>
      <x:c r="K671" s="96" t="n">
        <x:f>IFERROR(L671/J671,0)</x:f>
        <x:v>0.040940766550522645</x:v>
      </x:c>
      <x:c r="L671" s="95" t="n">
        <x:v>47</x:v>
      </x:c>
      <x:c r="M671" s="97" t="n">
        <x:v>0.3151</x:v>
      </x:c>
      <x:c r="N671" s="97" t="n">
        <x:f>ROUND(L671*M671,2)</x:f>
        <x:v>14.81</x:v>
      </x:c>
      <x:c r="O671" s="94" t="n">
        <x:v>7</x:v>
      </x:c>
      <x:c r="P671" s="94" t="str">
        <x:v>模拟：Google/Microsoft Ads采购导入</x:v>
      </x:c>
    </x:row>
    <x:row r="672">
      <x:c r="A672" s="92" t="str">
        <x:v>PROC-0671</x:v>
      </x:c>
      <x:c r="B672" s="93" t="n">
        <x:v>46144</x:v>
      </x:c>
      <x:c r="C672" s="94" t="str">
        <x:v>Microsoft Ads</x:v>
      </x:c>
      <x:c r="D672" s="94" t="str">
        <x:v>美国</x:v>
      </x:c>
      <x:c r="E672" s="94" t="str">
        <x:v>MSA-C15</x:v>
      </x:c>
      <x:c r="F672" s="94" t="str">
        <x:v>购物广告</x:v>
      </x:c>
      <x:c r="G672" s="94" t="str">
        <x:v>快速配送</x:v>
      </x:c>
      <x:c r="H672" s="94" t="str">
        <x:v>移动端</x:v>
      </x:c>
      <x:c r="I672" s="94" t="str">
        <x:v>CPC</x:v>
      </x:c>
      <x:c r="J672" s="95" t="n">
        <x:v>912</x:v>
      </x:c>
      <x:c r="K672" s="96" t="n">
        <x:f>IFERROR(L672/J672,0)</x:f>
        <x:v>0.04276315789473684</x:v>
      </x:c>
      <x:c r="L672" s="95" t="n">
        <x:v>39</x:v>
      </x:c>
      <x:c r="M672" s="97" t="n">
        <x:v>0.241</x:v>
      </x:c>
      <x:c r="N672" s="97" t="n">
        <x:f>ROUND(L672*M672,2)</x:f>
        <x:v>9.4</x:v>
      </x:c>
      <x:c r="O672" s="94" t="n">
        <x:v>8</x:v>
      </x:c>
      <x:c r="P672" s="94" t="str">
        <x:v>模拟：Google/Microsoft Ads采购导入</x:v>
      </x:c>
    </x:row>
    <x:row r="673">
      <x:c r="A673" s="92" t="str">
        <x:v>PROC-0672</x:v>
      </x:c>
      <x:c r="B673" s="93" t="n">
        <x:v>46144</x:v>
      </x:c>
      <x:c r="C673" s="94" t="str">
        <x:v>Google Ads</x:v>
      </x:c>
      <x:c r="D673" s="94" t="str">
        <x:v>美国</x:v>
      </x:c>
      <x:c r="E673" s="94" t="str">
        <x:v>GGL-C18</x:v>
      </x:c>
      <x:c r="F673" s="94" t="str">
        <x:v>通用搜索</x:v>
      </x:c>
      <x:c r="G673" s="94" t="str">
        <x:v>高性价比商品</x:v>
      </x:c>
      <x:c r="H673" s="94" t="str">
        <x:v>桌面端</x:v>
      </x:c>
      <x:c r="I673" s="94" t="str">
        <x:v>CPC</x:v>
      </x:c>
      <x:c r="J673" s="95" t="n">
        <x:v>1151</x:v>
      </x:c>
      <x:c r="K673" s="96" t="n">
        <x:f>IFERROR(L673/J673,0)</x:f>
        <x:v>0.043440486533449174</x:v>
      </x:c>
      <x:c r="L673" s="95" t="n">
        <x:v>50</x:v>
      </x:c>
      <x:c r="M673" s="97" t="n">
        <x:v>0.3853</x:v>
      </x:c>
      <x:c r="N673" s="97" t="n">
        <x:f>ROUND(L673*M673,2)</x:f>
        <x:v>19.27</x:v>
      </x:c>
      <x:c r="O673" s="94" t="n">
        <x:v>8</x:v>
      </x:c>
      <x:c r="P673" s="94" t="str">
        <x:v>模拟：Google/Microsoft Ads采购导入</x:v>
      </x:c>
    </x:row>
    <x:row r="674">
      <x:c r="A674" s="92" t="str">
        <x:v>PROC-0673</x:v>
      </x:c>
      <x:c r="B674" s="93" t="n">
        <x:v>46144</x:v>
      </x:c>
      <x:c r="C674" s="94" t="str">
        <x:v>Google Ads</x:v>
      </x:c>
      <x:c r="D674" s="94" t="str">
        <x:v>德国</x:v>
      </x:c>
      <x:c r="E674" s="94" t="str">
        <x:v>GGL-C05</x:v>
      </x:c>
      <x:c r="F674" s="94" t="str">
        <x:v>购物广告</x:v>
      </x:c>
      <x:c r="G674" s="94" t="str">
        <x:v>高评分商品</x:v>
      </x:c>
      <x:c r="H674" s="94" t="str">
        <x:v>移动端</x:v>
      </x:c>
      <x:c r="I674" s="94" t="str">
        <x:v>CPC</x:v>
      </x:c>
      <x:c r="J674" s="95" t="n">
        <x:v>1295</x:v>
      </x:c>
      <x:c r="K674" s="96" t="n">
        <x:f>IFERROR(L674/J674,0)</x:f>
        <x:v>0.040154440154440155</x:v>
      </x:c>
      <x:c r="L674" s="95" t="n">
        <x:v>52</x:v>
      </x:c>
      <x:c r="M674" s="97" t="n">
        <x:v>0.3084</x:v>
      </x:c>
      <x:c r="N674" s="97" t="n">
        <x:f>ROUND(L674*M674,2)</x:f>
        <x:v>16.04</x:v>
      </x:c>
      <x:c r="O674" s="94" t="n">
        <x:v>6</x:v>
      </x:c>
      <x:c r="P674" s="94" t="str">
        <x:v>模拟：Google/Microsoft Ads采购导入</x:v>
      </x:c>
    </x:row>
    <x:row r="675">
      <x:c r="A675" s="92" t="str">
        <x:v>PROC-0674</x:v>
      </x:c>
      <x:c r="B675" s="93" t="n">
        <x:v>46144</x:v>
      </x:c>
      <x:c r="C675" s="94" t="str">
        <x:v>Google Ads</x:v>
      </x:c>
      <x:c r="D675" s="94" t="str">
        <x:v>英国</x:v>
      </x:c>
      <x:c r="E675" s="94" t="str">
        <x:v>GGL-C12</x:v>
      </x:c>
      <x:c r="F675" s="94" t="str">
        <x:v>品牌搜索</x:v>
      </x:c>
      <x:c r="G675" s="94" t="str">
        <x:v>品牌购买词</x:v>
      </x:c>
      <x:c r="H675" s="94" t="str">
        <x:v>平板</x:v>
      </x:c>
      <x:c r="I675" s="94" t="str">
        <x:v>CPC</x:v>
      </x:c>
      <x:c r="J675" s="95" t="n">
        <x:v>1041</x:v>
      </x:c>
      <x:c r="K675" s="96" t="n">
        <x:f>IFERROR(L675/J675,0)</x:f>
        <x:v>0.04899135446685879</x:v>
      </x:c>
      <x:c r="L675" s="95" t="n">
        <x:v>51</x:v>
      </x:c>
      <x:c r="M675" s="97" t="n">
        <x:v>0.1945</x:v>
      </x:c>
      <x:c r="N675" s="97" t="n">
        <x:f>ROUND(L675*M675,2)</x:f>
        <x:v>9.92</x:v>
      </x:c>
      <x:c r="O675" s="94" t="n">
        <x:v>8</x:v>
      </x:c>
      <x:c r="P675" s="94" t="str">
        <x:v>模拟：Google/Microsoft Ads采购导入</x:v>
      </x:c>
    </x:row>
    <x:row r="676">
      <x:c r="A676" s="92" t="str">
        <x:v>PROC-0675</x:v>
      </x:c>
      <x:c r="B676" s="93" t="n">
        <x:v>46144</x:v>
      </x:c>
      <x:c r="C676" s="94" t="str">
        <x:v>Google Ads</x:v>
      </x:c>
      <x:c r="D676" s="94" t="str">
        <x:v>英国</x:v>
      </x:c>
      <x:c r="E676" s="94" t="str">
        <x:v>GGL-C15</x:v>
      </x:c>
      <x:c r="F676" s="94" t="str">
        <x:v>竞品搜索</x:v>
      </x:c>
      <x:c r="G676" s="94" t="str">
        <x:v>同类产品对比</x:v>
      </x:c>
      <x:c r="H676" s="94" t="str">
        <x:v>移动端</x:v>
      </x:c>
      <x:c r="I676" s="94" t="str">
        <x:v>CPC</x:v>
      </x:c>
      <x:c r="J676" s="95" t="n">
        <x:v>829</x:v>
      </x:c>
      <x:c r="K676" s="96" t="n">
        <x:f>IFERROR(L676/J676,0)</x:f>
        <x:v>0.028950542822677925</x:v>
      </x:c>
      <x:c r="L676" s="95" t="n">
        <x:v>24</x:v>
      </x:c>
      <x:c r="M676" s="97" t="n">
        <x:v>0.3561</x:v>
      </x:c>
      <x:c r="N676" s="97" t="n">
        <x:f>ROUND(L676*M676,2)</x:f>
        <x:v>8.55</x:v>
      </x:c>
      <x:c r="O676" s="94" t="n">
        <x:v>9</x:v>
      </x:c>
      <x:c r="P676" s="94" t="str">
        <x:v>模拟：Google/Microsoft Ads采购导入</x:v>
      </x:c>
    </x:row>
    <x:row r="677">
      <x:c r="A677" s="92" t="str">
        <x:v>PROC-0676</x:v>
      </x:c>
      <x:c r="B677" s="93" t="n">
        <x:v>46145</x:v>
      </x:c>
      <x:c r="C677" s="94" t="str">
        <x:v>Microsoft Ads</x:v>
      </x:c>
      <x:c r="D677" s="94" t="str">
        <x:v>英国</x:v>
      </x:c>
      <x:c r="E677" s="94" t="str">
        <x:v>MSA-C01</x:v>
      </x:c>
      <x:c r="F677" s="94" t="str">
        <x:v>通用搜索</x:v>
      </x:c>
      <x:c r="G677" s="94" t="str">
        <x:v>高性价比商品</x:v>
      </x:c>
      <x:c r="H677" s="94" t="str">
        <x:v>移动端</x:v>
      </x:c>
      <x:c r="I677" s="94" t="str">
        <x:v>CPC</x:v>
      </x:c>
      <x:c r="J677" s="95" t="n">
        <x:v>1068</x:v>
      </x:c>
      <x:c r="K677" s="96" t="n">
        <x:f>IFERROR(L677/J677,0)</x:f>
        <x:v>0.03277153558052434</x:v>
      </x:c>
      <x:c r="L677" s="95" t="n">
        <x:v>35</x:v>
      </x:c>
      <x:c r="M677" s="97" t="n">
        <x:v>0.2179</x:v>
      </x:c>
      <x:c r="N677" s="97" t="n">
        <x:f>ROUND(L677*M677,2)</x:f>
        <x:v>7.63</x:v>
      </x:c>
      <x:c r="O677" s="94" t="n">
        <x:v>8</x:v>
      </x:c>
      <x:c r="P677" s="94" t="str">
        <x:v>模拟：Google/Microsoft Ads采购导入</x:v>
      </x:c>
    </x:row>
    <x:row r="678">
      <x:c r="A678" s="92" t="str">
        <x:v>PROC-0677</x:v>
      </x:c>
      <x:c r="B678" s="93" t="n">
        <x:v>46145</x:v>
      </x:c>
      <x:c r="C678" s="94" t="str">
        <x:v>Microsoft Ads</x:v>
      </x:c>
      <x:c r="D678" s="94" t="str">
        <x:v>美国</x:v>
      </x:c>
      <x:c r="E678" s="94" t="str">
        <x:v>MSA-C09</x:v>
      </x:c>
      <x:c r="F678" s="94" t="str">
        <x:v>通用搜索</x:v>
      </x:c>
      <x:c r="G678" s="94" t="str">
        <x:v>实用礼物</x:v>
      </x:c>
      <x:c r="H678" s="94" t="str">
        <x:v>平板</x:v>
      </x:c>
      <x:c r="I678" s="94" t="str">
        <x:v>CPC</x:v>
      </x:c>
      <x:c r="J678" s="95" t="n">
        <x:v>662</x:v>
      </x:c>
      <x:c r="K678" s="96" t="n">
        <x:f>IFERROR(L678/J678,0)</x:f>
        <x:v>0.03625377643504532</x:v>
      </x:c>
      <x:c r="L678" s="95" t="n">
        <x:v>24</x:v>
      </x:c>
      <x:c r="M678" s="97" t="n">
        <x:v>0.2113</x:v>
      </x:c>
      <x:c r="N678" s="97" t="n">
        <x:f>ROUND(L678*M678,2)</x:f>
        <x:v>5.07</x:v>
      </x:c>
      <x:c r="O678" s="94" t="n">
        <x:v>7</x:v>
      </x:c>
      <x:c r="P678" s="94" t="str">
        <x:v>模拟：Google/Microsoft Ads采购导入</x:v>
      </x:c>
    </x:row>
    <x:row r="679">
      <x:c r="A679" s="92" t="str">
        <x:v>PROC-0678</x:v>
      </x:c>
      <x:c r="B679" s="93" t="n">
        <x:v>46145</x:v>
      </x:c>
      <x:c r="C679" s="94" t="str">
        <x:v>Microsoft Ads</x:v>
      </x:c>
      <x:c r="D679" s="94" t="str">
        <x:v>德国</x:v>
      </x:c>
      <x:c r="E679" s="94" t="str">
        <x:v>MSA-C12</x:v>
      </x:c>
      <x:c r="F679" s="94" t="str">
        <x:v>品牌搜索</x:v>
      </x:c>
      <x:c r="G679" s="94" t="str">
        <x:v>品牌配件词</x:v>
      </x:c>
      <x:c r="H679" s="94" t="str">
        <x:v>平板</x:v>
      </x:c>
      <x:c r="I679" s="94" t="str">
        <x:v>CPC</x:v>
      </x:c>
      <x:c r="J679" s="95" t="n">
        <x:v>1116</x:v>
      </x:c>
      <x:c r="K679" s="96" t="n">
        <x:f>IFERROR(L679/J679,0)</x:f>
        <x:v>0.06630824372759857</x:v>
      </x:c>
      <x:c r="L679" s="95" t="n">
        <x:v>74</x:v>
      </x:c>
      <x:c r="M679" s="97" t="n">
        <x:v>0.1537</x:v>
      </x:c>
      <x:c r="N679" s="97" t="n">
        <x:f>ROUND(L679*M679,2)</x:f>
        <x:v>11.37</x:v>
      </x:c>
      <x:c r="O679" s="94" t="n">
        <x:v>9</x:v>
      </x:c>
      <x:c r="P679" s="94" t="str">
        <x:v>模拟：Google/Microsoft Ads采购导入</x:v>
      </x:c>
    </x:row>
    <x:row r="680">
      <x:c r="A680" s="92" t="str">
        <x:v>PROC-0679</x:v>
      </x:c>
      <x:c r="B680" s="93" t="n">
        <x:v>46145</x:v>
      </x:c>
      <x:c r="C680" s="94" t="str">
        <x:v>Google Ads</x:v>
      </x:c>
      <x:c r="D680" s="94" t="str">
        <x:v>美国</x:v>
      </x:c>
      <x:c r="E680" s="94" t="str">
        <x:v>GGL-C23</x:v>
      </x:c>
      <x:c r="F680" s="94" t="str">
        <x:v>购物广告</x:v>
      </x:c>
      <x:c r="G680" s="94" t="str">
        <x:v>高评分商品</x:v>
      </x:c>
      <x:c r="H680" s="94" t="str">
        <x:v>移动端</x:v>
      </x:c>
      <x:c r="I680" s="94" t="str">
        <x:v>CPC</x:v>
      </x:c>
      <x:c r="J680" s="95" t="n">
        <x:v>1255</x:v>
      </x:c>
      <x:c r="K680" s="96" t="n">
        <x:f>IFERROR(L680/J680,0)</x:f>
        <x:v>0.04302788844621514</x:v>
      </x:c>
      <x:c r="L680" s="95" t="n">
        <x:v>54</x:v>
      </x:c>
      <x:c r="M680" s="97" t="n">
        <x:v>0.376</x:v>
      </x:c>
      <x:c r="N680" s="97" t="n">
        <x:f>ROUND(L680*M680,2)</x:f>
        <x:v>20.3</x:v>
      </x:c>
      <x:c r="O680" s="94" t="n">
        <x:v>6</x:v>
      </x:c>
      <x:c r="P680" s="94" t="str">
        <x:v>模拟：Google/Microsoft Ads采购导入</x:v>
      </x:c>
    </x:row>
    <x:row r="681">
      <x:c r="A681" s="92" t="str">
        <x:v>PROC-0680</x:v>
      </x:c>
      <x:c r="B681" s="93" t="n">
        <x:v>46145</x:v>
      </x:c>
      <x:c r="C681" s="94" t="str">
        <x:v>Google Ads</x:v>
      </x:c>
      <x:c r="D681" s="94" t="str">
        <x:v>德国</x:v>
      </x:c>
      <x:c r="E681" s="94" t="str">
        <x:v>GGL-C05</x:v>
      </x:c>
      <x:c r="F681" s="94" t="str">
        <x:v>竞品搜索</x:v>
      </x:c>
      <x:c r="G681" s="94" t="str">
        <x:v>同类产品对比</x:v>
      </x:c>
      <x:c r="H681" s="94" t="str">
        <x:v>移动端</x:v>
      </x:c>
      <x:c r="I681" s="94" t="str">
        <x:v>CPC</x:v>
      </x:c>
      <x:c r="J681" s="95" t="n">
        <x:v>921</x:v>
      </x:c>
      <x:c r="K681" s="96" t="n">
        <x:f>IFERROR(L681/J681,0)</x:f>
        <x:v>0.03257328990228013</x:v>
      </x:c>
      <x:c r="L681" s="95" t="n">
        <x:v>30</x:v>
      </x:c>
      <x:c r="M681" s="97" t="n">
        <x:v>0.3168</x:v>
      </x:c>
      <x:c r="N681" s="97" t="n">
        <x:f>ROUND(L681*M681,2)</x:f>
        <x:v>9.5</x:v>
      </x:c>
      <x:c r="O681" s="94" t="n">
        <x:v>6</x:v>
      </x:c>
      <x:c r="P681" s="94" t="str">
        <x:v>模拟：Google/Microsoft Ads采购导入</x:v>
      </x:c>
    </x:row>
    <x:row r="682">
      <x:c r="A682" s="92" t="str">
        <x:v>PROC-0681</x:v>
      </x:c>
      <x:c r="B682" s="93" t="n">
        <x:v>46146</x:v>
      </x:c>
      <x:c r="C682" s="94" t="str">
        <x:v>Microsoft Ads</x:v>
      </x:c>
      <x:c r="D682" s="94" t="str">
        <x:v>日本</x:v>
      </x:c>
      <x:c r="E682" s="94" t="str">
        <x:v>MSA-C09</x:v>
      </x:c>
      <x:c r="F682" s="94" t="str">
        <x:v>竞品搜索</x:v>
      </x:c>
      <x:c r="G682" s="94" t="str">
        <x:v>同类产品对比</x:v>
      </x:c>
      <x:c r="H682" s="94" t="str">
        <x:v>移动端</x:v>
      </x:c>
      <x:c r="I682" s="94" t="str">
        <x:v>CPC</x:v>
      </x:c>
      <x:c r="J682" s="95" t="n">
        <x:v>886</x:v>
      </x:c>
      <x:c r="K682" s="96" t="n">
        <x:f>IFERROR(L682/J682,0)</x:f>
        <x:v>0.025959367945823927</x:v>
      </x:c>
      <x:c r="L682" s="95" t="n">
        <x:v>23</x:v>
      </x:c>
      <x:c r="M682" s="97" t="n">
        <x:v>0.2565</x:v>
      </x:c>
      <x:c r="N682" s="97" t="n">
        <x:f>ROUND(L682*M682,2)</x:f>
        <x:v>5.9</x:v>
      </x:c>
      <x:c r="O682" s="94" t="n">
        <x:v>8</x:v>
      </x:c>
      <x:c r="P682" s="94" t="str">
        <x:v>模拟：Google/Microsoft Ads采购导入</x:v>
      </x:c>
    </x:row>
    <x:row r="683">
      <x:c r="A683" s="92" t="str">
        <x:v>PROC-0682</x:v>
      </x:c>
      <x:c r="B683" s="93" t="n">
        <x:v>46146</x:v>
      </x:c>
      <x:c r="C683" s="94" t="str">
        <x:v>Google Ads</x:v>
      </x:c>
      <x:c r="D683" s="94" t="str">
        <x:v>美国</x:v>
      </x:c>
      <x:c r="E683" s="94" t="str">
        <x:v>GGL-C20</x:v>
      </x:c>
      <x:c r="F683" s="94" t="str">
        <x:v>购物广告</x:v>
      </x:c>
      <x:c r="G683" s="94" t="str">
        <x:v>快速配送</x:v>
      </x:c>
      <x:c r="H683" s="94" t="str">
        <x:v>移动端</x:v>
      </x:c>
      <x:c r="I683" s="94" t="str">
        <x:v>CPC</x:v>
      </x:c>
      <x:c r="J683" s="95" t="n">
        <x:v>837</x:v>
      </x:c>
      <x:c r="K683" s="96" t="n">
        <x:f>IFERROR(L683/J683,0)</x:f>
        <x:v>0.05137395459976105</x:v>
      </x:c>
      <x:c r="L683" s="95" t="n">
        <x:v>43</x:v>
      </x:c>
      <x:c r="M683" s="97" t="n">
        <x:v>0.3057</x:v>
      </x:c>
      <x:c r="N683" s="97" t="n">
        <x:f>ROUND(L683*M683,2)</x:f>
        <x:v>13.15</x:v>
      </x:c>
      <x:c r="O683" s="94" t="n">
        <x:v>7</x:v>
      </x:c>
      <x:c r="P683" s="94" t="str">
        <x:v>模拟：Google/Microsoft Ads采购导入</x:v>
      </x:c>
    </x:row>
    <x:row r="684">
      <x:c r="A684" s="92" t="str">
        <x:v>PROC-0683</x:v>
      </x:c>
      <x:c r="B684" s="93" t="n">
        <x:v>46146</x:v>
      </x:c>
      <x:c r="C684" s="94" t="str">
        <x:v>Microsoft Ads</x:v>
      </x:c>
      <x:c r="D684" s="94" t="str">
        <x:v>美国</x:v>
      </x:c>
      <x:c r="E684" s="94" t="str">
        <x:v>MSA-C24</x:v>
      </x:c>
      <x:c r="F684" s="94" t="str">
        <x:v>通用搜索</x:v>
      </x:c>
      <x:c r="G684" s="94" t="str">
        <x:v>家庭必备</x:v>
      </x:c>
      <x:c r="H684" s="94" t="str">
        <x:v>移动端</x:v>
      </x:c>
      <x:c r="I684" s="94" t="str">
        <x:v>CPC</x:v>
      </x:c>
      <x:c r="J684" s="95" t="n">
        <x:v>1044</x:v>
      </x:c>
      <x:c r="K684" s="96" t="n">
        <x:f>IFERROR(L684/J684,0)</x:f>
        <x:v>0.0421455938697318</x:v>
      </x:c>
      <x:c r="L684" s="95" t="n">
        <x:v>44</x:v>
      </x:c>
      <x:c r="M684" s="97" t="n">
        <x:v>0.2893</x:v>
      </x:c>
      <x:c r="N684" s="97" t="n">
        <x:f>ROUND(L684*M684,2)</x:f>
        <x:v>12.73</x:v>
      </x:c>
      <x:c r="O684" s="94" t="n">
        <x:v>7</x:v>
      </x:c>
      <x:c r="P684" s="94" t="str">
        <x:v>模拟：Google/Microsoft Ads采购导入</x:v>
      </x:c>
    </x:row>
    <x:row r="685">
      <x:c r="A685" s="92" t="str">
        <x:v>PROC-0684</x:v>
      </x:c>
      <x:c r="B685" s="93" t="n">
        <x:v>46146</x:v>
      </x:c>
      <x:c r="C685" s="94" t="str">
        <x:v>Google Ads</x:v>
      </x:c>
      <x:c r="D685" s="94" t="str">
        <x:v>美国</x:v>
      </x:c>
      <x:c r="E685" s="94" t="str">
        <x:v>GGL-C09</x:v>
      </x:c>
      <x:c r="F685" s="94" t="str">
        <x:v>品牌搜索</x:v>
      </x:c>
      <x:c r="G685" s="94" t="str">
        <x:v>品牌型号词</x:v>
      </x:c>
      <x:c r="H685" s="94" t="str">
        <x:v>移动端</x:v>
      </x:c>
      <x:c r="I685" s="94" t="str">
        <x:v>CPC</x:v>
      </x:c>
      <x:c r="J685" s="95" t="n">
        <x:v>1209</x:v>
      </x:c>
      <x:c r="K685" s="96" t="n">
        <x:f>IFERROR(L685/J685,0)</x:f>
        <x:v>0.06286186931348221</x:v>
      </x:c>
      <x:c r="L685" s="95" t="n">
        <x:v>76</x:v>
      </x:c>
      <x:c r="M685" s="97" t="n">
        <x:v>0.2405</x:v>
      </x:c>
      <x:c r="N685" s="97" t="n">
        <x:f>ROUND(L685*M685,2)</x:f>
        <x:v>18.28</x:v>
      </x:c>
      <x:c r="O685" s="94" t="n">
        <x:v>8</x:v>
      </x:c>
      <x:c r="P685" s="94" t="str">
        <x:v>模拟：Google/Microsoft Ads采购导入</x:v>
      </x:c>
    </x:row>
    <x:row r="686">
      <x:c r="A686" s="92" t="str">
        <x:v>PROC-0685</x:v>
      </x:c>
      <x:c r="B686" s="93" t="n">
        <x:v>46146</x:v>
      </x:c>
      <x:c r="C686" s="94" t="str">
        <x:v>Google Ads</x:v>
      </x:c>
      <x:c r="D686" s="94" t="str">
        <x:v>美国</x:v>
      </x:c>
      <x:c r="E686" s="94" t="str">
        <x:v>GGL-C13</x:v>
      </x:c>
      <x:c r="F686" s="94" t="str">
        <x:v>竞品搜索</x:v>
      </x:c>
      <x:c r="G686" s="94" t="str">
        <x:v>更优选择</x:v>
      </x:c>
      <x:c r="H686" s="94" t="str">
        <x:v>移动端</x:v>
      </x:c>
      <x:c r="I686" s="94" t="str">
        <x:v>CPC</x:v>
      </x:c>
      <x:c r="J686" s="95" t="n">
        <x:v>1030</x:v>
      </x:c>
      <x:c r="K686" s="96" t="n">
        <x:f>IFERROR(L686/J686,0)</x:f>
        <x:v>0.03398058252427184</x:v>
      </x:c>
      <x:c r="L686" s="95" t="n">
        <x:v>35</x:v>
      </x:c>
      <x:c r="M686" s="97" t="n">
        <x:v>0.4814</x:v>
      </x:c>
      <x:c r="N686" s="97" t="n">
        <x:f>ROUND(L686*M686,2)</x:f>
        <x:v>16.85</x:v>
      </x:c>
      <x:c r="O686" s="94" t="n">
        <x:v>6</x:v>
      </x:c>
      <x:c r="P686" s="94" t="str">
        <x:v>模拟：Google/Microsoft Ads采购导入</x:v>
      </x:c>
    </x:row>
    <x:row r="687">
      <x:c r="A687" s="92" t="str">
        <x:v>PROC-0686</x:v>
      </x:c>
      <x:c r="B687" s="93" t="n">
        <x:v>46146</x:v>
      </x:c>
      <x:c r="C687" s="94" t="str">
        <x:v>Google Ads</x:v>
      </x:c>
      <x:c r="D687" s="94" t="str">
        <x:v>美国</x:v>
      </x:c>
      <x:c r="E687" s="94" t="str">
        <x:v>GGL-C21</x:v>
      </x:c>
      <x:c r="F687" s="94" t="str">
        <x:v>购物广告</x:v>
      </x:c>
      <x:c r="G687" s="94" t="str">
        <x:v>高评分商品</x:v>
      </x:c>
      <x:c r="H687" s="94" t="str">
        <x:v>移动端</x:v>
      </x:c>
      <x:c r="I687" s="94" t="str">
        <x:v>CPC</x:v>
      </x:c>
      <x:c r="J687" s="95" t="n">
        <x:v>1615</x:v>
      </x:c>
      <x:c r="K687" s="96" t="n">
        <x:f>IFERROR(L687/J687,0)</x:f>
        <x:v>0.04148606811145511</x:v>
      </x:c>
      <x:c r="L687" s="95" t="n">
        <x:v>67</x:v>
      </x:c>
      <x:c r="M687" s="97" t="n">
        <x:v>0.3783</x:v>
      </x:c>
      <x:c r="N687" s="97" t="n">
        <x:f>ROUND(L687*M687,2)</x:f>
        <x:v>25.35</x:v>
      </x:c>
      <x:c r="O687" s="94" t="n">
        <x:v>7</x:v>
      </x:c>
      <x:c r="P687" s="94" t="str">
        <x:v>模拟：Google/Microsoft Ads采购导入</x:v>
      </x:c>
    </x:row>
    <x:row r="688">
      <x:c r="A688" s="92" t="str">
        <x:v>PROC-0687</x:v>
      </x:c>
      <x:c r="B688" s="93" t="n">
        <x:v>46147</x:v>
      </x:c>
      <x:c r="C688" s="94" t="str">
        <x:v>Google Ads</x:v>
      </x:c>
      <x:c r="D688" s="94" t="str">
        <x:v>美国</x:v>
      </x:c>
      <x:c r="E688" s="94" t="str">
        <x:v>GGL-C04</x:v>
      </x:c>
      <x:c r="F688" s="94" t="str">
        <x:v>购物广告</x:v>
      </x:c>
      <x:c r="G688" s="94" t="str">
        <x:v>畅销商品</x:v>
      </x:c>
      <x:c r="H688" s="94" t="str">
        <x:v>桌面端</x:v>
      </x:c>
      <x:c r="I688" s="94" t="str">
        <x:v>CPC</x:v>
      </x:c>
      <x:c r="J688" s="95" t="n">
        <x:v>1282</x:v>
      </x:c>
      <x:c r="K688" s="96" t="n">
        <x:f>IFERROR(L688/J688,0)</x:f>
        <x:v>0.0514820592823713</x:v>
      </x:c>
      <x:c r="L688" s="95" t="n">
        <x:v>66</x:v>
      </x:c>
      <x:c r="M688" s="97" t="n">
        <x:v>0.3167</x:v>
      </x:c>
      <x:c r="N688" s="97" t="n">
        <x:f>ROUND(L688*M688,2)</x:f>
        <x:v>20.9</x:v>
      </x:c>
      <x:c r="O688" s="94" t="n">
        <x:v>6</x:v>
      </x:c>
      <x:c r="P688" s="94" t="str">
        <x:v>模拟：Google/Microsoft Ads采购导入</x:v>
      </x:c>
    </x:row>
    <x:row r="689">
      <x:c r="A689" s="92" t="str">
        <x:v>PROC-0688</x:v>
      </x:c>
      <x:c r="B689" s="93" t="n">
        <x:v>46147</x:v>
      </x:c>
      <x:c r="C689" s="94" t="str">
        <x:v>Google Ads</x:v>
      </x:c>
      <x:c r="D689" s="94" t="str">
        <x:v>德国</x:v>
      </x:c>
      <x:c r="E689" s="94" t="str">
        <x:v>GGL-C12</x:v>
      </x:c>
      <x:c r="F689" s="94" t="str">
        <x:v>购物广告</x:v>
      </x:c>
      <x:c r="G689" s="94" t="str">
        <x:v>折扣商品</x:v>
      </x:c>
      <x:c r="H689" s="94" t="str">
        <x:v>桌面端</x:v>
      </x:c>
      <x:c r="I689" s="94" t="str">
        <x:v>CPC</x:v>
      </x:c>
      <x:c r="J689" s="95" t="n">
        <x:v>1478</x:v>
      </x:c>
      <x:c r="K689" s="96" t="n">
        <x:f>IFERROR(L689/J689,0)</x:f>
        <x:v>0.039918809201623814</x:v>
      </x:c>
      <x:c r="L689" s="95" t="n">
        <x:v>59</x:v>
      </x:c>
      <x:c r="M689" s="97" t="n">
        <x:v>0.2832</x:v>
      </x:c>
      <x:c r="N689" s="97" t="n">
        <x:f>ROUND(L689*M689,2)</x:f>
        <x:v>16.71</x:v>
      </x:c>
      <x:c r="O689" s="94" t="n">
        <x:v>7</x:v>
      </x:c>
      <x:c r="P689" s="94" t="str">
        <x:v>模拟：Google/Microsoft Ads采购导入</x:v>
      </x:c>
    </x:row>
    <x:row r="690">
      <x:c r="A690" s="92" t="str">
        <x:v>PROC-0689</x:v>
      </x:c>
      <x:c r="B690" s="93" t="n">
        <x:v>46147</x:v>
      </x:c>
      <x:c r="C690" s="94" t="str">
        <x:v>Google Ads</x:v>
      </x:c>
      <x:c r="D690" s="94" t="str">
        <x:v>英国</x:v>
      </x:c>
      <x:c r="E690" s="94" t="str">
        <x:v>GGL-C17</x:v>
      </x:c>
      <x:c r="F690" s="94" t="str">
        <x:v>通用搜索</x:v>
      </x:c>
      <x:c r="G690" s="94" t="str">
        <x:v>专业精选</x:v>
      </x:c>
      <x:c r="H690" s="94" t="str">
        <x:v>桌面端</x:v>
      </x:c>
      <x:c r="I690" s="94" t="str">
        <x:v>CPC</x:v>
      </x:c>
      <x:c r="J690" s="95" t="n">
        <x:v>715</x:v>
      </x:c>
      <x:c r="K690" s="96" t="n">
        <x:f>IFERROR(L690/J690,0)</x:f>
        <x:v>0.04055944055944056</x:v>
      </x:c>
      <x:c r="L690" s="95" t="n">
        <x:v>29</x:v>
      </x:c>
      <x:c r="M690" s="97" t="n">
        <x:v>0.2807</x:v>
      </x:c>
      <x:c r="N690" s="97" t="n">
        <x:f>ROUND(L690*M690,2)</x:f>
        <x:v>8.14</x:v>
      </x:c>
      <x:c r="O690" s="94" t="n">
        <x:v>7</x:v>
      </x:c>
      <x:c r="P690" s="94" t="str">
        <x:v>模拟：Google/Microsoft Ads采购导入</x:v>
      </x:c>
    </x:row>
    <x:row r="691">
      <x:c r="A691" s="92" t="str">
        <x:v>PROC-0690</x:v>
      </x:c>
      <x:c r="B691" s="93" t="n">
        <x:v>46147</x:v>
      </x:c>
      <x:c r="C691" s="94" t="str">
        <x:v>Microsoft Ads</x:v>
      </x:c>
      <x:c r="D691" s="94" t="str">
        <x:v>美国</x:v>
      </x:c>
      <x:c r="E691" s="94" t="str">
        <x:v>MSA-C01</x:v>
      </x:c>
      <x:c r="F691" s="94" t="str">
        <x:v>购物广告</x:v>
      </x:c>
      <x:c r="G691" s="94" t="str">
        <x:v>折扣商品</x:v>
      </x:c>
      <x:c r="H691" s="94" t="str">
        <x:v>移动端</x:v>
      </x:c>
      <x:c r="I691" s="94" t="str">
        <x:v>CPC</x:v>
      </x:c>
      <x:c r="J691" s="95" t="n">
        <x:v>874</x:v>
      </x:c>
      <x:c r="K691" s="96" t="n">
        <x:f>IFERROR(L691/J691,0)</x:f>
        <x:v>0.04233409610983982</x:v>
      </x:c>
      <x:c r="L691" s="95" t="n">
        <x:v>37</x:v>
      </x:c>
      <x:c r="M691" s="97" t="n">
        <x:v>0.3168</x:v>
      </x:c>
      <x:c r="N691" s="97" t="n">
        <x:f>ROUND(L691*M691,2)</x:f>
        <x:v>11.72</x:v>
      </x:c>
      <x:c r="O691" s="94" t="n">
        <x:v>6</x:v>
      </x:c>
      <x:c r="P691" s="94" t="str">
        <x:v>模拟：Google/Microsoft Ads采购导入</x:v>
      </x:c>
    </x:row>
    <x:row r="692">
      <x:c r="A692" s="92" t="str">
        <x:v>PROC-0691</x:v>
      </x:c>
      <x:c r="B692" s="93" t="n">
        <x:v>46147</x:v>
      </x:c>
      <x:c r="C692" s="94" t="str">
        <x:v>Microsoft Ads</x:v>
      </x:c>
      <x:c r="D692" s="94" t="str">
        <x:v>德国</x:v>
      </x:c>
      <x:c r="E692" s="94" t="str">
        <x:v>MSA-C11</x:v>
      </x:c>
      <x:c r="F692" s="94" t="str">
        <x:v>通用搜索</x:v>
      </x:c>
      <x:c r="G692" s="94" t="str">
        <x:v>高性价比商品</x:v>
      </x:c>
      <x:c r="H692" s="94" t="str">
        <x:v>移动端</x:v>
      </x:c>
      <x:c r="I692" s="94" t="str">
        <x:v>CPC</x:v>
      </x:c>
      <x:c r="J692" s="95" t="n">
        <x:v>724</x:v>
      </x:c>
      <x:c r="K692" s="96" t="n">
        <x:f>IFERROR(L692/J692,0)</x:f>
        <x:v>0.03591160220994475</x:v>
      </x:c>
      <x:c r="L692" s="95" t="n">
        <x:v>26</x:v>
      </x:c>
      <x:c r="M692" s="97" t="n">
        <x:v>0.2355</x:v>
      </x:c>
      <x:c r="N692" s="97" t="n">
        <x:f>ROUND(L692*M692,2)</x:f>
        <x:v>6.12</x:v>
      </x:c>
      <x:c r="O692" s="94" t="n">
        <x:v>7</x:v>
      </x:c>
      <x:c r="P692" s="94" t="str">
        <x:v>模拟：Google/Microsoft Ads采购导入</x:v>
      </x:c>
    </x:row>
    <x:row r="693">
      <x:c r="A693" s="92" t="str">
        <x:v>PROC-0692</x:v>
      </x:c>
      <x:c r="B693" s="93" t="n">
        <x:v>46148</x:v>
      </x:c>
      <x:c r="C693" s="94" t="str">
        <x:v>Google Ads</x:v>
      </x:c>
      <x:c r="D693" s="94" t="str">
        <x:v>日本</x:v>
      </x:c>
      <x:c r="E693" s="94" t="str">
        <x:v>GGL-C17</x:v>
      </x:c>
      <x:c r="F693" s="94" t="str">
        <x:v>品牌搜索</x:v>
      </x:c>
      <x:c r="G693" s="94" t="str">
        <x:v>品牌型号词</x:v>
      </x:c>
      <x:c r="H693" s="94" t="str">
        <x:v>移动端</x:v>
      </x:c>
      <x:c r="I693" s="94" t="str">
        <x:v>CPC</x:v>
      </x:c>
      <x:c r="J693" s="95" t="n">
        <x:v>941</x:v>
      </x:c>
      <x:c r="K693" s="96" t="n">
        <x:f>IFERROR(L693/J693,0)</x:f>
        <x:v>0.04675876726886291</x:v>
      </x:c>
      <x:c r="L693" s="95" t="n">
        <x:v>44</x:v>
      </x:c>
      <x:c r="M693" s="97" t="n">
        <x:v>0.1999</x:v>
      </x:c>
      <x:c r="N693" s="97" t="n">
        <x:f>ROUND(L693*M693,2)</x:f>
        <x:v>8.8</x:v>
      </x:c>
      <x:c r="O693" s="94" t="n">
        <x:v>8</x:v>
      </x:c>
      <x:c r="P693" s="94" t="str">
        <x:v>模拟：Google/Microsoft Ads采购导入</x:v>
      </x:c>
    </x:row>
    <x:row r="694">
      <x:c r="A694" s="92" t="str">
        <x:v>PROC-0693</x:v>
      </x:c>
      <x:c r="B694" s="93" t="n">
        <x:v>46148</x:v>
      </x:c>
      <x:c r="C694" s="94" t="str">
        <x:v>Microsoft Ads</x:v>
      </x:c>
      <x:c r="D694" s="94" t="str">
        <x:v>英国</x:v>
      </x:c>
      <x:c r="E694" s="94" t="str">
        <x:v>MSA-C21</x:v>
      </x:c>
      <x:c r="F694" s="94" t="str">
        <x:v>购物广告</x:v>
      </x:c>
      <x:c r="G694" s="94" t="str">
        <x:v>价格比较</x:v>
      </x:c>
      <x:c r="H694" s="94" t="str">
        <x:v>移动端</x:v>
      </x:c>
      <x:c r="I694" s="94" t="str">
        <x:v>CPC</x:v>
      </x:c>
      <x:c r="J694" s="95" t="n">
        <x:v>1160</x:v>
      </x:c>
      <x:c r="K694" s="96" t="n">
        <x:f>IFERROR(L694/J694,0)</x:f>
        <x:v>0.05344827586206897</x:v>
      </x:c>
      <x:c r="L694" s="95" t="n">
        <x:v>62</x:v>
      </x:c>
      <x:c r="M694" s="97" t="n">
        <x:v>0.2923</x:v>
      </x:c>
      <x:c r="N694" s="97" t="n">
        <x:f>ROUND(L694*M694,2)</x:f>
        <x:v>18.12</x:v>
      </x:c>
      <x:c r="O694" s="94" t="n">
        <x:v>7</x:v>
      </x:c>
      <x:c r="P694" s="94" t="str">
        <x:v>模拟：Google/Microsoft Ads采购导入</x:v>
      </x:c>
    </x:row>
    <x:row r="695">
      <x:c r="A695" s="92" t="str">
        <x:v>PROC-0694</x:v>
      </x:c>
      <x:c r="B695" s="93" t="n">
        <x:v>46148</x:v>
      </x:c>
      <x:c r="C695" s="94" t="str">
        <x:v>Microsoft Ads</x:v>
      </x:c>
      <x:c r="D695" s="94" t="str">
        <x:v>德国</x:v>
      </x:c>
      <x:c r="E695" s="94" t="str">
        <x:v>MSA-C05</x:v>
      </x:c>
      <x:c r="F695" s="94" t="str">
        <x:v>通用搜索</x:v>
      </x:c>
      <x:c r="G695" s="94" t="str">
        <x:v>专业精选</x:v>
      </x:c>
      <x:c r="H695" s="94" t="str">
        <x:v>移动端</x:v>
      </x:c>
      <x:c r="I695" s="94" t="str">
        <x:v>CPC</x:v>
      </x:c>
      <x:c r="J695" s="95" t="n">
        <x:v>1125</x:v>
      </x:c>
      <x:c r="K695" s="96" t="n">
        <x:f>IFERROR(L695/J695,0)</x:f>
        <x:v>0.04088888888888889</x:v>
      </x:c>
      <x:c r="L695" s="95" t="n">
        <x:v>46</x:v>
      </x:c>
      <x:c r="M695" s="97" t="n">
        <x:v>0.2083</x:v>
      </x:c>
      <x:c r="N695" s="97" t="n">
        <x:f>ROUND(L695*M695,2)</x:f>
        <x:v>9.58</x:v>
      </x:c>
      <x:c r="O695" s="94" t="n">
        <x:v>7</x:v>
      </x:c>
      <x:c r="P695" s="94" t="str">
        <x:v>模拟：Google/Microsoft Ads采购导入</x:v>
      </x:c>
    </x:row>
    <x:row r="696">
      <x:c r="A696" s="92" t="str">
        <x:v>PROC-0695</x:v>
      </x:c>
      <x:c r="B696" s="93" t="n">
        <x:v>46148</x:v>
      </x:c>
      <x:c r="C696" s="94" t="str">
        <x:v>Google Ads</x:v>
      </x:c>
      <x:c r="D696" s="94" t="str">
        <x:v>英国</x:v>
      </x:c>
      <x:c r="E696" s="94" t="str">
        <x:v>GGL-C14</x:v>
      </x:c>
      <x:c r="F696" s="94" t="str">
        <x:v>购物广告</x:v>
      </x:c>
      <x:c r="G696" s="94" t="str">
        <x:v>畅销商品</x:v>
      </x:c>
      <x:c r="H696" s="94" t="str">
        <x:v>移动端</x:v>
      </x:c>
      <x:c r="I696" s="94" t="str">
        <x:v>CPC</x:v>
      </x:c>
      <x:c r="J696" s="95" t="n">
        <x:v>810</x:v>
      </x:c>
      <x:c r="K696" s="96" t="n">
        <x:f>IFERROR(L696/J696,0)</x:f>
        <x:v>0.03580246913580247</x:v>
      </x:c>
      <x:c r="L696" s="95" t="n">
        <x:v>29</x:v>
      </x:c>
      <x:c r="M696" s="97" t="n">
        <x:v>0.3503</x:v>
      </x:c>
      <x:c r="N696" s="97" t="n">
        <x:f>ROUND(L696*M696,2)</x:f>
        <x:v>10.16</x:v>
      </x:c>
      <x:c r="O696" s="94" t="n">
        <x:v>8</x:v>
      </x:c>
      <x:c r="P696" s="94" t="str">
        <x:v>模拟：Google/Microsoft Ads采购导入</x:v>
      </x:c>
    </x:row>
    <x:row r="697">
      <x:c r="A697" s="92" t="str">
        <x:v>PROC-0696</x:v>
      </x:c>
      <x:c r="B697" s="93" t="n">
        <x:v>46148</x:v>
      </x:c>
      <x:c r="C697" s="94" t="str">
        <x:v>Google Ads</x:v>
      </x:c>
      <x:c r="D697" s="94" t="str">
        <x:v>英国</x:v>
      </x:c>
      <x:c r="E697" s="94" t="str">
        <x:v>GGL-C18</x:v>
      </x:c>
      <x:c r="F697" s="94" t="str">
        <x:v>通用搜索</x:v>
      </x:c>
      <x:c r="G697" s="94" t="str">
        <x:v>高性价比商品</x:v>
      </x:c>
      <x:c r="H697" s="94" t="str">
        <x:v>移动端</x:v>
      </x:c>
      <x:c r="I697" s="94" t="str">
        <x:v>CPC</x:v>
      </x:c>
      <x:c r="J697" s="95" t="n">
        <x:v>735</x:v>
      </x:c>
      <x:c r="K697" s="96" t="n">
        <x:f>IFERROR(L697/J697,0)</x:f>
        <x:v>0.0326530612244898</x:v>
      </x:c>
      <x:c r="L697" s="95" t="n">
        <x:v>24</x:v>
      </x:c>
      <x:c r="M697" s="97" t="n">
        <x:v>0.281</x:v>
      </x:c>
      <x:c r="N697" s="97" t="n">
        <x:f>ROUND(L697*M697,2)</x:f>
        <x:v>6.74</x:v>
      </x:c>
      <x:c r="O697" s="94" t="n">
        <x:v>8</x:v>
      </x:c>
      <x:c r="P697" s="94" t="str">
        <x:v>模拟：Google/Microsoft Ads采购导入</x:v>
      </x:c>
    </x:row>
    <x:row r="698">
      <x:c r="A698" s="92" t="str">
        <x:v>PROC-0697</x:v>
      </x:c>
      <x:c r="B698" s="93" t="n">
        <x:v>46148</x:v>
      </x:c>
      <x:c r="C698" s="94" t="str">
        <x:v>Google Ads</x:v>
      </x:c>
      <x:c r="D698" s="94" t="str">
        <x:v>美国</x:v>
      </x:c>
      <x:c r="E698" s="94" t="str">
        <x:v>GGL-C02</x:v>
      </x:c>
      <x:c r="F698" s="94" t="str">
        <x:v>通用搜索</x:v>
      </x:c>
      <x:c r="G698" s="94" t="str">
        <x:v>专业精选</x:v>
      </x:c>
      <x:c r="H698" s="94" t="str">
        <x:v>桌面端</x:v>
      </x:c>
      <x:c r="I698" s="94" t="str">
        <x:v>CPC</x:v>
      </x:c>
      <x:c r="J698" s="95" t="n">
        <x:v>1346</x:v>
      </x:c>
      <x:c r="K698" s="96" t="n">
        <x:f>IFERROR(L698/J698,0)</x:f>
        <x:v>0.03566121842496285</x:v>
      </x:c>
      <x:c r="L698" s="95" t="n">
        <x:v>48</x:v>
      </x:c>
      <x:c r="M698" s="97" t="n">
        <x:v>0.3726</x:v>
      </x:c>
      <x:c r="N698" s="97" t="n">
        <x:f>ROUND(L698*M698,2)</x:f>
        <x:v>17.88</x:v>
      </x:c>
      <x:c r="O698" s="94" t="n">
        <x:v>8</x:v>
      </x:c>
      <x:c r="P698" s="94" t="str">
        <x:v>模拟：Google/Microsoft Ads采购导入</x:v>
      </x:c>
    </x:row>
    <x:row r="699">
      <x:c r="A699" s="92" t="str">
        <x:v>PROC-0698</x:v>
      </x:c>
      <x:c r="B699" s="93" t="n">
        <x:v>46149</x:v>
      </x:c>
      <x:c r="C699" s="94" t="str">
        <x:v>Google Ads</x:v>
      </x:c>
      <x:c r="D699" s="94" t="str">
        <x:v>英国</x:v>
      </x:c>
      <x:c r="E699" s="94" t="str">
        <x:v>GGL-C09</x:v>
      </x:c>
      <x:c r="F699" s="94" t="str">
        <x:v>购物广告</x:v>
      </x:c>
      <x:c r="G699" s="94" t="str">
        <x:v>折扣商品</x:v>
      </x:c>
      <x:c r="H699" s="94" t="str">
        <x:v>桌面端</x:v>
      </x:c>
      <x:c r="I699" s="94" t="str">
        <x:v>CPC</x:v>
      </x:c>
      <x:c r="J699" s="95" t="n">
        <x:v>1004</x:v>
      </x:c>
      <x:c r="K699" s="96" t="n">
        <x:f>IFERROR(L699/J699,0)</x:f>
        <x:v>0.045816733067729085</x:v>
      </x:c>
      <x:c r="L699" s="95" t="n">
        <x:v>46</x:v>
      </x:c>
      <x:c r="M699" s="97" t="n">
        <x:v>0.294</x:v>
      </x:c>
      <x:c r="N699" s="97" t="n">
        <x:f>ROUND(L699*M699,2)</x:f>
        <x:v>13.52</x:v>
      </x:c>
      <x:c r="O699" s="94" t="n">
        <x:v>6</x:v>
      </x:c>
      <x:c r="P699" s="94" t="str">
        <x:v>模拟：Google/Microsoft Ads采购导入</x:v>
      </x:c>
    </x:row>
    <x:row r="700">
      <x:c r="A700" s="92" t="str">
        <x:v>PROC-0699</x:v>
      </x:c>
      <x:c r="B700" s="93" t="n">
        <x:v>46149</x:v>
      </x:c>
      <x:c r="C700" s="94" t="str">
        <x:v>Google Ads</x:v>
      </x:c>
      <x:c r="D700" s="94" t="str">
        <x:v>美国</x:v>
      </x:c>
      <x:c r="E700" s="94" t="str">
        <x:v>GGL-C16</x:v>
      </x:c>
      <x:c r="F700" s="94" t="str">
        <x:v>购物广告</x:v>
      </x:c>
      <x:c r="G700" s="94" t="str">
        <x:v>快速配送</x:v>
      </x:c>
      <x:c r="H700" s="94" t="str">
        <x:v>移动端</x:v>
      </x:c>
      <x:c r="I700" s="94" t="str">
        <x:v>CPC</x:v>
      </x:c>
      <x:c r="J700" s="95" t="n">
        <x:v>748</x:v>
      </x:c>
      <x:c r="K700" s="96" t="n">
        <x:f>IFERROR(L700/J700,0)</x:f>
        <x:v>0.05213903743315508</x:v>
      </x:c>
      <x:c r="L700" s="95" t="n">
        <x:v>39</x:v>
      </x:c>
      <x:c r="M700" s="97" t="n">
        <x:v>0.3394</x:v>
      </x:c>
      <x:c r="N700" s="97" t="n">
        <x:f>ROUND(L700*M700,2)</x:f>
        <x:v>13.24</x:v>
      </x:c>
      <x:c r="O700" s="94" t="n">
        <x:v>7</x:v>
      </x:c>
      <x:c r="P700" s="94" t="str">
        <x:v>模拟：Google/Microsoft Ads采购导入</x:v>
      </x:c>
    </x:row>
    <x:row r="701">
      <x:c r="A701" s="92" t="str">
        <x:v>PROC-0700</x:v>
      </x:c>
      <x:c r="B701" s="93" t="n">
        <x:v>46149</x:v>
      </x:c>
      <x:c r="C701" s="94" t="str">
        <x:v>Google Ads</x:v>
      </x:c>
      <x:c r="D701" s="94" t="str">
        <x:v>日本</x:v>
      </x:c>
      <x:c r="E701" s="94" t="str">
        <x:v>GGL-C22</x:v>
      </x:c>
      <x:c r="F701" s="94" t="str">
        <x:v>通用搜索</x:v>
      </x:c>
      <x:c r="G701" s="94" t="str">
        <x:v>家庭必备</x:v>
      </x:c>
      <x:c r="H701" s="94" t="str">
        <x:v>移动端</x:v>
      </x:c>
      <x:c r="I701" s="94" t="str">
        <x:v>CPC</x:v>
      </x:c>
      <x:c r="J701" s="95" t="n">
        <x:v>1130</x:v>
      </x:c>
      <x:c r="K701" s="96" t="n">
        <x:f>IFERROR(L701/J701,0)</x:f>
        <x:v>0.03805309734513274</x:v>
      </x:c>
      <x:c r="L701" s="95" t="n">
        <x:v>43</x:v>
      </x:c>
      <x:c r="M701" s="97" t="n">
        <x:v>0.2778</x:v>
      </x:c>
      <x:c r="N701" s="97" t="n">
        <x:f>ROUND(L701*M701,2)</x:f>
        <x:v>11.95</x:v>
      </x:c>
      <x:c r="O701" s="94" t="n">
        <x:v>7</x:v>
      </x:c>
      <x:c r="P701" s="94" t="str">
        <x:v>模拟：Google/Microsoft Ads采购导入</x:v>
      </x:c>
    </x:row>
    <x:row r="702">
      <x:c r="A702" s="92" t="str">
        <x:v>PROC-0701</x:v>
      </x:c>
      <x:c r="B702" s="93" t="n">
        <x:v>46149</x:v>
      </x:c>
      <x:c r="C702" s="94" t="str">
        <x:v>Google Ads</x:v>
      </x:c>
      <x:c r="D702" s="94" t="str">
        <x:v>美国</x:v>
      </x:c>
      <x:c r="E702" s="94" t="str">
        <x:v>GGL-C09</x:v>
      </x:c>
      <x:c r="F702" s="94" t="str">
        <x:v>通用搜索</x:v>
      </x:c>
      <x:c r="G702" s="94" t="str">
        <x:v>热门新品</x:v>
      </x:c>
      <x:c r="H702" s="94" t="str">
        <x:v>移动端</x:v>
      </x:c>
      <x:c r="I702" s="94" t="str">
        <x:v>CPC</x:v>
      </x:c>
      <x:c r="J702" s="95" t="n">
        <x:v>1335</x:v>
      </x:c>
      <x:c r="K702" s="96" t="n">
        <x:f>IFERROR(L702/J702,0)</x:f>
        <x:v>0.041947565543071164</x:v>
      </x:c>
      <x:c r="L702" s="95" t="n">
        <x:v>56</x:v>
      </x:c>
      <x:c r="M702" s="97" t="n">
        <x:v>0.3649</x:v>
      </x:c>
      <x:c r="N702" s="97" t="n">
        <x:f>ROUND(L702*M702,2)</x:f>
        <x:v>20.43</x:v>
      </x:c>
      <x:c r="O702" s="94" t="n">
        <x:v>7</x:v>
      </x:c>
      <x:c r="P702" s="94" t="str">
        <x:v>模拟：Google/Microsoft Ads采购导入</x:v>
      </x:c>
    </x:row>
    <x:row r="703">
      <x:c r="A703" s="92" t="str">
        <x:v>PROC-0702</x:v>
      </x:c>
      <x:c r="B703" s="93" t="n">
        <x:v>46149</x:v>
      </x:c>
      <x:c r="C703" s="94" t="str">
        <x:v>Google Ads</x:v>
      </x:c>
      <x:c r="D703" s="94" t="str">
        <x:v>英国</x:v>
      </x:c>
      <x:c r="E703" s="94" t="str">
        <x:v>GGL-C12</x:v>
      </x:c>
      <x:c r="F703" s="94" t="str">
        <x:v>竞品搜索</x:v>
      </x:c>
      <x:c r="G703" s="94" t="str">
        <x:v>价格替代</x:v>
      </x:c>
      <x:c r="H703" s="94" t="str">
        <x:v>桌面端</x:v>
      </x:c>
      <x:c r="I703" s="94" t="str">
        <x:v>CPC</x:v>
      </x:c>
      <x:c r="J703" s="95" t="n">
        <x:v>794</x:v>
      </x:c>
      <x:c r="K703" s="96" t="n">
        <x:f>IFERROR(L703/J703,0)</x:f>
        <x:v>0.027707808564231738</x:v>
      </x:c>
      <x:c r="L703" s="95" t="n">
        <x:v>22</x:v>
      </x:c>
      <x:c r="M703" s="97" t="n">
        <x:v>0.4361</x:v>
      </x:c>
      <x:c r="N703" s="97" t="n">
        <x:f>ROUND(L703*M703,2)</x:f>
        <x:v>9.59</x:v>
      </x:c>
      <x:c r="O703" s="94" t="n">
        <x:v>8</x:v>
      </x:c>
      <x:c r="P703" s="94" t="str">
        <x:v>模拟：Google/Microsoft Ads采购导入</x:v>
      </x:c>
    </x:row>
    <x:row r="704">
      <x:c r="A704" s="92" t="str">
        <x:v>PROC-0703</x:v>
      </x:c>
      <x:c r="B704" s="93" t="n">
        <x:v>46150</x:v>
      </x:c>
      <x:c r="C704" s="94" t="str">
        <x:v>Google Ads</x:v>
      </x:c>
      <x:c r="D704" s="94" t="str">
        <x:v>英国</x:v>
      </x:c>
      <x:c r="E704" s="94" t="str">
        <x:v>GGL-C20</x:v>
      </x:c>
      <x:c r="F704" s="94" t="str">
        <x:v>竞品搜索</x:v>
      </x:c>
      <x:c r="G704" s="94" t="str">
        <x:v>同类产品对比</x:v>
      </x:c>
      <x:c r="H704" s="94" t="str">
        <x:v>移动端</x:v>
      </x:c>
      <x:c r="I704" s="94" t="str">
        <x:v>CPC</x:v>
      </x:c>
      <x:c r="J704" s="95" t="n">
        <x:v>974</x:v>
      </x:c>
      <x:c r="K704" s="96" t="n">
        <x:f>IFERROR(L704/J704,0)</x:f>
        <x:v>0.03182751540041068</x:v>
      </x:c>
      <x:c r="L704" s="95" t="n">
        <x:v>31</x:v>
      </x:c>
      <x:c r="M704" s="97" t="n">
        <x:v>0.3785</x:v>
      </x:c>
      <x:c r="N704" s="97" t="n">
        <x:f>ROUND(L704*M704,2)</x:f>
        <x:v>11.73</x:v>
      </x:c>
      <x:c r="O704" s="94" t="n">
        <x:v>6</x:v>
      </x:c>
      <x:c r="P704" s="94" t="str">
        <x:v>模拟：Google/Microsoft Ads采购导入</x:v>
      </x:c>
    </x:row>
    <x:row r="705">
      <x:c r="A705" s="92" t="str">
        <x:v>PROC-0704</x:v>
      </x:c>
      <x:c r="B705" s="93" t="n">
        <x:v>46150</x:v>
      </x:c>
      <x:c r="C705" s="94" t="str">
        <x:v>Google Ads</x:v>
      </x:c>
      <x:c r="D705" s="94" t="str">
        <x:v>英国</x:v>
      </x:c>
      <x:c r="E705" s="94" t="str">
        <x:v>GGL-C02</x:v>
      </x:c>
      <x:c r="F705" s="94" t="str">
        <x:v>购物广告</x:v>
      </x:c>
      <x:c r="G705" s="94" t="str">
        <x:v>折扣商品</x:v>
      </x:c>
      <x:c r="H705" s="94" t="str">
        <x:v>桌面端</x:v>
      </x:c>
      <x:c r="I705" s="94" t="str">
        <x:v>CPC</x:v>
      </x:c>
      <x:c r="J705" s="95" t="n">
        <x:v>1018</x:v>
      </x:c>
      <x:c r="K705" s="96" t="n">
        <x:f>IFERROR(L705/J705,0)</x:f>
        <x:v>0.04223968565815324</x:v>
      </x:c>
      <x:c r="L705" s="95" t="n">
        <x:v>43</x:v>
      </x:c>
      <x:c r="M705" s="97" t="n">
        <x:v>0.3795</x:v>
      </x:c>
      <x:c r="N705" s="97" t="n">
        <x:f>ROUND(L705*M705,2)</x:f>
        <x:v>16.32</x:v>
      </x:c>
      <x:c r="O705" s="94" t="n">
        <x:v>6</x:v>
      </x:c>
      <x:c r="P705" s="94" t="str">
        <x:v>模拟：Google/Microsoft Ads采购导入</x:v>
      </x:c>
    </x:row>
    <x:row r="706">
      <x:c r="A706" s="92" t="str">
        <x:v>PROC-0705</x:v>
      </x:c>
      <x:c r="B706" s="93" t="n">
        <x:v>46150</x:v>
      </x:c>
      <x:c r="C706" s="94" t="str">
        <x:v>Google Ads</x:v>
      </x:c>
      <x:c r="D706" s="94" t="str">
        <x:v>日本</x:v>
      </x:c>
      <x:c r="E706" s="94" t="str">
        <x:v>GGL-C11</x:v>
      </x:c>
      <x:c r="F706" s="94" t="str">
        <x:v>购物广告</x:v>
      </x:c>
      <x:c r="G706" s="94" t="str">
        <x:v>价格比较</x:v>
      </x:c>
      <x:c r="H706" s="94" t="str">
        <x:v>移动端</x:v>
      </x:c>
      <x:c r="I706" s="94" t="str">
        <x:v>CPC</x:v>
      </x:c>
      <x:c r="J706" s="95" t="n">
        <x:v>1497</x:v>
      </x:c>
      <x:c r="K706" s="96" t="n">
        <x:f>IFERROR(L706/J706,0)</x:f>
        <x:v>0.036072144288577156</x:v>
      </x:c>
      <x:c r="L706" s="95" t="n">
        <x:v>54</x:v>
      </x:c>
      <x:c r="M706" s="97" t="n">
        <x:v>0.2579</x:v>
      </x:c>
      <x:c r="N706" s="97" t="n">
        <x:f>ROUND(L706*M706,2)</x:f>
        <x:v>13.93</x:v>
      </x:c>
      <x:c r="O706" s="94" t="n">
        <x:v>8</x:v>
      </x:c>
      <x:c r="P706" s="94" t="str">
        <x:v>模拟：Google/Microsoft Ads采购导入</x:v>
      </x:c>
    </x:row>
    <x:row r="707">
      <x:c r="A707" s="92" t="str">
        <x:v>PROC-0706</x:v>
      </x:c>
      <x:c r="B707" s="93" t="n">
        <x:v>46150</x:v>
      </x:c>
      <x:c r="C707" s="94" t="str">
        <x:v>Microsoft Ads</x:v>
      </x:c>
      <x:c r="D707" s="94" t="str">
        <x:v>英国</x:v>
      </x:c>
      <x:c r="E707" s="94" t="str">
        <x:v>MSA-C16</x:v>
      </x:c>
      <x:c r="F707" s="94" t="str">
        <x:v>品牌搜索</x:v>
      </x:c>
      <x:c r="G707" s="94" t="str">
        <x:v>品牌购买词</x:v>
      </x:c>
      <x:c r="H707" s="94" t="str">
        <x:v>桌面端</x:v>
      </x:c>
      <x:c r="I707" s="94" t="str">
        <x:v>CPC</x:v>
      </x:c>
      <x:c r="J707" s="95" t="n">
        <x:v>1075</x:v>
      </x:c>
      <x:c r="K707" s="96" t="n">
        <x:f>IFERROR(L707/J707,0)</x:f>
        <x:v>0.053023255813953486</x:v>
      </x:c>
      <x:c r="L707" s="95" t="n">
        <x:v>57</x:v>
      </x:c>
      <x:c r="M707" s="97" t="n">
        <x:v>0.1743</x:v>
      </x:c>
      <x:c r="N707" s="97" t="n">
        <x:f>ROUND(L707*M707,2)</x:f>
        <x:v>9.94</x:v>
      </x:c>
      <x:c r="O707" s="94" t="n">
        <x:v>9</x:v>
      </x:c>
      <x:c r="P707" s="94" t="str">
        <x:v>模拟：Google/Microsoft Ads采购导入</x:v>
      </x:c>
    </x:row>
    <x:row r="708">
      <x:c r="A708" s="92" t="str">
        <x:v>PROC-0707</x:v>
      </x:c>
      <x:c r="B708" s="93" t="n">
        <x:v>46150</x:v>
      </x:c>
      <x:c r="C708" s="94" t="str">
        <x:v>Google Ads</x:v>
      </x:c>
      <x:c r="D708" s="94" t="str">
        <x:v>美国</x:v>
      </x:c>
      <x:c r="E708" s="94" t="str">
        <x:v>GGL-C02</x:v>
      </x:c>
      <x:c r="F708" s="94" t="str">
        <x:v>购物广告</x:v>
      </x:c>
      <x:c r="G708" s="94" t="str">
        <x:v>高评分商品</x:v>
      </x:c>
      <x:c r="H708" s="94" t="str">
        <x:v>桌面端</x:v>
      </x:c>
      <x:c r="I708" s="94" t="str">
        <x:v>CPC</x:v>
      </x:c>
      <x:c r="J708" s="95" t="n">
        <x:v>1123</x:v>
      </x:c>
      <x:c r="K708" s="96" t="n">
        <x:f>IFERROR(L708/J708,0)</x:f>
        <x:v>0.0427426536064114</x:v>
      </x:c>
      <x:c r="L708" s="95" t="n">
        <x:v>48</x:v>
      </x:c>
      <x:c r="M708" s="97" t="n">
        <x:v>0.3135</x:v>
      </x:c>
      <x:c r="N708" s="97" t="n">
        <x:f>ROUND(L708*M708,2)</x:f>
        <x:v>15.05</x:v>
      </x:c>
      <x:c r="O708" s="94" t="n">
        <x:v>6</x:v>
      </x:c>
      <x:c r="P708" s="94" t="str">
        <x:v>模拟：Google/Microsoft Ads采购导入</x:v>
      </x:c>
    </x:row>
    <x:row r="709">
      <x:c r="A709" s="92" t="str">
        <x:v>PROC-0708</x:v>
      </x:c>
      <x:c r="B709" s="93" t="n">
        <x:v>46150</x:v>
      </x:c>
      <x:c r="C709" s="94" t="str">
        <x:v>Google Ads</x:v>
      </x:c>
      <x:c r="D709" s="94" t="str">
        <x:v>美国</x:v>
      </x:c>
      <x:c r="E709" s="94" t="str">
        <x:v>GGL-C09</x:v>
      </x:c>
      <x:c r="F709" s="94" t="str">
        <x:v>通用搜索</x:v>
      </x:c>
      <x:c r="G709" s="94" t="str">
        <x:v>家庭必备</x:v>
      </x:c>
      <x:c r="H709" s="94" t="str">
        <x:v>移动端</x:v>
      </x:c>
      <x:c r="I709" s="94" t="str">
        <x:v>CPC</x:v>
      </x:c>
      <x:c r="J709" s="95" t="n">
        <x:v>1214</x:v>
      </x:c>
      <x:c r="K709" s="96" t="n">
        <x:f>IFERROR(L709/J709,0)</x:f>
        <x:v>0.03130148270181219</x:v>
      </x:c>
      <x:c r="L709" s="95" t="n">
        <x:v>38</x:v>
      </x:c>
      <x:c r="M709" s="97" t="n">
        <x:v>0.3505</x:v>
      </x:c>
      <x:c r="N709" s="97" t="n">
        <x:f>ROUND(L709*M709,2)</x:f>
        <x:v>13.32</x:v>
      </x:c>
      <x:c r="O709" s="94" t="n">
        <x:v>6</x:v>
      </x:c>
      <x:c r="P709" s="94" t="str">
        <x:v>模拟：Google/Microsoft Ads采购导入</x:v>
      </x:c>
    </x:row>
    <x:row r="710">
      <x:c r="A710" s="92" t="str">
        <x:v>PROC-0709</x:v>
      </x:c>
      <x:c r="B710" s="93" t="n">
        <x:v>46151</x:v>
      </x:c>
      <x:c r="C710" s="94" t="str">
        <x:v>Microsoft Ads</x:v>
      </x:c>
      <x:c r="D710" s="94" t="str">
        <x:v>日本</x:v>
      </x:c>
      <x:c r="E710" s="94" t="str">
        <x:v>MSA-C16</x:v>
      </x:c>
      <x:c r="F710" s="94" t="str">
        <x:v>竞品搜索</x:v>
      </x:c>
      <x:c r="G710" s="94" t="str">
        <x:v>竞品评测</x:v>
      </x:c>
      <x:c r="H710" s="94" t="str">
        <x:v>桌面端</x:v>
      </x:c>
      <x:c r="I710" s="94" t="str">
        <x:v>CPC</x:v>
      </x:c>
      <x:c r="J710" s="95" t="n">
        <x:v>807</x:v>
      </x:c>
      <x:c r="K710" s="96" t="n">
        <x:f>IFERROR(L710/J710,0)</x:f>
        <x:v>0.03345724907063197</x:v>
      </x:c>
      <x:c r="L710" s="95" t="n">
        <x:v>27</x:v>
      </x:c>
      <x:c r="M710" s="97" t="n">
        <x:v>0.2558</x:v>
      </x:c>
      <x:c r="N710" s="97" t="n">
        <x:f>ROUND(L710*M710,2)</x:f>
        <x:v>6.91</x:v>
      </x:c>
      <x:c r="O710" s="94" t="n">
        <x:v>8</x:v>
      </x:c>
      <x:c r="P710" s="94" t="str">
        <x:v>模拟：Google/Microsoft Ads采购导入</x:v>
      </x:c>
    </x:row>
    <x:row r="711">
      <x:c r="A711" s="92" t="str">
        <x:v>PROC-0710</x:v>
      </x:c>
      <x:c r="B711" s="93" t="n">
        <x:v>46151</x:v>
      </x:c>
      <x:c r="C711" s="94" t="str">
        <x:v>Google Ads</x:v>
      </x:c>
      <x:c r="D711" s="94" t="str">
        <x:v>英国</x:v>
      </x:c>
      <x:c r="E711" s="94" t="str">
        <x:v>GGL-C20</x:v>
      </x:c>
      <x:c r="F711" s="94" t="str">
        <x:v>品牌搜索</x:v>
      </x:c>
      <x:c r="G711" s="94" t="str">
        <x:v>品牌购买词</x:v>
      </x:c>
      <x:c r="H711" s="94" t="str">
        <x:v>平板</x:v>
      </x:c>
      <x:c r="I711" s="94" t="str">
        <x:v>CPC</x:v>
      </x:c>
      <x:c r="J711" s="95" t="n">
        <x:v>1355</x:v>
      </x:c>
      <x:c r="K711" s="96" t="n">
        <x:f>IFERROR(L711/J711,0)</x:f>
        <x:v>0.053136531365313655</x:v>
      </x:c>
      <x:c r="L711" s="95" t="n">
        <x:v>72</x:v>
      </x:c>
      <x:c r="M711" s="97" t="n">
        <x:v>0.2313</x:v>
      </x:c>
      <x:c r="N711" s="97" t="n">
        <x:f>ROUND(L711*M711,2)</x:f>
        <x:v>16.65</x:v>
      </x:c>
      <x:c r="O711" s="94" t="n">
        <x:v>9</x:v>
      </x:c>
      <x:c r="P711" s="94" t="str">
        <x:v>模拟：Google/Microsoft Ads采购导入</x:v>
      </x:c>
    </x:row>
    <x:row r="712">
      <x:c r="A712" s="92" t="str">
        <x:v>PROC-0711</x:v>
      </x:c>
      <x:c r="B712" s="93" t="n">
        <x:v>46151</x:v>
      </x:c>
      <x:c r="C712" s="94" t="str">
        <x:v>Google Ads</x:v>
      </x:c>
      <x:c r="D712" s="94" t="str">
        <x:v>德国</x:v>
      </x:c>
      <x:c r="E712" s="94" t="str">
        <x:v>GGL-C06</x:v>
      </x:c>
      <x:c r="F712" s="94" t="str">
        <x:v>品牌搜索</x:v>
      </x:c>
      <x:c r="G712" s="94" t="str">
        <x:v>品牌优惠词</x:v>
      </x:c>
      <x:c r="H712" s="94" t="str">
        <x:v>桌面端</x:v>
      </x:c>
      <x:c r="I712" s="94" t="str">
        <x:v>CPC</x:v>
      </x:c>
      <x:c r="J712" s="95" t="n">
        <x:v>1292</x:v>
      </x:c>
      <x:c r="K712" s="96" t="n">
        <x:f>IFERROR(L712/J712,0)</x:f>
        <x:v>0.04643962848297214</x:v>
      </x:c>
      <x:c r="L712" s="95" t="n">
        <x:v>60</x:v>
      </x:c>
      <x:c r="M712" s="97" t="n">
        <x:v>0.1876</x:v>
      </x:c>
      <x:c r="N712" s="97" t="n">
        <x:f>ROUND(L712*M712,2)</x:f>
        <x:v>11.26</x:v>
      </x:c>
      <x:c r="O712" s="94" t="n">
        <x:v>7</x:v>
      </x:c>
      <x:c r="P712" s="94" t="str">
        <x:v>模拟：Google/Microsoft Ads采购导入</x:v>
      </x:c>
    </x:row>
    <x:row r="713">
      <x:c r="A713" s="92" t="str">
        <x:v>PROC-0712</x:v>
      </x:c>
      <x:c r="B713" s="93" t="n">
        <x:v>46151</x:v>
      </x:c>
      <x:c r="C713" s="94" t="str">
        <x:v>Microsoft Ads</x:v>
      </x:c>
      <x:c r="D713" s="94" t="str">
        <x:v>德国</x:v>
      </x:c>
      <x:c r="E713" s="94" t="str">
        <x:v>MSA-C12</x:v>
      </x:c>
      <x:c r="F713" s="94" t="str">
        <x:v>购物广告</x:v>
      </x:c>
      <x:c r="G713" s="94" t="str">
        <x:v>畅销商品</x:v>
      </x:c>
      <x:c r="H713" s="94" t="str">
        <x:v>桌面端</x:v>
      </x:c>
      <x:c r="I713" s="94" t="str">
        <x:v>CPC</x:v>
      </x:c>
      <x:c r="J713" s="95" t="n">
        <x:v>785</x:v>
      </x:c>
      <x:c r="K713" s="96" t="n">
        <x:f>IFERROR(L713/J713,0)</x:f>
        <x:v>0.048407643312101914</x:v>
      </x:c>
      <x:c r="L713" s="95" t="n">
        <x:v>38</x:v>
      </x:c>
      <x:c r="M713" s="97" t="n">
        <x:v>0.2317</x:v>
      </x:c>
      <x:c r="N713" s="97" t="n">
        <x:f>ROUND(L713*M713,2)</x:f>
        <x:v>8.8</x:v>
      </x:c>
      <x:c r="O713" s="94" t="n">
        <x:v>8</x:v>
      </x:c>
      <x:c r="P713" s="94" t="str">
        <x:v>模拟：Google/Microsoft Ads采购导入</x:v>
      </x:c>
    </x:row>
    <x:row r="714">
      <x:c r="A714" s="92" t="str">
        <x:v>PROC-0713</x:v>
      </x:c>
      <x:c r="B714" s="93" t="n">
        <x:v>46151</x:v>
      </x:c>
      <x:c r="C714" s="94" t="str">
        <x:v>Microsoft Ads</x:v>
      </x:c>
      <x:c r="D714" s="94" t="str">
        <x:v>美国</x:v>
      </x:c>
      <x:c r="E714" s="94" t="str">
        <x:v>MSA-C19</x:v>
      </x:c>
      <x:c r="F714" s="94" t="str">
        <x:v>通用搜索</x:v>
      </x:c>
      <x:c r="G714" s="94" t="str">
        <x:v>高性价比商品</x:v>
      </x:c>
      <x:c r="H714" s="94" t="str">
        <x:v>平板</x:v>
      </x:c>
      <x:c r="I714" s="94" t="str">
        <x:v>CPC</x:v>
      </x:c>
      <x:c r="J714" s="95" t="n">
        <x:v>844</x:v>
      </x:c>
      <x:c r="K714" s="96" t="n">
        <x:f>IFERROR(L714/J714,0)</x:f>
        <x:v>0.04265402843601896</x:v>
      </x:c>
      <x:c r="L714" s="95" t="n">
        <x:v>36</x:v>
      </x:c>
      <x:c r="M714" s="97" t="n">
        <x:v>0.2372</x:v>
      </x:c>
      <x:c r="N714" s="97" t="n">
        <x:f>ROUND(L714*M714,2)</x:f>
        <x:v>8.54</x:v>
      </x:c>
      <x:c r="O714" s="94" t="n">
        <x:v>9</x:v>
      </x:c>
      <x:c r="P714" s="94" t="str">
        <x:v>模拟：Google/Microsoft Ads采购导入</x:v>
      </x:c>
    </x:row>
    <x:row r="715">
      <x:c r="A715" s="92" t="str">
        <x:v>PROC-0714</x:v>
      </x:c>
      <x:c r="B715" s="93" t="n">
        <x:v>46152</x:v>
      </x:c>
      <x:c r="C715" s="94" t="str">
        <x:v>Microsoft Ads</x:v>
      </x:c>
      <x:c r="D715" s="94" t="str">
        <x:v>美国</x:v>
      </x:c>
      <x:c r="E715" s="94" t="str">
        <x:v>MSA-C04</x:v>
      </x:c>
      <x:c r="F715" s="94" t="str">
        <x:v>竞品搜索</x:v>
      </x:c>
      <x:c r="G715" s="94" t="str">
        <x:v>竞品评测</x:v>
      </x:c>
      <x:c r="H715" s="94" t="str">
        <x:v>移动端</x:v>
      </x:c>
      <x:c r="I715" s="94" t="str">
        <x:v>CPC</x:v>
      </x:c>
      <x:c r="J715" s="95" t="n">
        <x:v>735</x:v>
      </x:c>
      <x:c r="K715" s="96" t="n">
        <x:f>IFERROR(L715/J715,0)</x:f>
        <x:v>0.029931972789115645</x:v>
      </x:c>
      <x:c r="L715" s="95" t="n">
        <x:v>22</x:v>
      </x:c>
      <x:c r="M715" s="97" t="n">
        <x:v>0.3376</x:v>
      </x:c>
      <x:c r="N715" s="97" t="n">
        <x:f>ROUND(L715*M715,2)</x:f>
        <x:v>7.43</x:v>
      </x:c>
      <x:c r="O715" s="94" t="n">
        <x:v>8</x:v>
      </x:c>
      <x:c r="P715" s="94" t="str">
        <x:v>模拟：Google/Microsoft Ads采购导入</x:v>
      </x:c>
    </x:row>
    <x:row r="716">
      <x:c r="A716" s="92" t="str">
        <x:v>PROC-0715</x:v>
      </x:c>
      <x:c r="B716" s="93" t="n">
        <x:v>46152</x:v>
      </x:c>
      <x:c r="C716" s="94" t="str">
        <x:v>Microsoft Ads</x:v>
      </x:c>
      <x:c r="D716" s="94" t="str">
        <x:v>日本</x:v>
      </x:c>
      <x:c r="E716" s="94" t="str">
        <x:v>MSA-C10</x:v>
      </x:c>
      <x:c r="F716" s="94" t="str">
        <x:v>通用搜索</x:v>
      </x:c>
      <x:c r="G716" s="94" t="str">
        <x:v>实用礼物</x:v>
      </x:c>
      <x:c r="H716" s="94" t="str">
        <x:v>移动端</x:v>
      </x:c>
      <x:c r="I716" s="94" t="str">
        <x:v>CPC</x:v>
      </x:c>
      <x:c r="J716" s="95" t="n">
        <x:v>1009</x:v>
      </x:c>
      <x:c r="K716" s="96" t="n">
        <x:f>IFERROR(L716/J716,0)</x:f>
        <x:v>0.03369672943508424</x:v>
      </x:c>
      <x:c r="L716" s="95" t="n">
        <x:v>34</x:v>
      </x:c>
      <x:c r="M716" s="97" t="n">
        <x:v>0.1784</x:v>
      </x:c>
      <x:c r="N716" s="97" t="n">
        <x:f>ROUND(L716*M716,2)</x:f>
        <x:v>6.07</x:v>
      </x:c>
      <x:c r="O716" s="94" t="n">
        <x:v>9</x:v>
      </x:c>
      <x:c r="P716" s="94" t="str">
        <x:v>模拟：Google/Microsoft Ads采购导入</x:v>
      </x:c>
    </x:row>
    <x:row r="717">
      <x:c r="A717" s="92" t="str">
        <x:v>PROC-0716</x:v>
      </x:c>
      <x:c r="B717" s="93" t="n">
        <x:v>46152</x:v>
      </x:c>
      <x:c r="C717" s="94" t="str">
        <x:v>Google Ads</x:v>
      </x:c>
      <x:c r="D717" s="94" t="str">
        <x:v>美国</x:v>
      </x:c>
      <x:c r="E717" s="94" t="str">
        <x:v>GGL-C18</x:v>
      </x:c>
      <x:c r="F717" s="94" t="str">
        <x:v>购物广告</x:v>
      </x:c>
      <x:c r="G717" s="94" t="str">
        <x:v>快速配送</x:v>
      </x:c>
      <x:c r="H717" s="94" t="str">
        <x:v>移动端</x:v>
      </x:c>
      <x:c r="I717" s="94" t="str">
        <x:v>CPC</x:v>
      </x:c>
      <x:c r="J717" s="95" t="n">
        <x:v>1673</x:v>
      </x:c>
      <x:c r="K717" s="96" t="n">
        <x:f>IFERROR(L717/J717,0)</x:f>
        <x:v>0.05260011954572624</x:v>
      </x:c>
      <x:c r="L717" s="95" t="n">
        <x:v>88</x:v>
      </x:c>
      <x:c r="M717" s="97" t="n">
        <x:v>0.337</x:v>
      </x:c>
      <x:c r="N717" s="97" t="n">
        <x:f>ROUND(L717*M717,2)</x:f>
        <x:v>29.66</x:v>
      </x:c>
      <x:c r="O717" s="94" t="n">
        <x:v>9</x:v>
      </x:c>
      <x:c r="P717" s="94" t="str">
        <x:v>模拟：Google/Microsoft Ads采购导入</x:v>
      </x:c>
    </x:row>
    <x:row r="718">
      <x:c r="A718" s="92" t="str">
        <x:v>PROC-0717</x:v>
      </x:c>
      <x:c r="B718" s="93" t="n">
        <x:v>46152</x:v>
      </x:c>
      <x:c r="C718" s="94" t="str">
        <x:v>Microsoft Ads</x:v>
      </x:c>
      <x:c r="D718" s="94" t="str">
        <x:v>日本</x:v>
      </x:c>
      <x:c r="E718" s="94" t="str">
        <x:v>MSA-C21</x:v>
      </x:c>
      <x:c r="F718" s="94" t="str">
        <x:v>通用搜索</x:v>
      </x:c>
      <x:c r="G718" s="94" t="str">
        <x:v>高性价比商品</x:v>
      </x:c>
      <x:c r="H718" s="94" t="str">
        <x:v>移动端</x:v>
      </x:c>
      <x:c r="I718" s="94" t="str">
        <x:v>CPC</x:v>
      </x:c>
      <x:c r="J718" s="95" t="n">
        <x:v>1376</x:v>
      </x:c>
      <x:c r="K718" s="96" t="n">
        <x:f>IFERROR(L718/J718,0)</x:f>
        <x:v>0.03343023255813953</x:v>
      </x:c>
      <x:c r="L718" s="95" t="n">
        <x:v>46</x:v>
      </x:c>
      <x:c r="M718" s="97" t="n">
        <x:v>0.1948</x:v>
      </x:c>
      <x:c r="N718" s="97" t="n">
        <x:f>ROUND(L718*M718,2)</x:f>
        <x:v>8.96</x:v>
      </x:c>
      <x:c r="O718" s="94" t="n">
        <x:v>8</x:v>
      </x:c>
      <x:c r="P718" s="94" t="str">
        <x:v>模拟：Google/Microsoft Ads采购导入</x:v>
      </x:c>
    </x:row>
    <x:row r="719">
      <x:c r="A719" s="92" t="str">
        <x:v>PROC-0718</x:v>
      </x:c>
      <x:c r="B719" s="93" t="n">
        <x:v>46152</x:v>
      </x:c>
      <x:c r="C719" s="94" t="str">
        <x:v>Google Ads</x:v>
      </x:c>
      <x:c r="D719" s="94" t="str">
        <x:v>日本</x:v>
      </x:c>
      <x:c r="E719" s="94" t="str">
        <x:v>GGL-C07</x:v>
      </x:c>
      <x:c r="F719" s="94" t="str">
        <x:v>购物广告</x:v>
      </x:c>
      <x:c r="G719" s="94" t="str">
        <x:v>折扣商品</x:v>
      </x:c>
      <x:c r="H719" s="94" t="str">
        <x:v>移动端</x:v>
      </x:c>
      <x:c r="I719" s="94" t="str">
        <x:v>CPC</x:v>
      </x:c>
      <x:c r="J719" s="95" t="n">
        <x:v>1308</x:v>
      </x:c>
      <x:c r="K719" s="96" t="n">
        <x:f>IFERROR(L719/J719,0)</x:f>
        <x:v>0.0389908256880734</x:v>
      </x:c>
      <x:c r="L719" s="95" t="n">
        <x:v>51</x:v>
      </x:c>
      <x:c r="M719" s="97" t="n">
        <x:v>0.2655</x:v>
      </x:c>
      <x:c r="N719" s="97" t="n">
        <x:f>ROUND(L719*M719,2)</x:f>
        <x:v>13.54</x:v>
      </x:c>
      <x:c r="O719" s="94" t="n">
        <x:v>6</x:v>
      </x:c>
      <x:c r="P719" s="94" t="str">
        <x:v>模拟：Google/Microsoft Ads采购导入</x:v>
      </x:c>
    </x:row>
    <x:row r="720">
      <x:c r="A720" s="92" t="str">
        <x:v>PROC-0719</x:v>
      </x:c>
      <x:c r="B720" s="93" t="n">
        <x:v>46152</x:v>
      </x:c>
      <x:c r="C720" s="94" t="str">
        <x:v>Google Ads</x:v>
      </x:c>
      <x:c r="D720" s="94" t="str">
        <x:v>美国</x:v>
      </x:c>
      <x:c r="E720" s="94" t="str">
        <x:v>GGL-C12</x:v>
      </x:c>
      <x:c r="F720" s="94" t="str">
        <x:v>购物广告</x:v>
      </x:c>
      <x:c r="G720" s="94" t="str">
        <x:v>畅销商品</x:v>
      </x:c>
      <x:c r="H720" s="94" t="str">
        <x:v>桌面端</x:v>
      </x:c>
      <x:c r="I720" s="94" t="str">
        <x:v>CPC</x:v>
      </x:c>
      <x:c r="J720" s="95" t="n">
        <x:v>1002</x:v>
      </x:c>
      <x:c r="K720" s="96" t="n">
        <x:f>IFERROR(L720/J720,0)</x:f>
        <x:v>0.04291417165668663</x:v>
      </x:c>
      <x:c r="L720" s="95" t="n">
        <x:v>43</x:v>
      </x:c>
      <x:c r="M720" s="97" t="n">
        <x:v>0.3945</x:v>
      </x:c>
      <x:c r="N720" s="97" t="n">
        <x:f>ROUND(L720*M720,2)</x:f>
        <x:v>16.96</x:v>
      </x:c>
      <x:c r="O720" s="94" t="n">
        <x:v>7</x:v>
      </x:c>
      <x:c r="P720" s="94" t="str">
        <x:v>模拟：Google/Microsoft Ads采购导入</x:v>
      </x:c>
    </x:row>
    <x:row r="721">
      <x:c r="A721" s="92" t="str">
        <x:v>PROC-0720</x:v>
      </x:c>
      <x:c r="B721" s="93" t="n">
        <x:v>46153</x:v>
      </x:c>
      <x:c r="C721" s="94" t="str">
        <x:v>Microsoft Ads</x:v>
      </x:c>
      <x:c r="D721" s="94" t="str">
        <x:v>美国</x:v>
      </x:c>
      <x:c r="E721" s="94" t="str">
        <x:v>MSA-C21</x:v>
      </x:c>
      <x:c r="F721" s="94" t="str">
        <x:v>竞品搜索</x:v>
      </x:c>
      <x:c r="G721" s="94" t="str">
        <x:v>更优选择</x:v>
      </x:c>
      <x:c r="H721" s="94" t="str">
        <x:v>移动端</x:v>
      </x:c>
      <x:c r="I721" s="94" t="str">
        <x:v>CPC</x:v>
      </x:c>
      <x:c r="J721" s="95" t="n">
        <x:v>648</x:v>
      </x:c>
      <x:c r="K721" s="96" t="n">
        <x:f>IFERROR(L721/J721,0)</x:f>
        <x:v>0.035493827160493825</x:v>
      </x:c>
      <x:c r="L721" s="95" t="n">
        <x:v>23</x:v>
      </x:c>
      <x:c r="M721" s="97" t="n">
        <x:v>0.3621</x:v>
      </x:c>
      <x:c r="N721" s="97" t="n">
        <x:f>ROUND(L721*M721,2)</x:f>
        <x:v>8.33</x:v>
      </x:c>
      <x:c r="O721" s="94" t="n">
        <x:v>6</x:v>
      </x:c>
      <x:c r="P721" s="94" t="str">
        <x:v>模拟：Google/Microsoft Ads采购导入</x:v>
      </x:c>
    </x:row>
    <x:row r="722">
      <x:c r="A722" s="92" t="str">
        <x:v>PROC-0721</x:v>
      </x:c>
      <x:c r="B722" s="93" t="n">
        <x:v>46153</x:v>
      </x:c>
      <x:c r="C722" s="94" t="str">
        <x:v>Google Ads</x:v>
      </x:c>
      <x:c r="D722" s="94" t="str">
        <x:v>德国</x:v>
      </x:c>
      <x:c r="E722" s="94" t="str">
        <x:v>GGL-C04</x:v>
      </x:c>
      <x:c r="F722" s="94" t="str">
        <x:v>通用搜索</x:v>
      </x:c>
      <x:c r="G722" s="94" t="str">
        <x:v>家庭必备</x:v>
      </x:c>
      <x:c r="H722" s="94" t="str">
        <x:v>移动端</x:v>
      </x:c>
      <x:c r="I722" s="94" t="str">
        <x:v>CPC</x:v>
      </x:c>
      <x:c r="J722" s="95" t="n">
        <x:v>1203</x:v>
      </x:c>
      <x:c r="K722" s="96" t="n">
        <x:f>IFERROR(L722/J722,0)</x:f>
        <x:v>0.03408146300914381</x:v>
      </x:c>
      <x:c r="L722" s="95" t="n">
        <x:v>41</x:v>
      </x:c>
      <x:c r="M722" s="97" t="n">
        <x:v>0.2382</x:v>
      </x:c>
      <x:c r="N722" s="97" t="n">
        <x:f>ROUND(L722*M722,2)</x:f>
        <x:v>9.77</x:v>
      </x:c>
      <x:c r="O722" s="94" t="n">
        <x:v>6</x:v>
      </x:c>
      <x:c r="P722" s="94" t="str">
        <x:v>模拟：Google/Microsoft Ads采购导入</x:v>
      </x:c>
    </x:row>
    <x:row r="723">
      <x:c r="A723" s="92" t="str">
        <x:v>PROC-0722</x:v>
      </x:c>
      <x:c r="B723" s="93" t="n">
        <x:v>46153</x:v>
      </x:c>
      <x:c r="C723" s="94" t="str">
        <x:v>Microsoft Ads</x:v>
      </x:c>
      <x:c r="D723" s="94" t="str">
        <x:v>美国</x:v>
      </x:c>
      <x:c r="E723" s="94" t="str">
        <x:v>MSA-C08</x:v>
      </x:c>
      <x:c r="F723" s="94" t="str">
        <x:v>品牌搜索</x:v>
      </x:c>
      <x:c r="G723" s="94" t="str">
        <x:v>品牌型号词</x:v>
      </x:c>
      <x:c r="H723" s="94" t="str">
        <x:v>移动端</x:v>
      </x:c>
      <x:c r="I723" s="94" t="str">
        <x:v>CPC</x:v>
      </x:c>
      <x:c r="J723" s="95" t="n">
        <x:v>1143</x:v>
      </x:c>
      <x:c r="K723" s="96" t="n">
        <x:f>IFERROR(L723/J723,0)</x:f>
        <x:v>0.06649168853893263</x:v>
      </x:c>
      <x:c r="L723" s="95" t="n">
        <x:v>76</x:v>
      </x:c>
      <x:c r="M723" s="97" t="n">
        <x:v>0.1603</x:v>
      </x:c>
      <x:c r="N723" s="97" t="n">
        <x:f>ROUND(L723*M723,2)</x:f>
        <x:v>12.18</x:v>
      </x:c>
      <x:c r="O723" s="94" t="n">
        <x:v>7</x:v>
      </x:c>
      <x:c r="P723" s="94" t="str">
        <x:v>模拟：Google/Microsoft Ads采购导入</x:v>
      </x:c>
    </x:row>
    <x:row r="724">
      <x:c r="A724" s="92" t="str">
        <x:v>PROC-0723</x:v>
      </x:c>
      <x:c r="B724" s="93" t="n">
        <x:v>46153</x:v>
      </x:c>
      <x:c r="C724" s="94" t="str">
        <x:v>Microsoft Ads</x:v>
      </x:c>
      <x:c r="D724" s="94" t="str">
        <x:v>美国</x:v>
      </x:c>
      <x:c r="E724" s="94" t="str">
        <x:v>MSA-C18</x:v>
      </x:c>
      <x:c r="F724" s="94" t="str">
        <x:v>通用搜索</x:v>
      </x:c>
      <x:c r="G724" s="94" t="str">
        <x:v>实用礼物</x:v>
      </x:c>
      <x:c r="H724" s="94" t="str">
        <x:v>移动端</x:v>
      </x:c>
      <x:c r="I724" s="94" t="str">
        <x:v>CPC</x:v>
      </x:c>
      <x:c r="J724" s="95" t="n">
        <x:v>1335</x:v>
      </x:c>
      <x:c r="K724" s="96" t="n">
        <x:f>IFERROR(L724/J724,0)</x:f>
        <x:v>0.041947565543071164</x:v>
      </x:c>
      <x:c r="L724" s="95" t="n">
        <x:v>56</x:v>
      </x:c>
      <x:c r="M724" s="97" t="n">
        <x:v>0.2475</x:v>
      </x:c>
      <x:c r="N724" s="97" t="n">
        <x:f>ROUND(L724*M724,2)</x:f>
        <x:v>13.86</x:v>
      </x:c>
      <x:c r="O724" s="94" t="n">
        <x:v>6</x:v>
      </x:c>
      <x:c r="P724" s="94" t="str">
        <x:v>模拟：Google/Microsoft Ads采购导入</x:v>
      </x:c>
    </x:row>
    <x:row r="725">
      <x:c r="A725" s="92" t="str">
        <x:v>PROC-0724</x:v>
      </x:c>
      <x:c r="B725" s="93" t="n">
        <x:v>46153</x:v>
      </x:c>
      <x:c r="C725" s="94" t="str">
        <x:v>Google Ads</x:v>
      </x:c>
      <x:c r="D725" s="94" t="str">
        <x:v>美国</x:v>
      </x:c>
      <x:c r="E725" s="94" t="str">
        <x:v>GGL-C24</x:v>
      </x:c>
      <x:c r="F725" s="94" t="str">
        <x:v>购物广告</x:v>
      </x:c>
      <x:c r="G725" s="94" t="str">
        <x:v>畅销商品</x:v>
      </x:c>
      <x:c r="H725" s="94" t="str">
        <x:v>移动端</x:v>
      </x:c>
      <x:c r="I725" s="94" t="str">
        <x:v>CPC</x:v>
      </x:c>
      <x:c r="J725" s="95" t="n">
        <x:v>1680</x:v>
      </x:c>
      <x:c r="K725" s="96" t="n">
        <x:f>IFERROR(L725/J725,0)</x:f>
        <x:v>0.0375</x:v>
      </x:c>
      <x:c r="L725" s="95" t="n">
        <x:v>63</x:v>
      </x:c>
      <x:c r="M725" s="97" t="n">
        <x:v>0.3481</x:v>
      </x:c>
      <x:c r="N725" s="97" t="n">
        <x:f>ROUND(L725*M725,2)</x:f>
        <x:v>21.93</x:v>
      </x:c>
      <x:c r="O725" s="94" t="n">
        <x:v>6</x:v>
      </x:c>
      <x:c r="P725" s="94" t="str">
        <x:v>模拟：Google/Microsoft Ads采购导入</x:v>
      </x:c>
    </x:row>
    <x:row r="726">
      <x:c r="A726" s="92" t="str">
        <x:v>PROC-0725</x:v>
      </x:c>
      <x:c r="B726" s="93" t="n">
        <x:v>46154</x:v>
      </x:c>
      <x:c r="C726" s="94" t="str">
        <x:v>Google Ads</x:v>
      </x:c>
      <x:c r="D726" s="94" t="str">
        <x:v>美国</x:v>
      </x:c>
      <x:c r="E726" s="94" t="str">
        <x:v>GGL-C09</x:v>
      </x:c>
      <x:c r="F726" s="94" t="str">
        <x:v>通用搜索</x:v>
      </x:c>
      <x:c r="G726" s="94" t="str">
        <x:v>高性价比商品</x:v>
      </x:c>
      <x:c r="H726" s="94" t="str">
        <x:v>移动端</x:v>
      </x:c>
      <x:c r="I726" s="94" t="str">
        <x:v>CPC</x:v>
      </x:c>
      <x:c r="J726" s="95" t="n">
        <x:v>1395</x:v>
      </x:c>
      <x:c r="K726" s="96" t="n">
        <x:f>IFERROR(L726/J726,0)</x:f>
        <x:v>0.03369175627240143</x:v>
      </x:c>
      <x:c r="L726" s="95" t="n">
        <x:v>47</x:v>
      </x:c>
      <x:c r="M726" s="97" t="n">
        <x:v>0.3525</x:v>
      </x:c>
      <x:c r="N726" s="97" t="n">
        <x:f>ROUND(L726*M726,2)</x:f>
        <x:v>16.57</x:v>
      </x:c>
      <x:c r="O726" s="94" t="n">
        <x:v>8</x:v>
      </x:c>
      <x:c r="P726" s="94" t="str">
        <x:v>模拟：Google/Microsoft Ads采购导入</x:v>
      </x:c>
    </x:row>
    <x:row r="727">
      <x:c r="A727" s="92" t="str">
        <x:v>PROC-0726</x:v>
      </x:c>
      <x:c r="B727" s="93" t="n">
        <x:v>46154</x:v>
      </x:c>
      <x:c r="C727" s="94" t="str">
        <x:v>Google Ads</x:v>
      </x:c>
      <x:c r="D727" s="94" t="str">
        <x:v>德国</x:v>
      </x:c>
      <x:c r="E727" s="94" t="str">
        <x:v>GGL-C13</x:v>
      </x:c>
      <x:c r="F727" s="94" t="str">
        <x:v>竞品搜索</x:v>
      </x:c>
      <x:c r="G727" s="94" t="str">
        <x:v>同类产品对比</x:v>
      </x:c>
      <x:c r="H727" s="94" t="str">
        <x:v>移动端</x:v>
      </x:c>
      <x:c r="I727" s="94" t="str">
        <x:v>CPC</x:v>
      </x:c>
      <x:c r="J727" s="95" t="n">
        <x:v>797</x:v>
      </x:c>
      <x:c r="K727" s="96" t="n">
        <x:f>IFERROR(L727/J727,0)</x:f>
        <x:v>0.033877038895859475</x:v>
      </x:c>
      <x:c r="L727" s="95" t="n">
        <x:v>27</x:v>
      </x:c>
      <x:c r="M727" s="97" t="n">
        <x:v>0.4388</x:v>
      </x:c>
      <x:c r="N727" s="97" t="n">
        <x:f>ROUND(L727*M727,2)</x:f>
        <x:v>11.85</x:v>
      </x:c>
      <x:c r="O727" s="94" t="n">
        <x:v>8</x:v>
      </x:c>
      <x:c r="P727" s="94" t="str">
        <x:v>模拟：Google/Microsoft Ads采购导入</x:v>
      </x:c>
    </x:row>
    <x:row r="728">
      <x:c r="A728" s="92" t="str">
        <x:v>PROC-0727</x:v>
      </x:c>
      <x:c r="B728" s="93" t="n">
        <x:v>46154</x:v>
      </x:c>
      <x:c r="C728" s="94" t="str">
        <x:v>Google Ads</x:v>
      </x:c>
      <x:c r="D728" s="94" t="str">
        <x:v>日本</x:v>
      </x:c>
      <x:c r="E728" s="94" t="str">
        <x:v>GGL-C19</x:v>
      </x:c>
      <x:c r="F728" s="94" t="str">
        <x:v>通用搜索</x:v>
      </x:c>
      <x:c r="G728" s="94" t="str">
        <x:v>专业精选</x:v>
      </x:c>
      <x:c r="H728" s="94" t="str">
        <x:v>移动端</x:v>
      </x:c>
      <x:c r="I728" s="94" t="str">
        <x:v>CPC</x:v>
      </x:c>
      <x:c r="J728" s="95" t="n">
        <x:v>1309</x:v>
      </x:c>
      <x:c r="K728" s="96" t="n">
        <x:f>IFERROR(L728/J728,0)</x:f>
        <x:v>0.029029793735676088</x:v>
      </x:c>
      <x:c r="L728" s="95" t="n">
        <x:v>38</x:v>
      </x:c>
      <x:c r="M728" s="97" t="n">
        <x:v>0.2228</x:v>
      </x:c>
      <x:c r="N728" s="97" t="n">
        <x:f>ROUND(L728*M728,2)</x:f>
        <x:v>8.47</x:v>
      </x:c>
      <x:c r="O728" s="94" t="n">
        <x:v>7</x:v>
      </x:c>
      <x:c r="P728" s="94" t="str">
        <x:v>模拟：Google/Microsoft Ads采购导入</x:v>
      </x:c>
    </x:row>
    <x:row r="729">
      <x:c r="A729" s="92" t="str">
        <x:v>PROC-0728</x:v>
      </x:c>
      <x:c r="B729" s="93" t="n">
        <x:v>46154</x:v>
      </x:c>
      <x:c r="C729" s="94" t="str">
        <x:v>Microsoft Ads</x:v>
      </x:c>
      <x:c r="D729" s="94" t="str">
        <x:v>德国</x:v>
      </x:c>
      <x:c r="E729" s="94" t="str">
        <x:v>MSA-C04</x:v>
      </x:c>
      <x:c r="F729" s="94" t="str">
        <x:v>通用搜索</x:v>
      </x:c>
      <x:c r="G729" s="94" t="str">
        <x:v>高性价比商品</x:v>
      </x:c>
      <x:c r="H729" s="94" t="str">
        <x:v>桌面端</x:v>
      </x:c>
      <x:c r="I729" s="94" t="str">
        <x:v>CPC</x:v>
      </x:c>
      <x:c r="J729" s="95" t="n">
        <x:v>650</x:v>
      </x:c>
      <x:c r="K729" s="96" t="n">
        <x:f>IFERROR(L729/J729,0)</x:f>
        <x:v>0.03230769230769231</x:v>
      </x:c>
      <x:c r="L729" s="95" t="n">
        <x:v>21</x:v>
      </x:c>
      <x:c r="M729" s="97" t="n">
        <x:v>0.2232</x:v>
      </x:c>
      <x:c r="N729" s="97" t="n">
        <x:f>ROUND(L729*M729,2)</x:f>
        <x:v>4.69</x:v>
      </x:c>
      <x:c r="O729" s="94" t="n">
        <x:v>7</x:v>
      </x:c>
      <x:c r="P729" s="94" t="str">
        <x:v>模拟：Google/Microsoft Ads采购导入</x:v>
      </x:c>
    </x:row>
    <x:row r="730">
      <x:c r="A730" s="92" t="str">
        <x:v>PROC-0729</x:v>
      </x:c>
      <x:c r="B730" s="93" t="n">
        <x:v>46154</x:v>
      </x:c>
      <x:c r="C730" s="94" t="str">
        <x:v>Microsoft Ads</x:v>
      </x:c>
      <x:c r="D730" s="94" t="str">
        <x:v>英国</x:v>
      </x:c>
      <x:c r="E730" s="94" t="str">
        <x:v>MSA-C09</x:v>
      </x:c>
      <x:c r="F730" s="94" t="str">
        <x:v>购物广告</x:v>
      </x:c>
      <x:c r="G730" s="94" t="str">
        <x:v>快速配送</x:v>
      </x:c>
      <x:c r="H730" s="94" t="str">
        <x:v>平板</x:v>
      </x:c>
      <x:c r="I730" s="94" t="str">
        <x:v>CPC</x:v>
      </x:c>
      <x:c r="J730" s="95" t="n">
        <x:v>1579</x:v>
      </x:c>
      <x:c r="K730" s="96" t="n">
        <x:f>IFERROR(L730/J730,0)</x:f>
        <x:v>0.052564914502849905</x:v>
      </x:c>
      <x:c r="L730" s="95" t="n">
        <x:v>83</x:v>
      </x:c>
      <x:c r="M730" s="97" t="n">
        <x:v>0.2576</x:v>
      </x:c>
      <x:c r="N730" s="97" t="n">
        <x:f>ROUND(L730*M730,2)</x:f>
        <x:v>21.38</x:v>
      </x:c>
      <x:c r="O730" s="94" t="n">
        <x:v>8</x:v>
      </x:c>
      <x:c r="P730" s="94" t="str">
        <x:v>模拟：Google/Microsoft Ads采购导入</x:v>
      </x:c>
    </x:row>
    <x:row r="731">
      <x:c r="A731" s="92" t="str">
        <x:v>PROC-0730</x:v>
      </x:c>
      <x:c r="B731" s="93" t="n">
        <x:v>46154</x:v>
      </x:c>
      <x:c r="C731" s="94" t="str">
        <x:v>Google Ads</x:v>
      </x:c>
      <x:c r="D731" s="94" t="str">
        <x:v>美国</x:v>
      </x:c>
      <x:c r="E731" s="94" t="str">
        <x:v>GGL-C18</x:v>
      </x:c>
      <x:c r="F731" s="94" t="str">
        <x:v>通用搜索</x:v>
      </x:c>
      <x:c r="G731" s="94" t="str">
        <x:v>专业精选</x:v>
      </x:c>
      <x:c r="H731" s="94" t="str">
        <x:v>桌面端</x:v>
      </x:c>
      <x:c r="I731" s="94" t="str">
        <x:v>CPC</x:v>
      </x:c>
      <x:c r="J731" s="95" t="n">
        <x:v>1001</x:v>
      </x:c>
      <x:c r="K731" s="96" t="n">
        <x:f>IFERROR(L731/J731,0)</x:f>
        <x:v>0.03196803196803197</x:v>
      </x:c>
      <x:c r="L731" s="95" t="n">
        <x:v>32</x:v>
      </x:c>
      <x:c r="M731" s="97" t="n">
        <x:v>0.3315</x:v>
      </x:c>
      <x:c r="N731" s="97" t="n">
        <x:f>ROUND(L731*M731,2)</x:f>
        <x:v>10.61</x:v>
      </x:c>
      <x:c r="O731" s="94" t="n">
        <x:v>8</x:v>
      </x:c>
      <x:c r="P731" s="94" t="str">
        <x:v>模拟：Google/Microsoft Ads采购导入</x:v>
      </x:c>
    </x:row>
    <x:row r="732">
      <x:c r="A732" s="92" t="str">
        <x:v>PROC-0731</x:v>
      </x:c>
      <x:c r="B732" s="93" t="n">
        <x:v>46155</x:v>
      </x:c>
      <x:c r="C732" s="94" t="str">
        <x:v>Google Ads</x:v>
      </x:c>
      <x:c r="D732" s="94" t="str">
        <x:v>美国</x:v>
      </x:c>
      <x:c r="E732" s="94" t="str">
        <x:v>GGL-C02</x:v>
      </x:c>
      <x:c r="F732" s="94" t="str">
        <x:v>通用搜索</x:v>
      </x:c>
      <x:c r="G732" s="94" t="str">
        <x:v>专业精选</x:v>
      </x:c>
      <x:c r="H732" s="94" t="str">
        <x:v>移动端</x:v>
      </x:c>
      <x:c r="I732" s="94" t="str">
        <x:v>CPC</x:v>
      </x:c>
      <x:c r="J732" s="95" t="n">
        <x:v>1275</x:v>
      </x:c>
      <x:c r="K732" s="96" t="n">
        <x:f>IFERROR(L732/J732,0)</x:f>
        <x:v>0.038431372549019606</x:v>
      </x:c>
      <x:c r="L732" s="95" t="n">
        <x:v>49</x:v>
      </x:c>
      <x:c r="M732" s="97" t="n">
        <x:v>0.351</x:v>
      </x:c>
      <x:c r="N732" s="97" t="n">
        <x:f>ROUND(L732*M732,2)</x:f>
        <x:v>17.2</x:v>
      </x:c>
      <x:c r="O732" s="94" t="n">
        <x:v>6</x:v>
      </x:c>
      <x:c r="P732" s="94" t="str">
        <x:v>模拟：Google/Microsoft Ads采购导入</x:v>
      </x:c>
    </x:row>
    <x:row r="733">
      <x:c r="A733" s="92" t="str">
        <x:v>PROC-0732</x:v>
      </x:c>
      <x:c r="B733" s="93" t="n">
        <x:v>46155</x:v>
      </x:c>
      <x:c r="C733" s="94" t="str">
        <x:v>Google Ads</x:v>
      </x:c>
      <x:c r="D733" s="94" t="str">
        <x:v>美国</x:v>
      </x:c>
      <x:c r="E733" s="94" t="str">
        <x:v>GGL-C08</x:v>
      </x:c>
      <x:c r="F733" s="94" t="str">
        <x:v>购物广告</x:v>
      </x:c>
      <x:c r="G733" s="94" t="str">
        <x:v>畅销商品</x:v>
      </x:c>
      <x:c r="H733" s="94" t="str">
        <x:v>移动端</x:v>
      </x:c>
      <x:c r="I733" s="94" t="str">
        <x:v>CPC</x:v>
      </x:c>
      <x:c r="J733" s="95" t="n">
        <x:v>1252</x:v>
      </x:c>
      <x:c r="K733" s="96" t="n">
        <x:f>IFERROR(L733/J733,0)</x:f>
        <x:v>0.04472843450479233</x:v>
      </x:c>
      <x:c r="L733" s="95" t="n">
        <x:v>56</x:v>
      </x:c>
      <x:c r="M733" s="97" t="n">
        <x:v>0.3972</x:v>
      </x:c>
      <x:c r="N733" s="97" t="n">
        <x:f>ROUND(L733*M733,2)</x:f>
        <x:v>22.24</x:v>
      </x:c>
      <x:c r="O733" s="94" t="n">
        <x:v>8</x:v>
      </x:c>
      <x:c r="P733" s="94" t="str">
        <x:v>模拟：Google/Microsoft Ads采购导入</x:v>
      </x:c>
    </x:row>
    <x:row r="734">
      <x:c r="A734" s="92" t="str">
        <x:v>PROC-0733</x:v>
      </x:c>
      <x:c r="B734" s="93" t="n">
        <x:v>46155</x:v>
      </x:c>
      <x:c r="C734" s="94" t="str">
        <x:v>Google Ads</x:v>
      </x:c>
      <x:c r="D734" s="94" t="str">
        <x:v>德国</x:v>
      </x:c>
      <x:c r="E734" s="94" t="str">
        <x:v>GGL-C13</x:v>
      </x:c>
      <x:c r="F734" s="94" t="str">
        <x:v>通用搜索</x:v>
      </x:c>
      <x:c r="G734" s="94" t="str">
        <x:v>家庭必备</x:v>
      </x:c>
      <x:c r="H734" s="94" t="str">
        <x:v>移动端</x:v>
      </x:c>
      <x:c r="I734" s="94" t="str">
        <x:v>CPC</x:v>
      </x:c>
      <x:c r="J734" s="95" t="n">
        <x:v>1004</x:v>
      </x:c>
      <x:c r="K734" s="96" t="n">
        <x:f>IFERROR(L734/J734,0)</x:f>
        <x:v>0.03386454183266932</x:v>
      </x:c>
      <x:c r="L734" s="95" t="n">
        <x:v>34</x:v>
      </x:c>
      <x:c r="M734" s="97" t="n">
        <x:v>0.2586</x:v>
      </x:c>
      <x:c r="N734" s="97" t="n">
        <x:f>ROUND(L734*M734,2)</x:f>
        <x:v>8.79</x:v>
      </x:c>
      <x:c r="O734" s="94" t="n">
        <x:v>7</x:v>
      </x:c>
      <x:c r="P734" s="94" t="str">
        <x:v>模拟：Google/Microsoft Ads采购导入</x:v>
      </x:c>
    </x:row>
    <x:row r="735">
      <x:c r="A735" s="92" t="str">
        <x:v>PROC-0734</x:v>
      </x:c>
      <x:c r="B735" s="93" t="n">
        <x:v>46155</x:v>
      </x:c>
      <x:c r="C735" s="94" t="str">
        <x:v>Google Ads</x:v>
      </x:c>
      <x:c r="D735" s="94" t="str">
        <x:v>英国</x:v>
      </x:c>
      <x:c r="E735" s="94" t="str">
        <x:v>GGL-C20</x:v>
      </x:c>
      <x:c r="F735" s="94" t="str">
        <x:v>购物广告</x:v>
      </x:c>
      <x:c r="G735" s="94" t="str">
        <x:v>快速配送</x:v>
      </x:c>
      <x:c r="H735" s="94" t="str">
        <x:v>移动端</x:v>
      </x:c>
      <x:c r="I735" s="94" t="str">
        <x:v>CPC</x:v>
      </x:c>
      <x:c r="J735" s="95" t="n">
        <x:v>1045</x:v>
      </x:c>
      <x:c r="K735" s="96" t="n">
        <x:f>IFERROR(L735/J735,0)</x:f>
        <x:v>0.04784688995215311</x:v>
      </x:c>
      <x:c r="L735" s="95" t="n">
        <x:v>50</x:v>
      </x:c>
      <x:c r="M735" s="97" t="n">
        <x:v>0.3916</x:v>
      </x:c>
      <x:c r="N735" s="97" t="n">
        <x:f>ROUND(L735*M735,2)</x:f>
        <x:v>19.58</x:v>
      </x:c>
      <x:c r="O735" s="94" t="n">
        <x:v>6</x:v>
      </x:c>
      <x:c r="P735" s="94" t="str">
        <x:v>模拟：Google/Microsoft Ads采购导入</x:v>
      </x:c>
    </x:row>
    <x:row r="736">
      <x:c r="A736" s="92" t="str">
        <x:v>PROC-0735</x:v>
      </x:c>
      <x:c r="B736" s="93" t="n">
        <x:v>46155</x:v>
      </x:c>
      <x:c r="C736" s="94" t="str">
        <x:v>Google Ads</x:v>
      </x:c>
      <x:c r="D736" s="94" t="str">
        <x:v>美国</x:v>
      </x:c>
      <x:c r="E736" s="94" t="str">
        <x:v>GGL-C05</x:v>
      </x:c>
      <x:c r="F736" s="94" t="str">
        <x:v>购物广告</x:v>
      </x:c>
      <x:c r="G736" s="94" t="str">
        <x:v>快速配送</x:v>
      </x:c>
      <x:c r="H736" s="94" t="str">
        <x:v>移动端</x:v>
      </x:c>
      <x:c r="I736" s="94" t="str">
        <x:v>CPC</x:v>
      </x:c>
      <x:c r="J736" s="95" t="n">
        <x:v>1029</x:v>
      </x:c>
      <x:c r="K736" s="96" t="n">
        <x:f>IFERROR(L736/J736,0)</x:f>
        <x:v>0.042759961127308066</x:v>
      </x:c>
      <x:c r="L736" s="95" t="n">
        <x:v>44</x:v>
      </x:c>
      <x:c r="M736" s="97" t="n">
        <x:v>0.4302</x:v>
      </x:c>
      <x:c r="N736" s="97" t="n">
        <x:f>ROUND(L736*M736,2)</x:f>
        <x:v>18.93</x:v>
      </x:c>
      <x:c r="O736" s="94" t="n">
        <x:v>6</x:v>
      </x:c>
      <x:c r="P736" s="94" t="str">
        <x:v>模拟：Google/Microsoft Ads采购导入</x:v>
      </x:c>
    </x:row>
    <x:row r="737">
      <x:c r="A737" s="92" t="str">
        <x:v>PROC-0736</x:v>
      </x:c>
      <x:c r="B737" s="93" t="n">
        <x:v>46156</x:v>
      </x:c>
      <x:c r="C737" s="94" t="str">
        <x:v>Google Ads</x:v>
      </x:c>
      <x:c r="D737" s="94" t="str">
        <x:v>英国</x:v>
      </x:c>
      <x:c r="E737" s="94" t="str">
        <x:v>GGL-C12</x:v>
      </x:c>
      <x:c r="F737" s="94" t="str">
        <x:v>品牌搜索</x:v>
      </x:c>
      <x:c r="G737" s="94" t="str">
        <x:v>品牌购买词</x:v>
      </x:c>
      <x:c r="H737" s="94" t="str">
        <x:v>平板</x:v>
      </x:c>
      <x:c r="I737" s="94" t="str">
        <x:v>CPC</x:v>
      </x:c>
      <x:c r="J737" s="95" t="n">
        <x:v>1420</x:v>
      </x:c>
      <x:c r="K737" s="96" t="n">
        <x:f>IFERROR(L737/J737,0)</x:f>
        <x:v>0.054929577464788736</x:v>
      </x:c>
      <x:c r="L737" s="95" t="n">
        <x:v>78</x:v>
      </x:c>
      <x:c r="M737" s="97" t="n">
        <x:v>0.2559</x:v>
      </x:c>
      <x:c r="N737" s="97" t="n">
        <x:f>ROUND(L737*M737,2)</x:f>
        <x:v>19.96</x:v>
      </x:c>
      <x:c r="O737" s="94" t="n">
        <x:v>7</x:v>
      </x:c>
      <x:c r="P737" s="94" t="str">
        <x:v>模拟：Google/Microsoft Ads采购导入</x:v>
      </x:c>
    </x:row>
    <x:row r="738">
      <x:c r="A738" s="92" t="str">
        <x:v>PROC-0737</x:v>
      </x:c>
      <x:c r="B738" s="93" t="n">
        <x:v>46156</x:v>
      </x:c>
      <x:c r="C738" s="94" t="str">
        <x:v>Google Ads</x:v>
      </x:c>
      <x:c r="D738" s="94" t="str">
        <x:v>美国</x:v>
      </x:c>
      <x:c r="E738" s="94" t="str">
        <x:v>GGL-C21</x:v>
      </x:c>
      <x:c r="F738" s="94" t="str">
        <x:v>购物广告</x:v>
      </x:c>
      <x:c r="G738" s="94" t="str">
        <x:v>畅销商品</x:v>
      </x:c>
      <x:c r="H738" s="94" t="str">
        <x:v>桌面端</x:v>
      </x:c>
      <x:c r="I738" s="94" t="str">
        <x:v>CPC</x:v>
      </x:c>
      <x:c r="J738" s="95" t="n">
        <x:v>1158</x:v>
      </x:c>
      <x:c r="K738" s="96" t="n">
        <x:f>IFERROR(L738/J738,0)</x:f>
        <x:v>0.045768566493955096</x:v>
      </x:c>
      <x:c r="L738" s="95" t="n">
        <x:v>53</x:v>
      </x:c>
      <x:c r="M738" s="97" t="n">
        <x:v>0.3937</x:v>
      </x:c>
      <x:c r="N738" s="97" t="n">
        <x:f>ROUND(L738*M738,2)</x:f>
        <x:v>20.87</x:v>
      </x:c>
      <x:c r="O738" s="94" t="n">
        <x:v>9</x:v>
      </x:c>
      <x:c r="P738" s="94" t="str">
        <x:v>模拟：Google/Microsoft Ads采购导入</x:v>
      </x:c>
    </x:row>
    <x:row r="739">
      <x:c r="A739" s="92" t="str">
        <x:v>PROC-0738</x:v>
      </x:c>
      <x:c r="B739" s="93" t="n">
        <x:v>46156</x:v>
      </x:c>
      <x:c r="C739" s="94" t="str">
        <x:v>Microsoft Ads</x:v>
      </x:c>
      <x:c r="D739" s="94" t="str">
        <x:v>德国</x:v>
      </x:c>
      <x:c r="E739" s="94" t="str">
        <x:v>MSA-C02</x:v>
      </x:c>
      <x:c r="F739" s="94" t="str">
        <x:v>通用搜索</x:v>
      </x:c>
      <x:c r="G739" s="94" t="str">
        <x:v>热门新品</x:v>
      </x:c>
      <x:c r="H739" s="94" t="str">
        <x:v>移动端</x:v>
      </x:c>
      <x:c r="I739" s="94" t="str">
        <x:v>CPC</x:v>
      </x:c>
      <x:c r="J739" s="95" t="n">
        <x:v>1223</x:v>
      </x:c>
      <x:c r="K739" s="96" t="n">
        <x:f>IFERROR(L739/J739,0)</x:f>
        <x:v>0.039247751430907606</x:v>
      </x:c>
      <x:c r="L739" s="95" t="n">
        <x:v>48</x:v>
      </x:c>
      <x:c r="M739" s="97" t="n">
        <x:v>0.1847</x:v>
      </x:c>
      <x:c r="N739" s="97" t="n">
        <x:f>ROUND(L739*M739,2)</x:f>
        <x:v>8.87</x:v>
      </x:c>
      <x:c r="O739" s="94" t="n">
        <x:v>9</x:v>
      </x:c>
      <x:c r="P739" s="94" t="str">
        <x:v>模拟：Google/Microsoft Ads采购导入</x:v>
      </x:c>
    </x:row>
    <x:row r="740">
      <x:c r="A740" s="92" t="str">
        <x:v>PROC-0739</x:v>
      </x:c>
      <x:c r="B740" s="93" t="n">
        <x:v>46156</x:v>
      </x:c>
      <x:c r="C740" s="94" t="str">
        <x:v>Google Ads</x:v>
      </x:c>
      <x:c r="D740" s="94" t="str">
        <x:v>美国</x:v>
      </x:c>
      <x:c r="E740" s="94" t="str">
        <x:v>GGL-C11</x:v>
      </x:c>
      <x:c r="F740" s="94" t="str">
        <x:v>竞品搜索</x:v>
      </x:c>
      <x:c r="G740" s="94" t="str">
        <x:v>同类产品对比</x:v>
      </x:c>
      <x:c r="H740" s="94" t="str">
        <x:v>桌面端</x:v>
      </x:c>
      <x:c r="I740" s="94" t="str">
        <x:v>CPC</x:v>
      </x:c>
      <x:c r="J740" s="95" t="n">
        <x:v>673</x:v>
      </x:c>
      <x:c r="K740" s="96" t="n">
        <x:f>IFERROR(L740/J740,0)</x:f>
        <x:v>0.03714710252600297</x:v>
      </x:c>
      <x:c r="L740" s="95" t="n">
        <x:v>25</x:v>
      </x:c>
      <x:c r="M740" s="97" t="n">
        <x:v>0.4597</x:v>
      </x:c>
      <x:c r="N740" s="97" t="n">
        <x:f>ROUND(L740*M740,2)</x:f>
        <x:v>11.49</x:v>
      </x:c>
      <x:c r="O740" s="94" t="n">
        <x:v>8</x:v>
      </x:c>
      <x:c r="P740" s="94" t="str">
        <x:v>模拟：Google/Microsoft Ads采购导入</x:v>
      </x:c>
    </x:row>
    <x:row r="741">
      <x:c r="A741" s="92" t="str">
        <x:v>PROC-0740</x:v>
      </x:c>
      <x:c r="B741" s="93" t="n">
        <x:v>46156</x:v>
      </x:c>
      <x:c r="C741" s="94" t="str">
        <x:v>Google Ads</x:v>
      </x:c>
      <x:c r="D741" s="94" t="str">
        <x:v>美国</x:v>
      </x:c>
      <x:c r="E741" s="94" t="str">
        <x:v>GGL-C17</x:v>
      </x:c>
      <x:c r="F741" s="94" t="str">
        <x:v>购物广告</x:v>
      </x:c>
      <x:c r="G741" s="94" t="str">
        <x:v>高评分商品</x:v>
      </x:c>
      <x:c r="H741" s="94" t="str">
        <x:v>移动端</x:v>
      </x:c>
      <x:c r="I741" s="94" t="str">
        <x:v>CPC</x:v>
      </x:c>
      <x:c r="J741" s="95" t="n">
        <x:v>1313</x:v>
      </x:c>
      <x:c r="K741" s="96" t="n">
        <x:f>IFERROR(L741/J741,0)</x:f>
        <x:v>0.053313023610053314</x:v>
      </x:c>
      <x:c r="L741" s="95" t="n">
        <x:v>70</x:v>
      </x:c>
      <x:c r="M741" s="97" t="n">
        <x:v>0.4324</x:v>
      </x:c>
      <x:c r="N741" s="97" t="n">
        <x:f>ROUND(L741*M741,2)</x:f>
        <x:v>30.27</x:v>
      </x:c>
      <x:c r="O741" s="94" t="n">
        <x:v>8</x:v>
      </x:c>
      <x:c r="P741" s="94" t="str">
        <x:v>模拟：Google/Microsoft Ads采购导入</x:v>
      </x:c>
    </x:row>
    <x:row r="742">
      <x:c r="A742" s="92" t="str">
        <x:v>PROC-0741</x:v>
      </x:c>
      <x:c r="B742" s="93" t="n">
        <x:v>46156</x:v>
      </x:c>
      <x:c r="C742" s="94" t="str">
        <x:v>Google Ads</x:v>
      </x:c>
      <x:c r="D742" s="94" t="str">
        <x:v>美国</x:v>
      </x:c>
      <x:c r="E742" s="94" t="str">
        <x:v>GGL-C23</x:v>
      </x:c>
      <x:c r="F742" s="94" t="str">
        <x:v>通用搜索</x:v>
      </x:c>
      <x:c r="G742" s="94" t="str">
        <x:v>家庭必备</x:v>
      </x:c>
      <x:c r="H742" s="94" t="str">
        <x:v>移动端</x:v>
      </x:c>
      <x:c r="I742" s="94" t="str">
        <x:v>CPC</x:v>
      </x:c>
      <x:c r="J742" s="95" t="n">
        <x:v>1144</x:v>
      </x:c>
      <x:c r="K742" s="96" t="n">
        <x:f>IFERROR(L742/J742,0)</x:f>
        <x:v>0.04283216783216783</x:v>
      </x:c>
      <x:c r="L742" s="95" t="n">
        <x:v>49</x:v>
      </x:c>
      <x:c r="M742" s="97" t="n">
        <x:v>0.28</x:v>
      </x:c>
      <x:c r="N742" s="97" t="n">
        <x:f>ROUND(L742*M742,2)</x:f>
        <x:v>13.72</x:v>
      </x:c>
      <x:c r="O742" s="94" t="n">
        <x:v>6</x:v>
      </x:c>
      <x:c r="P742" s="94" t="str">
        <x:v>模拟：Google/Microsoft Ads采购导入</x:v>
      </x:c>
    </x:row>
    <x:row r="743">
      <x:c r="A743" s="92" t="str">
        <x:v>PROC-0742</x:v>
      </x:c>
      <x:c r="B743" s="93" t="n">
        <x:v>46157</x:v>
      </x:c>
      <x:c r="C743" s="94" t="str">
        <x:v>Microsoft Ads</x:v>
      </x:c>
      <x:c r="D743" s="94" t="str">
        <x:v>日本</x:v>
      </x:c>
      <x:c r="E743" s="94" t="str">
        <x:v>MSA-C07</x:v>
      </x:c>
      <x:c r="F743" s="94" t="str">
        <x:v>购物广告</x:v>
      </x:c>
      <x:c r="G743" s="94" t="str">
        <x:v>价格比较</x:v>
      </x:c>
      <x:c r="H743" s="94" t="str">
        <x:v>移动端</x:v>
      </x:c>
      <x:c r="I743" s="94" t="str">
        <x:v>CPC</x:v>
      </x:c>
      <x:c r="J743" s="95" t="n">
        <x:v>1379</x:v>
      </x:c>
      <x:c r="K743" s="96" t="n">
        <x:f>IFERROR(L743/J743,0)</x:f>
        <x:v>0.044960116026105876</x:v>
      </x:c>
      <x:c r="L743" s="95" t="n">
        <x:v>62</x:v>
      </x:c>
      <x:c r="M743" s="97" t="n">
        <x:v>0.2568</x:v>
      </x:c>
      <x:c r="N743" s="97" t="n">
        <x:f>ROUND(L743*M743,2)</x:f>
        <x:v>15.92</x:v>
      </x:c>
      <x:c r="O743" s="94" t="n">
        <x:v>7</x:v>
      </x:c>
      <x:c r="P743" s="94" t="str">
        <x:v>模拟：Google/Microsoft Ads采购导入</x:v>
      </x:c>
    </x:row>
    <x:row r="744">
      <x:c r="A744" s="92" t="str">
        <x:v>PROC-0743</x:v>
      </x:c>
      <x:c r="B744" s="93" t="n">
        <x:v>46157</x:v>
      </x:c>
      <x:c r="C744" s="94" t="str">
        <x:v>Google Ads</x:v>
      </x:c>
      <x:c r="D744" s="94" t="str">
        <x:v>德国</x:v>
      </x:c>
      <x:c r="E744" s="94" t="str">
        <x:v>GGL-C15</x:v>
      </x:c>
      <x:c r="F744" s="94" t="str">
        <x:v>品牌搜索</x:v>
      </x:c>
      <x:c r="G744" s="94" t="str">
        <x:v>品牌评测词</x:v>
      </x:c>
      <x:c r="H744" s="94" t="str">
        <x:v>桌面端</x:v>
      </x:c>
      <x:c r="I744" s="94" t="str">
        <x:v>CPC</x:v>
      </x:c>
      <x:c r="J744" s="95" t="n">
        <x:v>673</x:v>
      </x:c>
      <x:c r="K744" s="96" t="n">
        <x:f>IFERROR(L744/J744,0)</x:f>
        <x:v>0.06240713224368499</x:v>
      </x:c>
      <x:c r="L744" s="95" t="n">
        <x:v>42</x:v>
      </x:c>
      <x:c r="M744" s="97" t="n">
        <x:v>0.194</x:v>
      </x:c>
      <x:c r="N744" s="97" t="n">
        <x:f>ROUND(L744*M744,2)</x:f>
        <x:v>8.15</x:v>
      </x:c>
      <x:c r="O744" s="94" t="n">
        <x:v>9</x:v>
      </x:c>
      <x:c r="P744" s="94" t="str">
        <x:v>模拟：Google/Microsoft Ads采购导入</x:v>
      </x:c>
    </x:row>
    <x:row r="745">
      <x:c r="A745" s="92" t="str">
        <x:v>PROC-0744</x:v>
      </x:c>
      <x:c r="B745" s="93" t="n">
        <x:v>46157</x:v>
      </x:c>
      <x:c r="C745" s="94" t="str">
        <x:v>Google Ads</x:v>
      </x:c>
      <x:c r="D745" s="94" t="str">
        <x:v>德国</x:v>
      </x:c>
      <x:c r="E745" s="94" t="str">
        <x:v>GGL-C19</x:v>
      </x:c>
      <x:c r="F745" s="94" t="str">
        <x:v>通用搜索</x:v>
      </x:c>
      <x:c r="G745" s="94" t="str">
        <x:v>高性价比商品</x:v>
      </x:c>
      <x:c r="H745" s="94" t="str">
        <x:v>移动端</x:v>
      </x:c>
      <x:c r="I745" s="94" t="str">
        <x:v>CPC</x:v>
      </x:c>
      <x:c r="J745" s="95" t="n">
        <x:v>1056</x:v>
      </x:c>
      <x:c r="K745" s="96" t="n">
        <x:f>IFERROR(L745/J745,0)</x:f>
        <x:v>0.03598484848484849</x:v>
      </x:c>
      <x:c r="L745" s="95" t="n">
        <x:v>38</x:v>
      </x:c>
      <x:c r="M745" s="97" t="n">
        <x:v>0.2473</x:v>
      </x:c>
      <x:c r="N745" s="97" t="n">
        <x:f>ROUND(L745*M745,2)</x:f>
        <x:v>9.4</x:v>
      </x:c>
      <x:c r="O745" s="94" t="n">
        <x:v>7</x:v>
      </x:c>
      <x:c r="P745" s="94" t="str">
        <x:v>模拟：Google/Microsoft Ads采购导入</x:v>
      </x:c>
    </x:row>
    <x:row r="746">
      <x:c r="A746" s="92" t="str">
        <x:v>PROC-0745</x:v>
      </x:c>
      <x:c r="B746" s="93" t="n">
        <x:v>46157</x:v>
      </x:c>
      <x:c r="C746" s="94" t="str">
        <x:v>Google Ads</x:v>
      </x:c>
      <x:c r="D746" s="94" t="str">
        <x:v>美国</x:v>
      </x:c>
      <x:c r="E746" s="94" t="str">
        <x:v>GGL-C02</x:v>
      </x:c>
      <x:c r="F746" s="94" t="str">
        <x:v>购物广告</x:v>
      </x:c>
      <x:c r="G746" s="94" t="str">
        <x:v>价格比较</x:v>
      </x:c>
      <x:c r="H746" s="94" t="str">
        <x:v>移动端</x:v>
      </x:c>
      <x:c r="I746" s="94" t="str">
        <x:v>CPC</x:v>
      </x:c>
      <x:c r="J746" s="95" t="n">
        <x:v>1509</x:v>
      </x:c>
      <x:c r="K746" s="96" t="n">
        <x:f>IFERROR(L746/J746,0)</x:f>
        <x:v>0.0390987408880053</x:v>
      </x:c>
      <x:c r="L746" s="95" t="n">
        <x:v>59</x:v>
      </x:c>
      <x:c r="M746" s="97" t="n">
        <x:v>0.4137</x:v>
      </x:c>
      <x:c r="N746" s="97" t="n">
        <x:f>ROUND(L746*M746,2)</x:f>
        <x:v>24.41</x:v>
      </x:c>
      <x:c r="O746" s="94" t="n">
        <x:v>6</x:v>
      </x:c>
      <x:c r="P746" s="94" t="str">
        <x:v>模拟：Google/Microsoft Ads采购导入</x:v>
      </x:c>
    </x:row>
    <x:row r="747">
      <x:c r="A747" s="92" t="str">
        <x:v>PROC-0746</x:v>
      </x:c>
      <x:c r="B747" s="93" t="n">
        <x:v>46157</x:v>
      </x:c>
      <x:c r="C747" s="94" t="str">
        <x:v>Google Ads</x:v>
      </x:c>
      <x:c r="D747" s="94" t="str">
        <x:v>美国</x:v>
      </x:c>
      <x:c r="E747" s="94" t="str">
        <x:v>GGL-C11</x:v>
      </x:c>
      <x:c r="F747" s="94" t="str">
        <x:v>品牌搜索</x:v>
      </x:c>
      <x:c r="G747" s="94" t="str">
        <x:v>品牌优惠词</x:v>
      </x:c>
      <x:c r="H747" s="94" t="str">
        <x:v>移动端</x:v>
      </x:c>
      <x:c r="I747" s="94" t="str">
        <x:v>CPC</x:v>
      </x:c>
      <x:c r="J747" s="95" t="n">
        <x:v>1005</x:v>
      </x:c>
      <x:c r="K747" s="96" t="n">
        <x:f>IFERROR(L747/J747,0)</x:f>
        <x:v>0.05970149253731343</x:v>
      </x:c>
      <x:c r="L747" s="95" t="n">
        <x:v>60</x:v>
      </x:c>
      <x:c r="M747" s="97" t="n">
        <x:v>0.2078</x:v>
      </x:c>
      <x:c r="N747" s="97" t="n">
        <x:f>ROUND(L747*M747,2)</x:f>
        <x:v>12.47</x:v>
      </x:c>
      <x:c r="O747" s="94" t="n">
        <x:v>7</x:v>
      </x:c>
      <x:c r="P747" s="94" t="str">
        <x:v>模拟：Google/Microsoft Ads采购导入</x:v>
      </x:c>
    </x:row>
    <x:row r="748">
      <x:c r="A748" s="92" t="str">
        <x:v>PROC-0747</x:v>
      </x:c>
      <x:c r="B748" s="93" t="n">
        <x:v>46158</x:v>
      </x:c>
      <x:c r="C748" s="94" t="str">
        <x:v>Google Ads</x:v>
      </x:c>
      <x:c r="D748" s="94" t="str">
        <x:v>美国</x:v>
      </x:c>
      <x:c r="E748" s="94" t="str">
        <x:v>GGL-C16</x:v>
      </x:c>
      <x:c r="F748" s="94" t="str">
        <x:v>通用搜索</x:v>
      </x:c>
      <x:c r="G748" s="94" t="str">
        <x:v>热门新品</x:v>
      </x:c>
      <x:c r="H748" s="94" t="str">
        <x:v>桌面端</x:v>
      </x:c>
      <x:c r="I748" s="94" t="str">
        <x:v>CPC</x:v>
      </x:c>
      <x:c r="J748" s="95" t="n">
        <x:v>1215</x:v>
      </x:c>
      <x:c r="K748" s="96" t="n">
        <x:f>IFERROR(L748/J748,0)</x:f>
        <x:v>0.030452674897119343</x:v>
      </x:c>
      <x:c r="L748" s="95" t="n">
        <x:v>37</x:v>
      </x:c>
      <x:c r="M748" s="97" t="n">
        <x:v>0.3193</x:v>
      </x:c>
      <x:c r="N748" s="97" t="n">
        <x:f>ROUND(L748*M748,2)</x:f>
        <x:v>11.81</x:v>
      </x:c>
      <x:c r="O748" s="94" t="n">
        <x:v>6</x:v>
      </x:c>
      <x:c r="P748" s="94" t="str">
        <x:v>模拟：Google/Microsoft Ads采购导入</x:v>
      </x:c>
    </x:row>
    <x:row r="749">
      <x:c r="A749" s="92" t="str">
        <x:v>PROC-0748</x:v>
      </x:c>
      <x:c r="B749" s="93" t="n">
        <x:v>46158</x:v>
      </x:c>
      <x:c r="C749" s="94" t="str">
        <x:v>Google Ads</x:v>
      </x:c>
      <x:c r="D749" s="94" t="str">
        <x:v>美国</x:v>
      </x:c>
      <x:c r="E749" s="94" t="str">
        <x:v>GGL-C22</x:v>
      </x:c>
      <x:c r="F749" s="94" t="str">
        <x:v>购物广告</x:v>
      </x:c>
      <x:c r="G749" s="94" t="str">
        <x:v>折扣商品</x:v>
      </x:c>
      <x:c r="H749" s="94" t="str">
        <x:v>移动端</x:v>
      </x:c>
      <x:c r="I749" s="94" t="str">
        <x:v>CPC</x:v>
      </x:c>
      <x:c r="J749" s="95" t="n">
        <x:v>1482</x:v>
      </x:c>
      <x:c r="K749" s="96" t="n">
        <x:f>IFERROR(L749/J749,0)</x:f>
        <x:v>0.05195681511470985</x:v>
      </x:c>
      <x:c r="L749" s="95" t="n">
        <x:v>77</x:v>
      </x:c>
      <x:c r="M749" s="97" t="n">
        <x:v>0.3354</x:v>
      </x:c>
      <x:c r="N749" s="97" t="n">
        <x:f>ROUND(L749*M749,2)</x:f>
        <x:v>25.83</x:v>
      </x:c>
      <x:c r="O749" s="94" t="n">
        <x:v>6</x:v>
      </x:c>
      <x:c r="P749" s="94" t="str">
        <x:v>模拟：Google/Microsoft Ads采购导入</x:v>
      </x:c>
    </x:row>
    <x:row r="750">
      <x:c r="A750" s="92" t="str">
        <x:v>PROC-0749</x:v>
      </x:c>
      <x:c r="B750" s="93" t="n">
        <x:v>46158</x:v>
      </x:c>
      <x:c r="C750" s="94" t="str">
        <x:v>Google Ads</x:v>
      </x:c>
      <x:c r="D750" s="94" t="str">
        <x:v>美国</x:v>
      </x:c>
      <x:c r="E750" s="94" t="str">
        <x:v>GGL-C09</x:v>
      </x:c>
      <x:c r="F750" s="94" t="str">
        <x:v>通用搜索</x:v>
      </x:c>
      <x:c r="G750" s="94" t="str">
        <x:v>家庭必备</x:v>
      </x:c>
      <x:c r="H750" s="94" t="str">
        <x:v>移动端</x:v>
      </x:c>
      <x:c r="I750" s="94" t="str">
        <x:v>CPC</x:v>
      </x:c>
      <x:c r="J750" s="95" t="n">
        <x:v>1178</x:v>
      </x:c>
      <x:c r="K750" s="96" t="n">
        <x:f>IFERROR(L750/J750,0)</x:f>
        <x:v>0.031409168081494056</x:v>
      </x:c>
      <x:c r="L750" s="95" t="n">
        <x:v>37</x:v>
      </x:c>
      <x:c r="M750" s="97" t="n">
        <x:v>0.2953</x:v>
      </x:c>
      <x:c r="N750" s="97" t="n">
        <x:f>ROUND(L750*M750,2)</x:f>
        <x:v>10.93</x:v>
      </x:c>
      <x:c r="O750" s="94" t="n">
        <x:v>8</x:v>
      </x:c>
      <x:c r="P750" s="94" t="str">
        <x:v>模拟：Google/Microsoft Ads采购导入</x:v>
      </x:c>
    </x:row>
    <x:row r="751">
      <x:c r="A751" s="92" t="str">
        <x:v>PROC-0750</x:v>
      </x:c>
      <x:c r="B751" s="93" t="n">
        <x:v>46158</x:v>
      </x:c>
      <x:c r="C751" s="94" t="str">
        <x:v>Microsoft Ads</x:v>
      </x:c>
      <x:c r="D751" s="94" t="str">
        <x:v>英国</x:v>
      </x:c>
      <x:c r="E751" s="94" t="str">
        <x:v>MSA-C12</x:v>
      </x:c>
      <x:c r="F751" s="94" t="str">
        <x:v>购物广告</x:v>
      </x:c>
      <x:c r="G751" s="94" t="str">
        <x:v>快速配送</x:v>
      </x:c>
      <x:c r="H751" s="94" t="str">
        <x:v>移动端</x:v>
      </x:c>
      <x:c r="I751" s="94" t="str">
        <x:v>CPC</x:v>
      </x:c>
      <x:c r="J751" s="95" t="n">
        <x:v>1212</x:v>
      </x:c>
      <x:c r="K751" s="96" t="n">
        <x:f>IFERROR(L751/J751,0)</x:f>
        <x:v>0.04950495049504951</x:v>
      </x:c>
      <x:c r="L751" s="95" t="n">
        <x:v>60</x:v>
      </x:c>
      <x:c r="M751" s="97" t="n">
        <x:v>0.2133</x:v>
      </x:c>
      <x:c r="N751" s="97" t="n">
        <x:f>ROUND(L751*M751,2)</x:f>
        <x:v>12.8</x:v>
      </x:c>
      <x:c r="O751" s="94" t="n">
        <x:v>8</x:v>
      </x:c>
      <x:c r="P751" s="94" t="str">
        <x:v>模拟：Google/Microsoft Ads采购导入</x:v>
      </x:c>
    </x:row>
    <x:row r="752">
      <x:c r="A752" s="92" t="str">
        <x:v>PROC-0751</x:v>
      </x:c>
      <x:c r="B752" s="93" t="n">
        <x:v>46158</x:v>
      </x:c>
      <x:c r="C752" s="94" t="str">
        <x:v>Google Ads</x:v>
      </x:c>
      <x:c r="D752" s="94" t="str">
        <x:v>美国</x:v>
      </x:c>
      <x:c r="E752" s="94" t="str">
        <x:v>GGL-C22</x:v>
      </x:c>
      <x:c r="F752" s="94" t="str">
        <x:v>通用搜索</x:v>
      </x:c>
      <x:c r="G752" s="94" t="str">
        <x:v>家庭必备</x:v>
      </x:c>
      <x:c r="H752" s="94" t="str">
        <x:v>桌面端</x:v>
      </x:c>
      <x:c r="I752" s="94" t="str">
        <x:v>CPC</x:v>
      </x:c>
      <x:c r="J752" s="95" t="n">
        <x:v>932</x:v>
      </x:c>
      <x:c r="K752" s="96" t="n">
        <x:f>IFERROR(L752/J752,0)</x:f>
        <x:v>0.03540772532188841</x:v>
      </x:c>
      <x:c r="L752" s="95" t="n">
        <x:v>33</x:v>
      </x:c>
      <x:c r="M752" s="97" t="n">
        <x:v>0.3566</x:v>
      </x:c>
      <x:c r="N752" s="97" t="n">
        <x:f>ROUND(L752*M752,2)</x:f>
        <x:v>11.77</x:v>
      </x:c>
      <x:c r="O752" s="94" t="n">
        <x:v>6</x:v>
      </x:c>
      <x:c r="P752" s="94" t="str">
        <x:v>模拟：Google/Microsoft Ads采购导入</x:v>
      </x:c>
    </x:row>
    <x:row r="753">
      <x:c r="A753" s="92" t="str">
        <x:v>PROC-0752</x:v>
      </x:c>
      <x:c r="B753" s="93" t="n">
        <x:v>46158</x:v>
      </x:c>
      <x:c r="C753" s="94" t="str">
        <x:v>Microsoft Ads</x:v>
      </x:c>
      <x:c r="D753" s="94" t="str">
        <x:v>英国</x:v>
      </x:c>
      <x:c r="E753" s="94" t="str">
        <x:v>MSA-C04</x:v>
      </x:c>
      <x:c r="F753" s="94" t="str">
        <x:v>品牌搜索</x:v>
      </x:c>
      <x:c r="G753" s="94" t="str">
        <x:v>品牌型号词</x:v>
      </x:c>
      <x:c r="H753" s="94" t="str">
        <x:v>移动端</x:v>
      </x:c>
      <x:c r="I753" s="94" t="str">
        <x:v>CPC</x:v>
      </x:c>
      <x:c r="J753" s="95" t="n">
        <x:v>1428</x:v>
      </x:c>
      <x:c r="K753" s="96" t="n">
        <x:f>IFERROR(L753/J753,0)</x:f>
        <x:v>0.05952380952380952</x:v>
      </x:c>
      <x:c r="L753" s="95" t="n">
        <x:v>85</x:v>
      </x:c>
      <x:c r="M753" s="97" t="n">
        <x:v>0.1472</x:v>
      </x:c>
      <x:c r="N753" s="97" t="n">
        <x:f>ROUND(L753*M753,2)</x:f>
        <x:v>12.51</x:v>
      </x:c>
      <x:c r="O753" s="94" t="n">
        <x:v>10</x:v>
      </x:c>
      <x:c r="P753" s="94" t="str">
        <x:v>模拟：Google/Microsoft Ads采购导入</x:v>
      </x:c>
    </x:row>
    <x:row r="754">
      <x:c r="A754" s="92" t="str">
        <x:v>PROC-0753</x:v>
      </x:c>
      <x:c r="B754" s="93" t="n">
        <x:v>46159</x:v>
      </x:c>
      <x:c r="C754" s="94" t="str">
        <x:v>Microsoft Ads</x:v>
      </x:c>
      <x:c r="D754" s="94" t="str">
        <x:v>美国</x:v>
      </x:c>
      <x:c r="E754" s="94" t="str">
        <x:v>MSA-C13</x:v>
      </x:c>
      <x:c r="F754" s="94" t="str">
        <x:v>竞品搜索</x:v>
      </x:c>
      <x:c r="G754" s="94" t="str">
        <x:v>价格替代</x:v>
      </x:c>
      <x:c r="H754" s="94" t="str">
        <x:v>移动端</x:v>
      </x:c>
      <x:c r="I754" s="94" t="str">
        <x:v>CPC</x:v>
      </x:c>
      <x:c r="J754" s="95" t="n">
        <x:v>558</x:v>
      </x:c>
      <x:c r="K754" s="96" t="n">
        <x:f>IFERROR(L754/J754,0)</x:f>
        <x:v>0.034050179211469536</x:v>
      </x:c>
      <x:c r="L754" s="95" t="n">
        <x:v>19</x:v>
      </x:c>
      <x:c r="M754" s="97" t="n">
        <x:v>0.3355</x:v>
      </x:c>
      <x:c r="N754" s="97" t="n">
        <x:f>ROUND(L754*M754,2)</x:f>
        <x:v>6.37</x:v>
      </x:c>
      <x:c r="O754" s="94" t="n">
        <x:v>8</x:v>
      </x:c>
      <x:c r="P754" s="94" t="str">
        <x:v>模拟：Google/Microsoft Ads采购导入</x:v>
      </x:c>
    </x:row>
    <x:row r="755">
      <x:c r="A755" s="92" t="str">
        <x:v>PROC-0754</x:v>
      </x:c>
      <x:c r="B755" s="93" t="n">
        <x:v>46159</x:v>
      </x:c>
      <x:c r="C755" s="94" t="str">
        <x:v>Microsoft Ads</x:v>
      </x:c>
      <x:c r="D755" s="94" t="str">
        <x:v>美国</x:v>
      </x:c>
      <x:c r="E755" s="94" t="str">
        <x:v>MSA-C17</x:v>
      </x:c>
      <x:c r="F755" s="94" t="str">
        <x:v>购物广告</x:v>
      </x:c>
      <x:c r="G755" s="94" t="str">
        <x:v>折扣商品</x:v>
      </x:c>
      <x:c r="H755" s="94" t="str">
        <x:v>桌面端</x:v>
      </x:c>
      <x:c r="I755" s="94" t="str">
        <x:v>CPC</x:v>
      </x:c>
      <x:c r="J755" s="95" t="n">
        <x:v>1437</x:v>
      </x:c>
      <x:c r="K755" s="96" t="n">
        <x:f>IFERROR(L755/J755,0)</x:f>
        <x:v>0.049408489909533754</x:v>
      </x:c>
      <x:c r="L755" s="95" t="n">
        <x:v>71</x:v>
      </x:c>
      <x:c r="M755" s="97" t="n">
        <x:v>0.2674</x:v>
      </x:c>
      <x:c r="N755" s="97" t="n">
        <x:f>ROUND(L755*M755,2)</x:f>
        <x:v>18.99</x:v>
      </x:c>
      <x:c r="O755" s="94" t="n">
        <x:v>7</x:v>
      </x:c>
      <x:c r="P755" s="94" t="str">
        <x:v>模拟：Google/Microsoft Ads采购导入</x:v>
      </x:c>
    </x:row>
    <x:row r="756">
      <x:c r="A756" s="92" t="str">
        <x:v>PROC-0755</x:v>
      </x:c>
      <x:c r="B756" s="93" t="n">
        <x:v>46159</x:v>
      </x:c>
      <x:c r="C756" s="94" t="str">
        <x:v>Google Ads</x:v>
      </x:c>
      <x:c r="D756" s="94" t="str">
        <x:v>英国</x:v>
      </x:c>
      <x:c r="E756" s="94" t="str">
        <x:v>GGL-C02</x:v>
      </x:c>
      <x:c r="F756" s="94" t="str">
        <x:v>通用搜索</x:v>
      </x:c>
      <x:c r="G756" s="94" t="str">
        <x:v>高性价比商品</x:v>
      </x:c>
      <x:c r="H756" s="94" t="str">
        <x:v>移动端</x:v>
      </x:c>
      <x:c r="I756" s="94" t="str">
        <x:v>CPC</x:v>
      </x:c>
      <x:c r="J756" s="95" t="n">
        <x:v>969</x:v>
      </x:c>
      <x:c r="K756" s="96" t="n">
        <x:f>IFERROR(L756/J756,0)</x:f>
        <x:v>0.03715170278637771</x:v>
      </x:c>
      <x:c r="L756" s="95" t="n">
        <x:v>36</x:v>
      </x:c>
      <x:c r="M756" s="97" t="n">
        <x:v>0.3034</x:v>
      </x:c>
      <x:c r="N756" s="97" t="n">
        <x:f>ROUND(L756*M756,2)</x:f>
        <x:v>10.92</x:v>
      </x:c>
      <x:c r="O756" s="94" t="n">
        <x:v>6</x:v>
      </x:c>
      <x:c r="P756" s="94" t="str">
        <x:v>模拟：Google/Microsoft Ads采购导入</x:v>
      </x:c>
    </x:row>
    <x:row r="757">
      <x:c r="A757" s="92" t="str">
        <x:v>PROC-0756</x:v>
      </x:c>
      <x:c r="B757" s="93" t="n">
        <x:v>46159</x:v>
      </x:c>
      <x:c r="C757" s="94" t="str">
        <x:v>Google Ads</x:v>
      </x:c>
      <x:c r="D757" s="94" t="str">
        <x:v>美国</x:v>
      </x:c>
      <x:c r="E757" s="94" t="str">
        <x:v>GGL-C08</x:v>
      </x:c>
      <x:c r="F757" s="94" t="str">
        <x:v>竞品搜索</x:v>
      </x:c>
      <x:c r="G757" s="94" t="str">
        <x:v>更优选择</x:v>
      </x:c>
      <x:c r="H757" s="94" t="str">
        <x:v>移动端</x:v>
      </x:c>
      <x:c r="I757" s="94" t="str">
        <x:v>CPC</x:v>
      </x:c>
      <x:c r="J757" s="95" t="n">
        <x:v>752</x:v>
      </x:c>
      <x:c r="K757" s="96" t="n">
        <x:f>IFERROR(L757/J757,0)</x:f>
        <x:v>0.030585106382978722</x:v>
      </x:c>
      <x:c r="L757" s="95" t="n">
        <x:v>23</x:v>
      </x:c>
      <x:c r="M757" s="97" t="n">
        <x:v>0.3904</x:v>
      </x:c>
      <x:c r="N757" s="97" t="n">
        <x:f>ROUND(L757*M757,2)</x:f>
        <x:v>8.98</x:v>
      </x:c>
      <x:c r="O757" s="94" t="n">
        <x:v>6</x:v>
      </x:c>
      <x:c r="P757" s="94" t="str">
        <x:v>模拟：Google/Microsoft Ads采购导入</x:v>
      </x:c>
    </x:row>
    <x:row r="758">
      <x:c r="A758" s="92" t="str">
        <x:v>PROC-0757</x:v>
      </x:c>
      <x:c r="B758" s="93" t="n">
        <x:v>46159</x:v>
      </x:c>
      <x:c r="C758" s="94" t="str">
        <x:v>Microsoft Ads</x:v>
      </x:c>
      <x:c r="D758" s="94" t="str">
        <x:v>美国</x:v>
      </x:c>
      <x:c r="E758" s="94" t="str">
        <x:v>MSA-C15</x:v>
      </x:c>
      <x:c r="F758" s="94" t="str">
        <x:v>竞品搜索</x:v>
      </x:c>
      <x:c r="G758" s="94" t="str">
        <x:v>更优选择</x:v>
      </x:c>
      <x:c r="H758" s="94" t="str">
        <x:v>移动端</x:v>
      </x:c>
      <x:c r="I758" s="94" t="str">
        <x:v>CPC</x:v>
      </x:c>
      <x:c r="J758" s="95" t="n">
        <x:v>1105</x:v>
      </x:c>
      <x:c r="K758" s="96" t="n">
        <x:f>IFERROR(L758/J758,0)</x:f>
        <x:v>0.03257918552036199</x:v>
      </x:c>
      <x:c r="L758" s="95" t="n">
        <x:v>36</x:v>
      </x:c>
      <x:c r="M758" s="97" t="n">
        <x:v>0.3054</x:v>
      </x:c>
      <x:c r="N758" s="97" t="n">
        <x:f>ROUND(L758*M758,2)</x:f>
        <x:v>10.99</x:v>
      </x:c>
      <x:c r="O758" s="94" t="n">
        <x:v>6</x:v>
      </x:c>
      <x:c r="P758" s="94" t="str">
        <x:v>模拟：Google/Microsoft Ads采购导入</x:v>
      </x:c>
    </x:row>
    <x:row r="759">
      <x:c r="A759" s="92" t="str">
        <x:v>PROC-0758</x:v>
      </x:c>
      <x:c r="B759" s="93" t="n">
        <x:v>46160</x:v>
      </x:c>
      <x:c r="C759" s="94" t="str">
        <x:v>Google Ads</x:v>
      </x:c>
      <x:c r="D759" s="94" t="str">
        <x:v>英国</x:v>
      </x:c>
      <x:c r="E759" s="94" t="str">
        <x:v>GGL-C23</x:v>
      </x:c>
      <x:c r="F759" s="94" t="str">
        <x:v>购物广告</x:v>
      </x:c>
      <x:c r="G759" s="94" t="str">
        <x:v>高评分商品</x:v>
      </x:c>
      <x:c r="H759" s="94" t="str">
        <x:v>移动端</x:v>
      </x:c>
      <x:c r="I759" s="94" t="str">
        <x:v>CPC</x:v>
      </x:c>
      <x:c r="J759" s="95" t="n">
        <x:v>742</x:v>
      </x:c>
      <x:c r="K759" s="96" t="n">
        <x:f>IFERROR(L759/J759,0)</x:f>
        <x:v>0.04043126684636118</x:v>
      </x:c>
      <x:c r="L759" s="95" t="n">
        <x:v>30</x:v>
      </x:c>
      <x:c r="M759" s="97" t="n">
        <x:v>0.2894</x:v>
      </x:c>
      <x:c r="N759" s="97" t="n">
        <x:f>ROUND(L759*M759,2)</x:f>
        <x:v>8.68</x:v>
      </x:c>
      <x:c r="O759" s="94" t="n">
        <x:v>6</x:v>
      </x:c>
      <x:c r="P759" s="94" t="str">
        <x:v>模拟：Google/Microsoft Ads采购导入</x:v>
      </x:c>
    </x:row>
    <x:row r="760">
      <x:c r="A760" s="92" t="str">
        <x:v>PROC-0759</x:v>
      </x:c>
      <x:c r="B760" s="93" t="n">
        <x:v>46160</x:v>
      </x:c>
      <x:c r="C760" s="94" t="str">
        <x:v>Microsoft Ads</x:v>
      </x:c>
      <x:c r="D760" s="94" t="str">
        <x:v>美国</x:v>
      </x:c>
      <x:c r="E760" s="94" t="str">
        <x:v>MSA-C05</x:v>
      </x:c>
      <x:c r="F760" s="94" t="str">
        <x:v>购物广告</x:v>
      </x:c>
      <x:c r="G760" s="94" t="str">
        <x:v>价格比较</x:v>
      </x:c>
      <x:c r="H760" s="94" t="str">
        <x:v>移动端</x:v>
      </x:c>
      <x:c r="I760" s="94" t="str">
        <x:v>CPC</x:v>
      </x:c>
      <x:c r="J760" s="95" t="n">
        <x:v>903</x:v>
      </x:c>
      <x:c r="K760" s="96" t="n">
        <x:f>IFERROR(L760/J760,0)</x:f>
        <x:v>0.04540420819490587</x:v>
      </x:c>
      <x:c r="L760" s="95" t="n">
        <x:v>41</x:v>
      </x:c>
      <x:c r="M760" s="97" t="n">
        <x:v>0.2413</x:v>
      </x:c>
      <x:c r="N760" s="97" t="n">
        <x:f>ROUND(L760*M760,2)</x:f>
        <x:v>9.89</x:v>
      </x:c>
      <x:c r="O760" s="94" t="n">
        <x:v>6</x:v>
      </x:c>
      <x:c r="P760" s="94" t="str">
        <x:v>模拟：Google/Microsoft Ads采购导入</x:v>
      </x:c>
    </x:row>
    <x:row r="761">
      <x:c r="A761" s="92" t="str">
        <x:v>PROC-0760</x:v>
      </x:c>
      <x:c r="B761" s="93" t="n">
        <x:v>46160</x:v>
      </x:c>
      <x:c r="C761" s="94" t="str">
        <x:v>Google Ads</x:v>
      </x:c>
      <x:c r="D761" s="94" t="str">
        <x:v>英国</x:v>
      </x:c>
      <x:c r="E761" s="94" t="str">
        <x:v>GGL-C10</x:v>
      </x:c>
      <x:c r="F761" s="94" t="str">
        <x:v>竞品搜索</x:v>
      </x:c>
      <x:c r="G761" s="94" t="str">
        <x:v>同类产品对比</x:v>
      </x:c>
      <x:c r="H761" s="94" t="str">
        <x:v>移动端</x:v>
      </x:c>
      <x:c r="I761" s="94" t="str">
        <x:v>CPC</x:v>
      </x:c>
      <x:c r="J761" s="95" t="n">
        <x:v>1075</x:v>
      </x:c>
      <x:c r="K761" s="96" t="n">
        <x:f>IFERROR(L761/J761,0)</x:f>
        <x:v>0.029767441860465118</x:v>
      </x:c>
      <x:c r="L761" s="95" t="n">
        <x:v>32</x:v>
      </x:c>
      <x:c r="M761" s="97" t="n">
        <x:v>0.3826</x:v>
      </x:c>
      <x:c r="N761" s="97" t="n">
        <x:f>ROUND(L761*M761,2)</x:f>
        <x:v>12.24</x:v>
      </x:c>
      <x:c r="O761" s="94" t="n">
        <x:v>6</x:v>
      </x:c>
      <x:c r="P761" s="94" t="str">
        <x:v>模拟：Google/Microsoft Ads采购导入</x:v>
      </x:c>
    </x:row>
    <x:row r="762">
      <x:c r="A762" s="92" t="str">
        <x:v>PROC-0761</x:v>
      </x:c>
      <x:c r="B762" s="93" t="n">
        <x:v>46160</x:v>
      </x:c>
      <x:c r="C762" s="94" t="str">
        <x:v>Microsoft Ads</x:v>
      </x:c>
      <x:c r="D762" s="94" t="str">
        <x:v>英国</x:v>
      </x:c>
      <x:c r="E762" s="94" t="str">
        <x:v>MSA-C21</x:v>
      </x:c>
      <x:c r="F762" s="94" t="str">
        <x:v>购物广告</x:v>
      </x:c>
      <x:c r="G762" s="94" t="str">
        <x:v>价格比较</x:v>
      </x:c>
      <x:c r="H762" s="94" t="str">
        <x:v>桌面端</x:v>
      </x:c>
      <x:c r="I762" s="94" t="str">
        <x:v>CPC</x:v>
      </x:c>
      <x:c r="J762" s="95" t="n">
        <x:v>1208</x:v>
      </x:c>
      <x:c r="K762" s="96" t="n">
        <x:f>IFERROR(L762/J762,0)</x:f>
        <x:v>0.04552980132450331</x:v>
      </x:c>
      <x:c r="L762" s="95" t="n">
        <x:v>55</x:v>
      </x:c>
      <x:c r="M762" s="97" t="n">
        <x:v>0.2324</x:v>
      </x:c>
      <x:c r="N762" s="97" t="n">
        <x:f>ROUND(L762*M762,2)</x:f>
        <x:v>12.78</x:v>
      </x:c>
      <x:c r="O762" s="94" t="n">
        <x:v>7</x:v>
      </x:c>
      <x:c r="P762" s="94" t="str">
        <x:v>模拟：Google/Microsoft Ads采购导入</x:v>
      </x:c>
    </x:row>
    <x:row r="763">
      <x:c r="A763" s="92" t="str">
        <x:v>PROC-0762</x:v>
      </x:c>
      <x:c r="B763" s="93" t="n">
        <x:v>46160</x:v>
      </x:c>
      <x:c r="C763" s="94" t="str">
        <x:v>Google Ads</x:v>
      </x:c>
      <x:c r="D763" s="94" t="str">
        <x:v>美国</x:v>
      </x:c>
      <x:c r="E763" s="94" t="str">
        <x:v>GGL-C02</x:v>
      </x:c>
      <x:c r="F763" s="94" t="str">
        <x:v>通用搜索</x:v>
      </x:c>
      <x:c r="G763" s="94" t="str">
        <x:v>高性价比商品</x:v>
      </x:c>
      <x:c r="H763" s="94" t="str">
        <x:v>移动端</x:v>
      </x:c>
      <x:c r="I763" s="94" t="str">
        <x:v>CPC</x:v>
      </x:c>
      <x:c r="J763" s="95" t="n">
        <x:v>1034</x:v>
      </x:c>
      <x:c r="K763" s="96" t="n">
        <x:f>IFERROR(L763/J763,0)</x:f>
        <x:v>0.0367504835589942</x:v>
      </x:c>
      <x:c r="L763" s="95" t="n">
        <x:v>38</x:v>
      </x:c>
      <x:c r="M763" s="97" t="n">
        <x:v>0.3322</x:v>
      </x:c>
      <x:c r="N763" s="97" t="n">
        <x:f>ROUND(L763*M763,2)</x:f>
        <x:v>12.62</x:v>
      </x:c>
      <x:c r="O763" s="94" t="n">
        <x:v>7</x:v>
      </x:c>
      <x:c r="P763" s="94" t="str">
        <x:v>模拟：Google/Microsoft Ads采购导入</x:v>
      </x:c>
    </x:row>
    <x:row r="764">
      <x:c r="A764" s="92" t="str">
        <x:v>PROC-0763</x:v>
      </x:c>
      <x:c r="B764" s="93" t="n">
        <x:v>46160</x:v>
      </x:c>
      <x:c r="C764" s="94" t="str">
        <x:v>Google Ads</x:v>
      </x:c>
      <x:c r="D764" s="94" t="str">
        <x:v>日本</x:v>
      </x:c>
      <x:c r="E764" s="94" t="str">
        <x:v>GGL-C08</x:v>
      </x:c>
      <x:c r="F764" s="94" t="str">
        <x:v>品牌搜索</x:v>
      </x:c>
      <x:c r="G764" s="94" t="str">
        <x:v>品牌配件词</x:v>
      </x:c>
      <x:c r="H764" s="94" t="str">
        <x:v>移动端</x:v>
      </x:c>
      <x:c r="I764" s="94" t="str">
        <x:v>CPC</x:v>
      </x:c>
      <x:c r="J764" s="95" t="n">
        <x:v>643</x:v>
      </x:c>
      <x:c r="K764" s="96" t="n">
        <x:f>IFERROR(L764/J764,0)</x:f>
        <x:v>0.05287713841368585</x:v>
      </x:c>
      <x:c r="L764" s="95" t="n">
        <x:v>34</x:v>
      </x:c>
      <x:c r="M764" s="97" t="n">
        <x:v>0.1905</x:v>
      </x:c>
      <x:c r="N764" s="97" t="n">
        <x:f>ROUND(L764*M764,2)</x:f>
        <x:v>6.48</x:v>
      </x:c>
      <x:c r="O764" s="94" t="n">
        <x:v>9</x:v>
      </x:c>
      <x:c r="P764" s="94" t="str">
        <x:v>模拟：Google/Microsoft Ads采购导入</x:v>
      </x:c>
    </x:row>
    <x:row r="765">
      <x:c r="A765" s="92" t="str">
        <x:v>PROC-0764</x:v>
      </x:c>
      <x:c r="B765" s="93" t="n">
        <x:v>46161</x:v>
      </x:c>
      <x:c r="C765" s="94" t="str">
        <x:v>Google Ads</x:v>
      </x:c>
      <x:c r="D765" s="94" t="str">
        <x:v>英国</x:v>
      </x:c>
      <x:c r="E765" s="94" t="str">
        <x:v>GGL-C14</x:v>
      </x:c>
      <x:c r="F765" s="94" t="str">
        <x:v>通用搜索</x:v>
      </x:c>
      <x:c r="G765" s="94" t="str">
        <x:v>热门新品</x:v>
      </x:c>
      <x:c r="H765" s="94" t="str">
        <x:v>移动端</x:v>
      </x:c>
      <x:c r="I765" s="94" t="str">
        <x:v>CPC</x:v>
      </x:c>
      <x:c r="J765" s="95" t="n">
        <x:v>822</x:v>
      </x:c>
      <x:c r="K765" s="96" t="n">
        <x:f>IFERROR(L765/J765,0)</x:f>
        <x:v>0.040145985401459854</x:v>
      </x:c>
      <x:c r="L765" s="95" t="n">
        <x:v>33</x:v>
      </x:c>
      <x:c r="M765" s="97" t="n">
        <x:v>0.2831</x:v>
      </x:c>
      <x:c r="N765" s="97" t="n">
        <x:f>ROUND(L765*M765,2)</x:f>
        <x:v>9.34</x:v>
      </x:c>
      <x:c r="O765" s="94" t="n">
        <x:v>7</x:v>
      </x:c>
      <x:c r="P765" s="94" t="str">
        <x:v>模拟：Google/Microsoft Ads采购导入</x:v>
      </x:c>
    </x:row>
    <x:row r="766">
      <x:c r="A766" s="92" t="str">
        <x:v>PROC-0765</x:v>
      </x:c>
      <x:c r="B766" s="93" t="n">
        <x:v>46161</x:v>
      </x:c>
      <x:c r="C766" s="94" t="str">
        <x:v>Google Ads</x:v>
      </x:c>
      <x:c r="D766" s="94" t="str">
        <x:v>美国</x:v>
      </x:c>
      <x:c r="E766" s="94" t="str">
        <x:v>GGL-C23</x:v>
      </x:c>
      <x:c r="F766" s="94" t="str">
        <x:v>品牌搜索</x:v>
      </x:c>
      <x:c r="G766" s="94" t="str">
        <x:v>品牌优惠词</x:v>
      </x:c>
      <x:c r="H766" s="94" t="str">
        <x:v>移动端</x:v>
      </x:c>
      <x:c r="I766" s="94" t="str">
        <x:v>CPC</x:v>
      </x:c>
      <x:c r="J766" s="95" t="n">
        <x:v>1079</x:v>
      </x:c>
      <x:c r="K766" s="96" t="n">
        <x:f>IFERROR(L766/J766,0)</x:f>
        <x:v>0.051899907321594066</x:v>
      </x:c>
      <x:c r="L766" s="95" t="n">
        <x:v>56</x:v>
      </x:c>
      <x:c r="M766" s="97" t="n">
        <x:v>0.2488</x:v>
      </x:c>
      <x:c r="N766" s="97" t="n">
        <x:f>ROUND(L766*M766,2)</x:f>
        <x:v>13.93</x:v>
      </x:c>
      <x:c r="O766" s="94" t="n">
        <x:v>9</x:v>
      </x:c>
      <x:c r="P766" s="94" t="str">
        <x:v>模拟：Google/Microsoft Ads采购导入</x:v>
      </x:c>
    </x:row>
    <x:row r="767">
      <x:c r="A767" s="92" t="str">
        <x:v>PROC-0766</x:v>
      </x:c>
      <x:c r="B767" s="93" t="n">
        <x:v>46161</x:v>
      </x:c>
      <x:c r="C767" s="94" t="str">
        <x:v>Microsoft Ads</x:v>
      </x:c>
      <x:c r="D767" s="94" t="str">
        <x:v>德国</x:v>
      </x:c>
      <x:c r="E767" s="94" t="str">
        <x:v>MSA-C04</x:v>
      </x:c>
      <x:c r="F767" s="94" t="str">
        <x:v>品牌搜索</x:v>
      </x:c>
      <x:c r="G767" s="94" t="str">
        <x:v>品牌购买词</x:v>
      </x:c>
      <x:c r="H767" s="94" t="str">
        <x:v>移动端</x:v>
      </x:c>
      <x:c r="I767" s="94" t="str">
        <x:v>CPC</x:v>
      </x:c>
      <x:c r="J767" s="95" t="n">
        <x:v>644</x:v>
      </x:c>
      <x:c r="K767" s="96" t="n">
        <x:f>IFERROR(L767/J767,0)</x:f>
        <x:v>0.049689440993788817</x:v>
      </x:c>
      <x:c r="L767" s="95" t="n">
        <x:v>32</x:v>
      </x:c>
      <x:c r="M767" s="97" t="n">
        <x:v>0.1304</x:v>
      </x:c>
      <x:c r="N767" s="97" t="n">
        <x:f>ROUND(L767*M767,2)</x:f>
        <x:v>4.17</x:v>
      </x:c>
      <x:c r="O767" s="94" t="n">
        <x:v>7</x:v>
      </x:c>
      <x:c r="P767" s="94" t="str">
        <x:v>模拟：Google/Microsoft Ads采购导入</x:v>
      </x:c>
    </x:row>
    <x:row r="768">
      <x:c r="A768" s="92" t="str">
        <x:v>PROC-0767</x:v>
      </x:c>
      <x:c r="B768" s="93" t="n">
        <x:v>46161</x:v>
      </x:c>
      <x:c r="C768" s="94" t="str">
        <x:v>Microsoft Ads</x:v>
      </x:c>
      <x:c r="D768" s="94" t="str">
        <x:v>美国</x:v>
      </x:c>
      <x:c r="E768" s="94" t="str">
        <x:v>MSA-C14</x:v>
      </x:c>
      <x:c r="F768" s="94" t="str">
        <x:v>品牌搜索</x:v>
      </x:c>
      <x:c r="G768" s="94" t="str">
        <x:v>品牌购买词</x:v>
      </x:c>
      <x:c r="H768" s="94" t="str">
        <x:v>桌面端</x:v>
      </x:c>
      <x:c r="I768" s="94" t="str">
        <x:v>CPC</x:v>
      </x:c>
      <x:c r="J768" s="95" t="n">
        <x:v>1261</x:v>
      </x:c>
      <x:c r="K768" s="96" t="n">
        <x:f>IFERROR(L768/J768,0)</x:f>
        <x:v>0.05313243457573354</x:v>
      </x:c>
      <x:c r="L768" s="95" t="n">
        <x:v>67</x:v>
      </x:c>
      <x:c r="M768" s="97" t="n">
        <x:v>0.203</x:v>
      </x:c>
      <x:c r="N768" s="97" t="n">
        <x:f>ROUND(L768*M768,2)</x:f>
        <x:v>13.6</x:v>
      </x:c>
      <x:c r="O768" s="94" t="n">
        <x:v>8</x:v>
      </x:c>
      <x:c r="P768" s="94" t="str">
        <x:v>模拟：Google/Microsoft Ads采购导入</x:v>
      </x:c>
    </x:row>
    <x:row r="769">
      <x:c r="A769" s="92" t="str">
        <x:v>PROC-0768</x:v>
      </x:c>
      <x:c r="B769" s="93" t="n">
        <x:v>46161</x:v>
      </x:c>
      <x:c r="C769" s="94" t="str">
        <x:v>Microsoft Ads</x:v>
      </x:c>
      <x:c r="D769" s="94" t="str">
        <x:v>美国</x:v>
      </x:c>
      <x:c r="E769" s="94" t="str">
        <x:v>MSA-C19</x:v>
      </x:c>
      <x:c r="F769" s="94" t="str">
        <x:v>购物广告</x:v>
      </x:c>
      <x:c r="G769" s="94" t="str">
        <x:v>高评分商品</x:v>
      </x:c>
      <x:c r="H769" s="94" t="str">
        <x:v>移动端</x:v>
      </x:c>
      <x:c r="I769" s="94" t="str">
        <x:v>CPC</x:v>
      </x:c>
      <x:c r="J769" s="95" t="n">
        <x:v>1629</x:v>
      </x:c>
      <x:c r="K769" s="96" t="n">
        <x:f>IFERROR(L769/J769,0)</x:f>
        <x:v>0.04604051565377532</x:v>
      </x:c>
      <x:c r="L769" s="95" t="n">
        <x:v>75</x:v>
      </x:c>
      <x:c r="M769" s="97" t="n">
        <x:v>0.2661</x:v>
      </x:c>
      <x:c r="N769" s="97" t="n">
        <x:f>ROUND(L769*M769,2)</x:f>
        <x:v>19.96</x:v>
      </x:c>
      <x:c r="O769" s="94" t="n">
        <x:v>6</x:v>
      </x:c>
      <x:c r="P769" s="94" t="str">
        <x:v>模拟：Google/Microsoft Ads采购导入</x:v>
      </x:c>
    </x:row>
    <x:row r="770">
      <x:c r="A770" s="92" t="str">
        <x:v>PROC-0769</x:v>
      </x:c>
      <x:c r="B770" s="93" t="n">
        <x:v>46162</x:v>
      </x:c>
      <x:c r="C770" s="94" t="str">
        <x:v>Microsoft Ads</x:v>
      </x:c>
      <x:c r="D770" s="94" t="str">
        <x:v>德国</x:v>
      </x:c>
      <x:c r="E770" s="94" t="str">
        <x:v>MSA-C05</x:v>
      </x:c>
      <x:c r="F770" s="94" t="str">
        <x:v>竞品搜索</x:v>
      </x:c>
      <x:c r="G770" s="94" t="str">
        <x:v>竞品评测</x:v>
      </x:c>
      <x:c r="H770" s="94" t="str">
        <x:v>桌面端</x:v>
      </x:c>
      <x:c r="I770" s="94" t="str">
        <x:v>CPC</x:v>
      </x:c>
      <x:c r="J770" s="95" t="n">
        <x:v>647</x:v>
      </x:c>
      <x:c r="K770" s="96" t="n">
        <x:f>IFERROR(L770/J770,0)</x:f>
        <x:v>0.02936630602782071</x:v>
      </x:c>
      <x:c r="L770" s="95" t="n">
        <x:v>19</x:v>
      </x:c>
      <x:c r="M770" s="97" t="n">
        <x:v>0.2977</x:v>
      </x:c>
      <x:c r="N770" s="97" t="n">
        <x:f>ROUND(L770*M770,2)</x:f>
        <x:v>5.66</x:v>
      </x:c>
      <x:c r="O770" s="94" t="n">
        <x:v>9</x:v>
      </x:c>
      <x:c r="P770" s="94" t="str">
        <x:v>模拟：Google/Microsoft Ads采购导入</x:v>
      </x:c>
    </x:row>
    <x:row r="771">
      <x:c r="A771" s="92" t="str">
        <x:v>PROC-0770</x:v>
      </x:c>
      <x:c r="B771" s="93" t="n">
        <x:v>46162</x:v>
      </x:c>
      <x:c r="C771" s="94" t="str">
        <x:v>Microsoft Ads</x:v>
      </x:c>
      <x:c r="D771" s="94" t="str">
        <x:v>日本</x:v>
      </x:c>
      <x:c r="E771" s="94" t="str">
        <x:v>MSA-C08</x:v>
      </x:c>
      <x:c r="F771" s="94" t="str">
        <x:v>购物广告</x:v>
      </x:c>
      <x:c r="G771" s="94" t="str">
        <x:v>畅销商品</x:v>
      </x:c>
      <x:c r="H771" s="94" t="str">
        <x:v>移动端</x:v>
      </x:c>
      <x:c r="I771" s="94" t="str">
        <x:v>CPC</x:v>
      </x:c>
      <x:c r="J771" s="95" t="n">
        <x:v>1507</x:v>
      </x:c>
      <x:c r="K771" s="96" t="n">
        <x:f>IFERROR(L771/J771,0)</x:f>
        <x:v>0.039150630391506305</x:v>
      </x:c>
      <x:c r="L771" s="95" t="n">
        <x:v>59</x:v>
      </x:c>
      <x:c r="M771" s="97" t="n">
        <x:v>0.1947</x:v>
      </x:c>
      <x:c r="N771" s="97" t="n">
        <x:f>ROUND(L771*M771,2)</x:f>
        <x:v>11.49</x:v>
      </x:c>
      <x:c r="O771" s="94" t="n">
        <x:v>8</x:v>
      </x:c>
      <x:c r="P771" s="94" t="str">
        <x:v>模拟：Google/Microsoft Ads采购导入</x:v>
      </x:c>
    </x:row>
    <x:row r="772">
      <x:c r="A772" s="92" t="str">
        <x:v>PROC-0771</x:v>
      </x:c>
      <x:c r="B772" s="93" t="n">
        <x:v>46162</x:v>
      </x:c>
      <x:c r="C772" s="94" t="str">
        <x:v>Google Ads</x:v>
      </x:c>
      <x:c r="D772" s="94" t="str">
        <x:v>日本</x:v>
      </x:c>
      <x:c r="E772" s="94" t="str">
        <x:v>GGL-C18</x:v>
      </x:c>
      <x:c r="F772" s="94" t="str">
        <x:v>购物广告</x:v>
      </x:c>
      <x:c r="G772" s="94" t="str">
        <x:v>快速配送</x:v>
      </x:c>
      <x:c r="H772" s="94" t="str">
        <x:v>移动端</x:v>
      </x:c>
      <x:c r="I772" s="94" t="str">
        <x:v>CPC</x:v>
      </x:c>
      <x:c r="J772" s="95" t="n">
        <x:v>1450</x:v>
      </x:c>
      <x:c r="K772" s="96" t="n">
        <x:f>IFERROR(L772/J772,0)</x:f>
        <x:v>0.04689655172413793</x:v>
      </x:c>
      <x:c r="L772" s="95" t="n">
        <x:v>68</x:v>
      </x:c>
      <x:c r="M772" s="97" t="n">
        <x:v>0.3109</x:v>
      </x:c>
      <x:c r="N772" s="97" t="n">
        <x:f>ROUND(L772*M772,2)</x:f>
        <x:v>21.14</x:v>
      </x:c>
      <x:c r="O772" s="94" t="n">
        <x:v>6</x:v>
      </x:c>
      <x:c r="P772" s="94" t="str">
        <x:v>模拟：Google/Microsoft Ads采购导入</x:v>
      </x:c>
    </x:row>
    <x:row r="773">
      <x:c r="A773" s="92" t="str">
        <x:v>PROC-0772</x:v>
      </x:c>
      <x:c r="B773" s="93" t="n">
        <x:v>46162</x:v>
      </x:c>
      <x:c r="C773" s="94" t="str">
        <x:v>Microsoft Ads</x:v>
      </x:c>
      <x:c r="D773" s="94" t="str">
        <x:v>英国</x:v>
      </x:c>
      <x:c r="E773" s="94" t="str">
        <x:v>MSA-C22</x:v>
      </x:c>
      <x:c r="F773" s="94" t="str">
        <x:v>购物广告</x:v>
      </x:c>
      <x:c r="G773" s="94" t="str">
        <x:v>价格比较</x:v>
      </x:c>
      <x:c r="H773" s="94" t="str">
        <x:v>移动端</x:v>
      </x:c>
      <x:c r="I773" s="94" t="str">
        <x:v>CPC</x:v>
      </x:c>
      <x:c r="J773" s="95" t="n">
        <x:v>1263</x:v>
      </x:c>
      <x:c r="K773" s="96" t="n">
        <x:f>IFERROR(L773/J773,0)</x:f>
        <x:v>0.043547110055423596</x:v>
      </x:c>
      <x:c r="L773" s="95" t="n">
        <x:v>55</x:v>
      </x:c>
      <x:c r="M773" s="97" t="n">
        <x:v>0.228</x:v>
      </x:c>
      <x:c r="N773" s="97" t="n">
        <x:f>ROUND(L773*M773,2)</x:f>
        <x:v>12.54</x:v>
      </x:c>
      <x:c r="O773" s="94" t="n">
        <x:v>6</x:v>
      </x:c>
      <x:c r="P773" s="94" t="str">
        <x:v>模拟：Google/Microsoft Ads采购导入</x:v>
      </x:c>
    </x:row>
    <x:row r="774">
      <x:c r="A774" s="92" t="str">
        <x:v>PROC-0773</x:v>
      </x:c>
      <x:c r="B774" s="93" t="n">
        <x:v>46162</x:v>
      </x:c>
      <x:c r="C774" s="94" t="str">
        <x:v>Microsoft Ads</x:v>
      </x:c>
      <x:c r="D774" s="94" t="str">
        <x:v>美国</x:v>
      </x:c>
      <x:c r="E774" s="94" t="str">
        <x:v>MSA-C05</x:v>
      </x:c>
      <x:c r="F774" s="94" t="str">
        <x:v>购物广告</x:v>
      </x:c>
      <x:c r="G774" s="94" t="str">
        <x:v>高评分商品</x:v>
      </x:c>
      <x:c r="H774" s="94" t="str">
        <x:v>移动端</x:v>
      </x:c>
      <x:c r="I774" s="94" t="str">
        <x:v>CPC</x:v>
      </x:c>
      <x:c r="J774" s="95" t="n">
        <x:v>1425</x:v>
      </x:c>
      <x:c r="K774" s="96" t="n">
        <x:f>IFERROR(L774/J774,0)</x:f>
        <x:v>0.04350877192982456</x:v>
      </x:c>
      <x:c r="L774" s="95" t="n">
        <x:v>62</x:v>
      </x:c>
      <x:c r="M774" s="97" t="n">
        <x:v>0.2481</x:v>
      </x:c>
      <x:c r="N774" s="97" t="n">
        <x:f>ROUND(L774*M774,2)</x:f>
        <x:v>15.38</x:v>
      </x:c>
      <x:c r="O774" s="94" t="n">
        <x:v>8</x:v>
      </x:c>
      <x:c r="P774" s="94" t="str">
        <x:v>模拟：Google/Microsoft Ads采购导入</x:v>
      </x:c>
    </x:row>
    <x:row r="775">
      <x:c r="A775" s="92" t="str">
        <x:v>PROC-0774</x:v>
      </x:c>
      <x:c r="B775" s="93" t="n">
        <x:v>46162</x:v>
      </x:c>
      <x:c r="C775" s="94" t="str">
        <x:v>Google Ads</x:v>
      </x:c>
      <x:c r="D775" s="94" t="str">
        <x:v>美国</x:v>
      </x:c>
      <x:c r="E775" s="94" t="str">
        <x:v>GGL-C13</x:v>
      </x:c>
      <x:c r="F775" s="94" t="str">
        <x:v>品牌搜索</x:v>
      </x:c>
      <x:c r="G775" s="94" t="str">
        <x:v>品牌配件词</x:v>
      </x:c>
      <x:c r="H775" s="94" t="str">
        <x:v>移动端</x:v>
      </x:c>
      <x:c r="I775" s="94" t="str">
        <x:v>CPC</x:v>
      </x:c>
      <x:c r="J775" s="95" t="n">
        <x:v>1479</x:v>
      </x:c>
      <x:c r="K775" s="96" t="n">
        <x:f>IFERROR(L775/J775,0)</x:f>
        <x:v>0.04935767410412441</x:v>
      </x:c>
      <x:c r="L775" s="95" t="n">
        <x:v>73</x:v>
      </x:c>
      <x:c r="M775" s="97" t="n">
        <x:v>0.259</x:v>
      </x:c>
      <x:c r="N775" s="97" t="n">
        <x:f>ROUND(L775*M775,2)</x:f>
        <x:v>18.91</x:v>
      </x:c>
      <x:c r="O775" s="94" t="n">
        <x:v>8</x:v>
      </x:c>
      <x:c r="P775" s="94" t="str">
        <x:v>模拟：Google/Microsoft Ads采购导入</x:v>
      </x:c>
    </x:row>
    <x:row r="776">
      <x:c r="A776" s="92" t="str">
        <x:v>PROC-0775</x:v>
      </x:c>
      <x:c r="B776" s="93" t="n">
        <x:v>46163</x:v>
      </x:c>
      <x:c r="C776" s="94" t="str">
        <x:v>Google Ads</x:v>
      </x:c>
      <x:c r="D776" s="94" t="str">
        <x:v>德国</x:v>
      </x:c>
      <x:c r="E776" s="94" t="str">
        <x:v>GGL-C20</x:v>
      </x:c>
      <x:c r="F776" s="94" t="str">
        <x:v>竞品搜索</x:v>
      </x:c>
      <x:c r="G776" s="94" t="str">
        <x:v>竞品评测</x:v>
      </x:c>
      <x:c r="H776" s="94" t="str">
        <x:v>移动端</x:v>
      </x:c>
      <x:c r="I776" s="94" t="str">
        <x:v>CPC</x:v>
      </x:c>
      <x:c r="J776" s="95" t="n">
        <x:v>964</x:v>
      </x:c>
      <x:c r="K776" s="96" t="n">
        <x:f>IFERROR(L776/J776,0)</x:f>
        <x:v>0.032157676348547715</x:v>
      </x:c>
      <x:c r="L776" s="95" t="n">
        <x:v>31</x:v>
      </x:c>
      <x:c r="M776" s="97" t="n">
        <x:v>0.3141</x:v>
      </x:c>
      <x:c r="N776" s="97" t="n">
        <x:f>ROUND(L776*M776,2)</x:f>
        <x:v>9.74</x:v>
      </x:c>
      <x:c r="O776" s="94" t="n">
        <x:v>6</x:v>
      </x:c>
      <x:c r="P776" s="94" t="str">
        <x:v>模拟：Google/Microsoft Ads采购导入</x:v>
      </x:c>
    </x:row>
    <x:row r="777">
      <x:c r="A777" s="92" t="str">
        <x:v>PROC-0776</x:v>
      </x:c>
      <x:c r="B777" s="93" t="n">
        <x:v>46163</x:v>
      </x:c>
      <x:c r="C777" s="94" t="str">
        <x:v>Google Ads</x:v>
      </x:c>
      <x:c r="D777" s="94" t="str">
        <x:v>美国</x:v>
      </x:c>
      <x:c r="E777" s="94" t="str">
        <x:v>GGL-C04</x:v>
      </x:c>
      <x:c r="F777" s="94" t="str">
        <x:v>购物广告</x:v>
      </x:c>
      <x:c r="G777" s="94" t="str">
        <x:v>高评分商品</x:v>
      </x:c>
      <x:c r="H777" s="94" t="str">
        <x:v>移动端</x:v>
      </x:c>
      <x:c r="I777" s="94" t="str">
        <x:v>CPC</x:v>
      </x:c>
      <x:c r="J777" s="95" t="n">
        <x:v>1303</x:v>
      </x:c>
      <x:c r="K777" s="96" t="n">
        <x:f>IFERROR(L777/J777,0)</x:f>
        <x:v>0.0422102839600921</x:v>
      </x:c>
      <x:c r="L777" s="95" t="n">
        <x:v>55</x:v>
      </x:c>
      <x:c r="M777" s="97" t="n">
        <x:v>0.307</x:v>
      </x:c>
      <x:c r="N777" s="97" t="n">
        <x:f>ROUND(L777*M777,2)</x:f>
        <x:v>16.88</x:v>
      </x:c>
      <x:c r="O777" s="94" t="n">
        <x:v>7</x:v>
      </x:c>
      <x:c r="P777" s="94" t="str">
        <x:v>模拟：Google/Microsoft Ads采购导入</x:v>
      </x:c>
    </x:row>
    <x:row r="778">
      <x:c r="A778" s="92" t="str">
        <x:v>PROC-0777</x:v>
      </x:c>
      <x:c r="B778" s="93" t="n">
        <x:v>46163</x:v>
      </x:c>
      <x:c r="C778" s="94" t="str">
        <x:v>Google Ads</x:v>
      </x:c>
      <x:c r="D778" s="94" t="str">
        <x:v>美国</x:v>
      </x:c>
      <x:c r="E778" s="94" t="str">
        <x:v>GGL-C13</x:v>
      </x:c>
      <x:c r="F778" s="94" t="str">
        <x:v>品牌搜索</x:v>
      </x:c>
      <x:c r="G778" s="94" t="str">
        <x:v>品牌配件词</x:v>
      </x:c>
      <x:c r="H778" s="94" t="str">
        <x:v>移动端</x:v>
      </x:c>
      <x:c r="I778" s="94" t="str">
        <x:v>CPC</x:v>
      </x:c>
      <x:c r="J778" s="95" t="n">
        <x:v>1126</x:v>
      </x:c>
      <x:c r="K778" s="96" t="n">
        <x:f>IFERROR(L778/J778,0)</x:f>
        <x:v>0.0541740674955595</x:v>
      </x:c>
      <x:c r="L778" s="95" t="n">
        <x:v>61</x:v>
      </x:c>
      <x:c r="M778" s="97" t="n">
        <x:v>0.2894</x:v>
      </x:c>
      <x:c r="N778" s="97" t="n">
        <x:f>ROUND(L778*M778,2)</x:f>
        <x:v>17.65</x:v>
      </x:c>
      <x:c r="O778" s="94" t="n">
        <x:v>10</x:v>
      </x:c>
      <x:c r="P778" s="94" t="str">
        <x:v>模拟：Google/Microsoft Ads采购导入</x:v>
      </x:c>
    </x:row>
    <x:row r="779">
      <x:c r="A779" s="92" t="str">
        <x:v>PROC-0778</x:v>
      </x:c>
      <x:c r="B779" s="93" t="n">
        <x:v>46163</x:v>
      </x:c>
      <x:c r="C779" s="94" t="str">
        <x:v>Google Ads</x:v>
      </x:c>
      <x:c r="D779" s="94" t="str">
        <x:v>日本</x:v>
      </x:c>
      <x:c r="E779" s="94" t="str">
        <x:v>GGL-C16</x:v>
      </x:c>
      <x:c r="F779" s="94" t="str">
        <x:v>竞品搜索</x:v>
      </x:c>
      <x:c r="G779" s="94" t="str">
        <x:v>竞品评测</x:v>
      </x:c>
      <x:c r="H779" s="94" t="str">
        <x:v>移动端</x:v>
      </x:c>
      <x:c r="I779" s="94" t="str">
        <x:v>CPC</x:v>
      </x:c>
      <x:c r="J779" s="95" t="n">
        <x:v>680</x:v>
      </x:c>
      <x:c r="K779" s="96" t="n">
        <x:f>IFERROR(L779/J779,0)</x:f>
        <x:v>0.025</x:v>
      </x:c>
      <x:c r="L779" s="95" t="n">
        <x:v>17</x:v>
      </x:c>
      <x:c r="M779" s="97" t="n">
        <x:v>0.3948</x:v>
      </x:c>
      <x:c r="N779" s="97" t="n">
        <x:f>ROUND(L779*M779,2)</x:f>
        <x:v>6.71</x:v>
      </x:c>
      <x:c r="O779" s="94" t="n">
        <x:v>8</x:v>
      </x:c>
      <x:c r="P779" s="94" t="str">
        <x:v>模拟：Google/Microsoft Ads采购导入</x:v>
      </x:c>
    </x:row>
    <x:row r="780">
      <x:c r="A780" s="92" t="str">
        <x:v>PROC-0779</x:v>
      </x:c>
      <x:c r="B780" s="93" t="n">
        <x:v>46163</x:v>
      </x:c>
      <x:c r="C780" s="94" t="str">
        <x:v>Google Ads</x:v>
      </x:c>
      <x:c r="D780" s="94" t="str">
        <x:v>英国</x:v>
      </x:c>
      <x:c r="E780" s="94" t="str">
        <x:v>GGL-C03</x:v>
      </x:c>
      <x:c r="F780" s="94" t="str">
        <x:v>品牌搜索</x:v>
      </x:c>
      <x:c r="G780" s="94" t="str">
        <x:v>品牌型号词</x:v>
      </x:c>
      <x:c r="H780" s="94" t="str">
        <x:v>移动端</x:v>
      </x:c>
      <x:c r="I780" s="94" t="str">
        <x:v>CPC</x:v>
      </x:c>
      <x:c r="J780" s="95" t="n">
        <x:v>749</x:v>
      </x:c>
      <x:c r="K780" s="96" t="n">
        <x:f>IFERROR(L780/J780,0)</x:f>
        <x:v>0.06408544726301736</x:v>
      </x:c>
      <x:c r="L780" s="95" t="n">
        <x:v>48</x:v>
      </x:c>
      <x:c r="M780" s="97" t="n">
        <x:v>0.2072</x:v>
      </x:c>
      <x:c r="N780" s="97" t="n">
        <x:f>ROUND(L780*M780,2)</x:f>
        <x:v>9.95</x:v>
      </x:c>
      <x:c r="O780" s="94" t="n">
        <x:v>7</x:v>
      </x:c>
      <x:c r="P780" s="94" t="str">
        <x:v>模拟：Google/Microsoft Ads采购导入</x:v>
      </x:c>
    </x:row>
    <x:row r="781">
      <x:c r="A781" s="92" t="str">
        <x:v>PROC-0780</x:v>
      </x:c>
      <x:c r="B781" s="93" t="n">
        <x:v>46163</x:v>
      </x:c>
      <x:c r="C781" s="94" t="str">
        <x:v>Google Ads</x:v>
      </x:c>
      <x:c r="D781" s="94" t="str">
        <x:v>美国</x:v>
      </x:c>
      <x:c r="E781" s="94" t="str">
        <x:v>GGL-C06</x:v>
      </x:c>
      <x:c r="F781" s="94" t="str">
        <x:v>品牌搜索</x:v>
      </x:c>
      <x:c r="G781" s="94" t="str">
        <x:v>品牌评测词</x:v>
      </x:c>
      <x:c r="H781" s="94" t="str">
        <x:v>桌面端</x:v>
      </x:c>
      <x:c r="I781" s="94" t="str">
        <x:v>CPC</x:v>
      </x:c>
      <x:c r="J781" s="95" t="n">
        <x:v>1161</x:v>
      </x:c>
      <x:c r="K781" s="96" t="n">
        <x:f>IFERROR(L781/J781,0)</x:f>
        <x:v>0.06201550387596899</x:v>
      </x:c>
      <x:c r="L781" s="95" t="n">
        <x:v>72</x:v>
      </x:c>
      <x:c r="M781" s="97" t="n">
        <x:v>0.2533</x:v>
      </x:c>
      <x:c r="N781" s="97" t="n">
        <x:f>ROUND(L781*M781,2)</x:f>
        <x:v>18.24</x:v>
      </x:c>
      <x:c r="O781" s="94" t="n">
        <x:v>7</x:v>
      </x:c>
      <x:c r="P781" s="94" t="str">
        <x:v>模拟：Google/Microsoft Ads采购导入</x:v>
      </x:c>
    </x:row>
    <x:row r="782">
      <x:c r="A782" s="92" t="str">
        <x:v>PROC-0781</x:v>
      </x:c>
      <x:c r="B782" s="93" t="n">
        <x:v>46164</x:v>
      </x:c>
      <x:c r="C782" s="94" t="str">
        <x:v>Google Ads</x:v>
      </x:c>
      <x:c r="D782" s="94" t="str">
        <x:v>美国</x:v>
      </x:c>
      <x:c r="E782" s="94" t="str">
        <x:v>GGL-C17</x:v>
      </x:c>
      <x:c r="F782" s="94" t="str">
        <x:v>竞品搜索</x:v>
      </x:c>
      <x:c r="G782" s="94" t="str">
        <x:v>更优选择</x:v>
      </x:c>
      <x:c r="H782" s="94" t="str">
        <x:v>移动端</x:v>
      </x:c>
      <x:c r="I782" s="94" t="str">
        <x:v>CPC</x:v>
      </x:c>
      <x:c r="J782" s="95" t="n">
        <x:v>1013</x:v>
      </x:c>
      <x:c r="K782" s="96" t="n">
        <x:f>IFERROR(L782/J782,0)</x:f>
        <x:v>0.03751233958538993</x:v>
      </x:c>
      <x:c r="L782" s="95" t="n">
        <x:v>38</x:v>
      </x:c>
      <x:c r="M782" s="97" t="n">
        <x:v>0.4802</x:v>
      </x:c>
      <x:c r="N782" s="97" t="n">
        <x:f>ROUND(L782*M782,2)</x:f>
        <x:v>18.25</x:v>
      </x:c>
      <x:c r="O782" s="94" t="n">
        <x:v>6</x:v>
      </x:c>
      <x:c r="P782" s="94" t="str">
        <x:v>模拟：Google/Microsoft Ads采购导入</x:v>
      </x:c>
    </x:row>
    <x:row r="783">
      <x:c r="A783" s="92" t="str">
        <x:v>PROC-0782</x:v>
      </x:c>
      <x:c r="B783" s="93" t="n">
        <x:v>46164</x:v>
      </x:c>
      <x:c r="C783" s="94" t="str">
        <x:v>Google Ads</x:v>
      </x:c>
      <x:c r="D783" s="94" t="str">
        <x:v>美国</x:v>
      </x:c>
      <x:c r="E783" s="94" t="str">
        <x:v>GGL-C23</x:v>
      </x:c>
      <x:c r="F783" s="94" t="str">
        <x:v>通用搜索</x:v>
      </x:c>
      <x:c r="G783" s="94" t="str">
        <x:v>家庭必备</x:v>
      </x:c>
      <x:c r="H783" s="94" t="str">
        <x:v>移动端</x:v>
      </x:c>
      <x:c r="I783" s="94" t="str">
        <x:v>CPC</x:v>
      </x:c>
      <x:c r="J783" s="95" t="n">
        <x:v>1471</x:v>
      </x:c>
      <x:c r="K783" s="96" t="n">
        <x:f>IFERROR(L783/J783,0)</x:f>
        <x:v>0.04214819850441876</x:v>
      </x:c>
      <x:c r="L783" s="95" t="n">
        <x:v>62</x:v>
      </x:c>
      <x:c r="M783" s="97" t="n">
        <x:v>0.3691</x:v>
      </x:c>
      <x:c r="N783" s="97" t="n">
        <x:f>ROUND(L783*M783,2)</x:f>
        <x:v>22.88</x:v>
      </x:c>
      <x:c r="O783" s="94" t="n">
        <x:v>9</x:v>
      </x:c>
      <x:c r="P783" s="94" t="str">
        <x:v>模拟：Google/Microsoft Ads采购导入</x:v>
      </x:c>
    </x:row>
    <x:row r="784">
      <x:c r="A784" s="92" t="str">
        <x:v>PROC-0783</x:v>
      </x:c>
      <x:c r="B784" s="93" t="n">
        <x:v>46164</x:v>
      </x:c>
      <x:c r="C784" s="94" t="str">
        <x:v>Google Ads</x:v>
      </x:c>
      <x:c r="D784" s="94" t="str">
        <x:v>德国</x:v>
      </x:c>
      <x:c r="E784" s="94" t="str">
        <x:v>GGL-C06</x:v>
      </x:c>
      <x:c r="F784" s="94" t="str">
        <x:v>竞品搜索</x:v>
      </x:c>
      <x:c r="G784" s="94" t="str">
        <x:v>更优选择</x:v>
      </x:c>
      <x:c r="H784" s="94" t="str">
        <x:v>移动端</x:v>
      </x:c>
      <x:c r="I784" s="94" t="str">
        <x:v>CPC</x:v>
      </x:c>
      <x:c r="J784" s="95" t="n">
        <x:v>1160</x:v>
      </x:c>
      <x:c r="K784" s="96" t="n">
        <x:f>IFERROR(L784/J784,0)</x:f>
        <x:v>0.0353448275862069</x:v>
      </x:c>
      <x:c r="L784" s="95" t="n">
        <x:v>41</x:v>
      </x:c>
      <x:c r="M784" s="97" t="n">
        <x:v>0.4153</x:v>
      </x:c>
      <x:c r="N784" s="97" t="n">
        <x:f>ROUND(L784*M784,2)</x:f>
        <x:v>17.03</x:v>
      </x:c>
      <x:c r="O784" s="94" t="n">
        <x:v>8</x:v>
      </x:c>
      <x:c r="P784" s="94" t="str">
        <x:v>模拟：Google/Microsoft Ads采购导入</x:v>
      </x:c>
    </x:row>
    <x:row r="785">
      <x:c r="A785" s="92" t="str">
        <x:v>PROC-0784</x:v>
      </x:c>
      <x:c r="B785" s="93" t="n">
        <x:v>46164</x:v>
      </x:c>
      <x:c r="C785" s="94" t="str">
        <x:v>Google Ads</x:v>
      </x:c>
      <x:c r="D785" s="94" t="str">
        <x:v>德国</x:v>
      </x:c>
      <x:c r="E785" s="94" t="str">
        <x:v>GGL-C11</x:v>
      </x:c>
      <x:c r="F785" s="94" t="str">
        <x:v>通用搜索</x:v>
      </x:c>
      <x:c r="G785" s="94" t="str">
        <x:v>热门新品</x:v>
      </x:c>
      <x:c r="H785" s="94" t="str">
        <x:v>桌面端</x:v>
      </x:c>
      <x:c r="I785" s="94" t="str">
        <x:v>CPC</x:v>
      </x:c>
      <x:c r="J785" s="95" t="n">
        <x:v>1081</x:v>
      </x:c>
      <x:c r="K785" s="96" t="n">
        <x:f>IFERROR(L785/J785,0)</x:f>
        <x:v>0.030527289546716005</x:v>
      </x:c>
      <x:c r="L785" s="95" t="n">
        <x:v>33</x:v>
      </x:c>
      <x:c r="M785" s="97" t="n">
        <x:v>0.3224</x:v>
      </x:c>
      <x:c r="N785" s="97" t="n">
        <x:f>ROUND(L785*M785,2)</x:f>
        <x:v>10.64</x:v>
      </x:c>
      <x:c r="O785" s="94" t="n">
        <x:v>7</x:v>
      </x:c>
      <x:c r="P785" s="94" t="str">
        <x:v>模拟：Google/Microsoft Ads采购导入</x:v>
      </x:c>
    </x:row>
    <x:row r="786">
      <x:c r="A786" s="92" t="str">
        <x:v>PROC-0785</x:v>
      </x:c>
      <x:c r="B786" s="93" t="n">
        <x:v>46164</x:v>
      </x:c>
      <x:c r="C786" s="94" t="str">
        <x:v>Google Ads</x:v>
      </x:c>
      <x:c r="D786" s="94" t="str">
        <x:v>德国</x:v>
      </x:c>
      <x:c r="E786" s="94" t="str">
        <x:v>GGL-C19</x:v>
      </x:c>
      <x:c r="F786" s="94" t="str">
        <x:v>购物广告</x:v>
      </x:c>
      <x:c r="G786" s="94" t="str">
        <x:v>折扣商品</x:v>
      </x:c>
      <x:c r="H786" s="94" t="str">
        <x:v>移动端</x:v>
      </x:c>
      <x:c r="I786" s="94" t="str">
        <x:v>CPC</x:v>
      </x:c>
      <x:c r="J786" s="95" t="n">
        <x:v>729</x:v>
      </x:c>
      <x:c r="K786" s="96" t="n">
        <x:f>IFERROR(L786/J786,0)</x:f>
        <x:v>0.038408779149519894</x:v>
      </x:c>
      <x:c r="L786" s="95" t="n">
        <x:v>28</x:v>
      </x:c>
      <x:c r="M786" s="97" t="n">
        <x:v>0.3575</x:v>
      </x:c>
      <x:c r="N786" s="97" t="n">
        <x:f>ROUND(L786*M786,2)</x:f>
        <x:v>10.01</x:v>
      </x:c>
      <x:c r="O786" s="94" t="n">
        <x:v>6</x:v>
      </x:c>
      <x:c r="P786" s="94" t="str">
        <x:v>模拟：Google/Microsoft Ads采购导入</x:v>
      </x:c>
    </x:row>
    <x:row r="787">
      <x:c r="A787" s="92" t="str">
        <x:v>PROC-0786</x:v>
      </x:c>
      <x:c r="B787" s="93" t="n">
        <x:v>46165</x:v>
      </x:c>
      <x:c r="C787" s="94" t="str">
        <x:v>Google Ads</x:v>
      </x:c>
      <x:c r="D787" s="94" t="str">
        <x:v>日本</x:v>
      </x:c>
      <x:c r="E787" s="94" t="str">
        <x:v>GGL-C02</x:v>
      </x:c>
      <x:c r="F787" s="94" t="str">
        <x:v>品牌搜索</x:v>
      </x:c>
      <x:c r="G787" s="94" t="str">
        <x:v>品牌配件词</x:v>
      </x:c>
      <x:c r="H787" s="94" t="str">
        <x:v>桌面端</x:v>
      </x:c>
      <x:c r="I787" s="94" t="str">
        <x:v>CPC</x:v>
      </x:c>
      <x:c r="J787" s="95" t="n">
        <x:v>1093</x:v>
      </x:c>
      <x:c r="K787" s="96" t="n">
        <x:f>IFERROR(L787/J787,0)</x:f>
        <x:v>0.06312900274473925</x:v>
      </x:c>
      <x:c r="L787" s="95" t="n">
        <x:v>69</x:v>
      </x:c>
      <x:c r="M787" s="97" t="n">
        <x:v>0.2088</x:v>
      </x:c>
      <x:c r="N787" s="97" t="n">
        <x:f>ROUND(L787*M787,2)</x:f>
        <x:v>14.41</x:v>
      </x:c>
      <x:c r="O787" s="94" t="n">
        <x:v>7</x:v>
      </x:c>
      <x:c r="P787" s="94" t="str">
        <x:v>模拟：Google/Microsoft Ads采购导入</x:v>
      </x:c>
    </x:row>
    <x:row r="788">
      <x:c r="A788" s="92" t="str">
        <x:v>PROC-0787</x:v>
      </x:c>
      <x:c r="B788" s="93" t="n">
        <x:v>46165</x:v>
      </x:c>
      <x:c r="C788" s="94" t="str">
        <x:v>Google Ads</x:v>
      </x:c>
      <x:c r="D788" s="94" t="str">
        <x:v>英国</x:v>
      </x:c>
      <x:c r="E788" s="94" t="str">
        <x:v>GGL-C11</x:v>
      </x:c>
      <x:c r="F788" s="94" t="str">
        <x:v>通用搜索</x:v>
      </x:c>
      <x:c r="G788" s="94" t="str">
        <x:v>热门新品</x:v>
      </x:c>
      <x:c r="H788" s="94" t="str">
        <x:v>桌面端</x:v>
      </x:c>
      <x:c r="I788" s="94" t="str">
        <x:v>CPC</x:v>
      </x:c>
      <x:c r="J788" s="95" t="n">
        <x:v>943</x:v>
      </x:c>
      <x:c r="K788" s="96" t="n">
        <x:f>IFERROR(L788/J788,0)</x:f>
        <x:v>0.03923647932131495</x:v>
      </x:c>
      <x:c r="L788" s="95" t="n">
        <x:v>37</x:v>
      </x:c>
      <x:c r="M788" s="97" t="n">
        <x:v>0.3488</x:v>
      </x:c>
      <x:c r="N788" s="97" t="n">
        <x:f>ROUND(L788*M788,2)</x:f>
        <x:v>12.91</x:v>
      </x:c>
      <x:c r="O788" s="94" t="n">
        <x:v>9</x:v>
      </x:c>
      <x:c r="P788" s="94" t="str">
        <x:v>模拟：Google/Microsoft Ads采购导入</x:v>
      </x:c>
    </x:row>
    <x:row r="789">
      <x:c r="A789" s="92" t="str">
        <x:v>PROC-0788</x:v>
      </x:c>
      <x:c r="B789" s="93" t="n">
        <x:v>46165</x:v>
      </x:c>
      <x:c r="C789" s="94" t="str">
        <x:v>Microsoft Ads</x:v>
      </x:c>
      <x:c r="D789" s="94" t="str">
        <x:v>英国</x:v>
      </x:c>
      <x:c r="E789" s="94" t="str">
        <x:v>MSA-C15</x:v>
      </x:c>
      <x:c r="F789" s="94" t="str">
        <x:v>竞品搜索</x:v>
      </x:c>
      <x:c r="G789" s="94" t="str">
        <x:v>价格替代</x:v>
      </x:c>
      <x:c r="H789" s="94" t="str">
        <x:v>移动端</x:v>
      </x:c>
      <x:c r="I789" s="94" t="str">
        <x:v>CPC</x:v>
      </x:c>
      <x:c r="J789" s="95" t="n">
        <x:v>605</x:v>
      </x:c>
      <x:c r="K789" s="96" t="n">
        <x:f>IFERROR(L789/J789,0)</x:f>
        <x:v>0.03305785123966942</x:v>
      </x:c>
      <x:c r="L789" s="95" t="n">
        <x:v>20</x:v>
      </x:c>
      <x:c r="M789" s="97" t="n">
        <x:v>0.3399</x:v>
      </x:c>
      <x:c r="N789" s="97" t="n">
        <x:f>ROUND(L789*M789,2)</x:f>
        <x:v>6.8</x:v>
      </x:c>
      <x:c r="O789" s="94" t="n">
        <x:v>8</x:v>
      </x:c>
      <x:c r="P789" s="94" t="str">
        <x:v>模拟：Google/Microsoft Ads采购导入</x:v>
      </x:c>
    </x:row>
    <x:row r="790">
      <x:c r="A790" s="92" t="str">
        <x:v>PROC-0789</x:v>
      </x:c>
      <x:c r="B790" s="93" t="n">
        <x:v>46165</x:v>
      </x:c>
      <x:c r="C790" s="94" t="str">
        <x:v>Google Ads</x:v>
      </x:c>
      <x:c r="D790" s="94" t="str">
        <x:v>美国</x:v>
      </x:c>
      <x:c r="E790" s="94" t="str">
        <x:v>GGL-C22</x:v>
      </x:c>
      <x:c r="F790" s="94" t="str">
        <x:v>通用搜索</x:v>
      </x:c>
      <x:c r="G790" s="94" t="str">
        <x:v>高性价比商品</x:v>
      </x:c>
      <x:c r="H790" s="94" t="str">
        <x:v>移动端</x:v>
      </x:c>
      <x:c r="I790" s="94" t="str">
        <x:v>CPC</x:v>
      </x:c>
      <x:c r="J790" s="95" t="n">
        <x:v>893</x:v>
      </x:c>
      <x:c r="K790" s="96" t="n">
        <x:f>IFERROR(L790/J790,0)</x:f>
        <x:v>0.0425531914893617</x:v>
      </x:c>
      <x:c r="L790" s="95" t="n">
        <x:v>38</x:v>
      </x:c>
      <x:c r="M790" s="97" t="n">
        <x:v>0.3324</x:v>
      </x:c>
      <x:c r="N790" s="97" t="n">
        <x:f>ROUND(L790*M790,2)</x:f>
        <x:v>12.63</x:v>
      </x:c>
      <x:c r="O790" s="94" t="n">
        <x:v>6</x:v>
      </x:c>
      <x:c r="P790" s="94" t="str">
        <x:v>模拟：Google/Microsoft Ads采购导入</x:v>
      </x:c>
    </x:row>
    <x:row r="791">
      <x:c r="A791" s="92" t="str">
        <x:v>PROC-0790</x:v>
      </x:c>
      <x:c r="B791" s="93" t="n">
        <x:v>46165</x:v>
      </x:c>
      <x:c r="C791" s="94" t="str">
        <x:v>Google Ads</x:v>
      </x:c>
      <x:c r="D791" s="94" t="str">
        <x:v>英国</x:v>
      </x:c>
      <x:c r="E791" s="94" t="str">
        <x:v>GGL-C05</x:v>
      </x:c>
      <x:c r="F791" s="94" t="str">
        <x:v>购物广告</x:v>
      </x:c>
      <x:c r="G791" s="94" t="str">
        <x:v>畅销商品</x:v>
      </x:c>
      <x:c r="H791" s="94" t="str">
        <x:v>移动端</x:v>
      </x:c>
      <x:c r="I791" s="94" t="str">
        <x:v>CPC</x:v>
      </x:c>
      <x:c r="J791" s="95" t="n">
        <x:v>1161</x:v>
      </x:c>
      <x:c r="K791" s="96" t="n">
        <x:f>IFERROR(L791/J791,0)</x:f>
        <x:v>0.04909560723514212</x:v>
      </x:c>
      <x:c r="L791" s="95" t="n">
        <x:v>57</x:v>
      </x:c>
      <x:c r="M791" s="97" t="n">
        <x:v>0.3211</x:v>
      </x:c>
      <x:c r="N791" s="97" t="n">
        <x:f>ROUND(L791*M791,2)</x:f>
        <x:v>18.3</x:v>
      </x:c>
      <x:c r="O791" s="94" t="n">
        <x:v>6</x:v>
      </x:c>
      <x:c r="P791" s="94" t="str">
        <x:v>模拟：Google/Microsoft Ads采购导入</x:v>
      </x:c>
    </x:row>
    <x:row r="792">
      <x:c r="A792" s="92" t="str">
        <x:v>PROC-0791</x:v>
      </x:c>
      <x:c r="B792" s="93" t="n">
        <x:v>46165</x:v>
      </x:c>
      <x:c r="C792" s="94" t="str">
        <x:v>Google Ads</x:v>
      </x:c>
      <x:c r="D792" s="94" t="str">
        <x:v>美国</x:v>
      </x:c>
      <x:c r="E792" s="94" t="str">
        <x:v>GGL-C15</x:v>
      </x:c>
      <x:c r="F792" s="94" t="str">
        <x:v>竞品搜索</x:v>
      </x:c>
      <x:c r="G792" s="94" t="str">
        <x:v>价格替代</x:v>
      </x:c>
      <x:c r="H792" s="94" t="str">
        <x:v>移动端</x:v>
      </x:c>
      <x:c r="I792" s="94" t="str">
        <x:v>CPC</x:v>
      </x:c>
      <x:c r="J792" s="95" t="n">
        <x:v>880</x:v>
      </x:c>
      <x:c r="K792" s="96" t="n">
        <x:f>IFERROR(L792/J792,0)</x:f>
        <x:v>0.029545454545454545</x:v>
      </x:c>
      <x:c r="L792" s="95" t="n">
        <x:v>26</x:v>
      </x:c>
      <x:c r="M792" s="97" t="n">
        <x:v>0.4932</x:v>
      </x:c>
      <x:c r="N792" s="97" t="n">
        <x:f>ROUND(L792*M792,2)</x:f>
        <x:v>12.82</x:v>
      </x:c>
      <x:c r="O792" s="94" t="n">
        <x:v>8</x:v>
      </x:c>
      <x:c r="P792" s="94" t="str">
        <x:v>模拟：Google/Microsoft Ads采购导入</x:v>
      </x:c>
    </x:row>
    <x:row r="793">
      <x:c r="A793" s="92" t="str">
        <x:v>PROC-0792</x:v>
      </x:c>
      <x:c r="B793" s="93" t="n">
        <x:v>46166</x:v>
      </x:c>
      <x:c r="C793" s="94" t="str">
        <x:v>Google Ads</x:v>
      </x:c>
      <x:c r="D793" s="94" t="str">
        <x:v>美国</x:v>
      </x:c>
      <x:c r="E793" s="94" t="str">
        <x:v>GGL-C22</x:v>
      </x:c>
      <x:c r="F793" s="94" t="str">
        <x:v>通用搜索</x:v>
      </x:c>
      <x:c r="G793" s="94" t="str">
        <x:v>高性价比商品</x:v>
      </x:c>
      <x:c r="H793" s="94" t="str">
        <x:v>桌面端</x:v>
      </x:c>
      <x:c r="I793" s="94" t="str">
        <x:v>CPC</x:v>
      </x:c>
      <x:c r="J793" s="95" t="n">
        <x:v>1391</x:v>
      </x:c>
      <x:c r="K793" s="96" t="n">
        <x:f>IFERROR(L793/J793,0)</x:f>
        <x:v>0.03378864126527678</x:v>
      </x:c>
      <x:c r="L793" s="95" t="n">
        <x:v>47</x:v>
      </x:c>
      <x:c r="M793" s="97" t="n">
        <x:v>0.3883</x:v>
      </x:c>
      <x:c r="N793" s="97" t="n">
        <x:f>ROUND(L793*M793,2)</x:f>
        <x:v>18.25</x:v>
      </x:c>
      <x:c r="O793" s="94" t="n">
        <x:v>8</x:v>
      </x:c>
      <x:c r="P793" s="94" t="str">
        <x:v>模拟：Google/Microsoft Ads采购导入</x:v>
      </x:c>
    </x:row>
    <x:row r="794">
      <x:c r="A794" s="92" t="str">
        <x:v>PROC-0793</x:v>
      </x:c>
      <x:c r="B794" s="93" t="n">
        <x:v>46166</x:v>
      </x:c>
      <x:c r="C794" s="94" t="str">
        <x:v>Microsoft Ads</x:v>
      </x:c>
      <x:c r="D794" s="94" t="str">
        <x:v>德国</x:v>
      </x:c>
      <x:c r="E794" s="94" t="str">
        <x:v>MSA-C03</x:v>
      </x:c>
      <x:c r="F794" s="94" t="str">
        <x:v>品牌搜索</x:v>
      </x:c>
      <x:c r="G794" s="94" t="str">
        <x:v>品牌型号词</x:v>
      </x:c>
      <x:c r="H794" s="94" t="str">
        <x:v>移动端</x:v>
      </x:c>
      <x:c r="I794" s="94" t="str">
        <x:v>CPC</x:v>
      </x:c>
      <x:c r="J794" s="95" t="n">
        <x:v>1474</x:v>
      </x:c>
      <x:c r="K794" s="96" t="n">
        <x:f>IFERROR(L794/J794,0)</x:f>
        <x:v>0.06852103120759837</x:v>
      </x:c>
      <x:c r="L794" s="95" t="n">
        <x:v>101</x:v>
      </x:c>
      <x:c r="M794" s="97" t="n">
        <x:v>0.1537</x:v>
      </x:c>
      <x:c r="N794" s="97" t="n">
        <x:f>ROUND(L794*M794,2)</x:f>
        <x:v>15.52</x:v>
      </x:c>
      <x:c r="O794" s="94" t="n">
        <x:v>8</x:v>
      </x:c>
      <x:c r="P794" s="94" t="str">
        <x:v>模拟：Google/Microsoft Ads采购导入</x:v>
      </x:c>
    </x:row>
    <x:row r="795">
      <x:c r="A795" s="92" t="str">
        <x:v>PROC-0794</x:v>
      </x:c>
      <x:c r="B795" s="93" t="n">
        <x:v>46166</x:v>
      </x:c>
      <x:c r="C795" s="94" t="str">
        <x:v>Google Ads</x:v>
      </x:c>
      <x:c r="D795" s="94" t="str">
        <x:v>美国</x:v>
      </x:c>
      <x:c r="E795" s="94" t="str">
        <x:v>GGL-C08</x:v>
      </x:c>
      <x:c r="F795" s="94" t="str">
        <x:v>购物广告</x:v>
      </x:c>
      <x:c r="G795" s="94" t="str">
        <x:v>折扣商品</x:v>
      </x:c>
      <x:c r="H795" s="94" t="str">
        <x:v>桌面端</x:v>
      </x:c>
      <x:c r="I795" s="94" t="str">
        <x:v>CPC</x:v>
      </x:c>
      <x:c r="J795" s="95" t="n">
        <x:v>1387</x:v>
      </x:c>
      <x:c r="K795" s="96" t="n">
        <x:f>IFERROR(L795/J795,0)</x:f>
        <x:v>0.03749098774333093</x:v>
      </x:c>
      <x:c r="L795" s="95" t="n">
        <x:v>52</x:v>
      </x:c>
      <x:c r="M795" s="97" t="n">
        <x:v>0.3195</x:v>
      </x:c>
      <x:c r="N795" s="97" t="n">
        <x:f>ROUND(L795*M795,2)</x:f>
        <x:v>16.61</x:v>
      </x:c>
      <x:c r="O795" s="94" t="n">
        <x:v>8</x:v>
      </x:c>
      <x:c r="P795" s="94" t="str">
        <x:v>模拟：Google/Microsoft Ads采购导入</x:v>
      </x:c>
    </x:row>
    <x:row r="796">
      <x:c r="A796" s="92" t="str">
        <x:v>PROC-0795</x:v>
      </x:c>
      <x:c r="B796" s="93" t="n">
        <x:v>46166</x:v>
      </x:c>
      <x:c r="C796" s="94" t="str">
        <x:v>Microsoft Ads</x:v>
      </x:c>
      <x:c r="D796" s="94" t="str">
        <x:v>日本</x:v>
      </x:c>
      <x:c r="E796" s="94" t="str">
        <x:v>MSA-C17</x:v>
      </x:c>
      <x:c r="F796" s="94" t="str">
        <x:v>竞品搜索</x:v>
      </x:c>
      <x:c r="G796" s="94" t="str">
        <x:v>竞品评测</x:v>
      </x:c>
      <x:c r="H796" s="94" t="str">
        <x:v>移动端</x:v>
      </x:c>
      <x:c r="I796" s="94" t="str">
        <x:v>CPC</x:v>
      </x:c>
      <x:c r="J796" s="95" t="n">
        <x:v>1046</x:v>
      </x:c>
      <x:c r="K796" s="96" t="n">
        <x:f>IFERROR(L796/J796,0)</x:f>
        <x:v>0.02676864244741874</x:v>
      </x:c>
      <x:c r="L796" s="95" t="n">
        <x:v>28</x:v>
      </x:c>
      <x:c r="M796" s="97" t="n">
        <x:v>0.258</x:v>
      </x:c>
      <x:c r="N796" s="97" t="n">
        <x:f>ROUND(L796*M796,2)</x:f>
        <x:v>7.22</x:v>
      </x:c>
      <x:c r="O796" s="94" t="n">
        <x:v>7</x:v>
      </x:c>
      <x:c r="P796" s="94" t="str">
        <x:v>模拟：Google/Microsoft Ads采购导入</x:v>
      </x:c>
    </x:row>
    <x:row r="797">
      <x:c r="A797" s="92" t="str">
        <x:v>PROC-0796</x:v>
      </x:c>
      <x:c r="B797" s="93" t="n">
        <x:v>46166</x:v>
      </x:c>
      <x:c r="C797" s="94" t="str">
        <x:v>Google Ads</x:v>
      </x:c>
      <x:c r="D797" s="94" t="str">
        <x:v>美国</x:v>
      </x:c>
      <x:c r="E797" s="94" t="str">
        <x:v>GGL-C23</x:v>
      </x:c>
      <x:c r="F797" s="94" t="str">
        <x:v>购物广告</x:v>
      </x:c>
      <x:c r="G797" s="94" t="str">
        <x:v>折扣商品</x:v>
      </x:c>
      <x:c r="H797" s="94" t="str">
        <x:v>移动端</x:v>
      </x:c>
      <x:c r="I797" s="94" t="str">
        <x:v>CPC</x:v>
      </x:c>
      <x:c r="J797" s="95" t="n">
        <x:v>1677</x:v>
      </x:c>
      <x:c r="K797" s="96" t="n">
        <x:f>IFERROR(L797/J797,0)</x:f>
        <x:v>0.044722719141323794</x:v>
      </x:c>
      <x:c r="L797" s="95" t="n">
        <x:v>75</x:v>
      </x:c>
      <x:c r="M797" s="97" t="n">
        <x:v>0.4209</x:v>
      </x:c>
      <x:c r="N797" s="97" t="n">
        <x:f>ROUND(L797*M797,2)</x:f>
        <x:v>31.57</x:v>
      </x:c>
      <x:c r="O797" s="94" t="n">
        <x:v>6</x:v>
      </x:c>
      <x:c r="P797" s="94" t="str">
        <x:v>模拟：Google/Microsoft Ads采购导入</x:v>
      </x:c>
    </x:row>
    <x:row r="798">
      <x:c r="A798" s="92" t="str">
        <x:v>PROC-0797</x:v>
      </x:c>
      <x:c r="B798" s="93" t="n">
        <x:v>46167</x:v>
      </x:c>
      <x:c r="C798" s="94" t="str">
        <x:v>Google Ads</x:v>
      </x:c>
      <x:c r="D798" s="94" t="str">
        <x:v>德国</x:v>
      </x:c>
      <x:c r="E798" s="94" t="str">
        <x:v>GGL-C05</x:v>
      </x:c>
      <x:c r="F798" s="94" t="str">
        <x:v>购物广告</x:v>
      </x:c>
      <x:c r="G798" s="94" t="str">
        <x:v>快速配送</x:v>
      </x:c>
      <x:c r="H798" s="94" t="str">
        <x:v>移动端</x:v>
      </x:c>
      <x:c r="I798" s="94" t="str">
        <x:v>CPC</x:v>
      </x:c>
      <x:c r="J798" s="95" t="n">
        <x:v>1142</x:v>
      </x:c>
      <x:c r="K798" s="96" t="n">
        <x:f>IFERROR(L798/J798,0)</x:f>
        <x:v>0.04553415061295972</x:v>
      </x:c>
      <x:c r="L798" s="95" t="n">
        <x:v>52</x:v>
      </x:c>
      <x:c r="M798" s="97" t="n">
        <x:v>0.3027</x:v>
      </x:c>
      <x:c r="N798" s="97" t="n">
        <x:f>ROUND(L798*M798,2)</x:f>
        <x:v>15.74</x:v>
      </x:c>
      <x:c r="O798" s="94" t="n">
        <x:v>6</x:v>
      </x:c>
      <x:c r="P798" s="94" t="str">
        <x:v>模拟：Google/Microsoft Ads采购导入</x:v>
      </x:c>
    </x:row>
    <x:row r="799">
      <x:c r="A799" s="92" t="str">
        <x:v>PROC-0798</x:v>
      </x:c>
      <x:c r="B799" s="93" t="n">
        <x:v>46167</x:v>
      </x:c>
      <x:c r="C799" s="94" t="str">
        <x:v>Microsoft Ads</x:v>
      </x:c>
      <x:c r="D799" s="94" t="str">
        <x:v>英国</x:v>
      </x:c>
      <x:c r="E799" s="94" t="str">
        <x:v>MSA-C15</x:v>
      </x:c>
      <x:c r="F799" s="94" t="str">
        <x:v>通用搜索</x:v>
      </x:c>
      <x:c r="G799" s="94" t="str">
        <x:v>高性价比商品</x:v>
      </x:c>
      <x:c r="H799" s="94" t="str">
        <x:v>桌面端</x:v>
      </x:c>
      <x:c r="I799" s="94" t="str">
        <x:v>CPC</x:v>
      </x:c>
      <x:c r="J799" s="95" t="n">
        <x:v>1039</x:v>
      </x:c>
      <x:c r="K799" s="96" t="n">
        <x:f>IFERROR(L799/J799,0)</x:f>
        <x:v>0.0356111645813282</x:v>
      </x:c>
      <x:c r="L799" s="95" t="n">
        <x:v>37</x:v>
      </x:c>
      <x:c r="M799" s="97" t="n">
        <x:v>0.2214</x:v>
      </x:c>
      <x:c r="N799" s="97" t="n">
        <x:f>ROUND(L799*M799,2)</x:f>
        <x:v>8.19</x:v>
      </x:c>
      <x:c r="O799" s="94" t="n">
        <x:v>7</x:v>
      </x:c>
      <x:c r="P799" s="94" t="str">
        <x:v>模拟：Google/Microsoft Ads采购导入</x:v>
      </x:c>
    </x:row>
    <x:row r="800">
      <x:c r="A800" s="92" t="str">
        <x:v>PROC-0799</x:v>
      </x:c>
      <x:c r="B800" s="93" t="n">
        <x:v>46167</x:v>
      </x:c>
      <x:c r="C800" s="94" t="str">
        <x:v>Google Ads</x:v>
      </x:c>
      <x:c r="D800" s="94" t="str">
        <x:v>美国</x:v>
      </x:c>
      <x:c r="E800" s="94" t="str">
        <x:v>GGL-C22</x:v>
      </x:c>
      <x:c r="F800" s="94" t="str">
        <x:v>通用搜索</x:v>
      </x:c>
      <x:c r="G800" s="94" t="str">
        <x:v>高性价比商品</x:v>
      </x:c>
      <x:c r="H800" s="94" t="str">
        <x:v>桌面端</x:v>
      </x:c>
      <x:c r="I800" s="94" t="str">
        <x:v>CPC</x:v>
      </x:c>
      <x:c r="J800" s="95" t="n">
        <x:v>1165</x:v>
      </x:c>
      <x:c r="K800" s="96" t="n">
        <x:f>IFERROR(L800/J800,0)</x:f>
        <x:v>0.03347639484978541</x:v>
      </x:c>
      <x:c r="L800" s="95" t="n">
        <x:v>39</x:v>
      </x:c>
      <x:c r="M800" s="97" t="n">
        <x:v>0.3907</x:v>
      </x:c>
      <x:c r="N800" s="97" t="n">
        <x:f>ROUND(L800*M800,2)</x:f>
        <x:v>15.24</x:v>
      </x:c>
      <x:c r="O800" s="94" t="n">
        <x:v>8</x:v>
      </x:c>
      <x:c r="P800" s="94" t="str">
        <x:v>模拟：Google/Microsoft Ads采购导入</x:v>
      </x:c>
    </x:row>
    <x:row r="801">
      <x:c r="A801" s="92" t="str">
        <x:v>PROC-0800</x:v>
      </x:c>
      <x:c r="B801" s="93" t="n">
        <x:v>46167</x:v>
      </x:c>
      <x:c r="C801" s="94" t="str">
        <x:v>Google Ads</x:v>
      </x:c>
      <x:c r="D801" s="94" t="str">
        <x:v>美国</x:v>
      </x:c>
      <x:c r="E801" s="94" t="str">
        <x:v>GGL-C06</x:v>
      </x:c>
      <x:c r="F801" s="94" t="str">
        <x:v>购物广告</x:v>
      </x:c>
      <x:c r="G801" s="94" t="str">
        <x:v>高评分商品</x:v>
      </x:c>
      <x:c r="H801" s="94" t="str">
        <x:v>移动端</x:v>
      </x:c>
      <x:c r="I801" s="94" t="str">
        <x:v>CPC</x:v>
      </x:c>
      <x:c r="J801" s="95" t="n">
        <x:v>1390</x:v>
      </x:c>
      <x:c r="K801" s="96" t="n">
        <x:f>IFERROR(L801/J801,0)</x:f>
        <x:v>0.038129496402877695</x:v>
      </x:c>
      <x:c r="L801" s="95" t="n">
        <x:v>53</x:v>
      </x:c>
      <x:c r="M801" s="97" t="n">
        <x:v>0.3469</x:v>
      </x:c>
      <x:c r="N801" s="97" t="n">
        <x:f>ROUND(L801*M801,2)</x:f>
        <x:v>18.39</x:v>
      </x:c>
      <x:c r="O801" s="94" t="n">
        <x:v>7</x:v>
      </x:c>
      <x:c r="P801" s="94" t="str">
        <x:v>模拟：Google/Microsoft Ads采购导入</x:v>
      </x:c>
    </x:row>
    <x:row r="802">
      <x:c r="A802" s="92" t="str">
        <x:v>PROC-0801</x:v>
      </x:c>
      <x:c r="B802" s="93" t="n">
        <x:v>46167</x:v>
      </x:c>
      <x:c r="C802" s="94" t="str">
        <x:v>Google Ads</x:v>
      </x:c>
      <x:c r="D802" s="94" t="str">
        <x:v>日本</x:v>
      </x:c>
      <x:c r="E802" s="94" t="str">
        <x:v>GGL-C10</x:v>
      </x:c>
      <x:c r="F802" s="94" t="str">
        <x:v>购物广告</x:v>
      </x:c>
      <x:c r="G802" s="94" t="str">
        <x:v>高评分商品</x:v>
      </x:c>
      <x:c r="H802" s="94" t="str">
        <x:v>桌面端</x:v>
      </x:c>
      <x:c r="I802" s="94" t="str">
        <x:v>CPC</x:v>
      </x:c>
      <x:c r="J802" s="95" t="n">
        <x:v>1033</x:v>
      </x:c>
      <x:c r="K802" s="96" t="n">
        <x:f>IFERROR(L802/J802,0)</x:f>
        <x:v>0.04065827686350436</x:v>
      </x:c>
      <x:c r="L802" s="95" t="n">
        <x:v>42</x:v>
      </x:c>
      <x:c r="M802" s="97" t="n">
        <x:v>0.2697</x:v>
      </x:c>
      <x:c r="N802" s="97" t="n">
        <x:f>ROUND(L802*M802,2)</x:f>
        <x:v>11.33</x:v>
      </x:c>
      <x:c r="O802" s="94" t="n">
        <x:v>6</x:v>
      </x:c>
      <x:c r="P802" s="94" t="str">
        <x:v>模拟：Google/Microsoft Ads采购导入</x:v>
      </x:c>
    </x:row>
    <x:row r="803">
      <x:c r="A803" s="92" t="str">
        <x:v>PROC-0802</x:v>
      </x:c>
      <x:c r="B803" s="93" t="n">
        <x:v>46167</x:v>
      </x:c>
      <x:c r="C803" s="94" t="str">
        <x:v>Google Ads</x:v>
      </x:c>
      <x:c r="D803" s="94" t="str">
        <x:v>美国</x:v>
      </x:c>
      <x:c r="E803" s="94" t="str">
        <x:v>GGL-C17</x:v>
      </x:c>
      <x:c r="F803" s="94" t="str">
        <x:v>品牌搜索</x:v>
      </x:c>
      <x:c r="G803" s="94" t="str">
        <x:v>品牌型号词</x:v>
      </x:c>
      <x:c r="H803" s="94" t="str">
        <x:v>移动端</x:v>
      </x:c>
      <x:c r="I803" s="94" t="str">
        <x:v>CPC</x:v>
      </x:c>
      <x:c r="J803" s="95" t="n">
        <x:v>840</x:v>
      </x:c>
      <x:c r="K803" s="96" t="n">
        <x:f>IFERROR(L803/J803,0)</x:f>
        <x:v>0.05119047619047619</x:v>
      </x:c>
      <x:c r="L803" s="95" t="n">
        <x:v>43</x:v>
      </x:c>
      <x:c r="M803" s="97" t="n">
        <x:v>0.242</x:v>
      </x:c>
      <x:c r="N803" s="97" t="n">
        <x:f>ROUND(L803*M803,2)</x:f>
        <x:v>10.41</x:v>
      </x:c>
      <x:c r="O803" s="94" t="n">
        <x:v>9</x:v>
      </x:c>
      <x:c r="P803" s="94" t="str">
        <x:v>模拟：Google/Microsoft Ads采购导入</x:v>
      </x:c>
    </x:row>
    <x:row r="804">
      <x:c r="A804" s="92" t="str">
        <x:v>PROC-0803</x:v>
      </x:c>
      <x:c r="B804" s="93" t="n">
        <x:v>46168</x:v>
      </x:c>
      <x:c r="C804" s="94" t="str">
        <x:v>Microsoft Ads</x:v>
      </x:c>
      <x:c r="D804" s="94" t="str">
        <x:v>德国</x:v>
      </x:c>
      <x:c r="E804" s="94" t="str">
        <x:v>MSA-C24</x:v>
      </x:c>
      <x:c r="F804" s="94" t="str">
        <x:v>品牌搜索</x:v>
      </x:c>
      <x:c r="G804" s="94" t="str">
        <x:v>品牌优惠词</x:v>
      </x:c>
      <x:c r="H804" s="94" t="str">
        <x:v>移动端</x:v>
      </x:c>
      <x:c r="I804" s="94" t="str">
        <x:v>CPC</x:v>
      </x:c>
      <x:c r="J804" s="95" t="n">
        <x:v>917</x:v>
      </x:c>
      <x:c r="K804" s="96" t="n">
        <x:f>IFERROR(L804/J804,0)</x:f>
        <x:v>0.04907306434023991</x:v>
      </x:c>
      <x:c r="L804" s="95" t="n">
        <x:v>45</x:v>
      </x:c>
      <x:c r="M804" s="97" t="n">
        <x:v>0.1297</x:v>
      </x:c>
      <x:c r="N804" s="97" t="n">
        <x:f>ROUND(L804*M804,2)</x:f>
        <x:v>5.84</x:v>
      </x:c>
      <x:c r="O804" s="94" t="n">
        <x:v>9</x:v>
      </x:c>
      <x:c r="P804" s="94" t="str">
        <x:v>模拟：Google/Microsoft Ads采购导入</x:v>
      </x:c>
    </x:row>
    <x:row r="805">
      <x:c r="A805" s="92" t="str">
        <x:v>PROC-0804</x:v>
      </x:c>
      <x:c r="B805" s="93" t="n">
        <x:v>46168</x:v>
      </x:c>
      <x:c r="C805" s="94" t="str">
        <x:v>Google Ads</x:v>
      </x:c>
      <x:c r="D805" s="94" t="str">
        <x:v>美国</x:v>
      </x:c>
      <x:c r="E805" s="94" t="str">
        <x:v>GGL-C10</x:v>
      </x:c>
      <x:c r="F805" s="94" t="str">
        <x:v>竞品搜索</x:v>
      </x:c>
      <x:c r="G805" s="94" t="str">
        <x:v>替代品比较</x:v>
      </x:c>
      <x:c r="H805" s="94" t="str">
        <x:v>桌面端</x:v>
      </x:c>
      <x:c r="I805" s="94" t="str">
        <x:v>CPC</x:v>
      </x:c>
      <x:c r="J805" s="95" t="n">
        <x:v>837</x:v>
      </x:c>
      <x:c r="K805" s="96" t="n">
        <x:f>IFERROR(L805/J805,0)</x:f>
        <x:v>0.02986857825567503</x:v>
      </x:c>
      <x:c r="L805" s="95" t="n">
        <x:v>25</x:v>
      </x:c>
      <x:c r="M805" s="97" t="n">
        <x:v>0.4283</x:v>
      </x:c>
      <x:c r="N805" s="97" t="n">
        <x:f>ROUND(L805*M805,2)</x:f>
        <x:v>10.71</x:v>
      </x:c>
      <x:c r="O805" s="94" t="n">
        <x:v>8</x:v>
      </x:c>
      <x:c r="P805" s="94" t="str">
        <x:v>模拟：Google/Microsoft Ads采购导入</x:v>
      </x:c>
    </x:row>
    <x:row r="806">
      <x:c r="A806" s="92" t="str">
        <x:v>PROC-0805</x:v>
      </x:c>
      <x:c r="B806" s="93" t="n">
        <x:v>46168</x:v>
      </x:c>
      <x:c r="C806" s="94" t="str">
        <x:v>Microsoft Ads</x:v>
      </x:c>
      <x:c r="D806" s="94" t="str">
        <x:v>英国</x:v>
      </x:c>
      <x:c r="E806" s="94" t="str">
        <x:v>MSA-C17</x:v>
      </x:c>
      <x:c r="F806" s="94" t="str">
        <x:v>购物广告</x:v>
      </x:c>
      <x:c r="G806" s="94" t="str">
        <x:v>价格比较</x:v>
      </x:c>
      <x:c r="H806" s="94" t="str">
        <x:v>移动端</x:v>
      </x:c>
      <x:c r="I806" s="94" t="str">
        <x:v>CPC</x:v>
      </x:c>
      <x:c r="J806" s="95" t="n">
        <x:v>939</x:v>
      </x:c>
      <x:c r="K806" s="96" t="n">
        <x:f>IFERROR(L806/J806,0)</x:f>
        <x:v>0.04792332268370607</x:v>
      </x:c>
      <x:c r="L806" s="95" t="n">
        <x:v>45</x:v>
      </x:c>
      <x:c r="M806" s="97" t="n">
        <x:v>0.2323</x:v>
      </x:c>
      <x:c r="N806" s="97" t="n">
        <x:f>ROUND(L806*M806,2)</x:f>
        <x:v>10.45</x:v>
      </x:c>
      <x:c r="O806" s="94" t="n">
        <x:v>8</x:v>
      </x:c>
      <x:c r="P806" s="94" t="str">
        <x:v>模拟：Google/Microsoft Ads采购导入</x:v>
      </x:c>
    </x:row>
    <x:row r="807">
      <x:c r="A807" s="92" t="str">
        <x:v>PROC-0806</x:v>
      </x:c>
      <x:c r="B807" s="93" t="n">
        <x:v>46168</x:v>
      </x:c>
      <x:c r="C807" s="94" t="str">
        <x:v>Microsoft Ads</x:v>
      </x:c>
      <x:c r="D807" s="94" t="str">
        <x:v>德国</x:v>
      </x:c>
      <x:c r="E807" s="94" t="str">
        <x:v>MSA-C21</x:v>
      </x:c>
      <x:c r="F807" s="94" t="str">
        <x:v>购物广告</x:v>
      </x:c>
      <x:c r="G807" s="94" t="str">
        <x:v>快速配送</x:v>
      </x:c>
      <x:c r="H807" s="94" t="str">
        <x:v>移动端</x:v>
      </x:c>
      <x:c r="I807" s="94" t="str">
        <x:v>CPC</x:v>
      </x:c>
      <x:c r="J807" s="95" t="n">
        <x:v>1354</x:v>
      </x:c>
      <x:c r="K807" s="96" t="n">
        <x:f>IFERROR(L807/J807,0)</x:f>
        <x:v>0.03692762186115214</x:v>
      </x:c>
      <x:c r="L807" s="95" t="n">
        <x:v>50</x:v>
      </x:c>
      <x:c r="M807" s="97" t="n">
        <x:v>0.2599</x:v>
      </x:c>
      <x:c r="N807" s="97" t="n">
        <x:f>ROUND(L807*M807,2)</x:f>
        <x:v>13</x:v>
      </x:c>
      <x:c r="O807" s="94" t="n">
        <x:v>8</x:v>
      </x:c>
      <x:c r="P807" s="94" t="str">
        <x:v>模拟：Google/Microsoft Ads采购导入</x:v>
      </x:c>
    </x:row>
    <x:row r="808">
      <x:c r="A808" s="92" t="str">
        <x:v>PROC-0807</x:v>
      </x:c>
      <x:c r="B808" s="93" t="n">
        <x:v>46168</x:v>
      </x:c>
      <x:c r="C808" s="94" t="str">
        <x:v>Microsoft Ads</x:v>
      </x:c>
      <x:c r="D808" s="94" t="str">
        <x:v>美国</x:v>
      </x:c>
      <x:c r="E808" s="94" t="str">
        <x:v>MSA-C03</x:v>
      </x:c>
      <x:c r="F808" s="94" t="str">
        <x:v>通用搜索</x:v>
      </x:c>
      <x:c r="G808" s="94" t="str">
        <x:v>高性价比商品</x:v>
      </x:c>
      <x:c r="H808" s="94" t="str">
        <x:v>移动端</x:v>
      </x:c>
      <x:c r="I808" s="94" t="str">
        <x:v>CPC</x:v>
      </x:c>
      <x:c r="J808" s="95" t="n">
        <x:v>1032</x:v>
      </x:c>
      <x:c r="K808" s="96" t="n">
        <x:f>IFERROR(L808/J808,0)</x:f>
        <x:v>0.03197674418604651</x:v>
      </x:c>
      <x:c r="L808" s="95" t="n">
        <x:v>33</x:v>
      </x:c>
      <x:c r="M808" s="97" t="n">
        <x:v>0.2516</x:v>
      </x:c>
      <x:c r="N808" s="97" t="n">
        <x:f>ROUND(L808*M808,2)</x:f>
        <x:v>8.3</x:v>
      </x:c>
      <x:c r="O808" s="94" t="n">
        <x:v>7</x:v>
      </x:c>
      <x:c r="P808" s="94" t="str">
        <x:v>模拟：Google/Microsoft Ads采购导入</x:v>
      </x:c>
    </x:row>
    <x:row r="809">
      <x:c r="A809" s="92" t="str">
        <x:v>PROC-0808</x:v>
      </x:c>
      <x:c r="B809" s="93" t="n">
        <x:v>46169</x:v>
      </x:c>
      <x:c r="C809" s="94" t="str">
        <x:v>Google Ads</x:v>
      </x:c>
      <x:c r="D809" s="94" t="str">
        <x:v>日本</x:v>
      </x:c>
      <x:c r="E809" s="94" t="str">
        <x:v>GGL-C13</x:v>
      </x:c>
      <x:c r="F809" s="94" t="str">
        <x:v>通用搜索</x:v>
      </x:c>
      <x:c r="G809" s="94" t="str">
        <x:v>热门新品</x:v>
      </x:c>
      <x:c r="H809" s="94" t="str">
        <x:v>移动端</x:v>
      </x:c>
      <x:c r="I809" s="94" t="str">
        <x:v>CPC</x:v>
      </x:c>
      <x:c r="J809" s="95" t="n">
        <x:v>993</x:v>
      </x:c>
      <x:c r="K809" s="96" t="n">
        <x:f>IFERROR(L809/J809,0)</x:f>
        <x:v>0.027190332326283987</x:v>
      </x:c>
      <x:c r="L809" s="95" t="n">
        <x:v>27</x:v>
      </x:c>
      <x:c r="M809" s="97" t="n">
        <x:v>0.2404</x:v>
      </x:c>
      <x:c r="N809" s="97" t="n">
        <x:f>ROUND(L809*M809,2)</x:f>
        <x:v>6.49</x:v>
      </x:c>
      <x:c r="O809" s="94" t="n">
        <x:v>7</x:v>
      </x:c>
      <x:c r="P809" s="94" t="str">
        <x:v>模拟：Google/Microsoft Ads采购导入</x:v>
      </x:c>
    </x:row>
    <x:row r="810">
      <x:c r="A810" s="92" t="str">
        <x:v>PROC-0809</x:v>
      </x:c>
      <x:c r="B810" s="93" t="n">
        <x:v>46169</x:v>
      </x:c>
      <x:c r="C810" s="94" t="str">
        <x:v>Google Ads</x:v>
      </x:c>
      <x:c r="D810" s="94" t="str">
        <x:v>日本</x:v>
      </x:c>
      <x:c r="E810" s="94" t="str">
        <x:v>GGL-C17</x:v>
      </x:c>
      <x:c r="F810" s="94" t="str">
        <x:v>品牌搜索</x:v>
      </x:c>
      <x:c r="G810" s="94" t="str">
        <x:v>品牌评测词</x:v>
      </x:c>
      <x:c r="H810" s="94" t="str">
        <x:v>移动端</x:v>
      </x:c>
      <x:c r="I810" s="94" t="str">
        <x:v>CPC</x:v>
      </x:c>
      <x:c r="J810" s="95" t="n">
        <x:v>654</x:v>
      </x:c>
      <x:c r="K810" s="96" t="n">
        <x:f>IFERROR(L810/J810,0)</x:f>
        <x:v>0.06116207951070336</x:v>
      </x:c>
      <x:c r="L810" s="95" t="n">
        <x:v>40</x:v>
      </x:c>
      <x:c r="M810" s="97" t="n">
        <x:v>0.2159</x:v>
      </x:c>
      <x:c r="N810" s="97" t="n">
        <x:f>ROUND(L810*M810,2)</x:f>
        <x:v>8.64</x:v>
      </x:c>
      <x:c r="O810" s="94" t="n">
        <x:v>8</x:v>
      </x:c>
      <x:c r="P810" s="94" t="str">
        <x:v>模拟：Google/Microsoft Ads采购导入</x:v>
      </x:c>
    </x:row>
    <x:row r="811">
      <x:c r="A811" s="92" t="str">
        <x:v>PROC-0810</x:v>
      </x:c>
      <x:c r="B811" s="93" t="n">
        <x:v>46169</x:v>
      </x:c>
      <x:c r="C811" s="94" t="str">
        <x:v>Microsoft Ads</x:v>
      </x:c>
      <x:c r="D811" s="94" t="str">
        <x:v>美国</x:v>
      </x:c>
      <x:c r="E811" s="94" t="str">
        <x:v>MSA-C24</x:v>
      </x:c>
      <x:c r="F811" s="94" t="str">
        <x:v>通用搜索</x:v>
      </x:c>
      <x:c r="G811" s="94" t="str">
        <x:v>专业精选</x:v>
      </x:c>
      <x:c r="H811" s="94" t="str">
        <x:v>移动端</x:v>
      </x:c>
      <x:c r="I811" s="94" t="str">
        <x:v>CPC</x:v>
      </x:c>
      <x:c r="J811" s="95" t="n">
        <x:v>1414</x:v>
      </x:c>
      <x:c r="K811" s="96" t="n">
        <x:f>IFERROR(L811/J811,0)</x:f>
        <x:v>0.03323903818953324</x:v>
      </x:c>
      <x:c r="L811" s="95" t="n">
        <x:v>47</x:v>
      </x:c>
      <x:c r="M811" s="97" t="n">
        <x:v>0.2985</x:v>
      </x:c>
      <x:c r="N811" s="97" t="n">
        <x:f>ROUND(L811*M811,2)</x:f>
        <x:v>14.03</x:v>
      </x:c>
      <x:c r="O811" s="94" t="n">
        <x:v>8</x:v>
      </x:c>
      <x:c r="P811" s="94" t="str">
        <x:v>模拟：Google/Microsoft Ads采购导入</x:v>
      </x:c>
    </x:row>
    <x:row r="812">
      <x:c r="A812" s="92" t="str">
        <x:v>PROC-0811</x:v>
      </x:c>
      <x:c r="B812" s="93" t="n">
        <x:v>46169</x:v>
      </x:c>
      <x:c r="C812" s="94" t="str">
        <x:v>Google Ads</x:v>
      </x:c>
      <x:c r="D812" s="94" t="str">
        <x:v>美国</x:v>
      </x:c>
      <x:c r="E812" s="94" t="str">
        <x:v>GGL-C11</x:v>
      </x:c>
      <x:c r="F812" s="94" t="str">
        <x:v>竞品搜索</x:v>
      </x:c>
      <x:c r="G812" s="94" t="str">
        <x:v>同类产品对比</x:v>
      </x:c>
      <x:c r="H812" s="94" t="str">
        <x:v>移动端</x:v>
      </x:c>
      <x:c r="I812" s="94" t="str">
        <x:v>CPC</x:v>
      </x:c>
      <x:c r="J812" s="95" t="n">
        <x:v>577</x:v>
      </x:c>
      <x:c r="K812" s="96" t="n">
        <x:f>IFERROR(L812/J812,0)</x:f>
        <x:v>0.03466204506065858</x:v>
      </x:c>
      <x:c r="L812" s="95" t="n">
        <x:v>20</x:v>
      </x:c>
      <x:c r="M812" s="97" t="n">
        <x:v>0.5074</x:v>
      </x:c>
      <x:c r="N812" s="97" t="n">
        <x:f>ROUND(L812*M812,2)</x:f>
        <x:v>10.15</x:v>
      </x:c>
      <x:c r="O812" s="94" t="n">
        <x:v>7</x:v>
      </x:c>
      <x:c r="P812" s="94" t="str">
        <x:v>模拟：Google/Microsoft Ads采购导入</x:v>
      </x:c>
    </x:row>
    <x:row r="813">
      <x:c r="A813" s="92" t="str">
        <x:v>PROC-0812</x:v>
      </x:c>
      <x:c r="B813" s="93" t="n">
        <x:v>46169</x:v>
      </x:c>
      <x:c r="C813" s="94" t="str">
        <x:v>Google Ads</x:v>
      </x:c>
      <x:c r="D813" s="94" t="str">
        <x:v>英国</x:v>
      </x:c>
      <x:c r="E813" s="94" t="str">
        <x:v>GGL-C14</x:v>
      </x:c>
      <x:c r="F813" s="94" t="str">
        <x:v>通用搜索</x:v>
      </x:c>
      <x:c r="G813" s="94" t="str">
        <x:v>专业精选</x:v>
      </x:c>
      <x:c r="H813" s="94" t="str">
        <x:v>移动端</x:v>
      </x:c>
      <x:c r="I813" s="94" t="str">
        <x:v>CPC</x:v>
      </x:c>
      <x:c r="J813" s="95" t="n">
        <x:v>1270</x:v>
      </x:c>
      <x:c r="K813" s="96" t="n">
        <x:f>IFERROR(L813/J813,0)</x:f>
        <x:v>0.03622047244094488</x:v>
      </x:c>
      <x:c r="L813" s="95" t="n">
        <x:v>46</x:v>
      </x:c>
      <x:c r="M813" s="97" t="n">
        <x:v>0.3274</x:v>
      </x:c>
      <x:c r="N813" s="97" t="n">
        <x:f>ROUND(L813*M813,2)</x:f>
        <x:v>15.06</x:v>
      </x:c>
      <x:c r="O813" s="94" t="n">
        <x:v>7</x:v>
      </x:c>
      <x:c r="P813" s="94" t="str">
        <x:v>模拟：Google/Microsoft Ads采购导入</x:v>
      </x:c>
    </x:row>
    <x:row r="814">
      <x:c r="A814" s="92" t="str">
        <x:v>PROC-0813</x:v>
      </x:c>
      <x:c r="B814" s="93" t="n">
        <x:v>46169</x:v>
      </x:c>
      <x:c r="C814" s="94" t="str">
        <x:v>Google Ads</x:v>
      </x:c>
      <x:c r="D814" s="94" t="str">
        <x:v>英国</x:v>
      </x:c>
      <x:c r="E814" s="94" t="str">
        <x:v>GGL-C21</x:v>
      </x:c>
      <x:c r="F814" s="94" t="str">
        <x:v>通用搜索</x:v>
      </x:c>
      <x:c r="G814" s="94" t="str">
        <x:v>实用礼物</x:v>
      </x:c>
      <x:c r="H814" s="94" t="str">
        <x:v>移动端</x:v>
      </x:c>
      <x:c r="I814" s="94" t="str">
        <x:v>CPC</x:v>
      </x:c>
      <x:c r="J814" s="95" t="n">
        <x:v>1213</x:v>
      </x:c>
      <x:c r="K814" s="96" t="n">
        <x:f>IFERROR(L814/J814,0)</x:f>
        <x:v>0.03792250618301731</x:v>
      </x:c>
      <x:c r="L814" s="95" t="n">
        <x:v>46</x:v>
      </x:c>
      <x:c r="M814" s="97" t="n">
        <x:v>0.2954</x:v>
      </x:c>
      <x:c r="N814" s="97" t="n">
        <x:f>ROUND(L814*M814,2)</x:f>
        <x:v>13.59</x:v>
      </x:c>
      <x:c r="O814" s="94" t="n">
        <x:v>6</x:v>
      </x:c>
      <x:c r="P814" s="94" t="str">
        <x:v>模拟：Google/Microsoft Ads采购导入</x:v>
      </x:c>
    </x:row>
    <x:row r="815">
      <x:c r="A815" s="92" t="str">
        <x:v>PROC-0814</x:v>
      </x:c>
      <x:c r="B815" s="93" t="n">
        <x:v>46170</x:v>
      </x:c>
      <x:c r="C815" s="94" t="str">
        <x:v>Google Ads</x:v>
      </x:c>
      <x:c r="D815" s="94" t="str">
        <x:v>德国</x:v>
      </x:c>
      <x:c r="E815" s="94" t="str">
        <x:v>GGL-C06</x:v>
      </x:c>
      <x:c r="F815" s="94" t="str">
        <x:v>品牌搜索</x:v>
      </x:c>
      <x:c r="G815" s="94" t="str">
        <x:v>品牌型号词</x:v>
      </x:c>
      <x:c r="H815" s="94" t="str">
        <x:v>移动端</x:v>
      </x:c>
      <x:c r="I815" s="94" t="str">
        <x:v>CPC</x:v>
      </x:c>
      <x:c r="J815" s="95" t="n">
        <x:v>818</x:v>
      </x:c>
      <x:c r="K815" s="96" t="n">
        <x:f>IFERROR(L815/J815,0)</x:f>
        <x:v>0.05134474327628362</x:v>
      </x:c>
      <x:c r="L815" s="95" t="n">
        <x:v>42</x:v>
      </x:c>
      <x:c r="M815" s="97" t="n">
        <x:v>0.2188</x:v>
      </x:c>
      <x:c r="N815" s="97" t="n">
        <x:f>ROUND(L815*M815,2)</x:f>
        <x:v>9.19</x:v>
      </x:c>
      <x:c r="O815" s="94" t="n">
        <x:v>7</x:v>
      </x:c>
      <x:c r="P815" s="94" t="str">
        <x:v>模拟：Google/Microsoft Ads采购导入</x:v>
      </x:c>
    </x:row>
    <x:row r="816">
      <x:c r="A816" s="92" t="str">
        <x:v>PROC-0815</x:v>
      </x:c>
      <x:c r="B816" s="93" t="n">
        <x:v>46170</x:v>
      </x:c>
      <x:c r="C816" s="94" t="str">
        <x:v>Google Ads</x:v>
      </x:c>
      <x:c r="D816" s="94" t="str">
        <x:v>美国</x:v>
      </x:c>
      <x:c r="E816" s="94" t="str">
        <x:v>GGL-C11</x:v>
      </x:c>
      <x:c r="F816" s="94" t="str">
        <x:v>竞品搜索</x:v>
      </x:c>
      <x:c r="G816" s="94" t="str">
        <x:v>同类产品对比</x:v>
      </x:c>
      <x:c r="H816" s="94" t="str">
        <x:v>移动端</x:v>
      </x:c>
      <x:c r="I816" s="94" t="str">
        <x:v>CPC</x:v>
      </x:c>
      <x:c r="J816" s="95" t="n">
        <x:v>547</x:v>
      </x:c>
      <x:c r="K816" s="96" t="n">
        <x:f>IFERROR(L816/J816,0)</x:f>
        <x:v>0.029250457038391225</x:v>
      </x:c>
      <x:c r="L816" s="95" t="n">
        <x:v>16</x:v>
      </x:c>
      <x:c r="M816" s="97" t="n">
        <x:v>0.5029</x:v>
      </x:c>
      <x:c r="N816" s="97" t="n">
        <x:f>ROUND(L816*M816,2)</x:f>
        <x:v>8.05</x:v>
      </x:c>
      <x:c r="O816" s="94" t="n">
        <x:v>7</x:v>
      </x:c>
      <x:c r="P816" s="94" t="str">
        <x:v>模拟：Google/Microsoft Ads采购导入</x:v>
      </x:c>
    </x:row>
    <x:row r="817">
      <x:c r="A817" s="92" t="str">
        <x:v>PROC-0816</x:v>
      </x:c>
      <x:c r="B817" s="93" t="n">
        <x:v>46170</x:v>
      </x:c>
      <x:c r="C817" s="94" t="str">
        <x:v>Google Ads</x:v>
      </x:c>
      <x:c r="D817" s="94" t="str">
        <x:v>美国</x:v>
      </x:c>
      <x:c r="E817" s="94" t="str">
        <x:v>GGL-C22</x:v>
      </x:c>
      <x:c r="F817" s="94" t="str">
        <x:v>购物广告</x:v>
      </x:c>
      <x:c r="G817" s="94" t="str">
        <x:v>畅销商品</x:v>
      </x:c>
      <x:c r="H817" s="94" t="str">
        <x:v>移动端</x:v>
      </x:c>
      <x:c r="I817" s="94" t="str">
        <x:v>CPC</x:v>
      </x:c>
      <x:c r="J817" s="95" t="n">
        <x:v>1383</x:v>
      </x:c>
      <x:c r="K817" s="96" t="n">
        <x:f>IFERROR(L817/J817,0)</x:f>
        <x:v>0.04844540853217643</x:v>
      </x:c>
      <x:c r="L817" s="95" t="n">
        <x:v>67</x:v>
      </x:c>
      <x:c r="M817" s="97" t="n">
        <x:v>0.3859</x:v>
      </x:c>
      <x:c r="N817" s="97" t="n">
        <x:f>ROUND(L817*M817,2)</x:f>
        <x:v>25.86</x:v>
      </x:c>
      <x:c r="O817" s="94" t="n">
        <x:v>7</x:v>
      </x:c>
      <x:c r="P817" s="94" t="str">
        <x:v>模拟：Google/Microsoft Ads采购导入</x:v>
      </x:c>
    </x:row>
    <x:row r="818">
      <x:c r="A818" s="92" t="str">
        <x:v>PROC-0817</x:v>
      </x:c>
      <x:c r="B818" s="93" t="n">
        <x:v>46170</x:v>
      </x:c>
      <x:c r="C818" s="94" t="str">
        <x:v>Google Ads</x:v>
      </x:c>
      <x:c r="D818" s="94" t="str">
        <x:v>美国</x:v>
      </x:c>
      <x:c r="E818" s="94" t="str">
        <x:v>GGL-C01</x:v>
      </x:c>
      <x:c r="F818" s="94" t="str">
        <x:v>品牌搜索</x:v>
      </x:c>
      <x:c r="G818" s="94" t="str">
        <x:v>品牌优惠词</x:v>
      </x:c>
      <x:c r="H818" s="94" t="str">
        <x:v>移动端</x:v>
      </x:c>
      <x:c r="I818" s="94" t="str">
        <x:v>CPC</x:v>
      </x:c>
      <x:c r="J818" s="95" t="n">
        <x:v>902</x:v>
      </x:c>
      <x:c r="K818" s="96" t="n">
        <x:f>IFERROR(L818/J818,0)</x:f>
        <x:v>0.058758314855875834</x:v>
      </x:c>
      <x:c r="L818" s="95" t="n">
        <x:v>53</x:v>
      </x:c>
      <x:c r="M818" s="97" t="n">
        <x:v>0.2775</x:v>
      </x:c>
      <x:c r="N818" s="97" t="n">
        <x:f>ROUND(L818*M818,2)</x:f>
        <x:v>14.71</x:v>
      </x:c>
      <x:c r="O818" s="94" t="n">
        <x:v>7</x:v>
      </x:c>
      <x:c r="P818" s="94" t="str">
        <x:v>模拟：Google/Microsoft Ads采购导入</x:v>
      </x:c>
    </x:row>
    <x:row r="819">
      <x:c r="A819" s="92" t="str">
        <x:v>PROC-0818</x:v>
      </x:c>
      <x:c r="B819" s="93" t="n">
        <x:v>46170</x:v>
      </x:c>
      <x:c r="C819" s="94" t="str">
        <x:v>Google Ads</x:v>
      </x:c>
      <x:c r="D819" s="94" t="str">
        <x:v>日本</x:v>
      </x:c>
      <x:c r="E819" s="94" t="str">
        <x:v>GGL-C11</x:v>
      </x:c>
      <x:c r="F819" s="94" t="str">
        <x:v>购物广告</x:v>
      </x:c>
      <x:c r="G819" s="94" t="str">
        <x:v>价格比较</x:v>
      </x:c>
      <x:c r="H819" s="94" t="str">
        <x:v>移动端</x:v>
      </x:c>
      <x:c r="I819" s="94" t="str">
        <x:v>CPC</x:v>
      </x:c>
      <x:c r="J819" s="95" t="n">
        <x:v>841</x:v>
      </x:c>
      <x:c r="K819" s="96" t="n">
        <x:f>IFERROR(L819/J819,0)</x:f>
        <x:v>0.041617122473246136</x:v>
      </x:c>
      <x:c r="L819" s="95" t="n">
        <x:v>35</x:v>
      </x:c>
      <x:c r="M819" s="97" t="n">
        <x:v>0.2853</x:v>
      </x:c>
      <x:c r="N819" s="97" t="n">
        <x:f>ROUND(L819*M819,2)</x:f>
        <x:v>9.99</x:v>
      </x:c>
      <x:c r="O819" s="94" t="n">
        <x:v>7</x:v>
      </x:c>
      <x:c r="P819" s="94" t="str">
        <x:v>模拟：Google/Microsoft Ads采购导入</x:v>
      </x:c>
    </x:row>
    <x:row r="820">
      <x:c r="A820" s="92" t="str">
        <x:v>PROC-0819</x:v>
      </x:c>
      <x:c r="B820" s="93" t="n">
        <x:v>46171</x:v>
      </x:c>
      <x:c r="C820" s="94" t="str">
        <x:v>Microsoft Ads</x:v>
      </x:c>
      <x:c r="D820" s="94" t="str">
        <x:v>美国</x:v>
      </x:c>
      <x:c r="E820" s="94" t="str">
        <x:v>MSA-C15</x:v>
      </x:c>
      <x:c r="F820" s="94" t="str">
        <x:v>购物广告</x:v>
      </x:c>
      <x:c r="G820" s="94" t="str">
        <x:v>折扣商品</x:v>
      </x:c>
      <x:c r="H820" s="94" t="str">
        <x:v>移动端</x:v>
      </x:c>
      <x:c r="I820" s="94" t="str">
        <x:v>CPC</x:v>
      </x:c>
      <x:c r="J820" s="95" t="n">
        <x:v>1442</x:v>
      </x:c>
      <x:c r="K820" s="96" t="n">
        <x:f>IFERROR(L820/J820,0)</x:f>
        <x:v>0.047156726768377254</x:v>
      </x:c>
      <x:c r="L820" s="95" t="n">
        <x:v>68</x:v>
      </x:c>
      <x:c r="M820" s="97" t="n">
        <x:v>0.2928</x:v>
      </x:c>
      <x:c r="N820" s="97" t="n">
        <x:f>ROUND(L820*M820,2)</x:f>
        <x:v>19.91</x:v>
      </x:c>
      <x:c r="O820" s="94" t="n">
        <x:v>8</x:v>
      </x:c>
      <x:c r="P820" s="94" t="str">
        <x:v>模拟：Google/Microsoft Ads采购导入</x:v>
      </x:c>
    </x:row>
    <x:row r="821">
      <x:c r="A821" s="92" t="str">
        <x:v>PROC-0820</x:v>
      </x:c>
      <x:c r="B821" s="93" t="n">
        <x:v>46171</x:v>
      </x:c>
      <x:c r="C821" s="94" t="str">
        <x:v>Google Ads</x:v>
      </x:c>
      <x:c r="D821" s="94" t="str">
        <x:v>德国</x:v>
      </x:c>
      <x:c r="E821" s="94" t="str">
        <x:v>GGL-C23</x:v>
      </x:c>
      <x:c r="F821" s="94" t="str">
        <x:v>通用搜索</x:v>
      </x:c>
      <x:c r="G821" s="94" t="str">
        <x:v>热门新品</x:v>
      </x:c>
      <x:c r="H821" s="94" t="str">
        <x:v>桌面端</x:v>
      </x:c>
      <x:c r="I821" s="94" t="str">
        <x:v>CPC</x:v>
      </x:c>
      <x:c r="J821" s="95" t="n">
        <x:v>743</x:v>
      </x:c>
      <x:c r="K821" s="96" t="n">
        <x:f>IFERROR(L821/J821,0)</x:f>
        <x:v>0.029609690444145357</x:v>
      </x:c>
      <x:c r="L821" s="95" t="n">
        <x:v>22</x:v>
      </x:c>
      <x:c r="M821" s="97" t="n">
        <x:v>0.2656</x:v>
      </x:c>
      <x:c r="N821" s="97" t="n">
        <x:f>ROUND(L821*M821,2)</x:f>
        <x:v>5.84</x:v>
      </x:c>
      <x:c r="O821" s="94" t="n">
        <x:v>6</x:v>
      </x:c>
      <x:c r="P821" s="94" t="str">
        <x:v>模拟：Google/Microsoft Ads采购导入</x:v>
      </x:c>
    </x:row>
    <x:row r="822">
      <x:c r="A822" s="92" t="str">
        <x:v>PROC-0821</x:v>
      </x:c>
      <x:c r="B822" s="93" t="n">
        <x:v>46171</x:v>
      </x:c>
      <x:c r="C822" s="94" t="str">
        <x:v>Google Ads</x:v>
      </x:c>
      <x:c r="D822" s="94" t="str">
        <x:v>德国</x:v>
      </x:c>
      <x:c r="E822" s="94" t="str">
        <x:v>GGL-C05</x:v>
      </x:c>
      <x:c r="F822" s="94" t="str">
        <x:v>品牌搜索</x:v>
      </x:c>
      <x:c r="G822" s="94" t="str">
        <x:v>品牌评测词</x:v>
      </x:c>
      <x:c r="H822" s="94" t="str">
        <x:v>移动端</x:v>
      </x:c>
      <x:c r="I822" s="94" t="str">
        <x:v>CPC</x:v>
      </x:c>
      <x:c r="J822" s="95" t="n">
        <x:v>1479</x:v>
      </x:c>
      <x:c r="K822" s="96" t="n">
        <x:f>IFERROR(L822/J822,0)</x:f>
        <x:v>0.0581473968897904</x:v>
      </x:c>
      <x:c r="L822" s="95" t="n">
        <x:v>86</x:v>
      </x:c>
      <x:c r="M822" s="97" t="n">
        <x:v>0.1814</x:v>
      </x:c>
      <x:c r="N822" s="97" t="n">
        <x:f>ROUND(L822*M822,2)</x:f>
        <x:v>15.6</x:v>
      </x:c>
      <x:c r="O822" s="94" t="n">
        <x:v>7</x:v>
      </x:c>
      <x:c r="P822" s="94" t="str">
        <x:v>模拟：Google/Microsoft Ads采购导入</x:v>
      </x:c>
    </x:row>
    <x:row r="823">
      <x:c r="A823" s="92" t="str">
        <x:v>PROC-0822</x:v>
      </x:c>
      <x:c r="B823" s="93" t="n">
        <x:v>46171</x:v>
      </x:c>
      <x:c r="C823" s="94" t="str">
        <x:v>Google Ads</x:v>
      </x:c>
      <x:c r="D823" s="94" t="str">
        <x:v>德国</x:v>
      </x:c>
      <x:c r="E823" s="94" t="str">
        <x:v>GGL-C15</x:v>
      </x:c>
      <x:c r="F823" s="94" t="str">
        <x:v>通用搜索</x:v>
      </x:c>
      <x:c r="G823" s="94" t="str">
        <x:v>实用礼物</x:v>
      </x:c>
      <x:c r="H823" s="94" t="str">
        <x:v>移动端</x:v>
      </x:c>
      <x:c r="I823" s="94" t="str">
        <x:v>CPC</x:v>
      </x:c>
      <x:c r="J823" s="95" t="n">
        <x:v>1424</x:v>
      </x:c>
      <x:c r="K823" s="96" t="n">
        <x:f>IFERROR(L823/J823,0)</x:f>
        <x:v>0.03932584269662921</x:v>
      </x:c>
      <x:c r="L823" s="95" t="n">
        <x:v>56</x:v>
      </x:c>
      <x:c r="M823" s="97" t="n">
        <x:v>0.2497</x:v>
      </x:c>
      <x:c r="N823" s="97" t="n">
        <x:f>ROUND(L823*M823,2)</x:f>
        <x:v>13.98</x:v>
      </x:c>
      <x:c r="O823" s="94" t="n">
        <x:v>7</x:v>
      </x:c>
      <x:c r="P823" s="94" t="str">
        <x:v>模拟：Google/Microsoft Ads采购导入</x:v>
      </x:c>
    </x:row>
    <x:row r="824">
      <x:c r="A824" s="92" t="str">
        <x:v>PROC-0823</x:v>
      </x:c>
      <x:c r="B824" s="93" t="n">
        <x:v>46171</x:v>
      </x:c>
      <x:c r="C824" s="94" t="str">
        <x:v>Microsoft Ads</x:v>
      </x:c>
      <x:c r="D824" s="94" t="str">
        <x:v>英国</x:v>
      </x:c>
      <x:c r="E824" s="94" t="str">
        <x:v>MSA-C22</x:v>
      </x:c>
      <x:c r="F824" s="94" t="str">
        <x:v>通用搜索</x:v>
      </x:c>
      <x:c r="G824" s="94" t="str">
        <x:v>专业精选</x:v>
      </x:c>
      <x:c r="H824" s="94" t="str">
        <x:v>桌面端</x:v>
      </x:c>
      <x:c r="I824" s="94" t="str">
        <x:v>CPC</x:v>
      </x:c>
      <x:c r="J824" s="95" t="n">
        <x:v>1339</x:v>
      </x:c>
      <x:c r="K824" s="96" t="n">
        <x:f>IFERROR(L824/J824,0)</x:f>
        <x:v>0.041075429424943986</x:v>
      </x:c>
      <x:c r="L824" s="95" t="n">
        <x:v>55</x:v>
      </x:c>
      <x:c r="M824" s="97" t="n">
        <x:v>0.2748</x:v>
      </x:c>
      <x:c r="N824" s="97" t="n">
        <x:f>ROUND(L824*M824,2)</x:f>
        <x:v>15.11</x:v>
      </x:c>
      <x:c r="O824" s="94" t="n">
        <x:v>6</x:v>
      </x:c>
      <x:c r="P824" s="94" t="str">
        <x:v>模拟：Google/Microsoft Ads采购导入</x:v>
      </x:c>
    </x:row>
    <x:row r="825">
      <x:c r="A825" s="92" t="str">
        <x:v>PROC-0824</x:v>
      </x:c>
      <x:c r="B825" s="93" t="n">
        <x:v>46171</x:v>
      </x:c>
      <x:c r="C825" s="94" t="str">
        <x:v>Google Ads</x:v>
      </x:c>
      <x:c r="D825" s="94" t="str">
        <x:v>英国</x:v>
      </x:c>
      <x:c r="E825" s="94" t="str">
        <x:v>GGL-C02</x:v>
      </x:c>
      <x:c r="F825" s="94" t="str">
        <x:v>品牌搜索</x:v>
      </x:c>
      <x:c r="G825" s="94" t="str">
        <x:v>品牌购买词</x:v>
      </x:c>
      <x:c r="H825" s="94" t="str">
        <x:v>移动端</x:v>
      </x:c>
      <x:c r="I825" s="94" t="str">
        <x:v>CPC</x:v>
      </x:c>
      <x:c r="J825" s="95" t="n">
        <x:v>953</x:v>
      </x:c>
      <x:c r="K825" s="96" t="n">
        <x:f>IFERROR(L825/J825,0)</x:f>
        <x:v>0.05981112277019937</x:v>
      </x:c>
      <x:c r="L825" s="95" t="n">
        <x:v>57</x:v>
      </x:c>
      <x:c r="M825" s="97" t="n">
        <x:v>0.2655</x:v>
      </x:c>
      <x:c r="N825" s="97" t="n">
        <x:f>ROUND(L825*M825,2)</x:f>
        <x:v>15.13</x:v>
      </x:c>
      <x:c r="O825" s="94" t="n">
        <x:v>8</x:v>
      </x:c>
      <x:c r="P825" s="94" t="str">
        <x:v>模拟：Google/Microsoft Ads采购导入</x:v>
      </x:c>
    </x:row>
    <x:row r="826">
      <x:c r="A826" s="92" t="str">
        <x:v>PROC-0825</x:v>
      </x:c>
      <x:c r="B826" s="93" t="n">
        <x:v>46172</x:v>
      </x:c>
      <x:c r="C826" s="94" t="str">
        <x:v>Microsoft Ads</x:v>
      </x:c>
      <x:c r="D826" s="94" t="str">
        <x:v>英国</x:v>
      </x:c>
      <x:c r="E826" s="94" t="str">
        <x:v>MSA-C11</x:v>
      </x:c>
      <x:c r="F826" s="94" t="str">
        <x:v>通用搜索</x:v>
      </x:c>
      <x:c r="G826" s="94" t="str">
        <x:v>家庭必备</x:v>
      </x:c>
      <x:c r="H826" s="94" t="str">
        <x:v>桌面端</x:v>
      </x:c>
      <x:c r="I826" s="94" t="str">
        <x:v>CPC</x:v>
      </x:c>
      <x:c r="J826" s="95" t="n">
        <x:v>1248</x:v>
      </x:c>
      <x:c r="K826" s="96" t="n">
        <x:f>IFERROR(L826/J826,0)</x:f>
        <x:v>0.03685897435897436</x:v>
      </x:c>
      <x:c r="L826" s="95" t="n">
        <x:v>46</x:v>
      </x:c>
      <x:c r="M826" s="97" t="n">
        <x:v>0.2392</x:v>
      </x:c>
      <x:c r="N826" s="97" t="n">
        <x:f>ROUND(L826*M826,2)</x:f>
        <x:v>11</x:v>
      </x:c>
      <x:c r="O826" s="94" t="n">
        <x:v>7</x:v>
      </x:c>
      <x:c r="P826" s="94" t="str">
        <x:v>模拟：Google/Microsoft Ads采购导入</x:v>
      </x:c>
    </x:row>
    <x:row r="827">
      <x:c r="A827" s="92" t="str">
        <x:v>PROC-0826</x:v>
      </x:c>
      <x:c r="B827" s="93" t="n">
        <x:v>46172</x:v>
      </x:c>
      <x:c r="C827" s="94" t="str">
        <x:v>Microsoft Ads</x:v>
      </x:c>
      <x:c r="D827" s="94" t="str">
        <x:v>美国</x:v>
      </x:c>
      <x:c r="E827" s="94" t="str">
        <x:v>MSA-C16</x:v>
      </x:c>
      <x:c r="F827" s="94" t="str">
        <x:v>通用搜索</x:v>
      </x:c>
      <x:c r="G827" s="94" t="str">
        <x:v>家庭必备</x:v>
      </x:c>
      <x:c r="H827" s="94" t="str">
        <x:v>移动端</x:v>
      </x:c>
      <x:c r="I827" s="94" t="str">
        <x:v>CPC</x:v>
      </x:c>
      <x:c r="J827" s="95" t="n">
        <x:v>1272</x:v>
      </x:c>
      <x:c r="K827" s="96" t="n">
        <x:f>IFERROR(L827/J827,0)</x:f>
        <x:v>0.03852201257861635</x:v>
      </x:c>
      <x:c r="L827" s="95" t="n">
        <x:v>49</x:v>
      </x:c>
      <x:c r="M827" s="97" t="n">
        <x:v>0.2944</x:v>
      </x:c>
      <x:c r="N827" s="97" t="n">
        <x:f>ROUND(L827*M827,2)</x:f>
        <x:v>14.43</x:v>
      </x:c>
      <x:c r="O827" s="94" t="n">
        <x:v>8</x:v>
      </x:c>
      <x:c r="P827" s="94" t="str">
        <x:v>模拟：Google/Microsoft Ads采购导入</x:v>
      </x:c>
    </x:row>
    <x:row r="828">
      <x:c r="A828" s="92" t="str">
        <x:v>PROC-0827</x:v>
      </x:c>
      <x:c r="B828" s="93" t="n">
        <x:v>46172</x:v>
      </x:c>
      <x:c r="C828" s="94" t="str">
        <x:v>Microsoft Ads</x:v>
      </x:c>
      <x:c r="D828" s="94" t="str">
        <x:v>美国</x:v>
      </x:c>
      <x:c r="E828" s="94" t="str">
        <x:v>MSA-C03</x:v>
      </x:c>
      <x:c r="F828" s="94" t="str">
        <x:v>通用搜索</x:v>
      </x:c>
      <x:c r="G828" s="94" t="str">
        <x:v>高性价比商品</x:v>
      </x:c>
      <x:c r="H828" s="94" t="str">
        <x:v>移动端</x:v>
      </x:c>
      <x:c r="I828" s="94" t="str">
        <x:v>CPC</x:v>
      </x:c>
      <x:c r="J828" s="95" t="n">
        <x:v>989</x:v>
      </x:c>
      <x:c r="K828" s="96" t="n">
        <x:f>IFERROR(L828/J828,0)</x:f>
        <x:v>0.03943377148634985</x:v>
      </x:c>
      <x:c r="L828" s="95" t="n">
        <x:v>39</x:v>
      </x:c>
      <x:c r="M828" s="97" t="n">
        <x:v>0.2389</x:v>
      </x:c>
      <x:c r="N828" s="97" t="n">
        <x:f>ROUND(L828*M828,2)</x:f>
        <x:v>9.32</x:v>
      </x:c>
      <x:c r="O828" s="94" t="n">
        <x:v>8</x:v>
      </x:c>
      <x:c r="P828" s="94" t="str">
        <x:v>模拟：Google/Microsoft Ads采购导入</x:v>
      </x:c>
    </x:row>
    <x:row r="829">
      <x:c r="A829" s="92" t="str">
        <x:v>PROC-0828</x:v>
      </x:c>
      <x:c r="B829" s="93" t="n">
        <x:v>46172</x:v>
      </x:c>
      <x:c r="C829" s="94" t="str">
        <x:v>Microsoft Ads</x:v>
      </x:c>
      <x:c r="D829" s="94" t="str">
        <x:v>美国</x:v>
      </x:c>
      <x:c r="E829" s="94" t="str">
        <x:v>MSA-C08</x:v>
      </x:c>
      <x:c r="F829" s="94" t="str">
        <x:v>通用搜索</x:v>
      </x:c>
      <x:c r="G829" s="94" t="str">
        <x:v>专业精选</x:v>
      </x:c>
      <x:c r="H829" s="94" t="str">
        <x:v>移动端</x:v>
      </x:c>
      <x:c r="I829" s="94" t="str">
        <x:v>CPC</x:v>
      </x:c>
      <x:c r="J829" s="95" t="n">
        <x:v>1351</x:v>
      </x:c>
      <x:c r="K829" s="96" t="n">
        <x:f>IFERROR(L829/J829,0)</x:f>
        <x:v>0.04293116210214656</x:v>
      </x:c>
      <x:c r="L829" s="95" t="n">
        <x:v>58</x:v>
      </x:c>
      <x:c r="M829" s="97" t="n">
        <x:v>0.2281</x:v>
      </x:c>
      <x:c r="N829" s="97" t="n">
        <x:f>ROUND(L829*M829,2)</x:f>
        <x:v>13.23</x:v>
      </x:c>
      <x:c r="O829" s="94" t="n">
        <x:v>6</x:v>
      </x:c>
      <x:c r="P829" s="94" t="str">
        <x:v>模拟：Google/Microsoft Ads采购导入</x:v>
      </x:c>
    </x:row>
    <x:row r="830">
      <x:c r="A830" s="92" t="str">
        <x:v>PROC-0829</x:v>
      </x:c>
      <x:c r="B830" s="93" t="n">
        <x:v>46172</x:v>
      </x:c>
      <x:c r="C830" s="94" t="str">
        <x:v>Google Ads</x:v>
      </x:c>
      <x:c r="D830" s="94" t="str">
        <x:v>德国</x:v>
      </x:c>
      <x:c r="E830" s="94" t="str">
        <x:v>GGL-C15</x:v>
      </x:c>
      <x:c r="F830" s="94" t="str">
        <x:v>通用搜索</x:v>
      </x:c>
      <x:c r="G830" s="94" t="str">
        <x:v>家庭必备</x:v>
      </x:c>
      <x:c r="H830" s="94" t="str">
        <x:v>移动端</x:v>
      </x:c>
      <x:c r="I830" s="94" t="str">
        <x:v>CPC</x:v>
      </x:c>
      <x:c r="J830" s="95" t="n">
        <x:v>1422</x:v>
      </x:c>
      <x:c r="K830" s="96" t="n">
        <x:f>IFERROR(L830/J830,0)</x:f>
        <x:v>0.040787623066104076</x:v>
      </x:c>
      <x:c r="L830" s="95" t="n">
        <x:v>58</x:v>
      </x:c>
      <x:c r="M830" s="97" t="n">
        <x:v>0.2618</x:v>
      </x:c>
      <x:c r="N830" s="97" t="n">
        <x:f>ROUND(L830*M830,2)</x:f>
        <x:v>15.18</x:v>
      </x:c>
      <x:c r="O830" s="94" t="n">
        <x:v>6</x:v>
      </x:c>
      <x:c r="P830" s="94" t="str">
        <x:v>模拟：Google/Microsoft Ads采购导入</x:v>
      </x:c>
    </x:row>
    <x:row r="831">
      <x:c r="A831" s="92" t="str">
        <x:v>PROC-0830</x:v>
      </x:c>
      <x:c r="B831" s="93" t="n">
        <x:v>46173</x:v>
      </x:c>
      <x:c r="C831" s="94" t="str">
        <x:v>Google Ads</x:v>
      </x:c>
      <x:c r="D831" s="94" t="str">
        <x:v>英国</x:v>
      </x:c>
      <x:c r="E831" s="94" t="str">
        <x:v>GGL-C22</x:v>
      </x:c>
      <x:c r="F831" s="94" t="str">
        <x:v>品牌搜索</x:v>
      </x:c>
      <x:c r="G831" s="94" t="str">
        <x:v>品牌配件词</x:v>
      </x:c>
      <x:c r="H831" s="94" t="str">
        <x:v>移动端</x:v>
      </x:c>
      <x:c r="I831" s="94" t="str">
        <x:v>CPC</x:v>
      </x:c>
      <x:c r="J831" s="95" t="n">
        <x:v>1096</x:v>
      </x:c>
      <x:c r="K831" s="96" t="n">
        <x:f>IFERROR(L831/J831,0)</x:f>
        <x:v>0.06295620437956205</x:v>
      </x:c>
      <x:c r="L831" s="95" t="n">
        <x:v>69</x:v>
      </x:c>
      <x:c r="M831" s="97" t="n">
        <x:v>0.2585</x:v>
      </x:c>
      <x:c r="N831" s="97" t="n">
        <x:f>ROUND(L831*M831,2)</x:f>
        <x:v>17.84</x:v>
      </x:c>
      <x:c r="O831" s="94" t="n">
        <x:v>7</x:v>
      </x:c>
      <x:c r="P831" s="94" t="str">
        <x:v>模拟：Google/Microsoft Ads采购导入</x:v>
      </x:c>
    </x:row>
    <x:row r="832">
      <x:c r="A832" s="92" t="str">
        <x:v>PROC-0831</x:v>
      </x:c>
      <x:c r="B832" s="93" t="n">
        <x:v>46173</x:v>
      </x:c>
      <x:c r="C832" s="94" t="str">
        <x:v>Google Ads</x:v>
      </x:c>
      <x:c r="D832" s="94" t="str">
        <x:v>日本</x:v>
      </x:c>
      <x:c r="E832" s="94" t="str">
        <x:v>GGL-C07</x:v>
      </x:c>
      <x:c r="F832" s="94" t="str">
        <x:v>通用搜索</x:v>
      </x:c>
      <x:c r="G832" s="94" t="str">
        <x:v>实用礼物</x:v>
      </x:c>
      <x:c r="H832" s="94" t="str">
        <x:v>移动端</x:v>
      </x:c>
      <x:c r="I832" s="94" t="str">
        <x:v>CPC</x:v>
      </x:c>
      <x:c r="J832" s="95" t="n">
        <x:v>1111</x:v>
      </x:c>
      <x:c r="K832" s="96" t="n">
        <x:f>IFERROR(L832/J832,0)</x:f>
        <x:v>0.0369036903690369</x:v>
      </x:c>
      <x:c r="L832" s="95" t="n">
        <x:v>41</x:v>
      </x:c>
      <x:c r="M832" s="97" t="n">
        <x:v>0.2872</x:v>
      </x:c>
      <x:c r="N832" s="97" t="n">
        <x:f>ROUND(L832*M832,2)</x:f>
        <x:v>11.78</x:v>
      </x:c>
      <x:c r="O832" s="94" t="n">
        <x:v>8</x:v>
      </x:c>
      <x:c r="P832" s="94" t="str">
        <x:v>模拟：Google/Microsoft Ads采购导入</x:v>
      </x:c>
    </x:row>
    <x:row r="833">
      <x:c r="A833" s="92" t="str">
        <x:v>PROC-0832</x:v>
      </x:c>
      <x:c r="B833" s="93" t="n">
        <x:v>46173</x:v>
      </x:c>
      <x:c r="C833" s="94" t="str">
        <x:v>Google Ads</x:v>
      </x:c>
      <x:c r="D833" s="94" t="str">
        <x:v>德国</x:v>
      </x:c>
      <x:c r="E833" s="94" t="str">
        <x:v>GGL-C12</x:v>
      </x:c>
      <x:c r="F833" s="94" t="str">
        <x:v>购物广告</x:v>
      </x:c>
      <x:c r="G833" s="94" t="str">
        <x:v>高评分商品</x:v>
      </x:c>
      <x:c r="H833" s="94" t="str">
        <x:v>移动端</x:v>
      </x:c>
      <x:c r="I833" s="94" t="str">
        <x:v>CPC</x:v>
      </x:c>
      <x:c r="J833" s="95" t="n">
        <x:v>1268</x:v>
      </x:c>
      <x:c r="K833" s="96" t="n">
        <x:f>IFERROR(L833/J833,0)</x:f>
        <x:v>0.03548895899053628</x:v>
      </x:c>
      <x:c r="L833" s="95" t="n">
        <x:v>45</x:v>
      </x:c>
      <x:c r="M833" s="97" t="n">
        <x:v>0.3015</x:v>
      </x:c>
      <x:c r="N833" s="97" t="n">
        <x:f>ROUND(L833*M833,2)</x:f>
        <x:v>13.57</x:v>
      </x:c>
      <x:c r="O833" s="94" t="n">
        <x:v>6</x:v>
      </x:c>
      <x:c r="P833" s="94" t="str">
        <x:v>模拟：Google/Microsoft Ads采购导入</x:v>
      </x:c>
    </x:row>
    <x:row r="834">
      <x:c r="A834" s="92" t="str">
        <x:v>PROC-0833</x:v>
      </x:c>
      <x:c r="B834" s="93" t="n">
        <x:v>46173</x:v>
      </x:c>
      <x:c r="C834" s="94" t="str">
        <x:v>Google Ads</x:v>
      </x:c>
      <x:c r="D834" s="94" t="str">
        <x:v>美国</x:v>
      </x:c>
      <x:c r="E834" s="94" t="str">
        <x:v>GGL-C19</x:v>
      </x:c>
      <x:c r="F834" s="94" t="str">
        <x:v>通用搜索</x:v>
      </x:c>
      <x:c r="G834" s="94" t="str">
        <x:v>实用礼物</x:v>
      </x:c>
      <x:c r="H834" s="94" t="str">
        <x:v>移动端</x:v>
      </x:c>
      <x:c r="I834" s="94" t="str">
        <x:v>CPC</x:v>
      </x:c>
      <x:c r="J834" s="95" t="n">
        <x:v>732</x:v>
      </x:c>
      <x:c r="K834" s="96" t="n">
        <x:f>IFERROR(L834/J834,0)</x:f>
        <x:v>0.03961748633879782</x:v>
      </x:c>
      <x:c r="L834" s="95" t="n">
        <x:v>29</x:v>
      </x:c>
      <x:c r="M834" s="97" t="n">
        <x:v>0.3064</x:v>
      </x:c>
      <x:c r="N834" s="97" t="n">
        <x:f>ROUND(L834*M834,2)</x:f>
        <x:v>8.89</x:v>
      </x:c>
      <x:c r="O834" s="94" t="n">
        <x:v>9</x:v>
      </x:c>
      <x:c r="P834" s="94" t="str">
        <x:v>模拟：Google/Microsoft Ads采购导入</x:v>
      </x:c>
    </x:row>
    <x:row r="835">
      <x:c r="A835" s="92" t="str">
        <x:v>PROC-0834</x:v>
      </x:c>
      <x:c r="B835" s="93" t="n">
        <x:v>46173</x:v>
      </x:c>
      <x:c r="C835" s="94" t="str">
        <x:v>Google Ads</x:v>
      </x:c>
      <x:c r="D835" s="94" t="str">
        <x:v>日本</x:v>
      </x:c>
      <x:c r="E835" s="94" t="str">
        <x:v>GGL-C02</x:v>
      </x:c>
      <x:c r="F835" s="94" t="str">
        <x:v>通用搜索</x:v>
      </x:c>
      <x:c r="G835" s="94" t="str">
        <x:v>热门新品</x:v>
      </x:c>
      <x:c r="H835" s="94" t="str">
        <x:v>移动端</x:v>
      </x:c>
      <x:c r="I835" s="94" t="str">
        <x:v>CPC</x:v>
      </x:c>
      <x:c r="J835" s="95" t="n">
        <x:v>1425</x:v>
      </x:c>
      <x:c r="K835" s="96" t="n">
        <x:f>IFERROR(L835/J835,0)</x:f>
        <x:v>0.028070175438596492</x:v>
      </x:c>
      <x:c r="L835" s="95" t="n">
        <x:v>40</x:v>
      </x:c>
      <x:c r="M835" s="97" t="n">
        <x:v>0.2344</x:v>
      </x:c>
      <x:c r="N835" s="97" t="n">
        <x:f>ROUND(L835*M835,2)</x:f>
        <x:v>9.38</x:v>
      </x:c>
      <x:c r="O835" s="94" t="n">
        <x:v>7</x:v>
      </x:c>
      <x:c r="P835" s="94" t="str">
        <x:v>模拟：Google/Microsoft Ads采购导入</x:v>
      </x:c>
    </x:row>
    <x:row r="836">
      <x:c r="A836" s="92" t="str">
        <x:v>PROC-0835</x:v>
      </x:c>
      <x:c r="B836" s="93" t="n">
        <x:v>46173</x:v>
      </x:c>
      <x:c r="C836" s="94" t="str">
        <x:v>Google Ads</x:v>
      </x:c>
      <x:c r="D836" s="94" t="str">
        <x:v>日本</x:v>
      </x:c>
      <x:c r="E836" s="94" t="str">
        <x:v>GGL-C11</x:v>
      </x:c>
      <x:c r="F836" s="94" t="str">
        <x:v>品牌搜索</x:v>
      </x:c>
      <x:c r="G836" s="94" t="str">
        <x:v>品牌配件词</x:v>
      </x:c>
      <x:c r="H836" s="94" t="str">
        <x:v>桌面端</x:v>
      </x:c>
      <x:c r="I836" s="94" t="str">
        <x:v>CPC</x:v>
      </x:c>
      <x:c r="J836" s="95" t="n">
        <x:v>1007</x:v>
      </x:c>
      <x:c r="K836" s="96" t="n">
        <x:f>IFERROR(L836/J836,0)</x:f>
        <x:v>0.044687189672293945</x:v>
      </x:c>
      <x:c r="L836" s="95" t="n">
        <x:v>45</x:v>
      </x:c>
      <x:c r="M836" s="97" t="n">
        <x:v>0.1646</x:v>
      </x:c>
      <x:c r="N836" s="97" t="n">
        <x:f>ROUND(L836*M836,2)</x:f>
        <x:v>7.41</x:v>
      </x:c>
      <x:c r="O836" s="94" t="n">
        <x:v>9</x:v>
      </x:c>
      <x:c r="P836" s="94" t="str">
        <x:v>模拟：Google/Microsoft Ads采购导入</x:v>
      </x:c>
    </x:row>
    <x:row r="837">
      <x:c r="A837" s="92" t="str">
        <x:v>PROC-0836</x:v>
      </x:c>
      <x:c r="B837" s="93" t="n">
        <x:v>46174</x:v>
      </x:c>
      <x:c r="C837" s="94" t="str">
        <x:v>Google Ads</x:v>
      </x:c>
      <x:c r="D837" s="94" t="str">
        <x:v>日本</x:v>
      </x:c>
      <x:c r="E837" s="94" t="str">
        <x:v>GGL-C16</x:v>
      </x:c>
      <x:c r="F837" s="94" t="str">
        <x:v>购物广告</x:v>
      </x:c>
      <x:c r="G837" s="94" t="str">
        <x:v>快速配送</x:v>
      </x:c>
      <x:c r="H837" s="94" t="str">
        <x:v>移动端</x:v>
      </x:c>
      <x:c r="I837" s="94" t="str">
        <x:v>CPC</x:v>
      </x:c>
      <x:c r="J837" s="95" t="n">
        <x:v>1470</x:v>
      </x:c>
      <x:c r="K837" s="96" t="n">
        <x:f>IFERROR(L837/J837,0)</x:f>
        <x:v>0.04421768707482993</x:v>
      </x:c>
      <x:c r="L837" s="95" t="n">
        <x:v>65</x:v>
      </x:c>
      <x:c r="M837" s="97" t="n">
        <x:v>0.2993</x:v>
      </x:c>
      <x:c r="N837" s="97" t="n">
        <x:f>ROUND(L837*M837,2)</x:f>
        <x:v>19.45</x:v>
      </x:c>
      <x:c r="O837" s="94" t="n">
        <x:v>7</x:v>
      </x:c>
      <x:c r="P837" s="94" t="str">
        <x:v>模拟：Google/Microsoft Ads采购导入</x:v>
      </x:c>
    </x:row>
    <x:row r="838">
      <x:c r="A838" s="92" t="str">
        <x:v>PROC-0837</x:v>
      </x:c>
      <x:c r="B838" s="93" t="n">
        <x:v>46174</x:v>
      </x:c>
      <x:c r="C838" s="94" t="str">
        <x:v>Google Ads</x:v>
      </x:c>
      <x:c r="D838" s="94" t="str">
        <x:v>美国</x:v>
      </x:c>
      <x:c r="E838" s="94" t="str">
        <x:v>GGL-C21</x:v>
      </x:c>
      <x:c r="F838" s="94" t="str">
        <x:v>购物广告</x:v>
      </x:c>
      <x:c r="G838" s="94" t="str">
        <x:v>价格比较</x:v>
      </x:c>
      <x:c r="H838" s="94" t="str">
        <x:v>平板</x:v>
      </x:c>
      <x:c r="I838" s="94" t="str">
        <x:v>CPC</x:v>
      </x:c>
      <x:c r="J838" s="95" t="n">
        <x:v>1174</x:v>
      </x:c>
      <x:c r="K838" s="96" t="n">
        <x:f>IFERROR(L838/J838,0)</x:f>
        <x:v>0.051959114139693355</x:v>
      </x:c>
      <x:c r="L838" s="95" t="n">
        <x:v>61</x:v>
      </x:c>
      <x:c r="M838" s="97" t="n">
        <x:v>0.3908</x:v>
      </x:c>
      <x:c r="N838" s="97" t="n">
        <x:f>ROUND(L838*M838,2)</x:f>
        <x:v>23.84</x:v>
      </x:c>
      <x:c r="O838" s="94" t="n">
        <x:v>8</x:v>
      </x:c>
      <x:c r="P838" s="94" t="str">
        <x:v>模拟：Google/Microsoft Ads采购导入</x:v>
      </x:c>
    </x:row>
    <x:row r="839">
      <x:c r="A839" s="92" t="str">
        <x:v>PROC-0838</x:v>
      </x:c>
      <x:c r="B839" s="93" t="n">
        <x:v>46174</x:v>
      </x:c>
      <x:c r="C839" s="94" t="str">
        <x:v>Google Ads</x:v>
      </x:c>
      <x:c r="D839" s="94" t="str">
        <x:v>英国</x:v>
      </x:c>
      <x:c r="E839" s="94" t="str">
        <x:v>GGL-C04</x:v>
      </x:c>
      <x:c r="F839" s="94" t="str">
        <x:v>通用搜索</x:v>
      </x:c>
      <x:c r="G839" s="94" t="str">
        <x:v>热门新品</x:v>
      </x:c>
      <x:c r="H839" s="94" t="str">
        <x:v>桌面端</x:v>
      </x:c>
      <x:c r="I839" s="94" t="str">
        <x:v>CPC</x:v>
      </x:c>
      <x:c r="J839" s="95" t="n">
        <x:v>1288</x:v>
      </x:c>
      <x:c r="K839" s="96" t="n">
        <x:f>IFERROR(L839/J839,0)</x:f>
        <x:v>0.031055900621118012</x:v>
      </x:c>
      <x:c r="L839" s="95" t="n">
        <x:v>40</x:v>
      </x:c>
      <x:c r="M839" s="97" t="n">
        <x:v>0.3035</x:v>
      </x:c>
      <x:c r="N839" s="97" t="n">
        <x:f>ROUND(L839*M839,2)</x:f>
        <x:v>12.14</x:v>
      </x:c>
      <x:c r="O839" s="94" t="n">
        <x:v>7</x:v>
      </x:c>
      <x:c r="P839" s="94" t="str">
        <x:v>模拟：Google/Microsoft Ads采购导入</x:v>
      </x:c>
    </x:row>
    <x:row r="840">
      <x:c r="A840" s="92" t="str">
        <x:v>PROC-0839</x:v>
      </x:c>
      <x:c r="B840" s="93" t="n">
        <x:v>46174</x:v>
      </x:c>
      <x:c r="C840" s="94" t="str">
        <x:v>Google Ads</x:v>
      </x:c>
      <x:c r="D840" s="94" t="str">
        <x:v>美国</x:v>
      </x:c>
      <x:c r="E840" s="94" t="str">
        <x:v>GGL-C11</x:v>
      </x:c>
      <x:c r="F840" s="94" t="str">
        <x:v>通用搜索</x:v>
      </x:c>
      <x:c r="G840" s="94" t="str">
        <x:v>实用礼物</x:v>
      </x:c>
      <x:c r="H840" s="94" t="str">
        <x:v>桌面端</x:v>
      </x:c>
      <x:c r="I840" s="94" t="str">
        <x:v>CPC</x:v>
      </x:c>
      <x:c r="J840" s="95" t="n">
        <x:v>1050</x:v>
      </x:c>
      <x:c r="K840" s="96" t="n">
        <x:f>IFERROR(L840/J840,0)</x:f>
        <x:v>0.0419047619047619</x:v>
      </x:c>
      <x:c r="L840" s="95" t="n">
        <x:v>44</x:v>
      </x:c>
      <x:c r="M840" s="97" t="n">
        <x:v>0.2798</x:v>
      </x:c>
      <x:c r="N840" s="97" t="n">
        <x:f>ROUND(L840*M840,2)</x:f>
        <x:v>12.31</x:v>
      </x:c>
      <x:c r="O840" s="94" t="n">
        <x:v>6</x:v>
      </x:c>
      <x:c r="P840" s="94" t="str">
        <x:v>模拟：Google/Microsoft Ads采购导入</x:v>
      </x:c>
    </x:row>
    <x:row r="841">
      <x:c r="A841" s="92" t="str">
        <x:v>PROC-0840</x:v>
      </x:c>
      <x:c r="B841" s="93" t="n">
        <x:v>46174</x:v>
      </x:c>
      <x:c r="C841" s="94" t="str">
        <x:v>Google Ads</x:v>
      </x:c>
      <x:c r="D841" s="94" t="str">
        <x:v>美国</x:v>
      </x:c>
      <x:c r="E841" s="94" t="str">
        <x:v>GGL-C19</x:v>
      </x:c>
      <x:c r="F841" s="94" t="str">
        <x:v>购物广告</x:v>
      </x:c>
      <x:c r="G841" s="94" t="str">
        <x:v>畅销商品</x:v>
      </x:c>
      <x:c r="H841" s="94" t="str">
        <x:v>移动端</x:v>
      </x:c>
      <x:c r="I841" s="94" t="str">
        <x:v>CPC</x:v>
      </x:c>
      <x:c r="J841" s="95" t="n">
        <x:v>1262</x:v>
      </x:c>
      <x:c r="K841" s="96" t="n">
        <x:f>IFERROR(L841/J841,0)</x:f>
        <x:v>0.04120443740095087</x:v>
      </x:c>
      <x:c r="L841" s="95" t="n">
        <x:v>52</x:v>
      </x:c>
      <x:c r="M841" s="97" t="n">
        <x:v>0.3952</x:v>
      </x:c>
      <x:c r="N841" s="97" t="n">
        <x:f>ROUND(L841*M841,2)</x:f>
        <x:v>20.55</x:v>
      </x:c>
      <x:c r="O841" s="94" t="n">
        <x:v>6</x:v>
      </x:c>
      <x:c r="P841" s="94" t="str">
        <x:v>模拟：Google/Microsoft Ads采购导入</x:v>
      </x:c>
    </x:row>
    <x:row r="842">
      <x:c r="A842" s="92" t="str">
        <x:v>PROC-0841</x:v>
      </x:c>
      <x:c r="B842" s="93" t="n">
        <x:v>46175</x:v>
      </x:c>
      <x:c r="C842" s="94" t="str">
        <x:v>Microsoft Ads</x:v>
      </x:c>
      <x:c r="D842" s="94" t="str">
        <x:v>德国</x:v>
      </x:c>
      <x:c r="E842" s="94" t="str">
        <x:v>MSA-C02</x:v>
      </x:c>
      <x:c r="F842" s="94" t="str">
        <x:v>品牌搜索</x:v>
      </x:c>
      <x:c r="G842" s="94" t="str">
        <x:v>品牌配件词</x:v>
      </x:c>
      <x:c r="H842" s="94" t="str">
        <x:v>桌面端</x:v>
      </x:c>
      <x:c r="I842" s="94" t="str">
        <x:v>CPC</x:v>
      </x:c>
      <x:c r="J842" s="95" t="n">
        <x:v>664</x:v>
      </x:c>
      <x:c r="K842" s="96" t="n">
        <x:f>IFERROR(L842/J842,0)</x:f>
        <x:v>0.058734939759036146</x:v>
      </x:c>
      <x:c r="L842" s="95" t="n">
        <x:v>39</x:v>
      </x:c>
      <x:c r="M842" s="97" t="n">
        <x:v>0.1388</x:v>
      </x:c>
      <x:c r="N842" s="97" t="n">
        <x:f>ROUND(L842*M842,2)</x:f>
        <x:v>5.41</x:v>
      </x:c>
      <x:c r="O842" s="94" t="n">
        <x:v>9</x:v>
      </x:c>
      <x:c r="P842" s="94" t="str">
        <x:v>模拟：Google/Microsoft Ads采购导入</x:v>
      </x:c>
    </x:row>
    <x:row r="843">
      <x:c r="A843" s="92" t="str">
        <x:v>PROC-0842</x:v>
      </x:c>
      <x:c r="B843" s="93" t="n">
        <x:v>46175</x:v>
      </x:c>
      <x:c r="C843" s="94" t="str">
        <x:v>Google Ads</x:v>
      </x:c>
      <x:c r="D843" s="94" t="str">
        <x:v>日本</x:v>
      </x:c>
      <x:c r="E843" s="94" t="str">
        <x:v>GGL-C10</x:v>
      </x:c>
      <x:c r="F843" s="94" t="str">
        <x:v>品牌搜索</x:v>
      </x:c>
      <x:c r="G843" s="94" t="str">
        <x:v>品牌配件词</x:v>
      </x:c>
      <x:c r="H843" s="94" t="str">
        <x:v>移动端</x:v>
      </x:c>
      <x:c r="I843" s="94" t="str">
        <x:v>CPC</x:v>
      </x:c>
      <x:c r="J843" s="95" t="n">
        <x:v>1425</x:v>
      </x:c>
      <x:c r="K843" s="96" t="n">
        <x:f>IFERROR(L843/J843,0)</x:f>
        <x:v>0.05052631578947368</x:v>
      </x:c>
      <x:c r="L843" s="95" t="n">
        <x:v>72</x:v>
      </x:c>
      <x:c r="M843" s="97" t="n">
        <x:v>0.2246</x:v>
      </x:c>
      <x:c r="N843" s="97" t="n">
        <x:f>ROUND(L843*M843,2)</x:f>
        <x:v>16.17</x:v>
      </x:c>
      <x:c r="O843" s="94" t="n">
        <x:v>8</x:v>
      </x:c>
      <x:c r="P843" s="94" t="str">
        <x:v>模拟：Google/Microsoft Ads采购导入</x:v>
      </x:c>
    </x:row>
    <x:row r="844">
      <x:c r="A844" s="92" t="str">
        <x:v>PROC-0843</x:v>
      </x:c>
      <x:c r="B844" s="93" t="n">
        <x:v>46175</x:v>
      </x:c>
      <x:c r="C844" s="94" t="str">
        <x:v>Google Ads</x:v>
      </x:c>
      <x:c r="D844" s="94" t="str">
        <x:v>德国</x:v>
      </x:c>
      <x:c r="E844" s="94" t="str">
        <x:v>GGL-C15</x:v>
      </x:c>
      <x:c r="F844" s="94" t="str">
        <x:v>通用搜索</x:v>
      </x:c>
      <x:c r="G844" s="94" t="str">
        <x:v>实用礼物</x:v>
      </x:c>
      <x:c r="H844" s="94" t="str">
        <x:v>移动端</x:v>
      </x:c>
      <x:c r="I844" s="94" t="str">
        <x:v>CPC</x:v>
      </x:c>
      <x:c r="J844" s="95" t="n">
        <x:v>1317</x:v>
      </x:c>
      <x:c r="K844" s="96" t="n">
        <x:f>IFERROR(L844/J844,0)</x:f>
        <x:v>0.03568716780561883</x:v>
      </x:c>
      <x:c r="L844" s="95" t="n">
        <x:v>47</x:v>
      </x:c>
      <x:c r="M844" s="97" t="n">
        <x:v>0.2444</x:v>
      </x:c>
      <x:c r="N844" s="97" t="n">
        <x:f>ROUND(L844*M844,2)</x:f>
        <x:v>11.49</x:v>
      </x:c>
      <x:c r="O844" s="94" t="n">
        <x:v>9</x:v>
      </x:c>
      <x:c r="P844" s="94" t="str">
        <x:v>模拟：Google/Microsoft Ads采购导入</x:v>
      </x:c>
    </x:row>
    <x:row r="845">
      <x:c r="A845" s="92" t="str">
        <x:v>PROC-0844</x:v>
      </x:c>
      <x:c r="B845" s="93" t="n">
        <x:v>46175</x:v>
      </x:c>
      <x:c r="C845" s="94" t="str">
        <x:v>Google Ads</x:v>
      </x:c>
      <x:c r="D845" s="94" t="str">
        <x:v>英国</x:v>
      </x:c>
      <x:c r="E845" s="94" t="str">
        <x:v>GGL-C23</x:v>
      </x:c>
      <x:c r="F845" s="94" t="str">
        <x:v>通用搜索</x:v>
      </x:c>
      <x:c r="G845" s="94" t="str">
        <x:v>热门新品</x:v>
      </x:c>
      <x:c r="H845" s="94" t="str">
        <x:v>桌面端</x:v>
      </x:c>
      <x:c r="I845" s="94" t="str">
        <x:v>CPC</x:v>
      </x:c>
      <x:c r="J845" s="95" t="n">
        <x:v>791</x:v>
      </x:c>
      <x:c r="K845" s="96" t="n">
        <x:f>IFERROR(L845/J845,0)</x:f>
        <x:v>0.039190897597977246</x:v>
      </x:c>
      <x:c r="L845" s="95" t="n">
        <x:v>31</x:v>
      </x:c>
      <x:c r="M845" s="97" t="n">
        <x:v>0.3504</x:v>
      </x:c>
      <x:c r="N845" s="97" t="n">
        <x:f>ROUND(L845*M845,2)</x:f>
        <x:v>10.86</x:v>
      </x:c>
      <x:c r="O845" s="94" t="n">
        <x:v>7</x:v>
      </x:c>
      <x:c r="P845" s="94" t="str">
        <x:v>模拟：Google/Microsoft Ads采购导入</x:v>
      </x:c>
    </x:row>
    <x:row r="846">
      <x:c r="A846" s="92" t="str">
        <x:v>PROC-0845</x:v>
      </x:c>
      <x:c r="B846" s="93" t="n">
        <x:v>46175</x:v>
      </x:c>
      <x:c r="C846" s="94" t="str">
        <x:v>Google Ads</x:v>
      </x:c>
      <x:c r="D846" s="94" t="str">
        <x:v>日本</x:v>
      </x:c>
      <x:c r="E846" s="94" t="str">
        <x:v>GGL-C08</x:v>
      </x:c>
      <x:c r="F846" s="94" t="str">
        <x:v>竞品搜索</x:v>
      </x:c>
      <x:c r="G846" s="94" t="str">
        <x:v>价格替代</x:v>
      </x:c>
      <x:c r="H846" s="94" t="str">
        <x:v>移动端</x:v>
      </x:c>
      <x:c r="I846" s="94" t="str">
        <x:v>CPC</x:v>
      </x:c>
      <x:c r="J846" s="95" t="n">
        <x:v>709</x:v>
      </x:c>
      <x:c r="K846" s="96" t="n">
        <x:f>IFERROR(L846/J846,0)</x:f>
        <x:v>0.029619181946403384</x:v>
      </x:c>
      <x:c r="L846" s="95" t="n">
        <x:v>21</x:v>
      </x:c>
      <x:c r="M846" s="97" t="n">
        <x:v>0.3137</x:v>
      </x:c>
      <x:c r="N846" s="97" t="n">
        <x:f>ROUND(L846*M846,2)</x:f>
        <x:v>6.59</x:v>
      </x:c>
      <x:c r="O846" s="94" t="n">
        <x:v>6</x:v>
      </x:c>
      <x:c r="P846" s="94" t="str">
        <x:v>模拟：Google/Microsoft Ads采购导入</x:v>
      </x:c>
    </x:row>
    <x:row r="847">
      <x:c r="A847" s="92" t="str">
        <x:v>PROC-0846</x:v>
      </x:c>
      <x:c r="B847" s="93" t="n">
        <x:v>46175</x:v>
      </x:c>
      <x:c r="C847" s="94" t="str">
        <x:v>Google Ads</x:v>
      </x:c>
      <x:c r="D847" s="94" t="str">
        <x:v>美国</x:v>
      </x:c>
      <x:c r="E847" s="94" t="str">
        <x:v>GGL-C15</x:v>
      </x:c>
      <x:c r="F847" s="94" t="str">
        <x:v>购物广告</x:v>
      </x:c>
      <x:c r="G847" s="94" t="str">
        <x:v>高评分商品</x:v>
      </x:c>
      <x:c r="H847" s="94" t="str">
        <x:v>桌面端</x:v>
      </x:c>
      <x:c r="I847" s="94" t="str">
        <x:v>CPC</x:v>
      </x:c>
      <x:c r="J847" s="95" t="n">
        <x:v>1629</x:v>
      </x:c>
      <x:c r="K847" s="96" t="n">
        <x:f>IFERROR(L847/J847,0)</x:f>
        <x:v>0.042971147943523635</x:v>
      </x:c>
      <x:c r="L847" s="95" t="n">
        <x:v>70</x:v>
      </x:c>
      <x:c r="M847" s="97" t="n">
        <x:v>0.4233</x:v>
      </x:c>
      <x:c r="N847" s="97" t="n">
        <x:f>ROUND(L847*M847,2)</x:f>
        <x:v>29.63</x:v>
      </x:c>
      <x:c r="O847" s="94" t="n">
        <x:v>7</x:v>
      </x:c>
      <x:c r="P847" s="94" t="str">
        <x:v>模拟：Google/Microsoft Ads采购导入</x:v>
      </x:c>
    </x:row>
    <x:row r="848">
      <x:c r="A848" s="92" t="str">
        <x:v>PROC-0847</x:v>
      </x:c>
      <x:c r="B848" s="93" t="n">
        <x:v>46176</x:v>
      </x:c>
      <x:c r="C848" s="94" t="str">
        <x:v>Google Ads</x:v>
      </x:c>
      <x:c r="D848" s="94" t="str">
        <x:v>美国</x:v>
      </x:c>
      <x:c r="E848" s="94" t="str">
        <x:v>GGL-C20</x:v>
      </x:c>
      <x:c r="F848" s="94" t="str">
        <x:v>通用搜索</x:v>
      </x:c>
      <x:c r="G848" s="94" t="str">
        <x:v>实用礼物</x:v>
      </x:c>
      <x:c r="H848" s="94" t="str">
        <x:v>桌面端</x:v>
      </x:c>
      <x:c r="I848" s="94" t="str">
        <x:v>CPC</x:v>
      </x:c>
      <x:c r="J848" s="95" t="n">
        <x:v>1241</x:v>
      </x:c>
      <x:c r="K848" s="96" t="n">
        <x:f>IFERROR(L848/J848,0)</x:f>
        <x:v>0.032232070910556</x:v>
      </x:c>
      <x:c r="L848" s="95" t="n">
        <x:v>40</x:v>
      </x:c>
      <x:c r="M848" s="97" t="n">
        <x:v>0.3188</x:v>
      </x:c>
      <x:c r="N848" s="97" t="n">
        <x:f>ROUND(L848*M848,2)</x:f>
        <x:v>12.75</x:v>
      </x:c>
      <x:c r="O848" s="94" t="n">
        <x:v>6</x:v>
      </x:c>
      <x:c r="P848" s="94" t="str">
        <x:v>模拟：Google/Microsoft Ads采购导入</x:v>
      </x:c>
    </x:row>
    <x:row r="849">
      <x:c r="A849" s="92" t="str">
        <x:v>PROC-0848</x:v>
      </x:c>
      <x:c r="B849" s="93" t="n">
        <x:v>46176</x:v>
      </x:c>
      <x:c r="C849" s="94" t="str">
        <x:v>Microsoft Ads</x:v>
      </x:c>
      <x:c r="D849" s="94" t="str">
        <x:v>日本</x:v>
      </x:c>
      <x:c r="E849" s="94" t="str">
        <x:v>MSA-C04</x:v>
      </x:c>
      <x:c r="F849" s="94" t="str">
        <x:v>购物广告</x:v>
      </x:c>
      <x:c r="G849" s="94" t="str">
        <x:v>快速配送</x:v>
      </x:c>
      <x:c r="H849" s="94" t="str">
        <x:v>移动端</x:v>
      </x:c>
      <x:c r="I849" s="94" t="str">
        <x:v>CPC</x:v>
      </x:c>
      <x:c r="J849" s="95" t="n">
        <x:v>874</x:v>
      </x:c>
      <x:c r="K849" s="96" t="n">
        <x:f>IFERROR(L849/J849,0)</x:f>
        <x:v>0.04919908466819222</x:v>
      </x:c>
      <x:c r="L849" s="95" t="n">
        <x:v>43</x:v>
      </x:c>
      <x:c r="M849" s="97" t="n">
        <x:v>0.2185</x:v>
      </x:c>
      <x:c r="N849" s="97" t="n">
        <x:f>ROUND(L849*M849,2)</x:f>
        <x:v>9.4</x:v>
      </x:c>
      <x:c r="O849" s="94" t="n">
        <x:v>6</x:v>
      </x:c>
      <x:c r="P849" s="94" t="str">
        <x:v>模拟：Google/Microsoft Ads采购导入</x:v>
      </x:c>
    </x:row>
    <x:row r="850">
      <x:c r="A850" s="92" t="str">
        <x:v>PROC-0849</x:v>
      </x:c>
      <x:c r="B850" s="93" t="n">
        <x:v>46176</x:v>
      </x:c>
      <x:c r="C850" s="94" t="str">
        <x:v>Google Ads</x:v>
      </x:c>
      <x:c r="D850" s="94" t="str">
        <x:v>日本</x:v>
      </x:c>
      <x:c r="E850" s="94" t="str">
        <x:v>GGL-C12</x:v>
      </x:c>
      <x:c r="F850" s="94" t="str">
        <x:v>竞品搜索</x:v>
      </x:c>
      <x:c r="G850" s="94" t="str">
        <x:v>替代品比较</x:v>
      </x:c>
      <x:c r="H850" s="94" t="str">
        <x:v>移动端</x:v>
      </x:c>
      <x:c r="I850" s="94" t="str">
        <x:v>CPC</x:v>
      </x:c>
      <x:c r="J850" s="95" t="n">
        <x:v>686</x:v>
      </x:c>
      <x:c r="K850" s="96" t="n">
        <x:f>IFERROR(L850/J850,0)</x:f>
        <x:v>0.03206997084548105</x:v>
      </x:c>
      <x:c r="L850" s="95" t="n">
        <x:v>22</x:v>
      </x:c>
      <x:c r="M850" s="97" t="n">
        <x:v>0.2996</x:v>
      </x:c>
      <x:c r="N850" s="97" t="n">
        <x:f>ROUND(L850*M850,2)</x:f>
        <x:v>6.59</x:v>
      </x:c>
      <x:c r="O850" s="94" t="n">
        <x:v>8</x:v>
      </x:c>
      <x:c r="P850" s="94" t="str">
        <x:v>模拟：Google/Microsoft Ads采购导入</x:v>
      </x:c>
    </x:row>
    <x:row r="851">
      <x:c r="A851" s="92" t="str">
        <x:v>PROC-0850</x:v>
      </x:c>
      <x:c r="B851" s="93" t="n">
        <x:v>46176</x:v>
      </x:c>
      <x:c r="C851" s="94" t="str">
        <x:v>Microsoft Ads</x:v>
      </x:c>
      <x:c r="D851" s="94" t="str">
        <x:v>日本</x:v>
      </x:c>
      <x:c r="E851" s="94" t="str">
        <x:v>MSA-C17</x:v>
      </x:c>
      <x:c r="F851" s="94" t="str">
        <x:v>通用搜索</x:v>
      </x:c>
      <x:c r="G851" s="94" t="str">
        <x:v>实用礼物</x:v>
      </x:c>
      <x:c r="H851" s="94" t="str">
        <x:v>平板</x:v>
      </x:c>
      <x:c r="I851" s="94" t="str">
        <x:v>CPC</x:v>
      </x:c>
      <x:c r="J851" s="95" t="n">
        <x:v>1000</x:v>
      </x:c>
      <x:c r="K851" s="96" t="n">
        <x:f>IFERROR(L851/J851,0)</x:f>
        <x:v>0.035</x:v>
      </x:c>
      <x:c r="L851" s="95" t="n">
        <x:v>35</x:v>
      </x:c>
      <x:c r="M851" s="97" t="n">
        <x:v>0.1755</x:v>
      </x:c>
      <x:c r="N851" s="97" t="n">
        <x:f>ROUND(L851*M851,2)</x:f>
        <x:v>6.14</x:v>
      </x:c>
      <x:c r="O851" s="94" t="n">
        <x:v>7</x:v>
      </x:c>
      <x:c r="P851" s="94" t="str">
        <x:v>模拟：Google/Microsoft Ads采购导入</x:v>
      </x:c>
    </x:row>
    <x:row r="852">
      <x:c r="A852" s="92" t="str">
        <x:v>PROC-0851</x:v>
      </x:c>
      <x:c r="B852" s="93" t="n">
        <x:v>46176</x:v>
      </x:c>
      <x:c r="C852" s="94" t="str">
        <x:v>Microsoft Ads</x:v>
      </x:c>
      <x:c r="D852" s="94" t="str">
        <x:v>美国</x:v>
      </x:c>
      <x:c r="E852" s="94" t="str">
        <x:v>MSA-C24</x:v>
      </x:c>
      <x:c r="F852" s="94" t="str">
        <x:v>通用搜索</x:v>
      </x:c>
      <x:c r="G852" s="94" t="str">
        <x:v>专业精选</x:v>
      </x:c>
      <x:c r="H852" s="94" t="str">
        <x:v>移动端</x:v>
      </x:c>
      <x:c r="I852" s="94" t="str">
        <x:v>CPC</x:v>
      </x:c>
      <x:c r="J852" s="95" t="n">
        <x:v>841</x:v>
      </x:c>
      <x:c r="K852" s="96" t="n">
        <x:f>IFERROR(L852/J852,0)</x:f>
        <x:v>0.039239001189060645</x:v>
      </x:c>
      <x:c r="L852" s="95" t="n">
        <x:v>33</x:v>
      </x:c>
      <x:c r="M852" s="97" t="n">
        <x:v>0.2376</x:v>
      </x:c>
      <x:c r="N852" s="97" t="n">
        <x:f>ROUND(L852*M852,2)</x:f>
        <x:v>7.84</x:v>
      </x:c>
      <x:c r="O852" s="94" t="n">
        <x:v>7</x:v>
      </x:c>
      <x:c r="P852" s="94" t="str">
        <x:v>模拟：Google/Microsoft Ads采购导入</x:v>
      </x:c>
    </x:row>
    <x:row r="853">
      <x:c r="A853" s="92" t="str">
        <x:v>PROC-0852</x:v>
      </x:c>
      <x:c r="B853" s="93" t="n">
        <x:v>46177</x:v>
      </x:c>
      <x:c r="C853" s="94" t="str">
        <x:v>Google Ads</x:v>
      </x:c>
      <x:c r="D853" s="94" t="str">
        <x:v>日本</x:v>
      </x:c>
      <x:c r="E853" s="94" t="str">
        <x:v>GGL-C07</x:v>
      </x:c>
      <x:c r="F853" s="94" t="str">
        <x:v>品牌搜索</x:v>
      </x:c>
      <x:c r="G853" s="94" t="str">
        <x:v>品牌购买词</x:v>
      </x:c>
      <x:c r="H853" s="94" t="str">
        <x:v>移动端</x:v>
      </x:c>
      <x:c r="I853" s="94" t="str">
        <x:v>CPC</x:v>
      </x:c>
      <x:c r="J853" s="95" t="n">
        <x:v>1130</x:v>
      </x:c>
      <x:c r="K853" s="96" t="n">
        <x:f>IFERROR(L853/J853,0)</x:f>
        <x:v>0.05309734513274336</x:v>
      </x:c>
      <x:c r="L853" s="95" t="n">
        <x:v>60</x:v>
      </x:c>
      <x:c r="M853" s="97" t="n">
        <x:v>0.1597</x:v>
      </x:c>
      <x:c r="N853" s="97" t="n">
        <x:f>ROUND(L853*M853,2)</x:f>
        <x:v>9.58</x:v>
      </x:c>
      <x:c r="O853" s="94" t="n">
        <x:v>8</x:v>
      </x:c>
      <x:c r="P853" s="94" t="str">
        <x:v>模拟：Google/Microsoft Ads采购导入</x:v>
      </x:c>
    </x:row>
    <x:row r="854">
      <x:c r="A854" s="92" t="str">
        <x:v>PROC-0853</x:v>
      </x:c>
      <x:c r="B854" s="93" t="n">
        <x:v>46177</x:v>
      </x:c>
      <x:c r="C854" s="94" t="str">
        <x:v>Microsoft Ads</x:v>
      </x:c>
      <x:c r="D854" s="94" t="str">
        <x:v>美国</x:v>
      </x:c>
      <x:c r="E854" s="94" t="str">
        <x:v>MSA-C15</x:v>
      </x:c>
      <x:c r="F854" s="94" t="str">
        <x:v>品牌搜索</x:v>
      </x:c>
      <x:c r="G854" s="94" t="str">
        <x:v>品牌优惠词</x:v>
      </x:c>
      <x:c r="H854" s="94" t="str">
        <x:v>移动端</x:v>
      </x:c>
      <x:c r="I854" s="94" t="str">
        <x:v>CPC</x:v>
      </x:c>
      <x:c r="J854" s="95" t="n">
        <x:v>1148</x:v>
      </x:c>
      <x:c r="K854" s="96" t="n">
        <x:f>IFERROR(L854/J854,0)</x:f>
        <x:v>0.06620209059233449</x:v>
      </x:c>
      <x:c r="L854" s="95" t="n">
        <x:v>76</x:v>
      </x:c>
      <x:c r="M854" s="97" t="n">
        <x:v>0.2039</x:v>
      </x:c>
      <x:c r="N854" s="97" t="n">
        <x:f>ROUND(L854*M854,2)</x:f>
        <x:v>15.5</x:v>
      </x:c>
      <x:c r="O854" s="94" t="n">
        <x:v>8</x:v>
      </x:c>
      <x:c r="P854" s="94" t="str">
        <x:v>模拟：Google/Microsoft Ads采购导入</x:v>
      </x:c>
    </x:row>
    <x:row r="855">
      <x:c r="A855" s="92" t="str">
        <x:v>PROC-0854</x:v>
      </x:c>
      <x:c r="B855" s="93" t="n">
        <x:v>46177</x:v>
      </x:c>
      <x:c r="C855" s="94" t="str">
        <x:v>Microsoft Ads</x:v>
      </x:c>
      <x:c r="D855" s="94" t="str">
        <x:v>英国</x:v>
      </x:c>
      <x:c r="E855" s="94" t="str">
        <x:v>MSA-C20</x:v>
      </x:c>
      <x:c r="F855" s="94" t="str">
        <x:v>品牌搜索</x:v>
      </x:c>
      <x:c r="G855" s="94" t="str">
        <x:v>品牌优惠词</x:v>
      </x:c>
      <x:c r="H855" s="94" t="str">
        <x:v>移动端</x:v>
      </x:c>
      <x:c r="I855" s="94" t="str">
        <x:v>CPC</x:v>
      </x:c>
      <x:c r="J855" s="95" t="n">
        <x:v>1112</x:v>
      </x:c>
      <x:c r="K855" s="96" t="n">
        <x:f>IFERROR(L855/J855,0)</x:f>
        <x:v>0.051258992805755396</x:v>
      </x:c>
      <x:c r="L855" s="95" t="n">
        <x:v>57</x:v>
      </x:c>
      <x:c r="M855" s="97" t="n">
        <x:v>0.1647</x:v>
      </x:c>
      <x:c r="N855" s="97" t="n">
        <x:f>ROUND(L855*M855,2)</x:f>
        <x:v>9.39</x:v>
      </x:c>
      <x:c r="O855" s="94" t="n">
        <x:v>9</x:v>
      </x:c>
      <x:c r="P855" s="94" t="str">
        <x:v>模拟：Google/Microsoft Ads采购导入</x:v>
      </x:c>
    </x:row>
    <x:row r="856">
      <x:c r="A856" s="92" t="str">
        <x:v>PROC-0855</x:v>
      </x:c>
      <x:c r="B856" s="93" t="n">
        <x:v>46177</x:v>
      </x:c>
      <x:c r="C856" s="94" t="str">
        <x:v>Microsoft Ads</x:v>
      </x:c>
      <x:c r="D856" s="94" t="str">
        <x:v>日本</x:v>
      </x:c>
      <x:c r="E856" s="94" t="str">
        <x:v>MSA-C03</x:v>
      </x:c>
      <x:c r="F856" s="94" t="str">
        <x:v>通用搜索</x:v>
      </x:c>
      <x:c r="G856" s="94" t="str">
        <x:v>家庭必备</x:v>
      </x:c>
      <x:c r="H856" s="94" t="str">
        <x:v>移动端</x:v>
      </x:c>
      <x:c r="I856" s="94" t="str">
        <x:v>CPC</x:v>
      </x:c>
      <x:c r="J856" s="95" t="n">
        <x:v>902</x:v>
      </x:c>
      <x:c r="K856" s="96" t="n">
        <x:f>IFERROR(L856/J856,0)</x:f>
        <x:v>0.037694013303769404</x:v>
      </x:c>
      <x:c r="L856" s="95" t="n">
        <x:v>34</x:v>
      </x:c>
      <x:c r="M856" s="97" t="n">
        <x:v>0.2188</x:v>
      </x:c>
      <x:c r="N856" s="97" t="n">
        <x:f>ROUND(L856*M856,2)</x:f>
        <x:v>7.44</x:v>
      </x:c>
      <x:c r="O856" s="94" t="n">
        <x:v>7</x:v>
      </x:c>
      <x:c r="P856" s="94" t="str">
        <x:v>模拟：Google/Microsoft Ads采购导入</x:v>
      </x:c>
    </x:row>
    <x:row r="857">
      <x:c r="A857" s="92" t="str">
        <x:v>PROC-0856</x:v>
      </x:c>
      <x:c r="B857" s="93" t="n">
        <x:v>46177</x:v>
      </x:c>
      <x:c r="C857" s="94" t="str">
        <x:v>Google Ads</x:v>
      </x:c>
      <x:c r="D857" s="94" t="str">
        <x:v>英国</x:v>
      </x:c>
      <x:c r="E857" s="94" t="str">
        <x:v>GGL-C11</x:v>
      </x:c>
      <x:c r="F857" s="94" t="str">
        <x:v>购物广告</x:v>
      </x:c>
      <x:c r="G857" s="94" t="str">
        <x:v>快速配送</x:v>
      </x:c>
      <x:c r="H857" s="94" t="str">
        <x:v>移动端</x:v>
      </x:c>
      <x:c r="I857" s="94" t="str">
        <x:v>CPC</x:v>
      </x:c>
      <x:c r="J857" s="95" t="n">
        <x:v>1439</x:v>
      </x:c>
      <x:c r="K857" s="96" t="n">
        <x:f>IFERROR(L857/J857,0)</x:f>
        <x:v>0.04447533009034051</x:v>
      </x:c>
      <x:c r="L857" s="95" t="n">
        <x:v>64</x:v>
      </x:c>
      <x:c r="M857" s="97" t="n">
        <x:v>0.3009</x:v>
      </x:c>
      <x:c r="N857" s="97" t="n">
        <x:f>ROUND(L857*M857,2)</x:f>
        <x:v>19.26</x:v>
      </x:c>
      <x:c r="O857" s="94" t="n">
        <x:v>6</x:v>
      </x:c>
      <x:c r="P857" s="94" t="str">
        <x:v>模拟：Google/Microsoft Ads采购导入</x:v>
      </x:c>
    </x:row>
    <x:row r="858">
      <x:c r="A858" s="92" t="str">
        <x:v>PROC-0857</x:v>
      </x:c>
      <x:c r="B858" s="93" t="n">
        <x:v>46177</x:v>
      </x:c>
      <x:c r="C858" s="94" t="str">
        <x:v>Microsoft Ads</x:v>
      </x:c>
      <x:c r="D858" s="94" t="str">
        <x:v>日本</x:v>
      </x:c>
      <x:c r="E858" s="94" t="str">
        <x:v>MSA-C20</x:v>
      </x:c>
      <x:c r="F858" s="94" t="str">
        <x:v>通用搜索</x:v>
      </x:c>
      <x:c r="G858" s="94" t="str">
        <x:v>实用礼物</x:v>
      </x:c>
      <x:c r="H858" s="94" t="str">
        <x:v>移动端</x:v>
      </x:c>
      <x:c r="I858" s="94" t="str">
        <x:v>CPC</x:v>
      </x:c>
      <x:c r="J858" s="95" t="n">
        <x:v>881</x:v>
      </x:c>
      <x:c r="K858" s="96" t="n">
        <x:f>IFERROR(L858/J858,0)</x:f>
        <x:v>0.032917139614074914</x:v>
      </x:c>
      <x:c r="L858" s="95" t="n">
        <x:v>29</x:v>
      </x:c>
      <x:c r="M858" s="97" t="n">
        <x:v>0.1814</x:v>
      </x:c>
      <x:c r="N858" s="97" t="n">
        <x:f>ROUND(L858*M858,2)</x:f>
        <x:v>5.26</x:v>
      </x:c>
      <x:c r="O858" s="94" t="n">
        <x:v>6</x:v>
      </x:c>
      <x:c r="P858" s="94" t="str">
        <x:v>模拟：Google/Microsoft Ads采购导入</x:v>
      </x:c>
    </x:row>
    <x:row r="859">
      <x:c r="A859" s="92" t="str">
        <x:v>PROC-0858</x:v>
      </x:c>
      <x:c r="B859" s="93" t="n">
        <x:v>46178</x:v>
      </x:c>
      <x:c r="C859" s="94" t="str">
        <x:v>Microsoft Ads</x:v>
      </x:c>
      <x:c r="D859" s="94" t="str">
        <x:v>美国</x:v>
      </x:c>
      <x:c r="E859" s="94" t="str">
        <x:v>MSA-C03</x:v>
      </x:c>
      <x:c r="F859" s="94" t="str">
        <x:v>品牌搜索</x:v>
      </x:c>
      <x:c r="G859" s="94" t="str">
        <x:v>品牌优惠词</x:v>
      </x:c>
      <x:c r="H859" s="94" t="str">
        <x:v>移动端</x:v>
      </x:c>
      <x:c r="I859" s="94" t="str">
        <x:v>CPC</x:v>
      </x:c>
      <x:c r="J859" s="95" t="n">
        <x:v>1328</x:v>
      </x:c>
      <x:c r="K859" s="96" t="n">
        <x:f>IFERROR(L859/J859,0)</x:f>
        <x:v>0.05572289156626506</x:v>
      </x:c>
      <x:c r="L859" s="95" t="n">
        <x:v>74</x:v>
      </x:c>
      <x:c r="M859" s="97" t="n">
        <x:v>0.1688</x:v>
      </x:c>
      <x:c r="N859" s="97" t="n">
        <x:f>ROUND(L859*M859,2)</x:f>
        <x:v>12.49</x:v>
      </x:c>
      <x:c r="O859" s="94" t="n">
        <x:v>7</x:v>
      </x:c>
      <x:c r="P859" s="94" t="str">
        <x:v>模拟：Google/Microsoft Ads采购导入</x:v>
      </x:c>
    </x:row>
    <x:row r="860">
      <x:c r="A860" s="92" t="str">
        <x:v>PROC-0859</x:v>
      </x:c>
      <x:c r="B860" s="93" t="n">
        <x:v>46178</x:v>
      </x:c>
      <x:c r="C860" s="94" t="str">
        <x:v>Microsoft Ads</x:v>
      </x:c>
      <x:c r="D860" s="94" t="str">
        <x:v>德国</x:v>
      </x:c>
      <x:c r="E860" s="94" t="str">
        <x:v>MSA-C09</x:v>
      </x:c>
      <x:c r="F860" s="94" t="str">
        <x:v>品牌搜索</x:v>
      </x:c>
      <x:c r="G860" s="94" t="str">
        <x:v>品牌型号词</x:v>
      </x:c>
      <x:c r="H860" s="94" t="str">
        <x:v>移动端</x:v>
      </x:c>
      <x:c r="I860" s="94" t="str">
        <x:v>CPC</x:v>
      </x:c>
      <x:c r="J860" s="95" t="n">
        <x:v>970</x:v>
      </x:c>
      <x:c r="K860" s="96" t="n">
        <x:f>IFERROR(L860/J860,0)</x:f>
        <x:v>0.06804123711340206</x:v>
      </x:c>
      <x:c r="L860" s="95" t="n">
        <x:v>66</x:v>
      </x:c>
      <x:c r="M860" s="97" t="n">
        <x:v>0.1483</x:v>
      </x:c>
      <x:c r="N860" s="97" t="n">
        <x:f>ROUND(L860*M860,2)</x:f>
        <x:v>9.79</x:v>
      </x:c>
      <x:c r="O860" s="94" t="n">
        <x:v>7</x:v>
      </x:c>
      <x:c r="P860" s="94" t="str">
        <x:v>模拟：Google/Microsoft Ads采购导入</x:v>
      </x:c>
    </x:row>
    <x:row r="861">
      <x:c r="A861" s="92" t="str">
        <x:v>PROC-0860</x:v>
      </x:c>
      <x:c r="B861" s="93" t="n">
        <x:v>46178</x:v>
      </x:c>
      <x:c r="C861" s="94" t="str">
        <x:v>Microsoft Ads</x:v>
      </x:c>
      <x:c r="D861" s="94" t="str">
        <x:v>美国</x:v>
      </x:c>
      <x:c r="E861" s="94" t="str">
        <x:v>MSA-C14</x:v>
      </x:c>
      <x:c r="F861" s="94" t="str">
        <x:v>购物广告</x:v>
      </x:c>
      <x:c r="G861" s="94" t="str">
        <x:v>高评分商品</x:v>
      </x:c>
      <x:c r="H861" s="94" t="str">
        <x:v>移动端</x:v>
      </x:c>
      <x:c r="I861" s="94" t="str">
        <x:v>CPC</x:v>
      </x:c>
      <x:c r="J861" s="95" t="n">
        <x:v>1046</x:v>
      </x:c>
      <x:c r="K861" s="96" t="n">
        <x:f>IFERROR(L861/J861,0)</x:f>
        <x:v>0.04780114722753346</x:v>
      </x:c>
      <x:c r="L861" s="95" t="n">
        <x:v>50</x:v>
      </x:c>
      <x:c r="M861" s="97" t="n">
        <x:v>0.2962</x:v>
      </x:c>
      <x:c r="N861" s="97" t="n">
        <x:f>ROUND(L861*M861,2)</x:f>
        <x:v>14.81</x:v>
      </x:c>
      <x:c r="O861" s="94" t="n">
        <x:v>8</x:v>
      </x:c>
      <x:c r="P861" s="94" t="str">
        <x:v>模拟：Google/Microsoft Ads采购导入</x:v>
      </x:c>
    </x:row>
    <x:row r="862">
      <x:c r="A862" s="92" t="str">
        <x:v>PROC-0861</x:v>
      </x:c>
      <x:c r="B862" s="93" t="n">
        <x:v>46178</x:v>
      </x:c>
      <x:c r="C862" s="94" t="str">
        <x:v>Google Ads</x:v>
      </x:c>
      <x:c r="D862" s="94" t="str">
        <x:v>美国</x:v>
      </x:c>
      <x:c r="E862" s="94" t="str">
        <x:v>GGL-C22</x:v>
      </x:c>
      <x:c r="F862" s="94" t="str">
        <x:v>通用搜索</x:v>
      </x:c>
      <x:c r="G862" s="94" t="str">
        <x:v>高性价比商品</x:v>
      </x:c>
      <x:c r="H862" s="94" t="str">
        <x:v>移动端</x:v>
      </x:c>
      <x:c r="I862" s="94" t="str">
        <x:v>CPC</x:v>
      </x:c>
      <x:c r="J862" s="95" t="n">
        <x:v>762</x:v>
      </x:c>
      <x:c r="K862" s="96" t="n">
        <x:f>IFERROR(L862/J862,0)</x:f>
        <x:v>0.04068241469816273</x:v>
      </x:c>
      <x:c r="L862" s="95" t="n">
        <x:v>31</x:v>
      </x:c>
      <x:c r="M862" s="97" t="n">
        <x:v>0.3261</x:v>
      </x:c>
      <x:c r="N862" s="97" t="n">
        <x:f>ROUND(L862*M862,2)</x:f>
        <x:v>10.11</x:v>
      </x:c>
      <x:c r="O862" s="94" t="n">
        <x:v>6</x:v>
      </x:c>
      <x:c r="P862" s="94" t="str">
        <x:v>模拟：Google/Microsoft Ads采购导入</x:v>
      </x:c>
    </x:row>
    <x:row r="863">
      <x:c r="A863" s="92" t="str">
        <x:v>PROC-0862</x:v>
      </x:c>
      <x:c r="B863" s="93" t="n">
        <x:v>46178</x:v>
      </x:c>
      <x:c r="C863" s="94" t="str">
        <x:v>Google Ads</x:v>
      </x:c>
      <x:c r="D863" s="94" t="str">
        <x:v>美国</x:v>
      </x:c>
      <x:c r="E863" s="94" t="str">
        <x:v>GGL-C07</x:v>
      </x:c>
      <x:c r="F863" s="94" t="str">
        <x:v>购物广告</x:v>
      </x:c>
      <x:c r="G863" s="94" t="str">
        <x:v>畅销商品</x:v>
      </x:c>
      <x:c r="H863" s="94" t="str">
        <x:v>桌面端</x:v>
      </x:c>
      <x:c r="I863" s="94" t="str">
        <x:v>CPC</x:v>
      </x:c>
      <x:c r="J863" s="95" t="n">
        <x:v>974</x:v>
      </x:c>
      <x:c r="K863" s="96" t="n">
        <x:f>IFERROR(L863/J863,0)</x:f>
        <x:v>0.037987679671457907</x:v>
      </x:c>
      <x:c r="L863" s="95" t="n">
        <x:v>37</x:v>
      </x:c>
      <x:c r="M863" s="97" t="n">
        <x:v>0.34</x:v>
      </x:c>
      <x:c r="N863" s="97" t="n">
        <x:f>ROUND(L863*M863,2)</x:f>
        <x:v>12.58</x:v>
      </x:c>
      <x:c r="O863" s="94" t="n">
        <x:v>6</x:v>
      </x:c>
      <x:c r="P863" s="94" t="str">
        <x:v>模拟：Google/Microsoft Ads采购导入</x:v>
      </x:c>
    </x:row>
    <x:row r="864">
      <x:c r="A864" s="92" t="str">
        <x:v>PROC-0863</x:v>
      </x:c>
      <x:c r="B864" s="93" t="n">
        <x:v>46179</x:v>
      </x:c>
      <x:c r="C864" s="94" t="str">
        <x:v>Microsoft Ads</x:v>
      </x:c>
      <x:c r="D864" s="94" t="str">
        <x:v>美国</x:v>
      </x:c>
      <x:c r="E864" s="94" t="str">
        <x:v>MSA-C11</x:v>
      </x:c>
      <x:c r="F864" s="94" t="str">
        <x:v>购物广告</x:v>
      </x:c>
      <x:c r="G864" s="94" t="str">
        <x:v>畅销商品</x:v>
      </x:c>
      <x:c r="H864" s="94" t="str">
        <x:v>桌面端</x:v>
      </x:c>
      <x:c r="I864" s="94" t="str">
        <x:v>CPC</x:v>
      </x:c>
      <x:c r="J864" s="95" t="n">
        <x:v>1080</x:v>
      </x:c>
      <x:c r="K864" s="96" t="n">
        <x:f>IFERROR(L864/J864,0)</x:f>
        <x:v>0.05555555555555555</x:v>
      </x:c>
      <x:c r="L864" s="95" t="n">
        <x:v>60</x:v>
      </x:c>
      <x:c r="M864" s="97" t="n">
        <x:v>0.27</x:v>
      </x:c>
      <x:c r="N864" s="97" t="n">
        <x:f>ROUND(L864*M864,2)</x:f>
        <x:v>16.2</x:v>
      </x:c>
      <x:c r="O864" s="94" t="n">
        <x:v>6</x:v>
      </x:c>
      <x:c r="P864" s="94" t="str">
        <x:v>模拟：Google/Microsoft Ads采购导入</x:v>
      </x:c>
    </x:row>
    <x:row r="865">
      <x:c r="A865" s="92" t="str">
        <x:v>PROC-0864</x:v>
      </x:c>
      <x:c r="B865" s="93" t="n">
        <x:v>46179</x:v>
      </x:c>
      <x:c r="C865" s="94" t="str">
        <x:v>Microsoft Ads</x:v>
      </x:c>
      <x:c r="D865" s="94" t="str">
        <x:v>德国</x:v>
      </x:c>
      <x:c r="E865" s="94" t="str">
        <x:v>MSA-C18</x:v>
      </x:c>
      <x:c r="F865" s="94" t="str">
        <x:v>购物广告</x:v>
      </x:c>
      <x:c r="G865" s="94" t="str">
        <x:v>快速配送</x:v>
      </x:c>
      <x:c r="H865" s="94" t="str">
        <x:v>移动端</x:v>
      </x:c>
      <x:c r="I865" s="94" t="str">
        <x:v>CPC</x:v>
      </x:c>
      <x:c r="J865" s="95" t="n">
        <x:v>1395</x:v>
      </x:c>
      <x:c r="K865" s="96" t="n">
        <x:f>IFERROR(L865/J865,0)</x:f>
        <x:v>0.05161290322580645</x:v>
      </x:c>
      <x:c r="L865" s="95" t="n">
        <x:v>72</x:v>
      </x:c>
      <x:c r="M865" s="97" t="n">
        <x:v>0.1957</x:v>
      </x:c>
      <x:c r="N865" s="97" t="n">
        <x:f>ROUND(L865*M865,2)</x:f>
        <x:v>14.09</x:v>
      </x:c>
      <x:c r="O865" s="94" t="n">
        <x:v>6</x:v>
      </x:c>
      <x:c r="P865" s="94" t="str">
        <x:v>模拟：Google/Microsoft Ads采购导入</x:v>
      </x:c>
    </x:row>
    <x:row r="866">
      <x:c r="A866" s="92" t="str">
        <x:v>PROC-0865</x:v>
      </x:c>
      <x:c r="B866" s="93" t="n">
        <x:v>46179</x:v>
      </x:c>
      <x:c r="C866" s="94" t="str">
        <x:v>Microsoft Ads</x:v>
      </x:c>
      <x:c r="D866" s="94" t="str">
        <x:v>美国</x:v>
      </x:c>
      <x:c r="E866" s="94" t="str">
        <x:v>MSA-C02</x:v>
      </x:c>
      <x:c r="F866" s="94" t="str">
        <x:v>通用搜索</x:v>
      </x:c>
      <x:c r="G866" s="94" t="str">
        <x:v>专业精选</x:v>
      </x:c>
      <x:c r="H866" s="94" t="str">
        <x:v>移动端</x:v>
      </x:c>
      <x:c r="I866" s="94" t="str">
        <x:v>CPC</x:v>
      </x:c>
      <x:c r="J866" s="95" t="n">
        <x:v>953</x:v>
      </x:c>
      <x:c r="K866" s="96" t="n">
        <x:f>IFERROR(L866/J866,0)</x:f>
        <x:v>0.03147953830010493</x:v>
      </x:c>
      <x:c r="L866" s="95" t="n">
        <x:v>30</x:v>
      </x:c>
      <x:c r="M866" s="97" t="n">
        <x:v>0.2629</x:v>
      </x:c>
      <x:c r="N866" s="97" t="n">
        <x:f>ROUND(L866*M866,2)</x:f>
        <x:v>7.89</x:v>
      </x:c>
      <x:c r="O866" s="94" t="n">
        <x:v>9</x:v>
      </x:c>
      <x:c r="P866" s="94" t="str">
        <x:v>模拟：Google/Microsoft Ads采购导入</x:v>
      </x:c>
    </x:row>
    <x:row r="867">
      <x:c r="A867" s="92" t="str">
        <x:v>PROC-0866</x:v>
      </x:c>
      <x:c r="B867" s="93" t="n">
        <x:v>46179</x:v>
      </x:c>
      <x:c r="C867" s="94" t="str">
        <x:v>Microsoft Ads</x:v>
      </x:c>
      <x:c r="D867" s="94" t="str">
        <x:v>美国</x:v>
      </x:c>
      <x:c r="E867" s="94" t="str">
        <x:v>MSA-C10</x:v>
      </x:c>
      <x:c r="F867" s="94" t="str">
        <x:v>竞品搜索</x:v>
      </x:c>
      <x:c r="G867" s="94" t="str">
        <x:v>同类产品对比</x:v>
      </x:c>
      <x:c r="H867" s="94" t="str">
        <x:v>移动端</x:v>
      </x:c>
      <x:c r="I867" s="94" t="str">
        <x:v>CPC</x:v>
      </x:c>
      <x:c r="J867" s="95" t="n">
        <x:v>816</x:v>
      </x:c>
      <x:c r="K867" s="96" t="n">
        <x:f>IFERROR(L867/J867,0)</x:f>
        <x:v>0.03676470588235294</x:v>
      </x:c>
      <x:c r="L867" s="95" t="n">
        <x:v>30</x:v>
      </x:c>
      <x:c r="M867" s="97" t="n">
        <x:v>0.2971</x:v>
      </x:c>
      <x:c r="N867" s="97" t="n">
        <x:f>ROUND(L867*M867,2)</x:f>
        <x:v>8.91</x:v>
      </x:c>
      <x:c r="O867" s="94" t="n">
        <x:v>8</x:v>
      </x:c>
      <x:c r="P867" s="94" t="str">
        <x:v>模拟：Google/Microsoft Ads采购导入</x:v>
      </x:c>
    </x:row>
    <x:row r="868">
      <x:c r="A868" s="92" t="str">
        <x:v>PROC-0867</x:v>
      </x:c>
      <x:c r="B868" s="93" t="n">
        <x:v>46179</x:v>
      </x:c>
      <x:c r="C868" s="94" t="str">
        <x:v>Google Ads</x:v>
      </x:c>
      <x:c r="D868" s="94" t="str">
        <x:v>美国</x:v>
      </x:c>
      <x:c r="E868" s="94" t="str">
        <x:v>GGL-C17</x:v>
      </x:c>
      <x:c r="F868" s="94" t="str">
        <x:v>通用搜索</x:v>
      </x:c>
      <x:c r="G868" s="94" t="str">
        <x:v>热门新品</x:v>
      </x:c>
      <x:c r="H868" s="94" t="str">
        <x:v>桌面端</x:v>
      </x:c>
      <x:c r="I868" s="94" t="str">
        <x:v>CPC</x:v>
      </x:c>
      <x:c r="J868" s="95" t="n">
        <x:v>670</x:v>
      </x:c>
      <x:c r="K868" s="96" t="n">
        <x:f>IFERROR(L868/J868,0)</x:f>
        <x:v>0.041791044776119404</x:v>
      </x:c>
      <x:c r="L868" s="95" t="n">
        <x:v>28</x:v>
      </x:c>
      <x:c r="M868" s="97" t="n">
        <x:v>0.3398</x:v>
      </x:c>
      <x:c r="N868" s="97" t="n">
        <x:f>ROUND(L868*M868,2)</x:f>
        <x:v>9.51</x:v>
      </x:c>
      <x:c r="O868" s="94" t="n">
        <x:v>6</x:v>
      </x:c>
      <x:c r="P868" s="94" t="str">
        <x:v>模拟：Google/Microsoft Ads采购导入</x:v>
      </x:c>
    </x:row>
    <x:row r="869">
      <x:c r="A869" s="92" t="str">
        <x:v>PROC-0868</x:v>
      </x:c>
      <x:c r="B869" s="93" t="n">
        <x:v>46179</x:v>
      </x:c>
      <x:c r="C869" s="94" t="str">
        <x:v>Microsoft Ads</x:v>
      </x:c>
      <x:c r="D869" s="94" t="str">
        <x:v>美国</x:v>
      </x:c>
      <x:c r="E869" s="94" t="str">
        <x:v>MSA-C24</x:v>
      </x:c>
      <x:c r="F869" s="94" t="str">
        <x:v>通用搜索</x:v>
      </x:c>
      <x:c r="G869" s="94" t="str">
        <x:v>家庭必备</x:v>
      </x:c>
      <x:c r="H869" s="94" t="str">
        <x:v>移动端</x:v>
      </x:c>
      <x:c r="I869" s="94" t="str">
        <x:v>CPC</x:v>
      </x:c>
      <x:c r="J869" s="95" t="n">
        <x:v>722</x:v>
      </x:c>
      <x:c r="K869" s="96" t="n">
        <x:f>IFERROR(L869/J869,0)</x:f>
        <x:v>0.0332409972299169</x:v>
      </x:c>
      <x:c r="L869" s="95" t="n">
        <x:v>24</x:v>
      </x:c>
      <x:c r="M869" s="97" t="n">
        <x:v>0.2505</x:v>
      </x:c>
      <x:c r="N869" s="97" t="n">
        <x:f>ROUND(L869*M869,2)</x:f>
        <x:v>6.01</x:v>
      </x:c>
      <x:c r="O869" s="94" t="n">
        <x:v>7</x:v>
      </x:c>
      <x:c r="P869" s="94" t="str">
        <x:v>模拟：Google/Microsoft Ads采购导入</x:v>
      </x:c>
    </x:row>
    <x:row r="870">
      <x:c r="A870" s="92" t="str">
        <x:v>PROC-0869</x:v>
      </x:c>
      <x:c r="B870" s="93" t="n">
        <x:v>46180</x:v>
      </x:c>
      <x:c r="C870" s="94" t="str">
        <x:v>Microsoft Ads</x:v>
      </x:c>
      <x:c r="D870" s="94" t="str">
        <x:v>日本</x:v>
      </x:c>
      <x:c r="E870" s="94" t="str">
        <x:v>MSA-C07</x:v>
      </x:c>
      <x:c r="F870" s="94" t="str">
        <x:v>竞品搜索</x:v>
      </x:c>
      <x:c r="G870" s="94" t="str">
        <x:v>同类产品对比</x:v>
      </x:c>
      <x:c r="H870" s="94" t="str">
        <x:v>桌面端</x:v>
      </x:c>
      <x:c r="I870" s="94" t="str">
        <x:v>CPC</x:v>
      </x:c>
      <x:c r="J870" s="95" t="n">
        <x:v>846</x:v>
      </x:c>
      <x:c r="K870" s="96" t="n">
        <x:f>IFERROR(L870/J870,0)</x:f>
        <x:v>0.030732860520094562</x:v>
      </x:c>
      <x:c r="L870" s="95" t="n">
        <x:v>26</x:v>
      </x:c>
      <x:c r="M870" s="97" t="n">
        <x:v>0.2447</x:v>
      </x:c>
      <x:c r="N870" s="97" t="n">
        <x:f>ROUND(L870*M870,2)</x:f>
        <x:v>6.36</x:v>
      </x:c>
      <x:c r="O870" s="94" t="n">
        <x:v>7</x:v>
      </x:c>
      <x:c r="P870" s="94" t="str">
        <x:v>模拟：Google/Microsoft Ads采购导入</x:v>
      </x:c>
    </x:row>
    <x:row r="871">
      <x:c r="A871" s="92" t="str">
        <x:v>PROC-0870</x:v>
      </x:c>
      <x:c r="B871" s="93" t="n">
        <x:v>46180</x:v>
      </x:c>
      <x:c r="C871" s="94" t="str">
        <x:v>Microsoft Ads</x:v>
      </x:c>
      <x:c r="D871" s="94" t="str">
        <x:v>德国</x:v>
      </x:c>
      <x:c r="E871" s="94" t="str">
        <x:v>MSA-C15</x:v>
      </x:c>
      <x:c r="F871" s="94" t="str">
        <x:v>品牌搜索</x:v>
      </x:c>
      <x:c r="G871" s="94" t="str">
        <x:v>品牌型号词</x:v>
      </x:c>
      <x:c r="H871" s="94" t="str">
        <x:v>移动端</x:v>
      </x:c>
      <x:c r="I871" s="94" t="str">
        <x:v>CPC</x:v>
      </x:c>
      <x:c r="J871" s="95" t="n">
        <x:v>664</x:v>
      </x:c>
      <x:c r="K871" s="96" t="n">
        <x:f>IFERROR(L871/J871,0)</x:f>
        <x:v>0.06626506024096386</x:v>
      </x:c>
      <x:c r="L871" s="95" t="n">
        <x:v>44</x:v>
      </x:c>
      <x:c r="M871" s="97" t="n">
        <x:v>0.1825</x:v>
      </x:c>
      <x:c r="N871" s="97" t="n">
        <x:f>ROUND(L871*M871,2)</x:f>
        <x:v>8.03</x:v>
      </x:c>
      <x:c r="O871" s="94" t="n">
        <x:v>8</x:v>
      </x:c>
      <x:c r="P871" s="94" t="str">
        <x:v>模拟：Google/Microsoft Ads采购导入</x:v>
      </x:c>
    </x:row>
    <x:row r="872">
      <x:c r="A872" s="92" t="str">
        <x:v>PROC-0871</x:v>
      </x:c>
      <x:c r="B872" s="93" t="n">
        <x:v>46180</x:v>
      </x:c>
      <x:c r="C872" s="94" t="str">
        <x:v>Google Ads</x:v>
      </x:c>
      <x:c r="D872" s="94" t="str">
        <x:v>英国</x:v>
      </x:c>
      <x:c r="E872" s="94" t="str">
        <x:v>GGL-C23</x:v>
      </x:c>
      <x:c r="F872" s="94" t="str">
        <x:v>品牌搜索</x:v>
      </x:c>
      <x:c r="G872" s="94" t="str">
        <x:v>品牌评测词</x:v>
      </x:c>
      <x:c r="H872" s="94" t="str">
        <x:v>桌面端</x:v>
      </x:c>
      <x:c r="I872" s="94" t="str">
        <x:v>CPC</x:v>
      </x:c>
      <x:c r="J872" s="95" t="n">
        <x:v>1268</x:v>
      </x:c>
      <x:c r="K872" s="96" t="n">
        <x:f>IFERROR(L872/J872,0)</x:f>
        <x:v>0.06624605678233439</x:v>
      </x:c>
      <x:c r="L872" s="95" t="n">
        <x:v>84</x:v>
      </x:c>
      <x:c r="M872" s="97" t="n">
        <x:v>0.2092</x:v>
      </x:c>
      <x:c r="N872" s="97" t="n">
        <x:f>ROUND(L872*M872,2)</x:f>
        <x:v>17.57</x:v>
      </x:c>
      <x:c r="O872" s="94" t="n">
        <x:v>9</x:v>
      </x:c>
      <x:c r="P872" s="94" t="str">
        <x:v>模拟：Google/Microsoft Ads采购导入</x:v>
      </x:c>
    </x:row>
    <x:row r="873">
      <x:c r="A873" s="92" t="str">
        <x:v>PROC-0872</x:v>
      </x:c>
      <x:c r="B873" s="93" t="n">
        <x:v>46180</x:v>
      </x:c>
      <x:c r="C873" s="94" t="str">
        <x:v>Microsoft Ads</x:v>
      </x:c>
      <x:c r="D873" s="94" t="str">
        <x:v>德国</x:v>
      </x:c>
      <x:c r="E873" s="94" t="str">
        <x:v>MSA-C03</x:v>
      </x:c>
      <x:c r="F873" s="94" t="str">
        <x:v>购物广告</x:v>
      </x:c>
      <x:c r="G873" s="94" t="str">
        <x:v>价格比较</x:v>
      </x:c>
      <x:c r="H873" s="94" t="str">
        <x:v>桌面端</x:v>
      </x:c>
      <x:c r="I873" s="94" t="str">
        <x:v>CPC</x:v>
      </x:c>
      <x:c r="J873" s="95" t="n">
        <x:v>822</x:v>
      </x:c>
      <x:c r="K873" s="96" t="n">
        <x:f>IFERROR(L873/J873,0)</x:f>
        <x:v>0.04866180048661801</x:v>
      </x:c>
      <x:c r="L873" s="95" t="n">
        <x:v>40</x:v>
      </x:c>
      <x:c r="M873" s="97" t="n">
        <x:v>0.251</x:v>
      </x:c>
      <x:c r="N873" s="97" t="n">
        <x:f>ROUND(L873*M873,2)</x:f>
        <x:v>10.04</x:v>
      </x:c>
      <x:c r="O873" s="94" t="n">
        <x:v>8</x:v>
      </x:c>
      <x:c r="P873" s="94" t="str">
        <x:v>模拟：Google/Microsoft Ads采购导入</x:v>
      </x:c>
    </x:row>
    <x:row r="874">
      <x:c r="A874" s="92" t="str">
        <x:v>PROC-0873</x:v>
      </x:c>
      <x:c r="B874" s="93" t="n">
        <x:v>46180</x:v>
      </x:c>
      <x:c r="C874" s="94" t="str">
        <x:v>Google Ads</x:v>
      </x:c>
      <x:c r="D874" s="94" t="str">
        <x:v>英国</x:v>
      </x:c>
      <x:c r="E874" s="94" t="str">
        <x:v>GGL-C12</x:v>
      </x:c>
      <x:c r="F874" s="94" t="str">
        <x:v>购物广告</x:v>
      </x:c>
      <x:c r="G874" s="94" t="str">
        <x:v>折扣商品</x:v>
      </x:c>
      <x:c r="H874" s="94" t="str">
        <x:v>移动端</x:v>
      </x:c>
      <x:c r="I874" s="94" t="str">
        <x:v>CPC</x:v>
      </x:c>
      <x:c r="J874" s="95" t="n">
        <x:v>926</x:v>
      </x:c>
      <x:c r="K874" s="96" t="n">
        <x:f>IFERROR(L874/J874,0)</x:f>
        <x:v>0.042116630669546434</x:v>
      </x:c>
      <x:c r="L874" s="95" t="n">
        <x:v>39</x:v>
      </x:c>
      <x:c r="M874" s="97" t="n">
        <x:v>0.3626</x:v>
      </x:c>
      <x:c r="N874" s="97" t="n">
        <x:f>ROUND(L874*M874,2)</x:f>
        <x:v>14.14</x:v>
      </x:c>
      <x:c r="O874" s="94" t="n">
        <x:v>6</x:v>
      </x:c>
      <x:c r="P874" s="94" t="str">
        <x:v>模拟：Google/Microsoft Ads采购导入</x:v>
      </x:c>
    </x:row>
    <x:row r="875">
      <x:c r="A875" s="92" t="str">
        <x:v>PROC-0874</x:v>
      </x:c>
      <x:c r="B875" s="93" t="n">
        <x:v>46181</x:v>
      </x:c>
      <x:c r="C875" s="94" t="str">
        <x:v>Google Ads</x:v>
      </x:c>
      <x:c r="D875" s="94" t="str">
        <x:v>德国</x:v>
      </x:c>
      <x:c r="E875" s="94" t="str">
        <x:v>GGL-C16</x:v>
      </x:c>
      <x:c r="F875" s="94" t="str">
        <x:v>通用搜索</x:v>
      </x:c>
      <x:c r="G875" s="94" t="str">
        <x:v>家庭必备</x:v>
      </x:c>
      <x:c r="H875" s="94" t="str">
        <x:v>桌面端</x:v>
      </x:c>
      <x:c r="I875" s="94" t="str">
        <x:v>CPC</x:v>
      </x:c>
      <x:c r="J875" s="95" t="n">
        <x:v>1376</x:v>
      </x:c>
      <x:c r="K875" s="96" t="n">
        <x:f>IFERROR(L875/J875,0)</x:f>
        <x:v>0.032703488372093026</x:v>
      </x:c>
      <x:c r="L875" s="95" t="n">
        <x:v>45</x:v>
      </x:c>
      <x:c r="M875" s="97" t="n">
        <x:v>0.2461</x:v>
      </x:c>
      <x:c r="N875" s="97" t="n">
        <x:f>ROUND(L875*M875,2)</x:f>
        <x:v>11.07</x:v>
      </x:c>
      <x:c r="O875" s="94" t="n">
        <x:v>8</x:v>
      </x:c>
      <x:c r="P875" s="94" t="str">
        <x:v>模拟：Google/Microsoft Ads采购导入</x:v>
      </x:c>
    </x:row>
    <x:row r="876">
      <x:c r="A876" s="92" t="str">
        <x:v>PROC-0875</x:v>
      </x:c>
      <x:c r="B876" s="93" t="n">
        <x:v>46181</x:v>
      </x:c>
      <x:c r="C876" s="94" t="str">
        <x:v>Google Ads</x:v>
      </x:c>
      <x:c r="D876" s="94" t="str">
        <x:v>美国</x:v>
      </x:c>
      <x:c r="E876" s="94" t="str">
        <x:v>GGL-C01</x:v>
      </x:c>
      <x:c r="F876" s="94" t="str">
        <x:v>通用搜索</x:v>
      </x:c>
      <x:c r="G876" s="94" t="str">
        <x:v>高性价比商品</x:v>
      </x:c>
      <x:c r="H876" s="94" t="str">
        <x:v>移动端</x:v>
      </x:c>
      <x:c r="I876" s="94" t="str">
        <x:v>CPC</x:v>
      </x:c>
      <x:c r="J876" s="95" t="n">
        <x:v>884</x:v>
      </x:c>
      <x:c r="K876" s="96" t="n">
        <x:f>IFERROR(L876/J876,0)</x:f>
        <x:v>0.03506787330316742</x:v>
      </x:c>
      <x:c r="L876" s="95" t="n">
        <x:v>31</x:v>
      </x:c>
      <x:c r="M876" s="97" t="n">
        <x:v>0.3529</x:v>
      </x:c>
      <x:c r="N876" s="97" t="n">
        <x:f>ROUND(L876*M876,2)</x:f>
        <x:v>10.94</x:v>
      </x:c>
      <x:c r="O876" s="94" t="n">
        <x:v>7</x:v>
      </x:c>
      <x:c r="P876" s="94" t="str">
        <x:v>模拟：Google/Microsoft Ads采购导入</x:v>
      </x:c>
    </x:row>
    <x:row r="877">
      <x:c r="A877" s="92" t="str">
        <x:v>PROC-0876</x:v>
      </x:c>
      <x:c r="B877" s="93" t="n">
        <x:v>46181</x:v>
      </x:c>
      <x:c r="C877" s="94" t="str">
        <x:v>Google Ads</x:v>
      </x:c>
      <x:c r="D877" s="94" t="str">
        <x:v>美国</x:v>
      </x:c>
      <x:c r="E877" s="94" t="str">
        <x:v>GGL-C10</x:v>
      </x:c>
      <x:c r="F877" s="94" t="str">
        <x:v>通用搜索</x:v>
      </x:c>
      <x:c r="G877" s="94" t="str">
        <x:v>高性价比商品</x:v>
      </x:c>
      <x:c r="H877" s="94" t="str">
        <x:v>移动端</x:v>
      </x:c>
      <x:c r="I877" s="94" t="str">
        <x:v>CPC</x:v>
      </x:c>
      <x:c r="J877" s="95" t="n">
        <x:v>1059</x:v>
      </x:c>
      <x:c r="K877" s="96" t="n">
        <x:f>IFERROR(L877/J877,0)</x:f>
        <x:v>0.0339943342776204</x:v>
      </x:c>
      <x:c r="L877" s="95" t="n">
        <x:v>36</x:v>
      </x:c>
      <x:c r="M877" s="97" t="n">
        <x:v>0.3549</x:v>
      </x:c>
      <x:c r="N877" s="97" t="n">
        <x:f>ROUND(L877*M877,2)</x:f>
        <x:v>12.78</x:v>
      </x:c>
      <x:c r="O877" s="94" t="n">
        <x:v>6</x:v>
      </x:c>
      <x:c r="P877" s="94" t="str">
        <x:v>模拟：Google/Microsoft Ads采购导入</x:v>
      </x:c>
    </x:row>
    <x:row r="878">
      <x:c r="A878" s="92" t="str">
        <x:v>PROC-0877</x:v>
      </x:c>
      <x:c r="B878" s="93" t="n">
        <x:v>46181</x:v>
      </x:c>
      <x:c r="C878" s="94" t="str">
        <x:v>Google Ads</x:v>
      </x:c>
      <x:c r="D878" s="94" t="str">
        <x:v>美国</x:v>
      </x:c>
      <x:c r="E878" s="94" t="str">
        <x:v>GGL-C17</x:v>
      </x:c>
      <x:c r="F878" s="94" t="str">
        <x:v>品牌搜索</x:v>
      </x:c>
      <x:c r="G878" s="94" t="str">
        <x:v>品牌评测词</x:v>
      </x:c>
      <x:c r="H878" s="94" t="str">
        <x:v>移动端</x:v>
      </x:c>
      <x:c r="I878" s="94" t="str">
        <x:v>CPC</x:v>
      </x:c>
      <x:c r="J878" s="95" t="n">
        <x:v>1275</x:v>
      </x:c>
      <x:c r="K878" s="96" t="n">
        <x:f>IFERROR(L878/J878,0)</x:f>
        <x:v>0.06901960784313725</x:v>
      </x:c>
      <x:c r="L878" s="95" t="n">
        <x:v>88</x:v>
      </x:c>
      <x:c r="M878" s="97" t="n">
        <x:v>0.2667</x:v>
      </x:c>
      <x:c r="N878" s="97" t="n">
        <x:f>ROUND(L878*M878,2)</x:f>
        <x:v>23.47</x:v>
      </x:c>
      <x:c r="O878" s="94" t="n">
        <x:v>9</x:v>
      </x:c>
      <x:c r="P878" s="94" t="str">
        <x:v>模拟：Google/Microsoft Ads采购导入</x:v>
      </x:c>
    </x:row>
    <x:row r="879">
      <x:c r="A879" s="92" t="str">
        <x:v>PROC-0878</x:v>
      </x:c>
      <x:c r="B879" s="93" t="n">
        <x:v>46181</x:v>
      </x:c>
      <x:c r="C879" s="94" t="str">
        <x:v>Microsoft Ads</x:v>
      </x:c>
      <x:c r="D879" s="94" t="str">
        <x:v>德国</x:v>
      </x:c>
      <x:c r="E879" s="94" t="str">
        <x:v>MSA-C24</x:v>
      </x:c>
      <x:c r="F879" s="94" t="str">
        <x:v>品牌搜索</x:v>
      </x:c>
      <x:c r="G879" s="94" t="str">
        <x:v>品牌配件词</x:v>
      </x:c>
      <x:c r="H879" s="94" t="str">
        <x:v>移动端</x:v>
      </x:c>
      <x:c r="I879" s="94" t="str">
        <x:v>CPC</x:v>
      </x:c>
      <x:c r="J879" s="95" t="n">
        <x:v>1095</x:v>
      </x:c>
      <x:c r="K879" s="96" t="n">
        <x:f>IFERROR(L879/J879,0)</x:f>
        <x:v>0.053881278538812784</x:v>
      </x:c>
      <x:c r="L879" s="95" t="n">
        <x:v>59</x:v>
      </x:c>
      <x:c r="M879" s="97" t="n">
        <x:v>0.1754</x:v>
      </x:c>
      <x:c r="N879" s="97" t="n">
        <x:f>ROUND(L879*M879,2)</x:f>
        <x:v>10.35</x:v>
      </x:c>
      <x:c r="O879" s="94" t="n">
        <x:v>8</x:v>
      </x:c>
      <x:c r="P879" s="94" t="str">
        <x:v>模拟：Google/Microsoft Ads采购导入</x:v>
      </x:c>
    </x:row>
    <x:row r="880">
      <x:c r="A880" s="92" t="str">
        <x:v>PROC-0879</x:v>
      </x:c>
      <x:c r="B880" s="93" t="n">
        <x:v>46181</x:v>
      </x:c>
      <x:c r="C880" s="94" t="str">
        <x:v>Microsoft Ads</x:v>
      </x:c>
      <x:c r="D880" s="94" t="str">
        <x:v>德国</x:v>
      </x:c>
      <x:c r="E880" s="94" t="str">
        <x:v>MSA-C04</x:v>
      </x:c>
      <x:c r="F880" s="94" t="str">
        <x:v>购物广告</x:v>
      </x:c>
      <x:c r="G880" s="94" t="str">
        <x:v>价格比较</x:v>
      </x:c>
      <x:c r="H880" s="94" t="str">
        <x:v>桌面端</x:v>
      </x:c>
      <x:c r="I880" s="94" t="str">
        <x:v>CPC</x:v>
      </x:c>
      <x:c r="J880" s="95" t="n">
        <x:v>1054</x:v>
      </x:c>
      <x:c r="K880" s="96" t="n">
        <x:f>IFERROR(L880/J880,0)</x:f>
        <x:v>0.04174573055028463</x:v>
      </x:c>
      <x:c r="L880" s="95" t="n">
        <x:v>44</x:v>
      </x:c>
      <x:c r="M880" s="97" t="n">
        <x:v>0.22</x:v>
      </x:c>
      <x:c r="N880" s="97" t="n">
        <x:f>ROUND(L880*M880,2)</x:f>
        <x:v>9.68</x:v>
      </x:c>
      <x:c r="O880" s="94" t="n">
        <x:v>7</x:v>
      </x:c>
      <x:c r="P880" s="94" t="str">
        <x:v>模拟：Google/Microsoft Ads采购导入</x:v>
      </x:c>
    </x:row>
    <x:row r="881">
      <x:c r="A881" s="92" t="str">
        <x:v>PROC-0880</x:v>
      </x:c>
      <x:c r="B881" s="93" t="n">
        <x:v>46182</x:v>
      </x:c>
      <x:c r="C881" s="94" t="str">
        <x:v>Google Ads</x:v>
      </x:c>
      <x:c r="D881" s="94" t="str">
        <x:v>美国</x:v>
      </x:c>
      <x:c r="E881" s="94" t="str">
        <x:v>GGL-C10</x:v>
      </x:c>
      <x:c r="F881" s="94" t="str">
        <x:v>购物广告</x:v>
      </x:c>
      <x:c r="G881" s="94" t="str">
        <x:v>畅销商品</x:v>
      </x:c>
      <x:c r="H881" s="94" t="str">
        <x:v>移动端</x:v>
      </x:c>
      <x:c r="I881" s="94" t="str">
        <x:v>CPC</x:v>
      </x:c>
      <x:c r="J881" s="95" t="n">
        <x:v>943</x:v>
      </x:c>
      <x:c r="K881" s="96" t="n">
        <x:f>IFERROR(L881/J881,0)</x:f>
        <x:v>0.051961823966065745</x:v>
      </x:c>
      <x:c r="L881" s="95" t="n">
        <x:v>49</x:v>
      </x:c>
      <x:c r="M881" s="97" t="n">
        <x:v>0.3472</x:v>
      </x:c>
      <x:c r="N881" s="97" t="n">
        <x:f>ROUND(L881*M881,2)</x:f>
        <x:v>17.01</x:v>
      </x:c>
      <x:c r="O881" s="94" t="n">
        <x:v>8</x:v>
      </x:c>
      <x:c r="P881" s="94" t="str">
        <x:v>模拟：Google/Microsoft Ads采购导入</x:v>
      </x:c>
    </x:row>
    <x:row r="882">
      <x:c r="A882" s="92" t="str">
        <x:v>PROC-0881</x:v>
      </x:c>
      <x:c r="B882" s="93" t="n">
        <x:v>46182</x:v>
      </x:c>
      <x:c r="C882" s="94" t="str">
        <x:v>Google Ads</x:v>
      </x:c>
      <x:c r="D882" s="94" t="str">
        <x:v>美国</x:v>
      </x:c>
      <x:c r="E882" s="94" t="str">
        <x:v>GGL-C19</x:v>
      </x:c>
      <x:c r="F882" s="94" t="str">
        <x:v>品牌搜索</x:v>
      </x:c>
      <x:c r="G882" s="94" t="str">
        <x:v>品牌购买词</x:v>
      </x:c>
      <x:c r="H882" s="94" t="str">
        <x:v>移动端</x:v>
      </x:c>
      <x:c r="I882" s="94" t="str">
        <x:v>CPC</x:v>
      </x:c>
      <x:c r="J882" s="95" t="n">
        <x:v>1169</x:v>
      </x:c>
      <x:c r="K882" s="96" t="n">
        <x:f>IFERROR(L882/J882,0)</x:f>
        <x:v>0.05218135158254919</x:v>
      </x:c>
      <x:c r="L882" s="95" t="n">
        <x:v>61</x:v>
      </x:c>
      <x:c r="M882" s="97" t="n">
        <x:v>0.224</x:v>
      </x:c>
      <x:c r="N882" s="97" t="n">
        <x:f>ROUND(L882*M882,2)</x:f>
        <x:v>13.66</x:v>
      </x:c>
      <x:c r="O882" s="94" t="n">
        <x:v>7</x:v>
      </x:c>
      <x:c r="P882" s="94" t="str">
        <x:v>模拟：Google/Microsoft Ads采购导入</x:v>
      </x:c>
    </x:row>
    <x:row r="883">
      <x:c r="A883" s="92" t="str">
        <x:v>PROC-0882</x:v>
      </x:c>
      <x:c r="B883" s="93" t="n">
        <x:v>46182</x:v>
      </x:c>
      <x:c r="C883" s="94" t="str">
        <x:v>Microsoft Ads</x:v>
      </x:c>
      <x:c r="D883" s="94" t="str">
        <x:v>德国</x:v>
      </x:c>
      <x:c r="E883" s="94" t="str">
        <x:v>MSA-C03</x:v>
      </x:c>
      <x:c r="F883" s="94" t="str">
        <x:v>购物广告</x:v>
      </x:c>
      <x:c r="G883" s="94" t="str">
        <x:v>高评分商品</x:v>
      </x:c>
      <x:c r="H883" s="94" t="str">
        <x:v>桌面端</x:v>
      </x:c>
      <x:c r="I883" s="94" t="str">
        <x:v>CPC</x:v>
      </x:c>
      <x:c r="J883" s="95" t="n">
        <x:v>1231</x:v>
      </x:c>
      <x:c r="K883" s="96" t="n">
        <x:f>IFERROR(L883/J883,0)</x:f>
        <x:v>0.039805036555645816</x:v>
      </x:c>
      <x:c r="L883" s="95" t="n">
        <x:v>49</x:v>
      </x:c>
      <x:c r="M883" s="97" t="n">
        <x:v>0.2698</x:v>
      </x:c>
      <x:c r="N883" s="97" t="n">
        <x:f>ROUND(L883*M883,2)</x:f>
        <x:v>13.22</x:v>
      </x:c>
      <x:c r="O883" s="94" t="n">
        <x:v>9</x:v>
      </x:c>
      <x:c r="P883" s="94" t="str">
        <x:v>模拟：Google/Microsoft Ads采购导入</x:v>
      </x:c>
    </x:row>
    <x:row r="884">
      <x:c r="A884" s="92" t="str">
        <x:v>PROC-0883</x:v>
      </x:c>
      <x:c r="B884" s="93" t="n">
        <x:v>46182</x:v>
      </x:c>
      <x:c r="C884" s="94" t="str">
        <x:v>Google Ads</x:v>
      </x:c>
      <x:c r="D884" s="94" t="str">
        <x:v>美国</x:v>
      </x:c>
      <x:c r="E884" s="94" t="str">
        <x:v>GGL-C08</x:v>
      </x:c>
      <x:c r="F884" s="94" t="str">
        <x:v>购物广告</x:v>
      </x:c>
      <x:c r="G884" s="94" t="str">
        <x:v>快速配送</x:v>
      </x:c>
      <x:c r="H884" s="94" t="str">
        <x:v>移动端</x:v>
      </x:c>
      <x:c r="I884" s="94" t="str">
        <x:v>CPC</x:v>
      </x:c>
      <x:c r="J884" s="95" t="n">
        <x:v>1232</x:v>
      </x:c>
      <x:c r="K884" s="96" t="n">
        <x:f>IFERROR(L884/J884,0)</x:f>
        <x:v>0.03896103896103896</x:v>
      </x:c>
      <x:c r="L884" s="95" t="n">
        <x:v>48</x:v>
      </x:c>
      <x:c r="M884" s="97" t="n">
        <x:v>0.3354</x:v>
      </x:c>
      <x:c r="N884" s="97" t="n">
        <x:f>ROUND(L884*M884,2)</x:f>
        <x:v>16.1</x:v>
      </x:c>
      <x:c r="O884" s="94" t="n">
        <x:v>7</x:v>
      </x:c>
      <x:c r="P884" s="94" t="str">
        <x:v>模拟：Google/Microsoft Ads采购导入</x:v>
      </x:c>
    </x:row>
    <x:row r="885">
      <x:c r="A885" s="92" t="str">
        <x:v>PROC-0884</x:v>
      </x:c>
      <x:c r="B885" s="93" t="n">
        <x:v>46182</x:v>
      </x:c>
      <x:c r="C885" s="94" t="str">
        <x:v>Google Ads</x:v>
      </x:c>
      <x:c r="D885" s="94" t="str">
        <x:v>英国</x:v>
      </x:c>
      <x:c r="E885" s="94" t="str">
        <x:v>GGL-C14</x:v>
      </x:c>
      <x:c r="F885" s="94" t="str">
        <x:v>购物广告</x:v>
      </x:c>
      <x:c r="G885" s="94" t="str">
        <x:v>畅销商品</x:v>
      </x:c>
      <x:c r="H885" s="94" t="str">
        <x:v>桌面端</x:v>
      </x:c>
      <x:c r="I885" s="94" t="str">
        <x:v>CPC</x:v>
      </x:c>
      <x:c r="J885" s="95" t="n">
        <x:v>931</x:v>
      </x:c>
      <x:c r="K885" s="96" t="n">
        <x:f>IFERROR(L885/J885,0)</x:f>
        <x:v>0.04940923737916219</x:v>
      </x:c>
      <x:c r="L885" s="95" t="n">
        <x:v>46</x:v>
      </x:c>
      <x:c r="M885" s="97" t="n">
        <x:v>0.2904</x:v>
      </x:c>
      <x:c r="N885" s="97" t="n">
        <x:f>ROUND(L885*M885,2)</x:f>
        <x:v>13.36</x:v>
      </x:c>
      <x:c r="O885" s="94" t="n">
        <x:v>6</x:v>
      </x:c>
      <x:c r="P885" s="94" t="str">
        <x:v>模拟：Google/Microsoft Ads采购导入</x:v>
      </x:c>
    </x:row>
    <x:row r="886">
      <x:c r="A886" s="92" t="str">
        <x:v>PROC-0885</x:v>
      </x:c>
      <x:c r="B886" s="93" t="n">
        <x:v>46183</x:v>
      </x:c>
      <x:c r="C886" s="94" t="str">
        <x:v>Microsoft Ads</x:v>
      </x:c>
      <x:c r="D886" s="94" t="str">
        <x:v>日本</x:v>
      </x:c>
      <x:c r="E886" s="94" t="str">
        <x:v>MSA-C23</x:v>
      </x:c>
      <x:c r="F886" s="94" t="str">
        <x:v>购物广告</x:v>
      </x:c>
      <x:c r="G886" s="94" t="str">
        <x:v>高评分商品</x:v>
      </x:c>
      <x:c r="H886" s="94" t="str">
        <x:v>移动端</x:v>
      </x:c>
      <x:c r="I886" s="94" t="str">
        <x:v>CPC</x:v>
      </x:c>
      <x:c r="J886" s="95" t="n">
        <x:v>1304</x:v>
      </x:c>
      <x:c r="K886" s="96" t="n">
        <x:f>IFERROR(L886/J886,0)</x:f>
        <x:v>0.04831288343558282</x:v>
      </x:c>
      <x:c r="L886" s="95" t="n">
        <x:v>63</x:v>
      </x:c>
      <x:c r="M886" s="97" t="n">
        <x:v>0.2202</x:v>
      </x:c>
      <x:c r="N886" s="97" t="n">
        <x:f>ROUND(L886*M886,2)</x:f>
        <x:v>13.87</x:v>
      </x:c>
      <x:c r="O886" s="94" t="n">
        <x:v>6</x:v>
      </x:c>
      <x:c r="P886" s="94" t="str">
        <x:v>模拟：Google/Microsoft Ads采购导入</x:v>
      </x:c>
    </x:row>
    <x:row r="887">
      <x:c r="A887" s="92" t="str">
        <x:v>PROC-0886</x:v>
      </x:c>
      <x:c r="B887" s="93" t="n">
        <x:v>46183</x:v>
      </x:c>
      <x:c r="C887" s="94" t="str">
        <x:v>Google Ads</x:v>
      </x:c>
      <x:c r="D887" s="94" t="str">
        <x:v>英国</x:v>
      </x:c>
      <x:c r="E887" s="94" t="str">
        <x:v>GGL-C07</x:v>
      </x:c>
      <x:c r="F887" s="94" t="str">
        <x:v>购物广告</x:v>
      </x:c>
      <x:c r="G887" s="94" t="str">
        <x:v>价格比较</x:v>
      </x:c>
      <x:c r="H887" s="94" t="str">
        <x:v>移动端</x:v>
      </x:c>
      <x:c r="I887" s="94" t="str">
        <x:v>CPC</x:v>
      </x:c>
      <x:c r="J887" s="95" t="n">
        <x:v>911</x:v>
      </x:c>
      <x:c r="K887" s="96" t="n">
        <x:f>IFERROR(L887/J887,0)</x:f>
        <x:v>0.04939626783754116</x:v>
      </x:c>
      <x:c r="L887" s="95" t="n">
        <x:v>45</x:v>
      </x:c>
      <x:c r="M887" s="97" t="n">
        <x:v>0.3532</x:v>
      </x:c>
      <x:c r="N887" s="97" t="n">
        <x:f>ROUND(L887*M887,2)</x:f>
        <x:v>15.89</x:v>
      </x:c>
      <x:c r="O887" s="94" t="n">
        <x:v>7</x:v>
      </x:c>
      <x:c r="P887" s="94" t="str">
        <x:v>模拟：Google/Microsoft Ads采购导入</x:v>
      </x:c>
    </x:row>
    <x:row r="888">
      <x:c r="A888" s="92" t="str">
        <x:v>PROC-0887</x:v>
      </x:c>
      <x:c r="B888" s="93" t="n">
        <x:v>46183</x:v>
      </x:c>
      <x:c r="C888" s="94" t="str">
        <x:v>Google Ads</x:v>
      </x:c>
      <x:c r="D888" s="94" t="str">
        <x:v>美国</x:v>
      </x:c>
      <x:c r="E888" s="94" t="str">
        <x:v>GGL-C15</x:v>
      </x:c>
      <x:c r="F888" s="94" t="str">
        <x:v>通用搜索</x:v>
      </x:c>
      <x:c r="G888" s="94" t="str">
        <x:v>高性价比商品</x:v>
      </x:c>
      <x:c r="H888" s="94" t="str">
        <x:v>平板</x:v>
      </x:c>
      <x:c r="I888" s="94" t="str">
        <x:v>CPC</x:v>
      </x:c>
      <x:c r="J888" s="95" t="n">
        <x:v>931</x:v>
      </x:c>
      <x:c r="K888" s="96" t="n">
        <x:f>IFERROR(L888/J888,0)</x:f>
        <x:v>0.034371643394199784</x:v>
      </x:c>
      <x:c r="L888" s="95" t="n">
        <x:v>32</x:v>
      </x:c>
      <x:c r="M888" s="97" t="n">
        <x:v>0.2901</x:v>
      </x:c>
      <x:c r="N888" s="97" t="n">
        <x:f>ROUND(L888*M888,2)</x:f>
        <x:v>9.28</x:v>
      </x:c>
      <x:c r="O888" s="94" t="n">
        <x:v>6</x:v>
      </x:c>
      <x:c r="P888" s="94" t="str">
        <x:v>模拟：Google/Microsoft Ads采购导入</x:v>
      </x:c>
    </x:row>
    <x:row r="889">
      <x:c r="A889" s="92" t="str">
        <x:v>PROC-0888</x:v>
      </x:c>
      <x:c r="B889" s="93" t="n">
        <x:v>46183</x:v>
      </x:c>
      <x:c r="C889" s="94" t="str">
        <x:v>Microsoft Ads</x:v>
      </x:c>
      <x:c r="D889" s="94" t="str">
        <x:v>美国</x:v>
      </x:c>
      <x:c r="E889" s="94" t="str">
        <x:v>MSA-C18</x:v>
      </x:c>
      <x:c r="F889" s="94" t="str">
        <x:v>购物广告</x:v>
      </x:c>
      <x:c r="G889" s="94" t="str">
        <x:v>折扣商品</x:v>
      </x:c>
      <x:c r="H889" s="94" t="str">
        <x:v>平板</x:v>
      </x:c>
      <x:c r="I889" s="94" t="str">
        <x:v>CPC</x:v>
      </x:c>
      <x:c r="J889" s="95" t="n">
        <x:v>1391</x:v>
      </x:c>
      <x:c r="K889" s="96" t="n">
        <x:f>IFERROR(L889/J889,0)</x:f>
        <x:v>0.052480230050323505</x:v>
      </x:c>
      <x:c r="L889" s="95" t="n">
        <x:v>73</x:v>
      </x:c>
      <x:c r="M889" s="97" t="n">
        <x:v>0.308</x:v>
      </x:c>
      <x:c r="N889" s="97" t="n">
        <x:f>ROUND(L889*M889,2)</x:f>
        <x:v>22.48</x:v>
      </x:c>
      <x:c r="O889" s="94" t="n">
        <x:v>9</x:v>
      </x:c>
      <x:c r="P889" s="94" t="str">
        <x:v>模拟：Google/Microsoft Ads采购导入</x:v>
      </x:c>
    </x:row>
    <x:row r="890">
      <x:c r="A890" s="92" t="str">
        <x:v>PROC-0889</x:v>
      </x:c>
      <x:c r="B890" s="93" t="n">
        <x:v>46183</x:v>
      </x:c>
      <x:c r="C890" s="94" t="str">
        <x:v>Google Ads</x:v>
      </x:c>
      <x:c r="D890" s="94" t="str">
        <x:v>英国</x:v>
      </x:c>
      <x:c r="E890" s="94" t="str">
        <x:v>GGL-C01</x:v>
      </x:c>
      <x:c r="F890" s="94" t="str">
        <x:v>通用搜索</x:v>
      </x:c>
      <x:c r="G890" s="94" t="str">
        <x:v>家庭必备</x:v>
      </x:c>
      <x:c r="H890" s="94" t="str">
        <x:v>移动端</x:v>
      </x:c>
      <x:c r="I890" s="94" t="str">
        <x:v>CPC</x:v>
      </x:c>
      <x:c r="J890" s="95" t="n">
        <x:v>1134</x:v>
      </x:c>
      <x:c r="K890" s="96" t="n">
        <x:f>IFERROR(L890/J890,0)</x:f>
        <x:v>0.03791887125220458</x:v>
      </x:c>
      <x:c r="L890" s="95" t="n">
        <x:v>43</x:v>
      </x:c>
      <x:c r="M890" s="97" t="n">
        <x:v>0.3605</x:v>
      </x:c>
      <x:c r="N890" s="97" t="n">
        <x:f>ROUND(L890*M890,2)</x:f>
        <x:v>15.5</x:v>
      </x:c>
      <x:c r="O890" s="94" t="n">
        <x:v>8</x:v>
      </x:c>
      <x:c r="P890" s="94" t="str">
        <x:v>模拟：Google/Microsoft Ads采购导入</x:v>
      </x:c>
    </x:row>
    <x:row r="891">
      <x:c r="A891" s="92" t="str">
        <x:v>PROC-0890</x:v>
      </x:c>
      <x:c r="B891" s="93" t="n">
        <x:v>46183</x:v>
      </x:c>
      <x:c r="C891" s="94" t="str">
        <x:v>Google Ads</x:v>
      </x:c>
      <x:c r="D891" s="94" t="str">
        <x:v>英国</x:v>
      </x:c>
      <x:c r="E891" s="94" t="str">
        <x:v>GGL-C12</x:v>
      </x:c>
      <x:c r="F891" s="94" t="str">
        <x:v>购物广告</x:v>
      </x:c>
      <x:c r="G891" s="94" t="str">
        <x:v>畅销商品</x:v>
      </x:c>
      <x:c r="H891" s="94" t="str">
        <x:v>移动端</x:v>
      </x:c>
      <x:c r="I891" s="94" t="str">
        <x:v>CPC</x:v>
      </x:c>
      <x:c r="J891" s="95" t="n">
        <x:v>1028</x:v>
      </x:c>
      <x:c r="K891" s="96" t="n">
        <x:f>IFERROR(L891/J891,0)</x:f>
        <x:v>0.04377431906614786</x:v>
      </x:c>
      <x:c r="L891" s="95" t="n">
        <x:v>45</x:v>
      </x:c>
      <x:c r="M891" s="97" t="n">
        <x:v>0.3655</x:v>
      </x:c>
      <x:c r="N891" s="97" t="n">
        <x:f>ROUND(L891*M891,2)</x:f>
        <x:v>16.45</x:v>
      </x:c>
      <x:c r="O891" s="94" t="n">
        <x:v>6</x:v>
      </x:c>
      <x:c r="P891" s="94" t="str">
        <x:v>模拟：Google/Microsoft Ads采购导入</x:v>
      </x:c>
    </x:row>
    <x:row r="892">
      <x:c r="A892" s="92" t="str">
        <x:v>PROC-0891</x:v>
      </x:c>
      <x:c r="B892" s="93" t="n">
        <x:v>46184</x:v>
      </x:c>
      <x:c r="C892" s="94" t="str">
        <x:v>Microsoft Ads</x:v>
      </x:c>
      <x:c r="D892" s="94" t="str">
        <x:v>英国</x:v>
      </x:c>
      <x:c r="E892" s="94" t="str">
        <x:v>MSA-C16</x:v>
      </x:c>
      <x:c r="F892" s="94" t="str">
        <x:v>竞品搜索</x:v>
      </x:c>
      <x:c r="G892" s="94" t="str">
        <x:v>更优选择</x:v>
      </x:c>
      <x:c r="H892" s="94" t="str">
        <x:v>桌面端</x:v>
      </x:c>
      <x:c r="I892" s="94" t="str">
        <x:v>CPC</x:v>
      </x:c>
      <x:c r="J892" s="95" t="n">
        <x:v>835</x:v>
      </x:c>
      <x:c r="K892" s="96" t="n">
        <x:f>IFERROR(L892/J892,0)</x:f>
        <x:v>0.03473053892215569</x:v>
      </x:c>
      <x:c r="L892" s="95" t="n">
        <x:v>29</x:v>
      </x:c>
      <x:c r="M892" s="97" t="n">
        <x:v>0.3075</x:v>
      </x:c>
      <x:c r="N892" s="97" t="n">
        <x:f>ROUND(L892*M892,2)</x:f>
        <x:v>8.92</x:v>
      </x:c>
      <x:c r="O892" s="94" t="n">
        <x:v>6</x:v>
      </x:c>
      <x:c r="P892" s="94" t="str">
        <x:v>模拟：Google/Microsoft Ads采购导入</x:v>
      </x:c>
    </x:row>
    <x:row r="893">
      <x:c r="A893" s="92" t="str">
        <x:v>PROC-0892</x:v>
      </x:c>
      <x:c r="B893" s="93" t="n">
        <x:v>46184</x:v>
      </x:c>
      <x:c r="C893" s="94" t="str">
        <x:v>Google Ads</x:v>
      </x:c>
      <x:c r="D893" s="94" t="str">
        <x:v>美国</x:v>
      </x:c>
      <x:c r="E893" s="94" t="str">
        <x:v>GGL-C24</x:v>
      </x:c>
      <x:c r="F893" s="94" t="str">
        <x:v>品牌搜索</x:v>
      </x:c>
      <x:c r="G893" s="94" t="str">
        <x:v>品牌购买词</x:v>
      </x:c>
      <x:c r="H893" s="94" t="str">
        <x:v>移动端</x:v>
      </x:c>
      <x:c r="I893" s="94" t="str">
        <x:v>CPC</x:v>
      </x:c>
      <x:c r="J893" s="95" t="n">
        <x:v>1467</x:v>
      </x:c>
      <x:c r="K893" s="96" t="n">
        <x:f>IFERROR(L893/J893,0)</x:f>
        <x:v>0.05657805044308112</x:v>
      </x:c>
      <x:c r="L893" s="95" t="n">
        <x:v>83</x:v>
      </x:c>
      <x:c r="M893" s="97" t="n">
        <x:v>0.2061</x:v>
      </x:c>
      <x:c r="N893" s="97" t="n">
        <x:f>ROUND(L893*M893,2)</x:f>
        <x:v>17.11</x:v>
      </x:c>
      <x:c r="O893" s="94" t="n">
        <x:v>9</x:v>
      </x:c>
      <x:c r="P893" s="94" t="str">
        <x:v>模拟：Google/Microsoft Ads采购导入</x:v>
      </x:c>
    </x:row>
    <x:row r="894">
      <x:c r="A894" s="92" t="str">
        <x:v>PROC-0893</x:v>
      </x:c>
      <x:c r="B894" s="93" t="n">
        <x:v>46184</x:v>
      </x:c>
      <x:c r="C894" s="94" t="str">
        <x:v>Google Ads</x:v>
      </x:c>
      <x:c r="D894" s="94" t="str">
        <x:v>美国</x:v>
      </x:c>
      <x:c r="E894" s="94" t="str">
        <x:v>GGL-C06</x:v>
      </x:c>
      <x:c r="F894" s="94" t="str">
        <x:v>品牌搜索</x:v>
      </x:c>
      <x:c r="G894" s="94" t="str">
        <x:v>品牌评测词</x:v>
      </x:c>
      <x:c r="H894" s="94" t="str">
        <x:v>移动端</x:v>
      </x:c>
      <x:c r="I894" s="94" t="str">
        <x:v>CPC</x:v>
      </x:c>
      <x:c r="J894" s="95" t="n">
        <x:v>913</x:v>
      </x:c>
      <x:c r="K894" s="96" t="n">
        <x:f>IFERROR(L894/J894,0)</x:f>
        <x:v>0.06571741511500548</x:v>
      </x:c>
      <x:c r="L894" s="95" t="n">
        <x:v>60</x:v>
      </x:c>
      <x:c r="M894" s="97" t="n">
        <x:v>0.2426</x:v>
      </x:c>
      <x:c r="N894" s="97" t="n">
        <x:f>ROUND(L894*M894,2)</x:f>
        <x:v>14.56</x:v>
      </x:c>
      <x:c r="O894" s="94" t="n">
        <x:v>7</x:v>
      </x:c>
      <x:c r="P894" s="94" t="str">
        <x:v>模拟：Google/Microsoft Ads采购导入</x:v>
      </x:c>
    </x:row>
    <x:row r="895">
      <x:c r="A895" s="92" t="str">
        <x:v>PROC-0894</x:v>
      </x:c>
      <x:c r="B895" s="93" t="n">
        <x:v>46184</x:v>
      </x:c>
      <x:c r="C895" s="94" t="str">
        <x:v>Google Ads</x:v>
      </x:c>
      <x:c r="D895" s="94" t="str">
        <x:v>英国</x:v>
      </x:c>
      <x:c r="E895" s="94" t="str">
        <x:v>GGL-C13</x:v>
      </x:c>
      <x:c r="F895" s="94" t="str">
        <x:v>通用搜索</x:v>
      </x:c>
      <x:c r="G895" s="94" t="str">
        <x:v>实用礼物</x:v>
      </x:c>
      <x:c r="H895" s="94" t="str">
        <x:v>移动端</x:v>
      </x:c>
      <x:c r="I895" s="94" t="str">
        <x:v>CPC</x:v>
      </x:c>
      <x:c r="J895" s="95" t="n">
        <x:v>1342</x:v>
      </x:c>
      <x:c r="K895" s="96" t="n">
        <x:f>IFERROR(L895/J895,0)</x:f>
        <x:v>0.03278688524590164</x:v>
      </x:c>
      <x:c r="L895" s="95" t="n">
        <x:v>44</x:v>
      </x:c>
      <x:c r="M895" s="97" t="n">
        <x:v>0.2627</x:v>
      </x:c>
      <x:c r="N895" s="97" t="n">
        <x:f>ROUND(L895*M895,2)</x:f>
        <x:v>11.56</x:v>
      </x:c>
      <x:c r="O895" s="94" t="n">
        <x:v>6</x:v>
      </x:c>
      <x:c r="P895" s="94" t="str">
        <x:v>模拟：Google/Microsoft Ads采购导入</x:v>
      </x:c>
    </x:row>
    <x:row r="896">
      <x:c r="A896" s="92" t="str">
        <x:v>PROC-0895</x:v>
      </x:c>
      <x:c r="B896" s="93" t="n">
        <x:v>46184</x:v>
      </x:c>
      <x:c r="C896" s="94" t="str">
        <x:v>Microsoft Ads</x:v>
      </x:c>
      <x:c r="D896" s="94" t="str">
        <x:v>美国</x:v>
      </x:c>
      <x:c r="E896" s="94" t="str">
        <x:v>MSA-C21</x:v>
      </x:c>
      <x:c r="F896" s="94" t="str">
        <x:v>通用搜索</x:v>
      </x:c>
      <x:c r="G896" s="94" t="str">
        <x:v>专业精选</x:v>
      </x:c>
      <x:c r="H896" s="94" t="str">
        <x:v>移动端</x:v>
      </x:c>
      <x:c r="I896" s="94" t="str">
        <x:v>CPC</x:v>
      </x:c>
      <x:c r="J896" s="95" t="n">
        <x:v>1024</x:v>
      </x:c>
      <x:c r="K896" s="96" t="n">
        <x:f>IFERROR(L896/J896,0)</x:f>
        <x:v>0.0341796875</x:v>
      </x:c>
      <x:c r="L896" s="95" t="n">
        <x:v>35</x:v>
      </x:c>
      <x:c r="M896" s="97" t="n">
        <x:v>0.2114</x:v>
      </x:c>
      <x:c r="N896" s="97" t="n">
        <x:f>ROUND(L896*M896,2)</x:f>
        <x:v>7.4</x:v>
      </x:c>
      <x:c r="O896" s="94" t="n">
        <x:v>7</x:v>
      </x:c>
      <x:c r="P896" s="94" t="str">
        <x:v>模拟：Google/Microsoft Ads采购导入</x:v>
      </x:c>
    </x:row>
    <x:row r="897">
      <x:c r="A897" s="92" t="str">
        <x:v>PROC-0896</x:v>
      </x:c>
      <x:c r="B897" s="93" t="n">
        <x:v>46184</x:v>
      </x:c>
      <x:c r="C897" s="94" t="str">
        <x:v>Google Ads</x:v>
      </x:c>
      <x:c r="D897" s="94" t="str">
        <x:v>美国</x:v>
      </x:c>
      <x:c r="E897" s="94" t="str">
        <x:v>GGL-C03</x:v>
      </x:c>
      <x:c r="F897" s="94" t="str">
        <x:v>通用搜索</x:v>
      </x:c>
      <x:c r="G897" s="94" t="str">
        <x:v>热门新品</x:v>
      </x:c>
      <x:c r="H897" s="94" t="str">
        <x:v>移动端</x:v>
      </x:c>
      <x:c r="I897" s="94" t="str">
        <x:v>CPC</x:v>
      </x:c>
      <x:c r="J897" s="95" t="n">
        <x:v>1223</x:v>
      </x:c>
      <x:c r="K897" s="96" t="n">
        <x:f>IFERROR(L897/J897,0)</x:f>
        <x:v>0.03107113654946852</x:v>
      </x:c>
      <x:c r="L897" s="95" t="n">
        <x:v>38</x:v>
      </x:c>
      <x:c r="M897" s="97" t="n">
        <x:v>0.3381</x:v>
      </x:c>
      <x:c r="N897" s="97" t="n">
        <x:f>ROUND(L897*M897,2)</x:f>
        <x:v>12.85</x:v>
      </x:c>
      <x:c r="O897" s="94" t="n">
        <x:v>7</x:v>
      </x:c>
      <x:c r="P897" s="94" t="str">
        <x:v>模拟：Google/Microsoft Ads采购导入</x:v>
      </x:c>
    </x:row>
    <x:row r="898">
      <x:c r="A898" s="92" t="str">
        <x:v>PROC-0897</x:v>
      </x:c>
      <x:c r="B898" s="93" t="n">
        <x:v>46185</x:v>
      </x:c>
      <x:c r="C898" s="94" t="str">
        <x:v>Google Ads</x:v>
      </x:c>
      <x:c r="D898" s="94" t="str">
        <x:v>德国</x:v>
      </x:c>
      <x:c r="E898" s="94" t="str">
        <x:v>GGL-C11</x:v>
      </x:c>
      <x:c r="F898" s="94" t="str">
        <x:v>购物广告</x:v>
      </x:c>
      <x:c r="G898" s="94" t="str">
        <x:v>折扣商品</x:v>
      </x:c>
      <x:c r="H898" s="94" t="str">
        <x:v>桌面端</x:v>
      </x:c>
      <x:c r="I898" s="94" t="str">
        <x:v>CPC</x:v>
      </x:c>
      <x:c r="J898" s="95" t="n">
        <x:v>1073</x:v>
      </x:c>
      <x:c r="K898" s="96" t="n">
        <x:f>IFERROR(L898/J898,0)</x:f>
        <x:v>0.03727865796831314</x:v>
      </x:c>
      <x:c r="L898" s="95" t="n">
        <x:v>40</x:v>
      </x:c>
      <x:c r="M898" s="97" t="n">
        <x:v>0.3278</x:v>
      </x:c>
      <x:c r="N898" s="97" t="n">
        <x:f>ROUND(L898*M898,2)</x:f>
        <x:v>13.11</x:v>
      </x:c>
      <x:c r="O898" s="94" t="n">
        <x:v>6</x:v>
      </x:c>
      <x:c r="P898" s="94" t="str">
        <x:v>模拟：Google/Microsoft Ads采购导入</x:v>
      </x:c>
    </x:row>
    <x:row r="899">
      <x:c r="A899" s="92" t="str">
        <x:v>PROC-0898</x:v>
      </x:c>
      <x:c r="B899" s="93" t="n">
        <x:v>46185</x:v>
      </x:c>
      <x:c r="C899" s="94" t="str">
        <x:v>Google Ads</x:v>
      </x:c>
      <x:c r="D899" s="94" t="str">
        <x:v>美国</x:v>
      </x:c>
      <x:c r="E899" s="94" t="str">
        <x:v>GGL-C16</x:v>
      </x:c>
      <x:c r="F899" s="94" t="str">
        <x:v>购物广告</x:v>
      </x:c>
      <x:c r="G899" s="94" t="str">
        <x:v>畅销商品</x:v>
      </x:c>
      <x:c r="H899" s="94" t="str">
        <x:v>桌面端</x:v>
      </x:c>
      <x:c r="I899" s="94" t="str">
        <x:v>CPC</x:v>
      </x:c>
      <x:c r="J899" s="95" t="n">
        <x:v>1037</x:v>
      </x:c>
      <x:c r="K899" s="96" t="n">
        <x:f>IFERROR(L899/J899,0)</x:f>
        <x:v>0.04918032786885246</x:v>
      </x:c>
      <x:c r="L899" s="95" t="n">
        <x:v>51</x:v>
      </x:c>
      <x:c r="M899" s="97" t="n">
        <x:v>0.3217</x:v>
      </x:c>
      <x:c r="N899" s="97" t="n">
        <x:f>ROUND(L899*M899,2)</x:f>
        <x:v>16.41</x:v>
      </x:c>
      <x:c r="O899" s="94" t="n">
        <x:v>9</x:v>
      </x:c>
      <x:c r="P899" s="94" t="str">
        <x:v>模拟：Google/Microsoft Ads采购导入</x:v>
      </x:c>
    </x:row>
    <x:row r="900">
      <x:c r="A900" s="92" t="str">
        <x:v>PROC-0899</x:v>
      </x:c>
      <x:c r="B900" s="93" t="n">
        <x:v>46185</x:v>
      </x:c>
      <x:c r="C900" s="94" t="str">
        <x:v>Google Ads</x:v>
      </x:c>
      <x:c r="D900" s="94" t="str">
        <x:v>美国</x:v>
      </x:c>
      <x:c r="E900" s="94" t="str">
        <x:v>GGL-C24</x:v>
      </x:c>
      <x:c r="F900" s="94" t="str">
        <x:v>品牌搜索</x:v>
      </x:c>
      <x:c r="G900" s="94" t="str">
        <x:v>品牌配件词</x:v>
      </x:c>
      <x:c r="H900" s="94" t="str">
        <x:v>移动端</x:v>
      </x:c>
      <x:c r="I900" s="94" t="str">
        <x:v>CPC</x:v>
      </x:c>
      <x:c r="J900" s="95" t="n">
        <x:v>1040</x:v>
      </x:c>
      <x:c r="K900" s="96" t="n">
        <x:f>IFERROR(L900/J900,0)</x:f>
        <x:v>0.06346153846153846</x:v>
      </x:c>
      <x:c r="L900" s="95" t="n">
        <x:v>66</x:v>
      </x:c>
      <x:c r="M900" s="97" t="n">
        <x:v>0.2687</x:v>
      </x:c>
      <x:c r="N900" s="97" t="n">
        <x:f>ROUND(L900*M900,2)</x:f>
        <x:v>17.73</x:v>
      </x:c>
      <x:c r="O900" s="94" t="n">
        <x:v>10</x:v>
      </x:c>
      <x:c r="P900" s="94" t="str">
        <x:v>模拟：Google/Microsoft Ads采购导入</x:v>
      </x:c>
    </x:row>
    <x:row r="901">
      <x:c r="A901" s="92" t="str">
        <x:v>PROC-0900</x:v>
      </x:c>
      <x:c r="B901" s="93" t="n">
        <x:v>46185</x:v>
      </x:c>
      <x:c r="C901" s="94" t="str">
        <x:v>Microsoft Ads</x:v>
      </x:c>
      <x:c r="D901" s="94" t="str">
        <x:v>德国</x:v>
      </x:c>
      <x:c r="E901" s="94" t="str">
        <x:v>MSA-C08</x:v>
      </x:c>
      <x:c r="F901" s="94" t="str">
        <x:v>竞品搜索</x:v>
      </x:c>
      <x:c r="G901" s="94" t="str">
        <x:v>更优选择</x:v>
      </x:c>
      <x:c r="H901" s="94" t="str">
        <x:v>移动端</x:v>
      </x:c>
      <x:c r="I901" s="94" t="str">
        <x:v>CPC</x:v>
      </x:c>
      <x:c r="J901" s="95" t="n">
        <x:v>571</x:v>
      </x:c>
      <x:c r="K901" s="96" t="n">
        <x:f>IFERROR(L901/J901,0)</x:f>
        <x:v>0.03327495621716287</x:v>
      </x:c>
      <x:c r="L901" s="95" t="n">
        <x:v>19</x:v>
      </x:c>
      <x:c r="M901" s="97" t="n">
        <x:v>0.2928</x:v>
      </x:c>
      <x:c r="N901" s="97" t="n">
        <x:f>ROUND(L901*M901,2)</x:f>
        <x:v>5.56</x:v>
      </x:c>
      <x:c r="O901" s="94" t="n">
        <x:v>8</x:v>
      </x:c>
      <x:c r="P901" s="94" t="str">
        <x:v>模拟：Google/Microsoft Ads采购导入</x:v>
      </x:c>
    </x:row>
    <x:row r="902">
      <x:c r="A902" s="92" t="str">
        <x:v>PROC-0901</x:v>
      </x:c>
      <x:c r="B902" s="93" t="n">
        <x:v>46185</x:v>
      </x:c>
      <x:c r="C902" s="94" t="str">
        <x:v>Microsoft Ads</x:v>
      </x:c>
      <x:c r="D902" s="94" t="str">
        <x:v>美国</x:v>
      </x:c>
      <x:c r="E902" s="94" t="str">
        <x:v>MSA-C13</x:v>
      </x:c>
      <x:c r="F902" s="94" t="str">
        <x:v>通用搜索</x:v>
      </x:c>
      <x:c r="G902" s="94" t="str">
        <x:v>热门新品</x:v>
      </x:c>
      <x:c r="H902" s="94" t="str">
        <x:v>移动端</x:v>
      </x:c>
      <x:c r="I902" s="94" t="str">
        <x:v>CPC</x:v>
      </x:c>
      <x:c r="J902" s="95" t="n">
        <x:v>822</x:v>
      </x:c>
      <x:c r="K902" s="96" t="n">
        <x:f>IFERROR(L902/J902,0)</x:f>
        <x:v>0.038929440389294405</x:v>
      </x:c>
      <x:c r="L902" s="95" t="n">
        <x:v>32</x:v>
      </x:c>
      <x:c r="M902" s="97" t="n">
        <x:v>0.2434</x:v>
      </x:c>
      <x:c r="N902" s="97" t="n">
        <x:f>ROUND(L902*M902,2)</x:f>
        <x:v>7.79</x:v>
      </x:c>
      <x:c r="O902" s="94" t="n">
        <x:v>7</x:v>
      </x:c>
      <x:c r="P902" s="94" t="str">
        <x:v>模拟：Google/Microsoft Ads采购导入</x:v>
      </x:c>
    </x:row>
    <x:row r="903">
      <x:c r="A903" s="92" t="str">
        <x:v>PROC-0902</x:v>
      </x:c>
      <x:c r="B903" s="93" t="n">
        <x:v>46186</x:v>
      </x:c>
      <x:c r="C903" s="94" t="str">
        <x:v>Microsoft Ads</x:v>
      </x:c>
      <x:c r="D903" s="94" t="str">
        <x:v>德国</x:v>
      </x:c>
      <x:c r="E903" s="94" t="str">
        <x:v>MSA-C20</x:v>
      </x:c>
      <x:c r="F903" s="94" t="str">
        <x:v>品牌搜索</x:v>
      </x:c>
      <x:c r="G903" s="94" t="str">
        <x:v>品牌型号词</x:v>
      </x:c>
      <x:c r="H903" s="94" t="str">
        <x:v>桌面端</x:v>
      </x:c>
      <x:c r="I903" s="94" t="str">
        <x:v>CPC</x:v>
      </x:c>
      <x:c r="J903" s="95" t="n">
        <x:v>1479</x:v>
      </x:c>
      <x:c r="K903" s="96" t="n">
        <x:f>IFERROR(L903/J903,0)</x:f>
        <x:v>0.052062204192021636</x:v>
      </x:c>
      <x:c r="L903" s="95" t="n">
        <x:v>77</x:v>
      </x:c>
      <x:c r="M903" s="97" t="n">
        <x:v>0.1445</x:v>
      </x:c>
      <x:c r="N903" s="97" t="n">
        <x:f>ROUND(L903*M903,2)</x:f>
        <x:v>11.13</x:v>
      </x:c>
      <x:c r="O903" s="94" t="n">
        <x:v>8</x:v>
      </x:c>
      <x:c r="P903" s="94" t="str">
        <x:v>模拟：Google/Microsoft Ads采购导入</x:v>
      </x:c>
    </x:row>
    <x:row r="904">
      <x:c r="A904" s="92" t="str">
        <x:v>PROC-0903</x:v>
      </x:c>
      <x:c r="B904" s="93" t="n">
        <x:v>46186</x:v>
      </x:c>
      <x:c r="C904" s="94" t="str">
        <x:v>Google Ads</x:v>
      </x:c>
      <x:c r="D904" s="94" t="str">
        <x:v>德国</x:v>
      </x:c>
      <x:c r="E904" s="94" t="str">
        <x:v>GGL-C03</x:v>
      </x:c>
      <x:c r="F904" s="94" t="str">
        <x:v>购物广告</x:v>
      </x:c>
      <x:c r="G904" s="94" t="str">
        <x:v>价格比较</x:v>
      </x:c>
      <x:c r="H904" s="94" t="str">
        <x:v>移动端</x:v>
      </x:c>
      <x:c r="I904" s="94" t="str">
        <x:v>CPC</x:v>
      </x:c>
      <x:c r="J904" s="95" t="n">
        <x:v>1198</x:v>
      </x:c>
      <x:c r="K904" s="96" t="n">
        <x:f>IFERROR(L904/J904,0)</x:f>
        <x:v>0.045075125208681135</x:v>
      </x:c>
      <x:c r="L904" s="95" t="n">
        <x:v>54</x:v>
      </x:c>
      <x:c r="M904" s="97" t="n">
        <x:v>0.2765</x:v>
      </x:c>
      <x:c r="N904" s="97" t="n">
        <x:f>ROUND(L904*M904,2)</x:f>
        <x:v>14.93</x:v>
      </x:c>
      <x:c r="O904" s="94" t="n">
        <x:v>8</x:v>
      </x:c>
      <x:c r="P904" s="94" t="str">
        <x:v>模拟：Google/Microsoft Ads采购导入</x:v>
      </x:c>
    </x:row>
    <x:row r="905">
      <x:c r="A905" s="92" t="str">
        <x:v>PROC-0904</x:v>
      </x:c>
      <x:c r="B905" s="93" t="n">
        <x:v>46186</x:v>
      </x:c>
      <x:c r="C905" s="94" t="str">
        <x:v>Google Ads</x:v>
      </x:c>
      <x:c r="D905" s="94" t="str">
        <x:v>美国</x:v>
      </x:c>
      <x:c r="E905" s="94" t="str">
        <x:v>GGL-C12</x:v>
      </x:c>
      <x:c r="F905" s="94" t="str">
        <x:v>购物广告</x:v>
      </x:c>
      <x:c r="G905" s="94" t="str">
        <x:v>高评分商品</x:v>
      </x:c>
      <x:c r="H905" s="94" t="str">
        <x:v>桌面端</x:v>
      </x:c>
      <x:c r="I905" s="94" t="str">
        <x:v>CPC</x:v>
      </x:c>
      <x:c r="J905" s="95" t="n">
        <x:v>1621</x:v>
      </x:c>
      <x:c r="K905" s="96" t="n">
        <x:f>IFERROR(L905/J905,0)</x:f>
        <x:v>0.04688463911165947</x:v>
      </x:c>
      <x:c r="L905" s="95" t="n">
        <x:v>76</x:v>
      </x:c>
      <x:c r="M905" s="97" t="n">
        <x:v>0.3974</x:v>
      </x:c>
      <x:c r="N905" s="97" t="n">
        <x:f>ROUND(L905*M905,2)</x:f>
        <x:v>30.2</x:v>
      </x:c>
      <x:c r="O905" s="94" t="n">
        <x:v>7</x:v>
      </x:c>
      <x:c r="P905" s="94" t="str">
        <x:v>模拟：Google/Microsoft Ads采购导入</x:v>
      </x:c>
    </x:row>
    <x:row r="906">
      <x:c r="A906" s="92" t="str">
        <x:v>PROC-0905</x:v>
      </x:c>
      <x:c r="B906" s="93" t="n">
        <x:v>46186</x:v>
      </x:c>
      <x:c r="C906" s="94" t="str">
        <x:v>Microsoft Ads</x:v>
      </x:c>
      <x:c r="D906" s="94" t="str">
        <x:v>美国</x:v>
      </x:c>
      <x:c r="E906" s="94" t="str">
        <x:v>MSA-C19</x:v>
      </x:c>
      <x:c r="F906" s="94" t="str">
        <x:v>购物广告</x:v>
      </x:c>
      <x:c r="G906" s="94" t="str">
        <x:v>高评分商品</x:v>
      </x:c>
      <x:c r="H906" s="94" t="str">
        <x:v>桌面端</x:v>
      </x:c>
      <x:c r="I906" s="94" t="str">
        <x:v>CPC</x:v>
      </x:c>
      <x:c r="J906" s="95" t="n">
        <x:v>1405</x:v>
      </x:c>
      <x:c r="K906" s="96" t="n">
        <x:f>IFERROR(L906/J906,0)</x:f>
        <x:v>0.05338078291814947</x:v>
      </x:c>
      <x:c r="L906" s="95" t="n">
        <x:v>75</x:v>
      </x:c>
      <x:c r="M906" s="97" t="n">
        <x:v>0.2352</x:v>
      </x:c>
      <x:c r="N906" s="97" t="n">
        <x:f>ROUND(L906*M906,2)</x:f>
        <x:v>17.64</x:v>
      </x:c>
      <x:c r="O906" s="94" t="n">
        <x:v>6</x:v>
      </x:c>
      <x:c r="P906" s="94" t="str">
        <x:v>模拟：Google/Microsoft Ads采购导入</x:v>
      </x:c>
    </x:row>
    <x:row r="907">
      <x:c r="A907" s="92" t="str">
        <x:v>PROC-0906</x:v>
      </x:c>
      <x:c r="B907" s="93" t="n">
        <x:v>46186</x:v>
      </x:c>
      <x:c r="C907" s="94" t="str">
        <x:v>Google Ads</x:v>
      </x:c>
      <x:c r="D907" s="94" t="str">
        <x:v>日本</x:v>
      </x:c>
      <x:c r="E907" s="94" t="str">
        <x:v>GGL-C02</x:v>
      </x:c>
      <x:c r="F907" s="94" t="str">
        <x:v>竞品搜索</x:v>
      </x:c>
      <x:c r="G907" s="94" t="str">
        <x:v>同类产品对比</x:v>
      </x:c>
      <x:c r="H907" s="94" t="str">
        <x:v>移动端</x:v>
      </x:c>
      <x:c r="I907" s="94" t="str">
        <x:v>CPC</x:v>
      </x:c>
      <x:c r="J907" s="95" t="n">
        <x:v>900</x:v>
      </x:c>
      <x:c r="K907" s="96" t="n">
        <x:f>IFERROR(L907/J907,0)</x:f>
        <x:v>0.03333333333333333</x:v>
      </x:c>
      <x:c r="L907" s="95" t="n">
        <x:v>30</x:v>
      </x:c>
      <x:c r="M907" s="97" t="n">
        <x:v>0.3422</x:v>
      </x:c>
      <x:c r="N907" s="97" t="n">
        <x:f>ROUND(L907*M907,2)</x:f>
        <x:v>10.27</x:v>
      </x:c>
      <x:c r="O907" s="94" t="n">
        <x:v>7</x:v>
      </x:c>
      <x:c r="P907" s="94" t="str">
        <x:v>模拟：Google/Microsoft Ads采购导入</x:v>
      </x:c>
    </x:row>
    <x:row r="908">
      <x:c r="A908" s="92" t="str">
        <x:v>PROC-0907</x:v>
      </x:c>
      <x:c r="B908" s="93" t="n">
        <x:v>46186</x:v>
      </x:c>
      <x:c r="C908" s="94" t="str">
        <x:v>Google Ads</x:v>
      </x:c>
      <x:c r="D908" s="94" t="str">
        <x:v>英国</x:v>
      </x:c>
      <x:c r="E908" s="94" t="str">
        <x:v>GGL-C08</x:v>
      </x:c>
      <x:c r="F908" s="94" t="str">
        <x:v>竞品搜索</x:v>
      </x:c>
      <x:c r="G908" s="94" t="str">
        <x:v>竞品评测</x:v>
      </x:c>
      <x:c r="H908" s="94" t="str">
        <x:v>移动端</x:v>
      </x:c>
      <x:c r="I908" s="94" t="str">
        <x:v>CPC</x:v>
      </x:c>
      <x:c r="J908" s="95" t="n">
        <x:v>1127</x:v>
      </x:c>
      <x:c r="K908" s="96" t="n">
        <x:f>IFERROR(L908/J908,0)</x:f>
        <x:v>0.03371783496007098</x:v>
      </x:c>
      <x:c r="L908" s="95" t="n">
        <x:v>38</x:v>
      </x:c>
      <x:c r="M908" s="97" t="n">
        <x:v>0.4661</x:v>
      </x:c>
      <x:c r="N908" s="97" t="n">
        <x:f>ROUND(L908*M908,2)</x:f>
        <x:v>17.71</x:v>
      </x:c>
      <x:c r="O908" s="94" t="n">
        <x:v>6</x:v>
      </x:c>
      <x:c r="P908" s="94" t="str">
        <x:v>模拟：Google/Microsoft Ads采购导入</x:v>
      </x:c>
    </x:row>
    <x:row r="909">
      <x:c r="A909" s="92" t="str">
        <x:v>PROC-0908</x:v>
      </x:c>
      <x:c r="B909" s="93" t="n">
        <x:v>46187</x:v>
      </x:c>
      <x:c r="C909" s="94" t="str">
        <x:v>Microsoft Ads</x:v>
      </x:c>
      <x:c r="D909" s="94" t="str">
        <x:v>德国</x:v>
      </x:c>
      <x:c r="E909" s="94" t="str">
        <x:v>MSA-C17</x:v>
      </x:c>
      <x:c r="F909" s="94" t="str">
        <x:v>通用搜索</x:v>
      </x:c>
      <x:c r="G909" s="94" t="str">
        <x:v>热门新品</x:v>
      </x:c>
      <x:c r="H909" s="94" t="str">
        <x:v>移动端</x:v>
      </x:c>
      <x:c r="I909" s="94" t="str">
        <x:v>CPC</x:v>
      </x:c>
      <x:c r="J909" s="95" t="n">
        <x:v>1048</x:v>
      </x:c>
      <x:c r="K909" s="96" t="n">
        <x:f>IFERROR(L909/J909,0)</x:f>
        <x:v>0.030534351145038167</x:v>
      </x:c>
      <x:c r="L909" s="95" t="n">
        <x:v>32</x:v>
      </x:c>
      <x:c r="M909" s="97" t="n">
        <x:v>0.1806</x:v>
      </x:c>
      <x:c r="N909" s="97" t="n">
        <x:f>ROUND(L909*M909,2)</x:f>
        <x:v>5.78</x:v>
      </x:c>
      <x:c r="O909" s="94" t="n">
        <x:v>7</x:v>
      </x:c>
      <x:c r="P909" s="94" t="str">
        <x:v>模拟：Google/Microsoft Ads采购导入</x:v>
      </x:c>
    </x:row>
    <x:row r="910">
      <x:c r="A910" s="92" t="str">
        <x:v>PROC-0909</x:v>
      </x:c>
      <x:c r="B910" s="93" t="n">
        <x:v>46187</x:v>
      </x:c>
      <x:c r="C910" s="94" t="str">
        <x:v>Microsoft Ads</x:v>
      </x:c>
      <x:c r="D910" s="94" t="str">
        <x:v>德国</x:v>
      </x:c>
      <x:c r="E910" s="94" t="str">
        <x:v>MSA-C01</x:v>
      </x:c>
      <x:c r="F910" s="94" t="str">
        <x:v>通用搜索</x:v>
      </x:c>
      <x:c r="G910" s="94" t="str">
        <x:v>高性价比商品</x:v>
      </x:c>
      <x:c r="H910" s="94" t="str">
        <x:v>移动端</x:v>
      </x:c>
      <x:c r="I910" s="94" t="str">
        <x:v>CPC</x:v>
      </x:c>
      <x:c r="J910" s="95" t="n">
        <x:v>1019</x:v>
      </x:c>
      <x:c r="K910" s="96" t="n">
        <x:f>IFERROR(L910/J910,0)</x:f>
        <x:v>0.04121687929342493</x:v>
      </x:c>
      <x:c r="L910" s="95" t="n">
        <x:v>42</x:v>
      </x:c>
      <x:c r="M910" s="97" t="n">
        <x:v>0.1828</x:v>
      </x:c>
      <x:c r="N910" s="97" t="n">
        <x:f>ROUND(L910*M910,2)</x:f>
        <x:v>7.68</x:v>
      </x:c>
      <x:c r="O910" s="94" t="n">
        <x:v>6</x:v>
      </x:c>
      <x:c r="P910" s="94" t="str">
        <x:v>模拟：Google/Microsoft Ads采购导入</x:v>
      </x:c>
    </x:row>
    <x:row r="911">
      <x:c r="A911" s="92" t="str">
        <x:v>PROC-0910</x:v>
      </x:c>
      <x:c r="B911" s="93" t="n">
        <x:v>46187</x:v>
      </x:c>
      <x:c r="C911" s="94" t="str">
        <x:v>Google Ads</x:v>
      </x:c>
      <x:c r="D911" s="94" t="str">
        <x:v>德国</x:v>
      </x:c>
      <x:c r="E911" s="94" t="str">
        <x:v>GGL-C05</x:v>
      </x:c>
      <x:c r="F911" s="94" t="str">
        <x:v>通用搜索</x:v>
      </x:c>
      <x:c r="G911" s="94" t="str">
        <x:v>高性价比商品</x:v>
      </x:c>
      <x:c r="H911" s="94" t="str">
        <x:v>移动端</x:v>
      </x:c>
      <x:c r="I911" s="94" t="str">
        <x:v>CPC</x:v>
      </x:c>
      <x:c r="J911" s="95" t="n">
        <x:v>716</x:v>
      </x:c>
      <x:c r="K911" s="96" t="n">
        <x:f>IFERROR(L911/J911,0)</x:f>
        <x:v>0.029329608938547486</x:v>
      </x:c>
      <x:c r="L911" s="95" t="n">
        <x:v>21</x:v>
      </x:c>
      <x:c r="M911" s="97" t="n">
        <x:v>0.2384</x:v>
      </x:c>
      <x:c r="N911" s="97" t="n">
        <x:f>ROUND(L911*M911,2)</x:f>
        <x:v>5.01</x:v>
      </x:c>
      <x:c r="O911" s="94" t="n">
        <x:v>7</x:v>
      </x:c>
      <x:c r="P911" s="94" t="str">
        <x:v>模拟：Google/Microsoft Ads采购导入</x:v>
      </x:c>
    </x:row>
    <x:row r="912">
      <x:c r="A912" s="92" t="str">
        <x:v>PROC-0911</x:v>
      </x:c>
      <x:c r="B912" s="93" t="n">
        <x:v>46187</x:v>
      </x:c>
      <x:c r="C912" s="94" t="str">
        <x:v>Google Ads</x:v>
      </x:c>
      <x:c r="D912" s="94" t="str">
        <x:v>德国</x:v>
      </x:c>
      <x:c r="E912" s="94" t="str">
        <x:v>GGL-C13</x:v>
      </x:c>
      <x:c r="F912" s="94" t="str">
        <x:v>购物广告</x:v>
      </x:c>
      <x:c r="G912" s="94" t="str">
        <x:v>价格比较</x:v>
      </x:c>
      <x:c r="H912" s="94" t="str">
        <x:v>移动端</x:v>
      </x:c>
      <x:c r="I912" s="94" t="str">
        <x:v>CPC</x:v>
      </x:c>
      <x:c r="J912" s="95" t="n">
        <x:v>1458</x:v>
      </x:c>
      <x:c r="K912" s="96" t="n">
        <x:f>IFERROR(L912/J912,0)</x:f>
        <x:v>0.04938271604938271</x:v>
      </x:c>
      <x:c r="L912" s="95" t="n">
        <x:v>72</x:v>
      </x:c>
      <x:c r="M912" s="97" t="n">
        <x:v>0.2797</x:v>
      </x:c>
      <x:c r="N912" s="97" t="n">
        <x:f>ROUND(L912*M912,2)</x:f>
        <x:v>20.14</x:v>
      </x:c>
      <x:c r="O912" s="94" t="n">
        <x:v>9</x:v>
      </x:c>
      <x:c r="P912" s="94" t="str">
        <x:v>模拟：Google/Microsoft Ads采购导入</x:v>
      </x:c>
    </x:row>
    <x:row r="913">
      <x:c r="A913" s="92" t="str">
        <x:v>PROC-0912</x:v>
      </x:c>
      <x:c r="B913" s="93" t="n">
        <x:v>46187</x:v>
      </x:c>
      <x:c r="C913" s="94" t="str">
        <x:v>Google Ads</x:v>
      </x:c>
      <x:c r="D913" s="94" t="str">
        <x:v>美国</x:v>
      </x:c>
      <x:c r="E913" s="94" t="str">
        <x:v>GGL-C19</x:v>
      </x:c>
      <x:c r="F913" s="94" t="str">
        <x:v>通用搜索</x:v>
      </x:c>
      <x:c r="G913" s="94" t="str">
        <x:v>专业精选</x:v>
      </x:c>
      <x:c r="H913" s="94" t="str">
        <x:v>移动端</x:v>
      </x:c>
      <x:c r="I913" s="94" t="str">
        <x:v>CPC</x:v>
      </x:c>
      <x:c r="J913" s="95" t="n">
        <x:v>1144</x:v>
      </x:c>
      <x:c r="K913" s="96" t="n">
        <x:f>IFERROR(L913/J913,0)</x:f>
        <x:v>0.04283216783216783</x:v>
      </x:c>
      <x:c r="L913" s="95" t="n">
        <x:v>49</x:v>
      </x:c>
      <x:c r="M913" s="97" t="n">
        <x:v>0.3125</x:v>
      </x:c>
      <x:c r="N913" s="97" t="n">
        <x:f>ROUND(L913*M913,2)</x:f>
        <x:v>15.31</x:v>
      </x:c>
      <x:c r="O913" s="94" t="n">
        <x:v>7</x:v>
      </x:c>
      <x:c r="P913" s="94" t="str">
        <x:v>模拟：Google/Microsoft Ads采购导入</x:v>
      </x:c>
    </x:row>
    <x:row r="914">
      <x:c r="A914" s="92" t="str">
        <x:v>PROC-0913</x:v>
      </x:c>
      <x:c r="B914" s="93" t="n">
        <x:v>46188</x:v>
      </x:c>
      <x:c r="C914" s="94" t="str">
        <x:v>Microsoft Ads</x:v>
      </x:c>
      <x:c r="D914" s="94" t="str">
        <x:v>日本</x:v>
      </x:c>
      <x:c r="E914" s="94" t="str">
        <x:v>MSA-C03</x:v>
      </x:c>
      <x:c r="F914" s="94" t="str">
        <x:v>竞品搜索</x:v>
      </x:c>
      <x:c r="G914" s="94" t="str">
        <x:v>替代品比较</x:v>
      </x:c>
      <x:c r="H914" s="94" t="str">
        <x:v>桌面端</x:v>
      </x:c>
      <x:c r="I914" s="94" t="str">
        <x:v>CPC</x:v>
      </x:c>
      <x:c r="J914" s="95" t="n">
        <x:v>840</x:v>
      </x:c>
      <x:c r="K914" s="96" t="n">
        <x:f>IFERROR(L914/J914,0)</x:f>
        <x:v>0.034523809523809526</x:v>
      </x:c>
      <x:c r="L914" s="95" t="n">
        <x:v>29</x:v>
      </x:c>
      <x:c r="M914" s="97" t="n">
        <x:v>0.3059</x:v>
      </x:c>
      <x:c r="N914" s="97" t="n">
        <x:f>ROUND(L914*M914,2)</x:f>
        <x:v>8.87</x:v>
      </x:c>
      <x:c r="O914" s="94" t="n">
        <x:v>8</x:v>
      </x:c>
      <x:c r="P914" s="94" t="str">
        <x:v>模拟：Google/Microsoft Ads采购导入</x:v>
      </x:c>
    </x:row>
    <x:row r="915">
      <x:c r="A915" s="92" t="str">
        <x:v>PROC-0914</x:v>
      </x:c>
      <x:c r="B915" s="93" t="n">
        <x:v>46188</x:v>
      </x:c>
      <x:c r="C915" s="94" t="str">
        <x:v>Google Ads</x:v>
      </x:c>
      <x:c r="D915" s="94" t="str">
        <x:v>英国</x:v>
      </x:c>
      <x:c r="E915" s="94" t="str">
        <x:v>GGL-C08</x:v>
      </x:c>
      <x:c r="F915" s="94" t="str">
        <x:v>竞品搜索</x:v>
      </x:c>
      <x:c r="G915" s="94" t="str">
        <x:v>更优选择</x:v>
      </x:c>
      <x:c r="H915" s="94" t="str">
        <x:v>移动端</x:v>
      </x:c>
      <x:c r="I915" s="94" t="str">
        <x:v>CPC</x:v>
      </x:c>
      <x:c r="J915" s="95" t="n">
        <x:v>1167</x:v>
      </x:c>
      <x:c r="K915" s="96" t="n">
        <x:f>IFERROR(L915/J915,0)</x:f>
        <x:v>0.03598971722365039</x:v>
      </x:c>
      <x:c r="L915" s="95" t="n">
        <x:v>42</x:v>
      </x:c>
      <x:c r="M915" s="97" t="n">
        <x:v>0.471</x:v>
      </x:c>
      <x:c r="N915" s="97" t="n">
        <x:f>ROUND(L915*M915,2)</x:f>
        <x:v>19.78</x:v>
      </x:c>
      <x:c r="O915" s="94" t="n">
        <x:v>8</x:v>
      </x:c>
      <x:c r="P915" s="94" t="str">
        <x:v>模拟：Google/Microsoft Ads采购导入</x:v>
      </x:c>
    </x:row>
    <x:row r="916">
      <x:c r="A916" s="92" t="str">
        <x:v>PROC-0915</x:v>
      </x:c>
      <x:c r="B916" s="93" t="n">
        <x:v>46188</x:v>
      </x:c>
      <x:c r="C916" s="94" t="str">
        <x:v>Microsoft Ads</x:v>
      </x:c>
      <x:c r="D916" s="94" t="str">
        <x:v>美国</x:v>
      </x:c>
      <x:c r="E916" s="94" t="str">
        <x:v>MSA-C16</x:v>
      </x:c>
      <x:c r="F916" s="94" t="str">
        <x:v>购物广告</x:v>
      </x:c>
      <x:c r="G916" s="94" t="str">
        <x:v>价格比较</x:v>
      </x:c>
      <x:c r="H916" s="94" t="str">
        <x:v>移动端</x:v>
      </x:c>
      <x:c r="I916" s="94" t="str">
        <x:v>CPC</x:v>
      </x:c>
      <x:c r="J916" s="95" t="n">
        <x:v>922</x:v>
      </x:c>
      <x:c r="K916" s="96" t="n">
        <x:f>IFERROR(L916/J916,0)</x:f>
        <x:v>0.0455531453362256</x:v>
      </x:c>
      <x:c r="L916" s="95" t="n">
        <x:v>42</x:v>
      </x:c>
      <x:c r="M916" s="97" t="n">
        <x:v>0.3186</x:v>
      </x:c>
      <x:c r="N916" s="97" t="n">
        <x:f>ROUND(L916*M916,2)</x:f>
        <x:v>13.38</x:v>
      </x:c>
      <x:c r="O916" s="94" t="n">
        <x:v>8</x:v>
      </x:c>
      <x:c r="P916" s="94" t="str">
        <x:v>模拟：Google/Microsoft Ads采购导入</x:v>
      </x:c>
    </x:row>
    <x:row r="917">
      <x:c r="A917" s="92" t="str">
        <x:v>PROC-0916</x:v>
      </x:c>
      <x:c r="B917" s="93" t="n">
        <x:v>46188</x:v>
      </x:c>
      <x:c r="C917" s="94" t="str">
        <x:v>Microsoft Ads</x:v>
      </x:c>
      <x:c r="D917" s="94" t="str">
        <x:v>美国</x:v>
      </x:c>
      <x:c r="E917" s="94" t="str">
        <x:v>MSA-C22</x:v>
      </x:c>
      <x:c r="F917" s="94" t="str">
        <x:v>购物广告</x:v>
      </x:c>
      <x:c r="G917" s="94" t="str">
        <x:v>折扣商品</x:v>
      </x:c>
      <x:c r="H917" s="94" t="str">
        <x:v>移动端</x:v>
      </x:c>
      <x:c r="I917" s="94" t="str">
        <x:v>CPC</x:v>
      </x:c>
      <x:c r="J917" s="95" t="n">
        <x:v>1013</x:v>
      </x:c>
      <x:c r="K917" s="96" t="n">
        <x:f>IFERROR(L917/J917,0)</x:f>
        <x:v>0.054294175715695954</x:v>
      </x:c>
      <x:c r="L917" s="95" t="n">
        <x:v>55</x:v>
      </x:c>
      <x:c r="M917" s="97" t="n">
        <x:v>0.294</x:v>
      </x:c>
      <x:c r="N917" s="97" t="n">
        <x:f>ROUND(L917*M917,2)</x:f>
        <x:v>16.17</x:v>
      </x:c>
      <x:c r="O917" s="94" t="n">
        <x:v>9</x:v>
      </x:c>
      <x:c r="P917" s="94" t="str">
        <x:v>模拟：Google/Microsoft Ads采购导入</x:v>
      </x:c>
    </x:row>
    <x:row r="918">
      <x:c r="A918" s="92" t="str">
        <x:v>PROC-0917</x:v>
      </x:c>
      <x:c r="B918" s="93" t="n">
        <x:v>46188</x:v>
      </x:c>
      <x:c r="C918" s="94" t="str">
        <x:v>Microsoft Ads</x:v>
      </x:c>
      <x:c r="D918" s="94" t="str">
        <x:v>美国</x:v>
      </x:c>
      <x:c r="E918" s="94" t="str">
        <x:v>MSA-C05</x:v>
      </x:c>
      <x:c r="F918" s="94" t="str">
        <x:v>品牌搜索</x:v>
      </x:c>
      <x:c r="G918" s="94" t="str">
        <x:v>品牌配件词</x:v>
      </x:c>
      <x:c r="H918" s="94" t="str">
        <x:v>移动端</x:v>
      </x:c>
      <x:c r="I918" s="94" t="str">
        <x:v>CPC</x:v>
      </x:c>
      <x:c r="J918" s="95" t="n">
        <x:v>1125</x:v>
      </x:c>
      <x:c r="K918" s="96" t="n">
        <x:f>IFERROR(L918/J918,0)</x:f>
        <x:v>0.058666666666666666</x:v>
      </x:c>
      <x:c r="L918" s="95" t="n">
        <x:v>66</x:v>
      </x:c>
      <x:c r="M918" s="97" t="n">
        <x:v>0.201</x:v>
      </x:c>
      <x:c r="N918" s="97" t="n">
        <x:f>ROUND(L918*M918,2)</x:f>
        <x:v>13.27</x:v>
      </x:c>
      <x:c r="O918" s="94" t="n">
        <x:v>9</x:v>
      </x:c>
      <x:c r="P918" s="94" t="str">
        <x:v>模拟：Google/Microsoft Ads采购导入</x:v>
      </x:c>
    </x:row>
    <x:row r="919">
      <x:c r="A919" s="92" t="str">
        <x:v>PROC-0918</x:v>
      </x:c>
      <x:c r="B919" s="93" t="n">
        <x:v>46188</x:v>
      </x:c>
      <x:c r="C919" s="94" t="str">
        <x:v>Google Ads</x:v>
      </x:c>
      <x:c r="D919" s="94" t="str">
        <x:v>德国</x:v>
      </x:c>
      <x:c r="E919" s="94" t="str">
        <x:v>GGL-C15</x:v>
      </x:c>
      <x:c r="F919" s="94" t="str">
        <x:v>通用搜索</x:v>
      </x:c>
      <x:c r="G919" s="94" t="str">
        <x:v>高性价比商品</x:v>
      </x:c>
      <x:c r="H919" s="94" t="str">
        <x:v>桌面端</x:v>
      </x:c>
      <x:c r="I919" s="94" t="str">
        <x:v>CPC</x:v>
      </x:c>
      <x:c r="J919" s="95" t="n">
        <x:v>1056</x:v>
      </x:c>
      <x:c r="K919" s="96" t="n">
        <x:f>IFERROR(L919/J919,0)</x:f>
        <x:v>0.03314393939393939</x:v>
      </x:c>
      <x:c r="L919" s="95" t="n">
        <x:v>35</x:v>
      </x:c>
      <x:c r="M919" s="97" t="n">
        <x:v>0.3164</x:v>
      </x:c>
      <x:c r="N919" s="97" t="n">
        <x:f>ROUND(L919*M919,2)</x:f>
        <x:v>11.07</x:v>
      </x:c>
      <x:c r="O919" s="94" t="n">
        <x:v>7</x:v>
      </x:c>
      <x:c r="P919" s="94" t="str">
        <x:v>模拟：Google/Microsoft Ads采购导入</x:v>
      </x:c>
    </x:row>
    <x:row r="920">
      <x:c r="A920" s="92" t="str">
        <x:v>PROC-0919</x:v>
      </x:c>
      <x:c r="B920" s="93" t="n">
        <x:v>46189</x:v>
      </x:c>
      <x:c r="C920" s="94" t="str">
        <x:v>Google Ads</x:v>
      </x:c>
      <x:c r="D920" s="94" t="str">
        <x:v>美国</x:v>
      </x:c>
      <x:c r="E920" s="94" t="str">
        <x:v>GGL-C23</x:v>
      </x:c>
      <x:c r="F920" s="94" t="str">
        <x:v>购物广告</x:v>
      </x:c>
      <x:c r="G920" s="94" t="str">
        <x:v>高评分商品</x:v>
      </x:c>
      <x:c r="H920" s="94" t="str">
        <x:v>移动端</x:v>
      </x:c>
      <x:c r="I920" s="94" t="str">
        <x:v>CPC</x:v>
      </x:c>
      <x:c r="J920" s="95" t="n">
        <x:v>1418</x:v>
      </x:c>
      <x:c r="K920" s="96" t="n">
        <x:f>IFERROR(L920/J920,0)</x:f>
        <x:v>0.04442877291960508</x:v>
      </x:c>
      <x:c r="L920" s="95" t="n">
        <x:v>63</x:v>
      </x:c>
      <x:c r="M920" s="97" t="n">
        <x:v>0.3663</x:v>
      </x:c>
      <x:c r="N920" s="97" t="n">
        <x:f>ROUND(L920*M920,2)</x:f>
        <x:v>23.08</x:v>
      </x:c>
      <x:c r="O920" s="94" t="n">
        <x:v>6</x:v>
      </x:c>
      <x:c r="P920" s="94" t="str">
        <x:v>模拟：Google/Microsoft Ads采购导入</x:v>
      </x:c>
    </x:row>
    <x:row r="921">
      <x:c r="A921" s="92" t="str">
        <x:v>PROC-0920</x:v>
      </x:c>
      <x:c r="B921" s="93" t="n">
        <x:v>46189</x:v>
      </x:c>
      <x:c r="C921" s="94" t="str">
        <x:v>Microsoft Ads</x:v>
      </x:c>
      <x:c r="D921" s="94" t="str">
        <x:v>美国</x:v>
      </x:c>
      <x:c r="E921" s="94" t="str">
        <x:v>MSA-C02</x:v>
      </x:c>
      <x:c r="F921" s="94" t="str">
        <x:v>通用搜索</x:v>
      </x:c>
      <x:c r="G921" s="94" t="str">
        <x:v>专业精选</x:v>
      </x:c>
      <x:c r="H921" s="94" t="str">
        <x:v>移动端</x:v>
      </x:c>
      <x:c r="I921" s="94" t="str">
        <x:v>CPC</x:v>
      </x:c>
      <x:c r="J921" s="95" t="n">
        <x:v>680</x:v>
      </x:c>
      <x:c r="K921" s="96" t="n">
        <x:f>IFERROR(L921/J921,0)</x:f>
        <x:v>0.039705882352941174</x:v>
      </x:c>
      <x:c r="L921" s="95" t="n">
        <x:v>27</x:v>
      </x:c>
      <x:c r="M921" s="97" t="n">
        <x:v>0.2694</x:v>
      </x:c>
      <x:c r="N921" s="97" t="n">
        <x:f>ROUND(L921*M921,2)</x:f>
        <x:v>7.27</x:v>
      </x:c>
      <x:c r="O921" s="94" t="n">
        <x:v>7</x:v>
      </x:c>
      <x:c r="P921" s="94" t="str">
        <x:v>模拟：Google/Microsoft Ads采购导入</x:v>
      </x:c>
    </x:row>
    <x:row r="922">
      <x:c r="A922" s="92" t="str">
        <x:v>PROC-0921</x:v>
      </x:c>
      <x:c r="B922" s="93" t="n">
        <x:v>46189</x:v>
      </x:c>
      <x:c r="C922" s="94" t="str">
        <x:v>Microsoft Ads</x:v>
      </x:c>
      <x:c r="D922" s="94" t="str">
        <x:v>美国</x:v>
      </x:c>
      <x:c r="E922" s="94" t="str">
        <x:v>MSA-C11</x:v>
      </x:c>
      <x:c r="F922" s="94" t="str">
        <x:v>通用搜索</x:v>
      </x:c>
      <x:c r="G922" s="94" t="str">
        <x:v>热门新品</x:v>
      </x:c>
      <x:c r="H922" s="94" t="str">
        <x:v>移动端</x:v>
      </x:c>
      <x:c r="I922" s="94" t="str">
        <x:v>CPC</x:v>
      </x:c>
      <x:c r="J922" s="95" t="n">
        <x:v>1256</x:v>
      </x:c>
      <x:c r="K922" s="96" t="n">
        <x:f>IFERROR(L922/J922,0)</x:f>
        <x:v>0.03264331210191083</x:v>
      </x:c>
      <x:c r="L922" s="95" t="n">
        <x:v>41</x:v>
      </x:c>
      <x:c r="M922" s="97" t="n">
        <x:v>0.2517</x:v>
      </x:c>
      <x:c r="N922" s="97" t="n">
        <x:f>ROUND(L922*M922,2)</x:f>
        <x:v>10.32</x:v>
      </x:c>
      <x:c r="O922" s="94" t="n">
        <x:v>6</x:v>
      </x:c>
      <x:c r="P922" s="94" t="str">
        <x:v>模拟：Google/Microsoft Ads采购导入</x:v>
      </x:c>
    </x:row>
    <x:row r="923">
      <x:c r="A923" s="92" t="str">
        <x:v>PROC-0922</x:v>
      </x:c>
      <x:c r="B923" s="93" t="n">
        <x:v>46189</x:v>
      </x:c>
      <x:c r="C923" s="94" t="str">
        <x:v>Google Ads</x:v>
      </x:c>
      <x:c r="D923" s="94" t="str">
        <x:v>英国</x:v>
      </x:c>
      <x:c r="E923" s="94" t="str">
        <x:v>GGL-C16</x:v>
      </x:c>
      <x:c r="F923" s="94" t="str">
        <x:v>通用搜索</x:v>
      </x:c>
      <x:c r="G923" s="94" t="str">
        <x:v>热门新品</x:v>
      </x:c>
      <x:c r="H923" s="94" t="str">
        <x:v>桌面端</x:v>
      </x:c>
      <x:c r="I923" s="94" t="str">
        <x:v>CPC</x:v>
      </x:c>
      <x:c r="J923" s="95" t="n">
        <x:v>1142</x:v>
      </x:c>
      <x:c r="K923" s="96" t="n">
        <x:f>IFERROR(L923/J923,0)</x:f>
        <x:v>0.04115586690017513</x:v>
      </x:c>
      <x:c r="L923" s="95" t="n">
        <x:v>47</x:v>
      </x:c>
      <x:c r="M923" s="97" t="n">
        <x:v>0.3067</x:v>
      </x:c>
      <x:c r="N923" s="97" t="n">
        <x:f>ROUND(L923*M923,2)</x:f>
        <x:v>14.41</x:v>
      </x:c>
      <x:c r="O923" s="94" t="n">
        <x:v>9</x:v>
      </x:c>
      <x:c r="P923" s="94" t="str">
        <x:v>模拟：Google/Microsoft Ads采购导入</x:v>
      </x:c>
    </x:row>
    <x:row r="924">
      <x:c r="A924" s="92" t="str">
        <x:v>PROC-0923</x:v>
      </x:c>
      <x:c r="B924" s="93" t="n">
        <x:v>46189</x:v>
      </x:c>
      <x:c r="C924" s="94" t="str">
        <x:v>Microsoft Ads</x:v>
      </x:c>
      <x:c r="D924" s="94" t="str">
        <x:v>德国</x:v>
      </x:c>
      <x:c r="E924" s="94" t="str">
        <x:v>MSA-C23</x:v>
      </x:c>
      <x:c r="F924" s="94" t="str">
        <x:v>品牌搜索</x:v>
      </x:c>
      <x:c r="G924" s="94" t="str">
        <x:v>品牌型号词</x:v>
      </x:c>
      <x:c r="H924" s="94" t="str">
        <x:v>桌面端</x:v>
      </x:c>
      <x:c r="I924" s="94" t="str">
        <x:v>CPC</x:v>
      </x:c>
      <x:c r="J924" s="95" t="n">
        <x:v>1064</x:v>
      </x:c>
      <x:c r="K924" s="96" t="n">
        <x:f>IFERROR(L924/J924,0)</x:f>
        <x:v>0.06015037593984962</x:v>
      </x:c>
      <x:c r="L924" s="95" t="n">
        <x:v>64</x:v>
      </x:c>
      <x:c r="M924" s="97" t="n">
        <x:v>0.1399</x:v>
      </x:c>
      <x:c r="N924" s="97" t="n">
        <x:f>ROUND(L924*M924,2)</x:f>
        <x:v>8.95</x:v>
      </x:c>
      <x:c r="O924" s="94" t="n">
        <x:v>7</x:v>
      </x:c>
      <x:c r="P924" s="94" t="str">
        <x:v>模拟：Google/Microsoft Ads采购导入</x:v>
      </x:c>
    </x:row>
    <x:row r="925">
      <x:c r="A925" s="92" t="str">
        <x:v>PROC-0924</x:v>
      </x:c>
      <x:c r="B925" s="93" t="n">
        <x:v>46190</x:v>
      </x:c>
      <x:c r="C925" s="94" t="str">
        <x:v>Google Ads</x:v>
      </x:c>
      <x:c r="D925" s="94" t="str">
        <x:v>美国</x:v>
      </x:c>
      <x:c r="E925" s="94" t="str">
        <x:v>GGL-C09</x:v>
      </x:c>
      <x:c r="F925" s="94" t="str">
        <x:v>通用搜索</x:v>
      </x:c>
      <x:c r="G925" s="94" t="str">
        <x:v>家庭必备</x:v>
      </x:c>
      <x:c r="H925" s="94" t="str">
        <x:v>桌面端</x:v>
      </x:c>
      <x:c r="I925" s="94" t="str">
        <x:v>CPC</x:v>
      </x:c>
      <x:c r="J925" s="95" t="n">
        <x:v>1102</x:v>
      </x:c>
      <x:c r="K925" s="96" t="n">
        <x:f>IFERROR(L925/J925,0)</x:f>
        <x:v>0.04083484573502722</x:v>
      </x:c>
      <x:c r="L925" s="95" t="n">
        <x:v>45</x:v>
      </x:c>
      <x:c r="M925" s="97" t="n">
        <x:v>0.3713</x:v>
      </x:c>
      <x:c r="N925" s="97" t="n">
        <x:f>ROUND(L925*M925,2)</x:f>
        <x:v>16.71</x:v>
      </x:c>
      <x:c r="O925" s="94" t="n">
        <x:v>9</x:v>
      </x:c>
      <x:c r="P925" s="94" t="str">
        <x:v>模拟：Google/Microsoft Ads采购导入</x:v>
      </x:c>
    </x:row>
    <x:row r="926">
      <x:c r="A926" s="92" t="str">
        <x:v>PROC-0925</x:v>
      </x:c>
      <x:c r="B926" s="93" t="n">
        <x:v>46190</x:v>
      </x:c>
      <x:c r="C926" s="94" t="str">
        <x:v>Google Ads</x:v>
      </x:c>
      <x:c r="D926" s="94" t="str">
        <x:v>英国</x:v>
      </x:c>
      <x:c r="E926" s="94" t="str">
        <x:v>GGL-C15</x:v>
      </x:c>
      <x:c r="F926" s="94" t="str">
        <x:v>购物广告</x:v>
      </x:c>
      <x:c r="G926" s="94" t="str">
        <x:v>畅销商品</x:v>
      </x:c>
      <x:c r="H926" s="94" t="str">
        <x:v>移动端</x:v>
      </x:c>
      <x:c r="I926" s="94" t="str">
        <x:v>CPC</x:v>
      </x:c>
      <x:c r="J926" s="95" t="n">
        <x:v>1712</x:v>
      </x:c>
      <x:c r="K926" s="96" t="n">
        <x:f>IFERROR(L926/J926,0)</x:f>
        <x:v>0.04205607476635514</x:v>
      </x:c>
      <x:c r="L926" s="95" t="n">
        <x:v>72</x:v>
      </x:c>
      <x:c r="M926" s="97" t="n">
        <x:v>0.3287</x:v>
      </x:c>
      <x:c r="N926" s="97" t="n">
        <x:f>ROUND(L926*M926,2)</x:f>
        <x:v>23.67</x:v>
      </x:c>
      <x:c r="O926" s="94" t="n">
        <x:v>8</x:v>
      </x:c>
      <x:c r="P926" s="94" t="str">
        <x:v>模拟：Google/Microsoft Ads采购导入</x:v>
      </x:c>
    </x:row>
    <x:row r="927">
      <x:c r="A927" s="92" t="str">
        <x:v>PROC-0926</x:v>
      </x:c>
      <x:c r="B927" s="93" t="n">
        <x:v>46190</x:v>
      </x:c>
      <x:c r="C927" s="94" t="str">
        <x:v>Microsoft Ads</x:v>
      </x:c>
      <x:c r="D927" s="94" t="str">
        <x:v>美国</x:v>
      </x:c>
      <x:c r="E927" s="94" t="str">
        <x:v>MSA-C24</x:v>
      </x:c>
      <x:c r="F927" s="94" t="str">
        <x:v>购物广告</x:v>
      </x:c>
      <x:c r="G927" s="94" t="str">
        <x:v>快速配送</x:v>
      </x:c>
      <x:c r="H927" s="94" t="str">
        <x:v>移动端</x:v>
      </x:c>
      <x:c r="I927" s="94" t="str">
        <x:v>CPC</x:v>
      </x:c>
      <x:c r="J927" s="95" t="n">
        <x:v>1626</x:v>
      </x:c>
      <x:c r="K927" s="96" t="n">
        <x:f>IFERROR(L927/J927,0)</x:f>
        <x:v>0.04551045510455105</x:v>
      </x:c>
      <x:c r="L927" s="95" t="n">
        <x:v>74</x:v>
      </x:c>
      <x:c r="M927" s="97" t="n">
        <x:v>0.2789</x:v>
      </x:c>
      <x:c r="N927" s="97" t="n">
        <x:f>ROUND(L927*M927,2)</x:f>
        <x:v>20.64</x:v>
      </x:c>
      <x:c r="O927" s="94" t="n">
        <x:v>6</x:v>
      </x:c>
      <x:c r="P927" s="94" t="str">
        <x:v>模拟：Google/Microsoft Ads采购导入</x:v>
      </x:c>
    </x:row>
    <x:row r="928">
      <x:c r="A928" s="92" t="str">
        <x:v>PROC-0927</x:v>
      </x:c>
      <x:c r="B928" s="93" t="n">
        <x:v>46190</x:v>
      </x:c>
      <x:c r="C928" s="94" t="str">
        <x:v>Google Ads</x:v>
      </x:c>
      <x:c r="D928" s="94" t="str">
        <x:v>美国</x:v>
      </x:c>
      <x:c r="E928" s="94" t="str">
        <x:v>GGL-C03</x:v>
      </x:c>
      <x:c r="F928" s="94" t="str">
        <x:v>购物广告</x:v>
      </x:c>
      <x:c r="G928" s="94" t="str">
        <x:v>畅销商品</x:v>
      </x:c>
      <x:c r="H928" s="94" t="str">
        <x:v>移动端</x:v>
      </x:c>
      <x:c r="I928" s="94" t="str">
        <x:v>CPC</x:v>
      </x:c>
      <x:c r="J928" s="95" t="n">
        <x:v>793</x:v>
      </x:c>
      <x:c r="K928" s="96" t="n">
        <x:f>IFERROR(L928/J928,0)</x:f>
        <x:v>0.05296343001261034</x:v>
      </x:c>
      <x:c r="L928" s="95" t="n">
        <x:v>42</x:v>
      </x:c>
      <x:c r="M928" s="97" t="n">
        <x:v>0.3619</x:v>
      </x:c>
      <x:c r="N928" s="97" t="n">
        <x:f>ROUND(L928*M928,2)</x:f>
        <x:v>15.2</x:v>
      </x:c>
      <x:c r="O928" s="94" t="n">
        <x:v>6</x:v>
      </x:c>
      <x:c r="P928" s="94" t="str">
        <x:v>模拟：Google/Microsoft Ads采购导入</x:v>
      </x:c>
    </x:row>
    <x:row r="929">
      <x:c r="A929" s="92" t="str">
        <x:v>PROC-0928</x:v>
      </x:c>
      <x:c r="B929" s="93" t="n">
        <x:v>46190</x:v>
      </x:c>
      <x:c r="C929" s="94" t="str">
        <x:v>Google Ads</x:v>
      </x:c>
      <x:c r="D929" s="94" t="str">
        <x:v>美国</x:v>
      </x:c>
      <x:c r="E929" s="94" t="str">
        <x:v>GGL-C13</x:v>
      </x:c>
      <x:c r="F929" s="94" t="str">
        <x:v>竞品搜索</x:v>
      </x:c>
      <x:c r="G929" s="94" t="str">
        <x:v>价格替代</x:v>
      </x:c>
      <x:c r="H929" s="94" t="str">
        <x:v>移动端</x:v>
      </x:c>
      <x:c r="I929" s="94" t="str">
        <x:v>CPC</x:v>
      </x:c>
      <x:c r="J929" s="95" t="n">
        <x:v>1191</x:v>
      </x:c>
      <x:c r="K929" s="96" t="n">
        <x:f>IFERROR(L929/J929,0)</x:f>
        <x:v>0.02938706968933669</x:v>
      </x:c>
      <x:c r="L929" s="95" t="n">
        <x:v>35</x:v>
      </x:c>
      <x:c r="M929" s="97" t="n">
        <x:v>0.4908</x:v>
      </x:c>
      <x:c r="N929" s="97" t="n">
        <x:f>ROUND(L929*M929,2)</x:f>
        <x:v>17.18</x:v>
      </x:c>
      <x:c r="O929" s="94" t="n">
        <x:v>7</x:v>
      </x:c>
      <x:c r="P929" s="94" t="str">
        <x:v>模拟：Google/Microsoft Ads采购导入</x:v>
      </x:c>
    </x:row>
    <x:row r="930">
      <x:c r="A930" s="92" t="str">
        <x:v>PROC-0929</x:v>
      </x:c>
      <x:c r="B930" s="93" t="n">
        <x:v>46190</x:v>
      </x:c>
      <x:c r="C930" s="94" t="str">
        <x:v>Google Ads</x:v>
      </x:c>
      <x:c r="D930" s="94" t="str">
        <x:v>美国</x:v>
      </x:c>
      <x:c r="E930" s="94" t="str">
        <x:v>GGL-C20</x:v>
      </x:c>
      <x:c r="F930" s="94" t="str">
        <x:v>竞品搜索</x:v>
      </x:c>
      <x:c r="G930" s="94" t="str">
        <x:v>替代品比较</x:v>
      </x:c>
      <x:c r="H930" s="94" t="str">
        <x:v>平板</x:v>
      </x:c>
      <x:c r="I930" s="94" t="str">
        <x:v>CPC</x:v>
      </x:c>
      <x:c r="J930" s="95" t="n">
        <x:v>570</x:v>
      </x:c>
      <x:c r="K930" s="96" t="n">
        <x:f>IFERROR(L930/J930,0)</x:f>
        <x:v>0.03684210526315789</x:v>
      </x:c>
      <x:c r="L930" s="95" t="n">
        <x:v>21</x:v>
      </x:c>
      <x:c r="M930" s="97" t="n">
        <x:v>0.3872</x:v>
      </x:c>
      <x:c r="N930" s="97" t="n">
        <x:f>ROUND(L930*M930,2)</x:f>
        <x:v>8.13</x:v>
      </x:c>
      <x:c r="O930" s="94" t="n">
        <x:v>6</x:v>
      </x:c>
      <x:c r="P930" s="94" t="str">
        <x:v>模拟：Google/Microsoft Ads采购导入</x:v>
      </x:c>
    </x:row>
    <x:row r="931">
      <x:c r="A931" s="92" t="str">
        <x:v>PROC-0930</x:v>
      </x:c>
      <x:c r="B931" s="93" t="n">
        <x:v>46191</x:v>
      </x:c>
      <x:c r="C931" s="94" t="str">
        <x:v>Google Ads</x:v>
      </x:c>
      <x:c r="D931" s="94" t="str">
        <x:v>美国</x:v>
      </x:c>
      <x:c r="E931" s="94" t="str">
        <x:v>GGL-C03</x:v>
      </x:c>
      <x:c r="F931" s="94" t="str">
        <x:v>竞品搜索</x:v>
      </x:c>
      <x:c r="G931" s="94" t="str">
        <x:v>价格替代</x:v>
      </x:c>
      <x:c r="H931" s="94" t="str">
        <x:v>平板</x:v>
      </x:c>
      <x:c r="I931" s="94" t="str">
        <x:v>CPC</x:v>
      </x:c>
      <x:c r="J931" s="95" t="n">
        <x:v>797</x:v>
      </x:c>
      <x:c r="K931" s="96" t="n">
        <x:f>IFERROR(L931/J931,0)</x:f>
        <x:v>0.03136762860727729</x:v>
      </x:c>
      <x:c r="L931" s="95" t="n">
        <x:v>25</x:v>
      </x:c>
      <x:c r="M931" s="97" t="n">
        <x:v>0.3749</x:v>
      </x:c>
      <x:c r="N931" s="97" t="n">
        <x:f>ROUND(L931*M931,2)</x:f>
        <x:v>9.37</x:v>
      </x:c>
      <x:c r="O931" s="94" t="n">
        <x:v>7</x:v>
      </x:c>
      <x:c r="P931" s="94" t="str">
        <x:v>模拟：Google/Microsoft Ads采购导入</x:v>
      </x:c>
    </x:row>
    <x:row r="932">
      <x:c r="A932" s="92" t="str">
        <x:v>PROC-0931</x:v>
      </x:c>
      <x:c r="B932" s="93" t="n">
        <x:v>46191</x:v>
      </x:c>
      <x:c r="C932" s="94" t="str">
        <x:v>Google Ads</x:v>
      </x:c>
      <x:c r="D932" s="94" t="str">
        <x:v>日本</x:v>
      </x:c>
      <x:c r="E932" s="94" t="str">
        <x:v>GGL-C08</x:v>
      </x:c>
      <x:c r="F932" s="94" t="str">
        <x:v>竞品搜索</x:v>
      </x:c>
      <x:c r="G932" s="94" t="str">
        <x:v>竞品评测</x:v>
      </x:c>
      <x:c r="H932" s="94" t="str">
        <x:v>移动端</x:v>
      </x:c>
      <x:c r="I932" s="94" t="str">
        <x:v>CPC</x:v>
      </x:c>
      <x:c r="J932" s="95" t="n">
        <x:v>1055</x:v>
      </x:c>
      <x:c r="K932" s="96" t="n">
        <x:f>IFERROR(L932/J932,0)</x:f>
        <x:v>0.02843601895734597</x:v>
      </x:c>
      <x:c r="L932" s="95" t="n">
        <x:v>30</x:v>
      </x:c>
      <x:c r="M932" s="97" t="n">
        <x:v>0.3287</x:v>
      </x:c>
      <x:c r="N932" s="97" t="n">
        <x:f>ROUND(L932*M932,2)</x:f>
        <x:v>9.86</x:v>
      </x:c>
      <x:c r="O932" s="94" t="n">
        <x:v>7</x:v>
      </x:c>
      <x:c r="P932" s="94" t="str">
        <x:v>模拟：Google/Microsoft Ads采购导入</x:v>
      </x:c>
    </x:row>
    <x:row r="933">
      <x:c r="A933" s="92" t="str">
        <x:v>PROC-0932</x:v>
      </x:c>
      <x:c r="B933" s="93" t="n">
        <x:v>46191</x:v>
      </x:c>
      <x:c r="C933" s="94" t="str">
        <x:v>Google Ads</x:v>
      </x:c>
      <x:c r="D933" s="94" t="str">
        <x:v>美国</x:v>
      </x:c>
      <x:c r="E933" s="94" t="str">
        <x:v>GGL-C15</x:v>
      </x:c>
      <x:c r="F933" s="94" t="str">
        <x:v>品牌搜索</x:v>
      </x:c>
      <x:c r="G933" s="94" t="str">
        <x:v>品牌配件词</x:v>
      </x:c>
      <x:c r="H933" s="94" t="str">
        <x:v>桌面端</x:v>
      </x:c>
      <x:c r="I933" s="94" t="str">
        <x:v>CPC</x:v>
      </x:c>
      <x:c r="J933" s="95" t="n">
        <x:v>654</x:v>
      </x:c>
      <x:c r="K933" s="96" t="n">
        <x:f>IFERROR(L933/J933,0)</x:f>
        <x:v>0.06422018348623854</x:v>
      </x:c>
      <x:c r="L933" s="95" t="n">
        <x:v>42</x:v>
      </x:c>
      <x:c r="M933" s="97" t="n">
        <x:v>0.2347</x:v>
      </x:c>
      <x:c r="N933" s="97" t="n">
        <x:f>ROUND(L933*M933,2)</x:f>
        <x:v>9.86</x:v>
      </x:c>
      <x:c r="O933" s="94" t="n">
        <x:v>10</x:v>
      </x:c>
      <x:c r="P933" s="94" t="str">
        <x:v>模拟：Google/Microsoft Ads采购导入</x:v>
      </x:c>
    </x:row>
    <x:row r="934">
      <x:c r="A934" s="92" t="str">
        <x:v>PROC-0933</x:v>
      </x:c>
      <x:c r="B934" s="93" t="n">
        <x:v>46191</x:v>
      </x:c>
      <x:c r="C934" s="94" t="str">
        <x:v>Google Ads</x:v>
      </x:c>
      <x:c r="D934" s="94" t="str">
        <x:v>美国</x:v>
      </x:c>
      <x:c r="E934" s="94" t="str">
        <x:v>GGL-C21</x:v>
      </x:c>
      <x:c r="F934" s="94" t="str">
        <x:v>购物广告</x:v>
      </x:c>
      <x:c r="G934" s="94" t="str">
        <x:v>畅销商品</x:v>
      </x:c>
      <x:c r="H934" s="94" t="str">
        <x:v>桌面端</x:v>
      </x:c>
      <x:c r="I934" s="94" t="str">
        <x:v>CPC</x:v>
      </x:c>
      <x:c r="J934" s="95" t="n">
        <x:v>975</x:v>
      </x:c>
      <x:c r="K934" s="96" t="n">
        <x:f>IFERROR(L934/J934,0)</x:f>
        <x:v>0.048205128205128206</x:v>
      </x:c>
      <x:c r="L934" s="95" t="n">
        <x:v>47</x:v>
      </x:c>
      <x:c r="M934" s="97" t="n">
        <x:v>0.3048</x:v>
      </x:c>
      <x:c r="N934" s="97" t="n">
        <x:f>ROUND(L934*M934,2)</x:f>
        <x:v>14.33</x:v>
      </x:c>
      <x:c r="O934" s="94" t="n">
        <x:v>6</x:v>
      </x:c>
      <x:c r="P934" s="94" t="str">
        <x:v>模拟：Google/Microsoft Ads采购导入</x:v>
      </x:c>
    </x:row>
    <x:row r="935">
      <x:c r="A935" s="92" t="str">
        <x:v>PROC-0934</x:v>
      </x:c>
      <x:c r="B935" s="93" t="n">
        <x:v>46191</x:v>
      </x:c>
      <x:c r="C935" s="94" t="str">
        <x:v>Google Ads</x:v>
      </x:c>
      <x:c r="D935" s="94" t="str">
        <x:v>英国</x:v>
      </x:c>
      <x:c r="E935" s="94" t="str">
        <x:v>GGL-C06</x:v>
      </x:c>
      <x:c r="F935" s="94" t="str">
        <x:v>竞品搜索</x:v>
      </x:c>
      <x:c r="G935" s="94" t="str">
        <x:v>更优选择</x:v>
      </x:c>
      <x:c r="H935" s="94" t="str">
        <x:v>移动端</x:v>
      </x:c>
      <x:c r="I935" s="94" t="str">
        <x:v>CPC</x:v>
      </x:c>
      <x:c r="J935" s="95" t="n">
        <x:v>828</x:v>
      </x:c>
      <x:c r="K935" s="96" t="n">
        <x:f>IFERROR(L935/J935,0)</x:f>
        <x:v>0.035024154589371984</x:v>
      </x:c>
      <x:c r="L935" s="95" t="n">
        <x:v>29</x:v>
      </x:c>
      <x:c r="M935" s="97" t="n">
        <x:v>0.3391</x:v>
      </x:c>
      <x:c r="N935" s="97" t="n">
        <x:f>ROUND(L935*M935,2)</x:f>
        <x:v>9.83</x:v>
      </x:c>
      <x:c r="O935" s="94" t="n">
        <x:v>7</x:v>
      </x:c>
      <x:c r="P935" s="94" t="str">
        <x:v>模拟：Google/Microsoft Ads采购导入</x:v>
      </x:c>
    </x:row>
    <x:row r="936">
      <x:c r="A936" s="92" t="str">
        <x:v>PROC-0935</x:v>
      </x:c>
      <x:c r="B936" s="93" t="n">
        <x:v>46192</x:v>
      </x:c>
      <x:c r="C936" s="94" t="str">
        <x:v>Google Ads</x:v>
      </x:c>
      <x:c r="D936" s="94" t="str">
        <x:v>德国</x:v>
      </x:c>
      <x:c r="E936" s="94" t="str">
        <x:v>GGL-C14</x:v>
      </x:c>
      <x:c r="F936" s="94" t="str">
        <x:v>品牌搜索</x:v>
      </x:c>
      <x:c r="G936" s="94" t="str">
        <x:v>品牌型号词</x:v>
      </x:c>
      <x:c r="H936" s="94" t="str">
        <x:v>桌面端</x:v>
      </x:c>
      <x:c r="I936" s="94" t="str">
        <x:v>CPC</x:v>
      </x:c>
      <x:c r="J936" s="95" t="n">
        <x:v>874</x:v>
      </x:c>
      <x:c r="K936" s="96" t="n">
        <x:f>IFERROR(L936/J936,0)</x:f>
        <x:v>0.05835240274599542</x:v>
      </x:c>
      <x:c r="L936" s="95" t="n">
        <x:v>51</x:v>
      </x:c>
      <x:c r="M936" s="97" t="n">
        <x:v>0.2371</x:v>
      </x:c>
      <x:c r="N936" s="97" t="n">
        <x:f>ROUND(L936*M936,2)</x:f>
        <x:v>12.09</x:v>
      </x:c>
      <x:c r="O936" s="94" t="n">
        <x:v>8</x:v>
      </x:c>
      <x:c r="P936" s="94" t="str">
        <x:v>模拟：Google/Microsoft Ads采购导入</x:v>
      </x:c>
    </x:row>
    <x:row r="937">
      <x:c r="A937" s="92" t="str">
        <x:v>PROC-0936</x:v>
      </x:c>
      <x:c r="B937" s="93" t="n">
        <x:v>46192</x:v>
      </x:c>
      <x:c r="C937" s="94" t="str">
        <x:v>Microsoft Ads</x:v>
      </x:c>
      <x:c r="D937" s="94" t="str">
        <x:v>美国</x:v>
      </x:c>
      <x:c r="E937" s="94" t="str">
        <x:v>MSA-C20</x:v>
      </x:c>
      <x:c r="F937" s="94" t="str">
        <x:v>通用搜索</x:v>
      </x:c>
      <x:c r="G937" s="94" t="str">
        <x:v>实用礼物</x:v>
      </x:c>
      <x:c r="H937" s="94" t="str">
        <x:v>移动端</x:v>
      </x:c>
      <x:c r="I937" s="94" t="str">
        <x:v>CPC</x:v>
      </x:c>
      <x:c r="J937" s="95" t="n">
        <x:v>1466</x:v>
      </x:c>
      <x:c r="K937" s="96" t="n">
        <x:f>IFERROR(L937/J937,0)</x:f>
        <x:v>0.036834924965893585</x:v>
      </x:c>
      <x:c r="L937" s="95" t="n">
        <x:v>54</x:v>
      </x:c>
      <x:c r="M937" s="97" t="n">
        <x:v>0.2558</x:v>
      </x:c>
      <x:c r="N937" s="97" t="n">
        <x:f>ROUND(L937*M937,2)</x:f>
        <x:v>13.81</x:v>
      </x:c>
      <x:c r="O937" s="94" t="n">
        <x:v>6</x:v>
      </x:c>
      <x:c r="P937" s="94" t="str">
        <x:v>模拟：Google/Microsoft Ads采购导入</x:v>
      </x:c>
    </x:row>
    <x:row r="938">
      <x:c r="A938" s="92" t="str">
        <x:v>PROC-0937</x:v>
      </x:c>
      <x:c r="B938" s="93" t="n">
        <x:v>46192</x:v>
      </x:c>
      <x:c r="C938" s="94" t="str">
        <x:v>Microsoft Ads</x:v>
      </x:c>
      <x:c r="D938" s="94" t="str">
        <x:v>美国</x:v>
      </x:c>
      <x:c r="E938" s="94" t="str">
        <x:v>MSA-C04</x:v>
      </x:c>
      <x:c r="F938" s="94" t="str">
        <x:v>通用搜索</x:v>
      </x:c>
      <x:c r="G938" s="94" t="str">
        <x:v>专业精选</x:v>
      </x:c>
      <x:c r="H938" s="94" t="str">
        <x:v>桌面端</x:v>
      </x:c>
      <x:c r="I938" s="94" t="str">
        <x:v>CPC</x:v>
      </x:c>
      <x:c r="J938" s="95" t="n">
        <x:v>1237</x:v>
      </x:c>
      <x:c r="K938" s="96" t="n">
        <x:f>IFERROR(L938/J938,0)</x:f>
        <x:v>0.034761519805982216</x:v>
      </x:c>
      <x:c r="L938" s="95" t="n">
        <x:v>43</x:v>
      </x:c>
      <x:c r="M938" s="97" t="n">
        <x:v>0.2618</x:v>
      </x:c>
      <x:c r="N938" s="97" t="n">
        <x:f>ROUND(L938*M938,2)</x:f>
        <x:v>11.26</x:v>
      </x:c>
      <x:c r="O938" s="94" t="n">
        <x:v>6</x:v>
      </x:c>
      <x:c r="P938" s="94" t="str">
        <x:v>模拟：Google/Microsoft Ads采购导入</x:v>
      </x:c>
    </x:row>
    <x:row r="939">
      <x:c r="A939" s="92" t="str">
        <x:v>PROC-0938</x:v>
      </x:c>
      <x:c r="B939" s="93" t="n">
        <x:v>46192</x:v>
      </x:c>
      <x:c r="C939" s="94" t="str">
        <x:v>Google Ads</x:v>
      </x:c>
      <x:c r="D939" s="94" t="str">
        <x:v>美国</x:v>
      </x:c>
      <x:c r="E939" s="94" t="str">
        <x:v>GGL-C12</x:v>
      </x:c>
      <x:c r="F939" s="94" t="str">
        <x:v>通用搜索</x:v>
      </x:c>
      <x:c r="G939" s="94" t="str">
        <x:v>实用礼物</x:v>
      </x:c>
      <x:c r="H939" s="94" t="str">
        <x:v>移动端</x:v>
      </x:c>
      <x:c r="I939" s="94" t="str">
        <x:v>CPC</x:v>
      </x:c>
      <x:c r="J939" s="95" t="n">
        <x:v>711</x:v>
      </x:c>
      <x:c r="K939" s="96" t="n">
        <x:f>IFERROR(L939/J939,0)</x:f>
        <x:v>0.040787623066104076</x:v>
      </x:c>
      <x:c r="L939" s="95" t="n">
        <x:v>29</x:v>
      </x:c>
      <x:c r="M939" s="97" t="n">
        <x:v>0.3395</x:v>
      </x:c>
      <x:c r="N939" s="97" t="n">
        <x:f>ROUND(L939*M939,2)</x:f>
        <x:v>9.85</x:v>
      </x:c>
      <x:c r="O939" s="94" t="n">
        <x:v>6</x:v>
      </x:c>
      <x:c r="P939" s="94" t="str">
        <x:v>模拟：Google/Microsoft Ads采购导入</x:v>
      </x:c>
    </x:row>
    <x:row r="940">
      <x:c r="A940" s="92" t="str">
        <x:v>PROC-0939</x:v>
      </x:c>
      <x:c r="B940" s="93" t="n">
        <x:v>46192</x:v>
      </x:c>
      <x:c r="C940" s="94" t="str">
        <x:v>Microsoft Ads</x:v>
      </x:c>
      <x:c r="D940" s="94" t="str">
        <x:v>美国</x:v>
      </x:c>
      <x:c r="E940" s="94" t="str">
        <x:v>MSA-C19</x:v>
      </x:c>
      <x:c r="F940" s="94" t="str">
        <x:v>通用搜索</x:v>
      </x:c>
      <x:c r="G940" s="94" t="str">
        <x:v>专业精选</x:v>
      </x:c>
      <x:c r="H940" s="94" t="str">
        <x:v>桌面端</x:v>
      </x:c>
      <x:c r="I940" s="94" t="str">
        <x:v>CPC</x:v>
      </x:c>
      <x:c r="J940" s="95" t="n">
        <x:v>1128</x:v>
      </x:c>
      <x:c r="K940" s="96" t="n">
        <x:f>IFERROR(L940/J940,0)</x:f>
        <x:v>0.04343971631205674</x:v>
      </x:c>
      <x:c r="L940" s="95" t="n">
        <x:v>49</x:v>
      </x:c>
      <x:c r="M940" s="97" t="n">
        <x:v>0.2308</x:v>
      </x:c>
      <x:c r="N940" s="97" t="n">
        <x:f>ROUND(L940*M940,2)</x:f>
        <x:v>11.31</x:v>
      </x:c>
      <x:c r="O940" s="94" t="n">
        <x:v>6</x:v>
      </x:c>
      <x:c r="P940" s="94" t="str">
        <x:v>模拟：Google/Microsoft Ads采购导入</x:v>
      </x:c>
    </x:row>
    <x:row r="941">
      <x:c r="A941" s="92" t="str">
        <x:v>PROC-0940</x:v>
      </x:c>
      <x:c r="B941" s="93" t="n">
        <x:v>46192</x:v>
      </x:c>
      <x:c r="C941" s="94" t="str">
        <x:v>Google Ads</x:v>
      </x:c>
      <x:c r="D941" s="94" t="str">
        <x:v>德国</x:v>
      </x:c>
      <x:c r="E941" s="94" t="str">
        <x:v>GGL-C22</x:v>
      </x:c>
      <x:c r="F941" s="94" t="str">
        <x:v>通用搜索</x:v>
      </x:c>
      <x:c r="G941" s="94" t="str">
        <x:v>家庭必备</x:v>
      </x:c>
      <x:c r="H941" s="94" t="str">
        <x:v>移动端</x:v>
      </x:c>
      <x:c r="I941" s="94" t="str">
        <x:v>CPC</x:v>
      </x:c>
      <x:c r="J941" s="95" t="n">
        <x:v>711</x:v>
      </x:c>
      <x:c r="K941" s="96" t="n">
        <x:f>IFERROR(L941/J941,0)</x:f>
        <x:v>0.030942334739803096</x:v>
      </x:c>
      <x:c r="L941" s="95" t="n">
        <x:v>22</x:v>
      </x:c>
      <x:c r="M941" s="97" t="n">
        <x:v>0.2713</x:v>
      </x:c>
      <x:c r="N941" s="97" t="n">
        <x:f>ROUND(L941*M941,2)</x:f>
        <x:v>5.97</x:v>
      </x:c>
      <x:c r="O941" s="94" t="n">
        <x:v>8</x:v>
      </x:c>
      <x:c r="P941" s="94" t="str">
        <x:v>模拟：Google/Microsoft Ads采购导入</x:v>
      </x:c>
    </x:row>
    <x:row r="942">
      <x:c r="A942" s="92" t="str">
        <x:v>PROC-0941</x:v>
      </x:c>
      <x:c r="B942" s="93" t="n">
        <x:v>46193</x:v>
      </x:c>
      <x:c r="C942" s="94" t="str">
        <x:v>Google Ads</x:v>
      </x:c>
      <x:c r="D942" s="94" t="str">
        <x:v>英国</x:v>
      </x:c>
      <x:c r="E942" s="94" t="str">
        <x:v>GGL-C05</x:v>
      </x:c>
      <x:c r="F942" s="94" t="str">
        <x:v>竞品搜索</x:v>
      </x:c>
      <x:c r="G942" s="94" t="str">
        <x:v>价格替代</x:v>
      </x:c>
      <x:c r="H942" s="94" t="str">
        <x:v>移动端</x:v>
      </x:c>
      <x:c r="I942" s="94" t="str">
        <x:v>CPC</x:v>
      </x:c>
      <x:c r="J942" s="95" t="n">
        <x:v>568</x:v>
      </x:c>
      <x:c r="K942" s="96" t="n">
        <x:f>IFERROR(L942/J942,0)</x:f>
        <x:v>0.02992957746478873</x:v>
      </x:c>
      <x:c r="L942" s="95" t="n">
        <x:v>17</x:v>
      </x:c>
      <x:c r="M942" s="97" t="n">
        <x:v>0.4383</x:v>
      </x:c>
      <x:c r="N942" s="97" t="n">
        <x:f>ROUND(L942*M942,2)</x:f>
        <x:v>7.45</x:v>
      </x:c>
      <x:c r="O942" s="94" t="n">
        <x:v>7</x:v>
      </x:c>
      <x:c r="P942" s="94" t="str">
        <x:v>模拟：Google/Microsoft Ads采购导入</x:v>
      </x:c>
    </x:row>
    <x:row r="943">
      <x:c r="A943" s="92" t="str">
        <x:v>PROC-0942</x:v>
      </x:c>
      <x:c r="B943" s="93" t="n">
        <x:v>46193</x:v>
      </x:c>
      <x:c r="C943" s="94" t="str">
        <x:v>Google Ads</x:v>
      </x:c>
      <x:c r="D943" s="94" t="str">
        <x:v>英国</x:v>
      </x:c>
      <x:c r="E943" s="94" t="str">
        <x:v>GGL-C15</x:v>
      </x:c>
      <x:c r="F943" s="94" t="str">
        <x:v>竞品搜索</x:v>
      </x:c>
      <x:c r="G943" s="94" t="str">
        <x:v>同类产品对比</x:v>
      </x:c>
      <x:c r="H943" s="94" t="str">
        <x:v>移动端</x:v>
      </x:c>
      <x:c r="I943" s="94" t="str">
        <x:v>CPC</x:v>
      </x:c>
      <x:c r="J943" s="95" t="n">
        <x:v>557</x:v>
      </x:c>
      <x:c r="K943" s="96" t="n">
        <x:f>IFERROR(L943/J943,0)</x:f>
        <x:v>0.03590664272890485</x:v>
      </x:c>
      <x:c r="L943" s="95" t="n">
        <x:v>20</x:v>
      </x:c>
      <x:c r="M943" s="97" t="n">
        <x:v>0.4832</x:v>
      </x:c>
      <x:c r="N943" s="97" t="n">
        <x:f>ROUND(L943*M943,2)</x:f>
        <x:v>9.66</x:v>
      </x:c>
      <x:c r="O943" s="94" t="n">
        <x:v>7</x:v>
      </x:c>
      <x:c r="P943" s="94" t="str">
        <x:v>模拟：Google/Microsoft Ads采购导入</x:v>
      </x:c>
    </x:row>
    <x:row r="944">
      <x:c r="A944" s="92" t="str">
        <x:v>PROC-0943</x:v>
      </x:c>
      <x:c r="B944" s="93" t="n">
        <x:v>46193</x:v>
      </x:c>
      <x:c r="C944" s="94" t="str">
        <x:v>Microsoft Ads</x:v>
      </x:c>
      <x:c r="D944" s="94" t="str">
        <x:v>美国</x:v>
      </x:c>
      <x:c r="E944" s="94" t="str">
        <x:v>MSA-C20</x:v>
      </x:c>
      <x:c r="F944" s="94" t="str">
        <x:v>竞品搜索</x:v>
      </x:c>
      <x:c r="G944" s="94" t="str">
        <x:v>更优选择</x:v>
      </x:c>
      <x:c r="H944" s="94" t="str">
        <x:v>移动端</x:v>
      </x:c>
      <x:c r="I944" s="94" t="str">
        <x:v>CPC</x:v>
      </x:c>
      <x:c r="J944" s="95" t="n">
        <x:v>989</x:v>
      </x:c>
      <x:c r="K944" s="96" t="n">
        <x:f>IFERROR(L944/J944,0)</x:f>
        <x:v>0.03842264914054601</x:v>
      </x:c>
      <x:c r="L944" s="95" t="n">
        <x:v>38</x:v>
      </x:c>
      <x:c r="M944" s="97" t="n">
        <x:v>0.3219</x:v>
      </x:c>
      <x:c r="N944" s="97" t="n">
        <x:f>ROUND(L944*M944,2)</x:f>
        <x:v>12.23</x:v>
      </x:c>
      <x:c r="O944" s="94" t="n">
        <x:v>7</x:v>
      </x:c>
      <x:c r="P944" s="94" t="str">
        <x:v>模拟：Google/Microsoft Ads采购导入</x:v>
      </x:c>
    </x:row>
    <x:row r="945">
      <x:c r="A945" s="92" t="str">
        <x:v>PROC-0944</x:v>
      </x:c>
      <x:c r="B945" s="93" t="n">
        <x:v>46193</x:v>
      </x:c>
      <x:c r="C945" s="94" t="str">
        <x:v>Google Ads</x:v>
      </x:c>
      <x:c r="D945" s="94" t="str">
        <x:v>美国</x:v>
      </x:c>
      <x:c r="E945" s="94" t="str">
        <x:v>GGL-C03</x:v>
      </x:c>
      <x:c r="F945" s="94" t="str">
        <x:v>通用搜索</x:v>
      </x:c>
      <x:c r="G945" s="94" t="str">
        <x:v>热门新品</x:v>
      </x:c>
      <x:c r="H945" s="94" t="str">
        <x:v>平板</x:v>
      </x:c>
      <x:c r="I945" s="94" t="str">
        <x:v>CPC</x:v>
      </x:c>
      <x:c r="J945" s="95" t="n">
        <x:v>1126</x:v>
      </x:c>
      <x:c r="K945" s="96" t="n">
        <x:f>IFERROR(L945/J945,0)</x:f>
        <x:v>0.03285968028419183</x:v>
      </x:c>
      <x:c r="L945" s="95" t="n">
        <x:v>37</x:v>
      </x:c>
      <x:c r="M945" s="97" t="n">
        <x:v>0.2898</x:v>
      </x:c>
      <x:c r="N945" s="97" t="n">
        <x:f>ROUND(L945*M945,2)</x:f>
        <x:v>10.72</x:v>
      </x:c>
      <x:c r="O945" s="94" t="n">
        <x:v>7</x:v>
      </x:c>
      <x:c r="P945" s="94" t="str">
        <x:v>模拟：Google/Microsoft Ads采购导入</x:v>
      </x:c>
    </x:row>
    <x:row r="946">
      <x:c r="A946" s="92" t="str">
        <x:v>PROC-0945</x:v>
      </x:c>
      <x:c r="B946" s="93" t="n">
        <x:v>46193</x:v>
      </x:c>
      <x:c r="C946" s="94" t="str">
        <x:v>Google Ads</x:v>
      </x:c>
      <x:c r="D946" s="94" t="str">
        <x:v>美国</x:v>
      </x:c>
      <x:c r="E946" s="94" t="str">
        <x:v>GGL-C12</x:v>
      </x:c>
      <x:c r="F946" s="94" t="str">
        <x:v>竞品搜索</x:v>
      </x:c>
      <x:c r="G946" s="94" t="str">
        <x:v>竞品评测</x:v>
      </x:c>
      <x:c r="H946" s="94" t="str">
        <x:v>平板</x:v>
      </x:c>
      <x:c r="I946" s="94" t="str">
        <x:v>CPC</x:v>
      </x:c>
      <x:c r="J946" s="95" t="n">
        <x:v>745</x:v>
      </x:c>
      <x:c r="K946" s="96" t="n">
        <x:f>IFERROR(L946/J946,0)</x:f>
        <x:v>0.036241610738255034</x:v>
      </x:c>
      <x:c r="L946" s="95" t="n">
        <x:v>27</x:v>
      </x:c>
      <x:c r="M946" s="97" t="n">
        <x:v>0.4004</x:v>
      </x:c>
      <x:c r="N946" s="97" t="n">
        <x:f>ROUND(L946*M946,2)</x:f>
        <x:v>10.81</x:v>
      </x:c>
      <x:c r="O946" s="94" t="n">
        <x:v>7</x:v>
      </x:c>
      <x:c r="P946" s="94" t="str">
        <x:v>模拟：Google/Microsoft Ads采购导入</x:v>
      </x:c>
    </x:row>
    <x:row r="947">
      <x:c r="A947" s="92" t="str">
        <x:v>PROC-0946</x:v>
      </x:c>
      <x:c r="B947" s="93" t="n">
        <x:v>46194</x:v>
      </x:c>
      <x:c r="C947" s="94" t="str">
        <x:v>Google Ads</x:v>
      </x:c>
      <x:c r="D947" s="94" t="str">
        <x:v>日本</x:v>
      </x:c>
      <x:c r="E947" s="94" t="str">
        <x:v>GGL-C16</x:v>
      </x:c>
      <x:c r="F947" s="94" t="str">
        <x:v>品牌搜索</x:v>
      </x:c>
      <x:c r="G947" s="94" t="str">
        <x:v>品牌配件词</x:v>
      </x:c>
      <x:c r="H947" s="94" t="str">
        <x:v>移动端</x:v>
      </x:c>
      <x:c r="I947" s="94" t="str">
        <x:v>CPC</x:v>
      </x:c>
      <x:c r="J947" s="95" t="n">
        <x:v>1132</x:v>
      </x:c>
      <x:c r="K947" s="96" t="n">
        <x:f>IFERROR(L947/J947,0)</x:f>
        <x:v>0.04946996466431095</x:v>
      </x:c>
      <x:c r="L947" s="95" t="n">
        <x:v>56</x:v>
      </x:c>
      <x:c r="M947" s="97" t="n">
        <x:v>0.2055</x:v>
      </x:c>
      <x:c r="N947" s="97" t="n">
        <x:f>ROUND(L947*M947,2)</x:f>
        <x:v>11.51</x:v>
      </x:c>
      <x:c r="O947" s="94" t="n">
        <x:v>9</x:v>
      </x:c>
      <x:c r="P947" s="94" t="str">
        <x:v>模拟：Google/Microsoft Ads采购导入</x:v>
      </x:c>
    </x:row>
    <x:row r="948">
      <x:c r="A948" s="92" t="str">
        <x:v>PROC-0947</x:v>
      </x:c>
      <x:c r="B948" s="93" t="n">
        <x:v>46194</x:v>
      </x:c>
      <x:c r="C948" s="94" t="str">
        <x:v>Google Ads</x:v>
      </x:c>
      <x:c r="D948" s="94" t="str">
        <x:v>日本</x:v>
      </x:c>
      <x:c r="E948" s="94" t="str">
        <x:v>GGL-C24</x:v>
      </x:c>
      <x:c r="F948" s="94" t="str">
        <x:v>品牌搜索</x:v>
      </x:c>
      <x:c r="G948" s="94" t="str">
        <x:v>品牌购买词</x:v>
      </x:c>
      <x:c r="H948" s="94" t="str">
        <x:v>桌面端</x:v>
      </x:c>
      <x:c r="I948" s="94" t="str">
        <x:v>CPC</x:v>
      </x:c>
      <x:c r="J948" s="95" t="n">
        <x:v>1446</x:v>
      </x:c>
      <x:c r="K948" s="96" t="n">
        <x:f>IFERROR(L948/J948,0)</x:f>
        <x:v>0.06016597510373444</x:v>
      </x:c>
      <x:c r="L948" s="95" t="n">
        <x:v>87</x:v>
      </x:c>
      <x:c r="M948" s="97" t="n">
        <x:v>0.2225</x:v>
      </x:c>
      <x:c r="N948" s="97" t="n">
        <x:f>ROUND(L948*M948,2)</x:f>
        <x:v>19.36</x:v>
      </x:c>
      <x:c r="O948" s="94" t="n">
        <x:v>9</x:v>
      </x:c>
      <x:c r="P948" s="94" t="str">
        <x:v>模拟：Google/Microsoft Ads采购导入</x:v>
      </x:c>
    </x:row>
    <x:row r="949">
      <x:c r="A949" s="92" t="str">
        <x:v>PROC-0948</x:v>
      </x:c>
      <x:c r="B949" s="93" t="n">
        <x:v>46194</x:v>
      </x:c>
      <x:c r="C949" s="94" t="str">
        <x:v>Google Ads</x:v>
      </x:c>
      <x:c r="D949" s="94" t="str">
        <x:v>美国</x:v>
      </x:c>
      <x:c r="E949" s="94" t="str">
        <x:v>GGL-C06</x:v>
      </x:c>
      <x:c r="F949" s="94" t="str">
        <x:v>品牌搜索</x:v>
      </x:c>
      <x:c r="G949" s="94" t="str">
        <x:v>品牌优惠词</x:v>
      </x:c>
      <x:c r="H949" s="94" t="str">
        <x:v>移动端</x:v>
      </x:c>
      <x:c r="I949" s="94" t="str">
        <x:v>CPC</x:v>
      </x:c>
      <x:c r="J949" s="95" t="n">
        <x:v>834</x:v>
      </x:c>
      <x:c r="K949" s="96" t="n">
        <x:f>IFERROR(L949/J949,0)</x:f>
        <x:v>0.05275779376498801</x:v>
      </x:c>
      <x:c r="L949" s="95" t="n">
        <x:v>44</x:v>
      </x:c>
      <x:c r="M949" s="97" t="n">
        <x:v>0.267</x:v>
      </x:c>
      <x:c r="N949" s="97" t="n">
        <x:f>ROUND(L949*M949,2)</x:f>
        <x:v>11.75</x:v>
      </x:c>
      <x:c r="O949" s="94" t="n">
        <x:v>9</x:v>
      </x:c>
      <x:c r="P949" s="94" t="str">
        <x:v>模拟：Google/Microsoft Ads采购导入</x:v>
      </x:c>
    </x:row>
    <x:row r="950">
      <x:c r="A950" s="92" t="str">
        <x:v>PROC-0949</x:v>
      </x:c>
      <x:c r="B950" s="93" t="n">
        <x:v>46194</x:v>
      </x:c>
      <x:c r="C950" s="94" t="str">
        <x:v>Google Ads</x:v>
      </x:c>
      <x:c r="D950" s="94" t="str">
        <x:v>美国</x:v>
      </x:c>
      <x:c r="E950" s="94" t="str">
        <x:v>GGL-C14</x:v>
      </x:c>
      <x:c r="F950" s="94" t="str">
        <x:v>通用搜索</x:v>
      </x:c>
      <x:c r="G950" s="94" t="str">
        <x:v>家庭必备</x:v>
      </x:c>
      <x:c r="H950" s="94" t="str">
        <x:v>移动端</x:v>
      </x:c>
      <x:c r="I950" s="94" t="str">
        <x:v>CPC</x:v>
      </x:c>
      <x:c r="J950" s="95" t="n">
        <x:v>1417</x:v>
      </x:c>
      <x:c r="K950" s="96" t="n">
        <x:f>IFERROR(L950/J950,0)</x:f>
        <x:v>0.040931545518701484</x:v>
      </x:c>
      <x:c r="L950" s="95" t="n">
        <x:v>58</x:v>
      </x:c>
      <x:c r="M950" s="97" t="n">
        <x:v>0.2972</x:v>
      </x:c>
      <x:c r="N950" s="97" t="n">
        <x:f>ROUND(L950*M950,2)</x:f>
        <x:v>17.24</x:v>
      </x:c>
      <x:c r="O950" s="94" t="n">
        <x:v>8</x:v>
      </x:c>
      <x:c r="P950" s="94" t="str">
        <x:v>模拟：Google/Microsoft Ads采购导入</x:v>
      </x:c>
    </x:row>
    <x:row r="951">
      <x:c r="A951" s="92" t="str">
        <x:v>PROC-0950</x:v>
      </x:c>
      <x:c r="B951" s="93" t="n">
        <x:v>46194</x:v>
      </x:c>
      <x:c r="C951" s="94" t="str">
        <x:v>Google Ads</x:v>
      </x:c>
      <x:c r="D951" s="94" t="str">
        <x:v>德国</x:v>
      </x:c>
      <x:c r="E951" s="94" t="str">
        <x:v>GGL-C24</x:v>
      </x:c>
      <x:c r="F951" s="94" t="str">
        <x:v>购物广告</x:v>
      </x:c>
      <x:c r="G951" s="94" t="str">
        <x:v>快速配送</x:v>
      </x:c>
      <x:c r="H951" s="94" t="str">
        <x:v>桌面端</x:v>
      </x:c>
      <x:c r="I951" s="94" t="str">
        <x:v>CPC</x:v>
      </x:c>
      <x:c r="J951" s="95" t="n">
        <x:v>725</x:v>
      </x:c>
      <x:c r="K951" s="96" t="n">
        <x:f>IFERROR(L951/J951,0)</x:f>
        <x:v>0.04551724137931035</x:v>
      </x:c>
      <x:c r="L951" s="95" t="n">
        <x:v>33</x:v>
      </x:c>
      <x:c r="M951" s="97" t="n">
        <x:v>0.3176</x:v>
      </x:c>
      <x:c r="N951" s="97" t="n">
        <x:f>ROUND(L951*M951,2)</x:f>
        <x:v>10.48</x:v>
      </x:c>
      <x:c r="O951" s="94" t="n">
        <x:v>7</x:v>
      </x:c>
      <x:c r="P951" s="94" t="str">
        <x:v>模拟：Google/Microsoft Ads采购导入</x:v>
      </x:c>
    </x:row>
    <x:row r="952">
      <x:c r="A952" s="92" t="str">
        <x:v>PROC-0951</x:v>
      </x:c>
      <x:c r="B952" s="93" t="n">
        <x:v>46194</x:v>
      </x:c>
      <x:c r="C952" s="94" t="str">
        <x:v>Microsoft Ads</x:v>
      </x:c>
      <x:c r="D952" s="94" t="str">
        <x:v>美国</x:v>
      </x:c>
      <x:c r="E952" s="94" t="str">
        <x:v>MSA-C07</x:v>
      </x:c>
      <x:c r="F952" s="94" t="str">
        <x:v>购物广告</x:v>
      </x:c>
      <x:c r="G952" s="94" t="str">
        <x:v>畅销商品</x:v>
      </x:c>
      <x:c r="H952" s="94" t="str">
        <x:v>移动端</x:v>
      </x:c>
      <x:c r="I952" s="94" t="str">
        <x:v>CPC</x:v>
      </x:c>
      <x:c r="J952" s="95" t="n">
        <x:v>1428</x:v>
      </x:c>
      <x:c r="K952" s="96" t="n">
        <x:f>IFERROR(L952/J952,0)</x:f>
        <x:v>0.04831932773109244</x:v>
      </x:c>
      <x:c r="L952" s="95" t="n">
        <x:v>69</x:v>
      </x:c>
      <x:c r="M952" s="97" t="n">
        <x:v>0.2919</x:v>
      </x:c>
      <x:c r="N952" s="97" t="n">
        <x:f>ROUND(L952*M952,2)</x:f>
        <x:v>20.14</x:v>
      </x:c>
      <x:c r="O952" s="94" t="n">
        <x:v>8</x:v>
      </x:c>
      <x:c r="P952" s="94" t="str">
        <x:v>模拟：Google/Microsoft Ads采购导入</x:v>
      </x:c>
    </x:row>
    <x:row r="953">
      <x:c r="A953" s="92" t="str">
        <x:v>PROC-0952</x:v>
      </x:c>
      <x:c r="B953" s="93" t="n">
        <x:v>46195</x:v>
      </x:c>
      <x:c r="C953" s="94" t="str">
        <x:v>Microsoft Ads</x:v>
      </x:c>
      <x:c r="D953" s="94" t="str">
        <x:v>英国</x:v>
      </x:c>
      <x:c r="E953" s="94" t="str">
        <x:v>MSA-C13</x:v>
      </x:c>
      <x:c r="F953" s="94" t="str">
        <x:v>通用搜索</x:v>
      </x:c>
      <x:c r="G953" s="94" t="str">
        <x:v>热门新品</x:v>
      </x:c>
      <x:c r="H953" s="94" t="str">
        <x:v>移动端</x:v>
      </x:c>
      <x:c r="I953" s="94" t="str">
        <x:v>CPC</x:v>
      </x:c>
      <x:c r="J953" s="95" t="n">
        <x:v>834</x:v>
      </x:c>
      <x:c r="K953" s="96" t="n">
        <x:f>IFERROR(L953/J953,0)</x:f>
        <x:v>0.04316546762589928</x:v>
      </x:c>
      <x:c r="L953" s="95" t="n">
        <x:v>36</x:v>
      </x:c>
      <x:c r="M953" s="97" t="n">
        <x:v>0.1936</x:v>
      </x:c>
      <x:c r="N953" s="97" t="n">
        <x:f>ROUND(L953*M953,2)</x:f>
        <x:v>6.97</x:v>
      </x:c>
      <x:c r="O953" s="94" t="n">
        <x:v>8</x:v>
      </x:c>
      <x:c r="P953" s="94" t="str">
        <x:v>模拟：Google/Microsoft Ads采购导入</x:v>
      </x:c>
    </x:row>
    <x:row r="954">
      <x:c r="A954" s="92" t="str">
        <x:v>PROC-0953</x:v>
      </x:c>
      <x:c r="B954" s="93" t="n">
        <x:v>46195</x:v>
      </x:c>
      <x:c r="C954" s="94" t="str">
        <x:v>Google Ads</x:v>
      </x:c>
      <x:c r="D954" s="94" t="str">
        <x:v>英国</x:v>
      </x:c>
      <x:c r="E954" s="94" t="str">
        <x:v>GGL-C18</x:v>
      </x:c>
      <x:c r="F954" s="94" t="str">
        <x:v>品牌搜索</x:v>
      </x:c>
      <x:c r="G954" s="94" t="str">
        <x:v>品牌优惠词</x:v>
      </x:c>
      <x:c r="H954" s="94" t="str">
        <x:v>桌面端</x:v>
      </x:c>
      <x:c r="I954" s="94" t="str">
        <x:v>CPC</x:v>
      </x:c>
      <x:c r="J954" s="95" t="n">
        <x:v>1257</x:v>
      </x:c>
      <x:c r="K954" s="96" t="n">
        <x:f>IFERROR(L954/J954,0)</x:f>
        <x:v>0.05171042163882259</x:v>
      </x:c>
      <x:c r="L954" s="95" t="n">
        <x:v>65</x:v>
      </x:c>
      <x:c r="M954" s="97" t="n">
        <x:v>0.2642</x:v>
      </x:c>
      <x:c r="N954" s="97" t="n">
        <x:f>ROUND(L954*M954,2)</x:f>
        <x:v>17.17</x:v>
      </x:c>
      <x:c r="O954" s="94" t="n">
        <x:v>10</x:v>
      </x:c>
      <x:c r="P954" s="94" t="str">
        <x:v>模拟：Google/Microsoft Ads采购导入</x:v>
      </x:c>
    </x:row>
    <x:row r="955">
      <x:c r="A955" s="92" t="str">
        <x:v>PROC-0954</x:v>
      </x:c>
      <x:c r="B955" s="93" t="n">
        <x:v>46195</x:v>
      </x:c>
      <x:c r="C955" s="94" t="str">
        <x:v>Google Ads</x:v>
      </x:c>
      <x:c r="D955" s="94" t="str">
        <x:v>美国</x:v>
      </x:c>
      <x:c r="E955" s="94" t="str">
        <x:v>GGL-C02</x:v>
      </x:c>
      <x:c r="F955" s="94" t="str">
        <x:v>购物广告</x:v>
      </x:c>
      <x:c r="G955" s="94" t="str">
        <x:v>高评分商品</x:v>
      </x:c>
      <x:c r="H955" s="94" t="str">
        <x:v>移动端</x:v>
      </x:c>
      <x:c r="I955" s="94" t="str">
        <x:v>CPC</x:v>
      </x:c>
      <x:c r="J955" s="95" t="n">
        <x:v>1266</x:v>
      </x:c>
      <x:c r="K955" s="96" t="n">
        <x:f>IFERROR(L955/J955,0)</x:f>
        <x:v>0.04107424960505529</x:v>
      </x:c>
      <x:c r="L955" s="95" t="n">
        <x:v>52</x:v>
      </x:c>
      <x:c r="M955" s="97" t="n">
        <x:v>0.4253</x:v>
      </x:c>
      <x:c r="N955" s="97" t="n">
        <x:f>ROUND(L955*M955,2)</x:f>
        <x:v>22.12</x:v>
      </x:c>
      <x:c r="O955" s="94" t="n">
        <x:v>9</x:v>
      </x:c>
      <x:c r="P955" s="94" t="str">
        <x:v>模拟：Google/Microsoft Ads采购导入</x:v>
      </x:c>
    </x:row>
    <x:row r="956">
      <x:c r="A956" s="92" t="str">
        <x:v>PROC-0955</x:v>
      </x:c>
      <x:c r="B956" s="93" t="n">
        <x:v>46195</x:v>
      </x:c>
      <x:c r="C956" s="94" t="str">
        <x:v>Google Ads</x:v>
      </x:c>
      <x:c r="D956" s="94" t="str">
        <x:v>美国</x:v>
      </x:c>
      <x:c r="E956" s="94" t="str">
        <x:v>GGL-C11</x:v>
      </x:c>
      <x:c r="F956" s="94" t="str">
        <x:v>品牌搜索</x:v>
      </x:c>
      <x:c r="G956" s="94" t="str">
        <x:v>品牌购买词</x:v>
      </x:c>
      <x:c r="H956" s="94" t="str">
        <x:v>桌面端</x:v>
      </x:c>
      <x:c r="I956" s="94" t="str">
        <x:v>CPC</x:v>
      </x:c>
      <x:c r="J956" s="95" t="n">
        <x:v>1345</x:v>
      </x:c>
      <x:c r="K956" s="96" t="n">
        <x:f>IFERROR(L956/J956,0)</x:f>
        <x:v>0.05055762081784387</x:v>
      </x:c>
      <x:c r="L956" s="95" t="n">
        <x:v>68</x:v>
      </x:c>
      <x:c r="M956" s="97" t="n">
        <x:v>0.2807</x:v>
      </x:c>
      <x:c r="N956" s="97" t="n">
        <x:f>ROUND(L956*M956,2)</x:f>
        <x:v>19.09</x:v>
      </x:c>
      <x:c r="O956" s="94" t="n">
        <x:v>7</x:v>
      </x:c>
      <x:c r="P956" s="94" t="str">
        <x:v>模拟：Google/Microsoft Ads采购导入</x:v>
      </x:c>
    </x:row>
    <x:row r="957">
      <x:c r="A957" s="92" t="str">
        <x:v>PROC-0956</x:v>
      </x:c>
      <x:c r="B957" s="93" t="n">
        <x:v>46195</x:v>
      </x:c>
      <x:c r="C957" s="94" t="str">
        <x:v>Google Ads</x:v>
      </x:c>
      <x:c r="D957" s="94" t="str">
        <x:v>美国</x:v>
      </x:c>
      <x:c r="E957" s="94" t="str">
        <x:v>GGL-C14</x:v>
      </x:c>
      <x:c r="F957" s="94" t="str">
        <x:v>通用搜索</x:v>
      </x:c>
      <x:c r="G957" s="94" t="str">
        <x:v>专业精选</x:v>
      </x:c>
      <x:c r="H957" s="94" t="str">
        <x:v>移动端</x:v>
      </x:c>
      <x:c r="I957" s="94" t="str">
        <x:v>CPC</x:v>
      </x:c>
      <x:c r="J957" s="95" t="n">
        <x:v>633</x:v>
      </x:c>
      <x:c r="K957" s="96" t="n">
        <x:f>IFERROR(L957/J957,0)</x:f>
        <x:v>0.044233807266982623</x:v>
      </x:c>
      <x:c r="L957" s="95" t="n">
        <x:v>28</x:v>
      </x:c>
      <x:c r="M957" s="97" t="n">
        <x:v>0.3429</x:v>
      </x:c>
      <x:c r="N957" s="97" t="n">
        <x:f>ROUND(L957*M957,2)</x:f>
        <x:v>9.6</x:v>
      </x:c>
      <x:c r="O957" s="94" t="n">
        <x:v>6</x:v>
      </x:c>
      <x:c r="P957" s="94" t="str">
        <x:v>模拟：Google/Microsoft Ads采购导入</x:v>
      </x:c>
    </x:row>
    <x:row r="958">
      <x:c r="A958" s="92" t="str">
        <x:v>PROC-0957</x:v>
      </x:c>
      <x:c r="B958" s="93" t="n">
        <x:v>46196</x:v>
      </x:c>
      <x:c r="C958" s="94" t="str">
        <x:v>Microsoft Ads</x:v>
      </x:c>
      <x:c r="D958" s="94" t="str">
        <x:v>美国</x:v>
      </x:c>
      <x:c r="E958" s="94" t="str">
        <x:v>MSA-C01</x:v>
      </x:c>
      <x:c r="F958" s="94" t="str">
        <x:v>购物广告</x:v>
      </x:c>
      <x:c r="G958" s="94" t="str">
        <x:v>畅销商品</x:v>
      </x:c>
      <x:c r="H958" s="94" t="str">
        <x:v>桌面端</x:v>
      </x:c>
      <x:c r="I958" s="94" t="str">
        <x:v>CPC</x:v>
      </x:c>
      <x:c r="J958" s="95" t="n">
        <x:v>1319</x:v>
      </x:c>
      <x:c r="K958" s="96" t="n">
        <x:f>IFERROR(L958/J958,0)</x:f>
        <x:v>0.0401819560272934</x:v>
      </x:c>
      <x:c r="L958" s="95" t="n">
        <x:v>53</x:v>
      </x:c>
      <x:c r="M958" s="97" t="n">
        <x:v>0.3168</x:v>
      </x:c>
      <x:c r="N958" s="97" t="n">
        <x:f>ROUND(L958*M958,2)</x:f>
        <x:v>16.79</x:v>
      </x:c>
      <x:c r="O958" s="94" t="n">
        <x:v>8</x:v>
      </x:c>
      <x:c r="P958" s="94" t="str">
        <x:v>模拟：Google/Microsoft Ads采购导入</x:v>
      </x:c>
    </x:row>
    <x:row r="959">
      <x:c r="A959" s="92" t="str">
        <x:v>PROC-0958</x:v>
      </x:c>
      <x:c r="B959" s="93" t="n">
        <x:v>46196</x:v>
      </x:c>
      <x:c r="C959" s="94" t="str">
        <x:v>Google Ads</x:v>
      </x:c>
      <x:c r="D959" s="94" t="str">
        <x:v>美国</x:v>
      </x:c>
      <x:c r="E959" s="94" t="str">
        <x:v>GGL-C04</x:v>
      </x:c>
      <x:c r="F959" s="94" t="str">
        <x:v>通用搜索</x:v>
      </x:c>
      <x:c r="G959" s="94" t="str">
        <x:v>专业精选</x:v>
      </x:c>
      <x:c r="H959" s="94" t="str">
        <x:v>移动端</x:v>
      </x:c>
      <x:c r="I959" s="94" t="str">
        <x:v>CPC</x:v>
      </x:c>
      <x:c r="J959" s="95" t="n">
        <x:v>757</x:v>
      </x:c>
      <x:c r="K959" s="96" t="n">
        <x:f>IFERROR(L959/J959,0)</x:f>
        <x:v>0.031704095112285335</x:v>
      </x:c>
      <x:c r="L959" s="95" t="n">
        <x:v>24</x:v>
      </x:c>
      <x:c r="M959" s="97" t="n">
        <x:v>0.3179</x:v>
      </x:c>
      <x:c r="N959" s="97" t="n">
        <x:f>ROUND(L959*M959,2)</x:f>
        <x:v>7.63</x:v>
      </x:c>
      <x:c r="O959" s="94" t="n">
        <x:v>6</x:v>
      </x:c>
      <x:c r="P959" s="94" t="str">
        <x:v>模拟：Google/Microsoft Ads采购导入</x:v>
      </x:c>
    </x:row>
    <x:row r="960">
      <x:c r="A960" s="92" t="str">
        <x:v>PROC-0959</x:v>
      </x:c>
      <x:c r="B960" s="93" t="n">
        <x:v>46196</x:v>
      </x:c>
      <x:c r="C960" s="94" t="str">
        <x:v>Microsoft Ads</x:v>
      </x:c>
      <x:c r="D960" s="94" t="str">
        <x:v>美国</x:v>
      </x:c>
      <x:c r="E960" s="94" t="str">
        <x:v>MSA-C15</x:v>
      </x:c>
      <x:c r="F960" s="94" t="str">
        <x:v>品牌搜索</x:v>
      </x:c>
      <x:c r="G960" s="94" t="str">
        <x:v>品牌配件词</x:v>
      </x:c>
      <x:c r="H960" s="94" t="str">
        <x:v>移动端</x:v>
      </x:c>
      <x:c r="I960" s="94" t="str">
        <x:v>CPC</x:v>
      </x:c>
      <x:c r="J960" s="95" t="n">
        <x:v>1025</x:v>
      </x:c>
      <x:c r="K960" s="96" t="n">
        <x:f>IFERROR(L960/J960,0)</x:f>
        <x:v>0.054634146341463415</x:v>
      </x:c>
      <x:c r="L960" s="95" t="n">
        <x:v>56</x:v>
      </x:c>
      <x:c r="M960" s="97" t="n">
        <x:v>0.1865</x:v>
      </x:c>
      <x:c r="N960" s="97" t="n">
        <x:f>ROUND(L960*M960,2)</x:f>
        <x:v>10.44</x:v>
      </x:c>
      <x:c r="O960" s="94" t="n">
        <x:v>9</x:v>
      </x:c>
      <x:c r="P960" s="94" t="str">
        <x:v>模拟：Google/Microsoft Ads采购导入</x:v>
      </x:c>
    </x:row>
    <x:row r="961">
      <x:c r="A961" s="92" t="str">
        <x:v>PROC-0960</x:v>
      </x:c>
      <x:c r="B961" s="93" t="n">
        <x:v>46196</x:v>
      </x:c>
      <x:c r="C961" s="94" t="str">
        <x:v>Google Ads</x:v>
      </x:c>
      <x:c r="D961" s="94" t="str">
        <x:v>美国</x:v>
      </x:c>
      <x:c r="E961" s="94" t="str">
        <x:v>GGL-C22</x:v>
      </x:c>
      <x:c r="F961" s="94" t="str">
        <x:v>竞品搜索</x:v>
      </x:c>
      <x:c r="G961" s="94" t="str">
        <x:v>更优选择</x:v>
      </x:c>
      <x:c r="H961" s="94" t="str">
        <x:v>移动端</x:v>
      </x:c>
      <x:c r="I961" s="94" t="str">
        <x:v>CPC</x:v>
      </x:c>
      <x:c r="J961" s="95" t="n">
        <x:v>665</x:v>
      </x:c>
      <x:c r="K961" s="96" t="n">
        <x:f>IFERROR(L961/J961,0)</x:f>
        <x:v>0.03609022556390978</x:v>
      </x:c>
      <x:c r="L961" s="95" t="n">
        <x:v>24</x:v>
      </x:c>
      <x:c r="M961" s="97" t="n">
        <x:v>0.3911</x:v>
      </x:c>
      <x:c r="N961" s="97" t="n">
        <x:f>ROUND(L961*M961,2)</x:f>
        <x:v>9.39</x:v>
      </x:c>
      <x:c r="O961" s="94" t="n">
        <x:v>8</x:v>
      </x:c>
      <x:c r="P961" s="94" t="str">
        <x:v>模拟：Google/Microsoft Ads采购导入</x:v>
      </x:c>
    </x:row>
    <x:row r="962">
      <x:c r="A962" s="92" t="str">
        <x:v>PROC-0961</x:v>
      </x:c>
      <x:c r="B962" s="93" t="n">
        <x:v>46196</x:v>
      </x:c>
      <x:c r="C962" s="94" t="str">
        <x:v>Microsoft Ads</x:v>
      </x:c>
      <x:c r="D962" s="94" t="str">
        <x:v>英国</x:v>
      </x:c>
      <x:c r="E962" s="94" t="str">
        <x:v>MSA-C05</x:v>
      </x:c>
      <x:c r="F962" s="94" t="str">
        <x:v>通用搜索</x:v>
      </x:c>
      <x:c r="G962" s="94" t="str">
        <x:v>高性价比商品</x:v>
      </x:c>
      <x:c r="H962" s="94" t="str">
        <x:v>移动端</x:v>
      </x:c>
      <x:c r="I962" s="94" t="str">
        <x:v>CPC</x:v>
      </x:c>
      <x:c r="J962" s="95" t="n">
        <x:v>969</x:v>
      </x:c>
      <x:c r="K962" s="96" t="n">
        <x:f>IFERROR(L962/J962,0)</x:f>
        <x:v>0.034055727554179564</x:v>
      </x:c>
      <x:c r="L962" s="95" t="n">
        <x:v>33</x:v>
      </x:c>
      <x:c r="M962" s="97" t="n">
        <x:v>0.232</x:v>
      </x:c>
      <x:c r="N962" s="97" t="n">
        <x:f>ROUND(L962*M962,2)</x:f>
        <x:v>7.66</x:v>
      </x:c>
      <x:c r="O962" s="94" t="n">
        <x:v>7</x:v>
      </x:c>
      <x:c r="P962" s="94" t="str">
        <x:v>模拟：Google/Microsoft Ads采购导入</x:v>
      </x:c>
    </x:row>
    <x:row r="963">
      <x:c r="A963" s="92" t="str">
        <x:v>PROC-0962</x:v>
      </x:c>
      <x:c r="B963" s="93" t="n">
        <x:v>46196</x:v>
      </x:c>
      <x:c r="C963" s="94" t="str">
        <x:v>Google Ads</x:v>
      </x:c>
      <x:c r="D963" s="94" t="str">
        <x:v>美国</x:v>
      </x:c>
      <x:c r="E963" s="94" t="str">
        <x:v>GGL-C10</x:v>
      </x:c>
      <x:c r="F963" s="94" t="str">
        <x:v>购物广告</x:v>
      </x:c>
      <x:c r="G963" s="94" t="str">
        <x:v>高评分商品</x:v>
      </x:c>
      <x:c r="H963" s="94" t="str">
        <x:v>移动端</x:v>
      </x:c>
      <x:c r="I963" s="94" t="str">
        <x:v>CPC</x:v>
      </x:c>
      <x:c r="J963" s="95" t="n">
        <x:v>1428</x:v>
      </x:c>
      <x:c r="K963" s="96" t="n">
        <x:f>IFERROR(L963/J963,0)</x:f>
        <x:v>0.03851540616246499</x:v>
      </x:c>
      <x:c r="L963" s="95" t="n">
        <x:v>55</x:v>
      </x:c>
      <x:c r="M963" s="97" t="n">
        <x:v>0.3892</x:v>
      </x:c>
      <x:c r="N963" s="97" t="n">
        <x:f>ROUND(L963*M963,2)</x:f>
        <x:v>21.41</x:v>
      </x:c>
      <x:c r="O963" s="94" t="n">
        <x:v>8</x:v>
      </x:c>
      <x:c r="P963" s="94" t="str">
        <x:v>模拟：Google/Microsoft Ads采购导入</x:v>
      </x:c>
    </x:row>
    <x:row r="964">
      <x:c r="A964" s="92" t="str">
        <x:v>PROC-0963</x:v>
      </x:c>
      <x:c r="B964" s="93" t="n">
        <x:v>46197</x:v>
      </x:c>
      <x:c r="C964" s="94" t="str">
        <x:v>Google Ads</x:v>
      </x:c>
      <x:c r="D964" s="94" t="str">
        <x:v>日本</x:v>
      </x:c>
      <x:c r="E964" s="94" t="str">
        <x:v>GGL-C17</x:v>
      </x:c>
      <x:c r="F964" s="94" t="str">
        <x:v>品牌搜索</x:v>
      </x:c>
      <x:c r="G964" s="94" t="str">
        <x:v>品牌优惠词</x:v>
      </x:c>
      <x:c r="H964" s="94" t="str">
        <x:v>桌面端</x:v>
      </x:c>
      <x:c r="I964" s="94" t="str">
        <x:v>CPC</x:v>
      </x:c>
      <x:c r="J964" s="95" t="n">
        <x:v>1103</x:v>
      </x:c>
      <x:c r="K964" s="96" t="n">
        <x:f>IFERROR(L964/J964,0)</x:f>
        <x:v>0.056210335448776065</x:v>
      </x:c>
      <x:c r="L964" s="95" t="n">
        <x:v>62</x:v>
      </x:c>
      <x:c r="M964" s="97" t="n">
        <x:v>0.2152</x:v>
      </x:c>
      <x:c r="N964" s="97" t="n">
        <x:f>ROUND(L964*M964,2)</x:f>
        <x:v>13.34</x:v>
      </x:c>
      <x:c r="O964" s="94" t="n">
        <x:v>7</x:v>
      </x:c>
      <x:c r="P964" s="94" t="str">
        <x:v>模拟：Google/Microsoft Ads采购导入</x:v>
      </x:c>
    </x:row>
    <x:row r="965">
      <x:c r="A965" s="92" t="str">
        <x:v>PROC-0964</x:v>
      </x:c>
      <x:c r="B965" s="93" t="n">
        <x:v>46197</x:v>
      </x:c>
      <x:c r="C965" s="94" t="str">
        <x:v>Microsoft Ads</x:v>
      </x:c>
      <x:c r="D965" s="94" t="str">
        <x:v>美国</x:v>
      </x:c>
      <x:c r="E965" s="94" t="str">
        <x:v>MSA-C02</x:v>
      </x:c>
      <x:c r="F965" s="94" t="str">
        <x:v>通用搜索</x:v>
      </x:c>
      <x:c r="G965" s="94" t="str">
        <x:v>专业精选</x:v>
      </x:c>
      <x:c r="H965" s="94" t="str">
        <x:v>平板</x:v>
      </x:c>
      <x:c r="I965" s="94" t="str">
        <x:v>CPC</x:v>
      </x:c>
      <x:c r="J965" s="95" t="n">
        <x:v>1270</x:v>
      </x:c>
      <x:c r="K965" s="96" t="n">
        <x:f>IFERROR(L965/J965,0)</x:f>
        <x:v>0.04330708661417323</x:v>
      </x:c>
      <x:c r="L965" s="95" t="n">
        <x:v>55</x:v>
      </x:c>
      <x:c r="M965" s="97" t="n">
        <x:v>0.2362</x:v>
      </x:c>
      <x:c r="N965" s="97" t="n">
        <x:f>ROUND(L965*M965,2)</x:f>
        <x:v>12.99</x:v>
      </x:c>
      <x:c r="O965" s="94" t="n">
        <x:v>9</x:v>
      </x:c>
      <x:c r="P965" s="94" t="str">
        <x:v>模拟：Google/Microsoft Ads采购导入</x:v>
      </x:c>
    </x:row>
    <x:row r="966">
      <x:c r="A966" s="92" t="str">
        <x:v>PROC-0965</x:v>
      </x:c>
      <x:c r="B966" s="93" t="n">
        <x:v>46197</x:v>
      </x:c>
      <x:c r="C966" s="94" t="str">
        <x:v>Google Ads</x:v>
      </x:c>
      <x:c r="D966" s="94" t="str">
        <x:v>美国</x:v>
      </x:c>
      <x:c r="E966" s="94" t="str">
        <x:v>GGL-C07</x:v>
      </x:c>
      <x:c r="F966" s="94" t="str">
        <x:v>竞品搜索</x:v>
      </x:c>
      <x:c r="G966" s="94" t="str">
        <x:v>替代品比较</x:v>
      </x:c>
      <x:c r="H966" s="94" t="str">
        <x:v>移动端</x:v>
      </x:c>
      <x:c r="I966" s="94" t="str">
        <x:v>CPC</x:v>
      </x:c>
      <x:c r="J966" s="95" t="n">
        <x:v>980</x:v>
      </x:c>
      <x:c r="K966" s="96" t="n">
        <x:f>IFERROR(L966/J966,0)</x:f>
        <x:v>0.030612244897959183</x:v>
      </x:c>
      <x:c r="L966" s="95" t="n">
        <x:v>30</x:v>
      </x:c>
      <x:c r="M966" s="97" t="n">
        <x:v>0.5093</x:v>
      </x:c>
      <x:c r="N966" s="97" t="n">
        <x:f>ROUND(L966*M966,2)</x:f>
        <x:v>15.28</x:v>
      </x:c>
      <x:c r="O966" s="94" t="n">
        <x:v>7</x:v>
      </x:c>
      <x:c r="P966" s="94" t="str">
        <x:v>模拟：Google/Microsoft Ads采购导入</x:v>
      </x:c>
    </x:row>
    <x:row r="967">
      <x:c r="A967" s="92" t="str">
        <x:v>PROC-0966</x:v>
      </x:c>
      <x:c r="B967" s="93" t="n">
        <x:v>46197</x:v>
      </x:c>
      <x:c r="C967" s="94" t="str">
        <x:v>Google Ads</x:v>
      </x:c>
      <x:c r="D967" s="94" t="str">
        <x:v>美国</x:v>
      </x:c>
      <x:c r="E967" s="94" t="str">
        <x:v>GGL-C12</x:v>
      </x:c>
      <x:c r="F967" s="94" t="str">
        <x:v>竞品搜索</x:v>
      </x:c>
      <x:c r="G967" s="94" t="str">
        <x:v>更优选择</x:v>
      </x:c>
      <x:c r="H967" s="94" t="str">
        <x:v>移动端</x:v>
      </x:c>
      <x:c r="I967" s="94" t="str">
        <x:v>CPC</x:v>
      </x:c>
      <x:c r="J967" s="95" t="n">
        <x:v>914</x:v>
      </x:c>
      <x:c r="K967" s="96" t="n">
        <x:f>IFERROR(L967/J967,0)</x:f>
        <x:v>0.030634573304157548</x:v>
      </x:c>
      <x:c r="L967" s="95" t="n">
        <x:v>28</x:v>
      </x:c>
      <x:c r="M967" s="97" t="n">
        <x:v>0.3773</x:v>
      </x:c>
      <x:c r="N967" s="97" t="n">
        <x:f>ROUND(L967*M967,2)</x:f>
        <x:v>10.56</x:v>
      </x:c>
      <x:c r="O967" s="94" t="n">
        <x:v>7</x:v>
      </x:c>
      <x:c r="P967" s="94" t="str">
        <x:v>模拟：Google/Microsoft Ads采购导入</x:v>
      </x:c>
    </x:row>
    <x:row r="968">
      <x:c r="A968" s="92" t="str">
        <x:v>PROC-0967</x:v>
      </x:c>
      <x:c r="B968" s="93" t="n">
        <x:v>46197</x:v>
      </x:c>
      <x:c r="C968" s="94" t="str">
        <x:v>Google Ads</x:v>
      </x:c>
      <x:c r="D968" s="94" t="str">
        <x:v>德国</x:v>
      </x:c>
      <x:c r="E968" s="94" t="str">
        <x:v>GGL-C23</x:v>
      </x:c>
      <x:c r="F968" s="94" t="str">
        <x:v>购物广告</x:v>
      </x:c>
      <x:c r="G968" s="94" t="str">
        <x:v>折扣商品</x:v>
      </x:c>
      <x:c r="H968" s="94" t="str">
        <x:v>移动端</x:v>
      </x:c>
      <x:c r="I968" s="94" t="str">
        <x:v>CPC</x:v>
      </x:c>
      <x:c r="J968" s="95" t="n">
        <x:v>895</x:v>
      </x:c>
      <x:c r="K968" s="96" t="n">
        <x:f>IFERROR(L968/J968,0)</x:f>
        <x:v>0.04581005586592179</x:v>
      </x:c>
      <x:c r="L968" s="95" t="n">
        <x:v>41</x:v>
      </x:c>
      <x:c r="M968" s="97" t="n">
        <x:v>0.3198</x:v>
      </x:c>
      <x:c r="N968" s="97" t="n">
        <x:f>ROUND(L968*M968,2)</x:f>
        <x:v>13.11</x:v>
      </x:c>
      <x:c r="O968" s="94" t="n">
        <x:v>8</x:v>
      </x:c>
      <x:c r="P968" s="94" t="str">
        <x:v>模拟：Google/Microsoft Ads采购导入</x:v>
      </x:c>
    </x:row>
    <x:row r="969">
      <x:c r="A969" s="92" t="str">
        <x:v>PROC-0968</x:v>
      </x:c>
      <x:c r="B969" s="93" t="n">
        <x:v>46198</x:v>
      </x:c>
      <x:c r="C969" s="94" t="str">
        <x:v>Google Ads</x:v>
      </x:c>
      <x:c r="D969" s="94" t="str">
        <x:v>美国</x:v>
      </x:c>
      <x:c r="E969" s="94" t="str">
        <x:v>GGL-C04</x:v>
      </x:c>
      <x:c r="F969" s="94" t="str">
        <x:v>通用搜索</x:v>
      </x:c>
      <x:c r="G969" s="94" t="str">
        <x:v>实用礼物</x:v>
      </x:c>
      <x:c r="H969" s="94" t="str">
        <x:v>移动端</x:v>
      </x:c>
      <x:c r="I969" s="94" t="str">
        <x:v>CPC</x:v>
      </x:c>
      <x:c r="J969" s="95" t="n">
        <x:v>915</x:v>
      </x:c>
      <x:c r="K969" s="96" t="n">
        <x:f>IFERROR(L969/J969,0)</x:f>
        <x:v>0.03825136612021858</x:v>
      </x:c>
      <x:c r="L969" s="95" t="n">
        <x:v>35</x:v>
      </x:c>
      <x:c r="M969" s="97" t="n">
        <x:v>0.3738</x:v>
      </x:c>
      <x:c r="N969" s="97" t="n">
        <x:f>ROUND(L969*M969,2)</x:f>
        <x:v>13.08</x:v>
      </x:c>
      <x:c r="O969" s="94" t="n">
        <x:v>9</x:v>
      </x:c>
      <x:c r="P969" s="94" t="str">
        <x:v>模拟：Google/Microsoft Ads采购导入</x:v>
      </x:c>
    </x:row>
    <x:row r="970">
      <x:c r="A970" s="92" t="str">
        <x:v>PROC-0969</x:v>
      </x:c>
      <x:c r="B970" s="93" t="n">
        <x:v>46198</x:v>
      </x:c>
      <x:c r="C970" s="94" t="str">
        <x:v>Google Ads</x:v>
      </x:c>
      <x:c r="D970" s="94" t="str">
        <x:v>日本</x:v>
      </x:c>
      <x:c r="E970" s="94" t="str">
        <x:v>GGL-C11</x:v>
      </x:c>
      <x:c r="F970" s="94" t="str">
        <x:v>品牌搜索</x:v>
      </x:c>
      <x:c r="G970" s="94" t="str">
        <x:v>品牌评测词</x:v>
      </x:c>
      <x:c r="H970" s="94" t="str">
        <x:v>移动端</x:v>
      </x:c>
      <x:c r="I970" s="94" t="str">
        <x:v>CPC</x:v>
      </x:c>
      <x:c r="J970" s="95" t="n">
        <x:v>936</x:v>
      </x:c>
      <x:c r="K970" s="96" t="n">
        <x:f>IFERROR(L970/J970,0)</x:f>
        <x:v>0.05876068376068376</x:v>
      </x:c>
      <x:c r="L970" s="95" t="n">
        <x:v>55</x:v>
      </x:c>
      <x:c r="M970" s="97" t="n">
        <x:v>0.2078</x:v>
      </x:c>
      <x:c r="N970" s="97" t="n">
        <x:f>ROUND(L970*M970,2)</x:f>
        <x:v>11.43</x:v>
      </x:c>
      <x:c r="O970" s="94" t="n">
        <x:v>8</x:v>
      </x:c>
      <x:c r="P970" s="94" t="str">
        <x:v>模拟：Google/Microsoft Ads采购导入</x:v>
      </x:c>
    </x:row>
    <x:row r="971">
      <x:c r="A971" s="92" t="str">
        <x:v>PROC-0970</x:v>
      </x:c>
      <x:c r="B971" s="93" t="n">
        <x:v>46198</x:v>
      </x:c>
      <x:c r="C971" s="94" t="str">
        <x:v>Microsoft Ads</x:v>
      </x:c>
      <x:c r="D971" s="94" t="str">
        <x:v>德国</x:v>
      </x:c>
      <x:c r="E971" s="94" t="str">
        <x:v>MSA-C18</x:v>
      </x:c>
      <x:c r="F971" s="94" t="str">
        <x:v>通用搜索</x:v>
      </x:c>
      <x:c r="G971" s="94" t="str">
        <x:v>专业精选</x:v>
      </x:c>
      <x:c r="H971" s="94" t="str">
        <x:v>移动端</x:v>
      </x:c>
      <x:c r="I971" s="94" t="str">
        <x:v>CPC</x:v>
      </x:c>
      <x:c r="J971" s="95" t="n">
        <x:v>1475</x:v>
      </x:c>
      <x:c r="K971" s="96" t="n">
        <x:f>IFERROR(L971/J971,0)</x:f>
        <x:v>0.03796610169491525</x:v>
      </x:c>
      <x:c r="L971" s="95" t="n">
        <x:v>56</x:v>
      </x:c>
      <x:c r="M971" s="97" t="n">
        <x:v>0.2108</x:v>
      </x:c>
      <x:c r="N971" s="97" t="n">
        <x:f>ROUND(L971*M971,2)</x:f>
        <x:v>11.8</x:v>
      </x:c>
      <x:c r="O971" s="94" t="n">
        <x:v>8</x:v>
      </x:c>
      <x:c r="P971" s="94" t="str">
        <x:v>模拟：Google/Microsoft Ads采购导入</x:v>
      </x:c>
    </x:row>
    <x:row r="972">
      <x:c r="A972" s="92" t="str">
        <x:v>PROC-0971</x:v>
      </x:c>
      <x:c r="B972" s="93" t="n">
        <x:v>46198</x:v>
      </x:c>
      <x:c r="C972" s="94" t="str">
        <x:v>Google Ads</x:v>
      </x:c>
      <x:c r="D972" s="94" t="str">
        <x:v>日本</x:v>
      </x:c>
      <x:c r="E972" s="94" t="str">
        <x:v>GGL-C01</x:v>
      </x:c>
      <x:c r="F972" s="94" t="str">
        <x:v>购物广告</x:v>
      </x:c>
      <x:c r="G972" s="94" t="str">
        <x:v>高评分商品</x:v>
      </x:c>
      <x:c r="H972" s="94" t="str">
        <x:v>桌面端</x:v>
      </x:c>
      <x:c r="I972" s="94" t="str">
        <x:v>CPC</x:v>
      </x:c>
      <x:c r="J972" s="95" t="n">
        <x:v>1539</x:v>
      </x:c>
      <x:c r="K972" s="96" t="n">
        <x:f>IFERROR(L972/J972,0)</x:f>
        <x:v>0.03898635477582846</x:v>
      </x:c>
      <x:c r="L972" s="95" t="n">
        <x:v>60</x:v>
      </x:c>
      <x:c r="M972" s="97" t="n">
        <x:v>0.3007</x:v>
      </x:c>
      <x:c r="N972" s="97" t="n">
        <x:f>ROUND(L972*M972,2)</x:f>
        <x:v>18.04</x:v>
      </x:c>
      <x:c r="O972" s="94" t="n">
        <x:v>6</x:v>
      </x:c>
      <x:c r="P972" s="94" t="str">
        <x:v>模拟：Google/Microsoft Ads采购导入</x:v>
      </x:c>
    </x:row>
    <x:row r="973">
      <x:c r="A973" s="92" t="str">
        <x:v>PROC-0972</x:v>
      </x:c>
      <x:c r="B973" s="93" t="n">
        <x:v>46198</x:v>
      </x:c>
      <x:c r="C973" s="94" t="str">
        <x:v>Google Ads</x:v>
      </x:c>
      <x:c r="D973" s="94" t="str">
        <x:v>美国</x:v>
      </x:c>
      <x:c r="E973" s="94" t="str">
        <x:v>GGL-C07</x:v>
      </x:c>
      <x:c r="F973" s="94" t="str">
        <x:v>购物广告</x:v>
      </x:c>
      <x:c r="G973" s="94" t="str">
        <x:v>畅销商品</x:v>
      </x:c>
      <x:c r="H973" s="94" t="str">
        <x:v>移动端</x:v>
      </x:c>
      <x:c r="I973" s="94" t="str">
        <x:v>CPC</x:v>
      </x:c>
      <x:c r="J973" s="95" t="n">
        <x:v>1481</x:v>
      </x:c>
      <x:c r="K973" s="96" t="n">
        <x:f>IFERROR(L973/J973,0)</x:f>
        <x:v>0.03781228899392303</x:v>
      </x:c>
      <x:c r="L973" s="95" t="n">
        <x:v>56</x:v>
      </x:c>
      <x:c r="M973" s="97" t="n">
        <x:v>0.3754</x:v>
      </x:c>
      <x:c r="N973" s="97" t="n">
        <x:f>ROUND(L973*M973,2)</x:f>
        <x:v>21.02</x:v>
      </x:c>
      <x:c r="O973" s="94" t="n">
        <x:v>6</x:v>
      </x:c>
      <x:c r="P973" s="94" t="str">
        <x:v>模拟：Google/Microsoft Ads采购导入</x:v>
      </x:c>
    </x:row>
    <x:row r="974">
      <x:c r="A974" s="92" t="str">
        <x:v>PROC-0973</x:v>
      </x:c>
      <x:c r="B974" s="93" t="n">
        <x:v>46198</x:v>
      </x:c>
      <x:c r="C974" s="94" t="str">
        <x:v>Microsoft Ads</x:v>
      </x:c>
      <x:c r="D974" s="94" t="str">
        <x:v>日本</x:v>
      </x:c>
      <x:c r="E974" s="94" t="str">
        <x:v>MSA-C14</x:v>
      </x:c>
      <x:c r="F974" s="94" t="str">
        <x:v>通用搜索</x:v>
      </x:c>
      <x:c r="G974" s="94" t="str">
        <x:v>实用礼物</x:v>
      </x:c>
      <x:c r="H974" s="94" t="str">
        <x:v>移动端</x:v>
      </x:c>
      <x:c r="I974" s="94" t="str">
        <x:v>CPC</x:v>
      </x:c>
      <x:c r="J974" s="95" t="n">
        <x:v>820</x:v>
      </x:c>
      <x:c r="K974" s="96" t="n">
        <x:f>IFERROR(L974/J974,0)</x:f>
        <x:v>0.03414634146341464</x:v>
      </x:c>
      <x:c r="L974" s="95" t="n">
        <x:v>28</x:v>
      </x:c>
      <x:c r="M974" s="97" t="n">
        <x:v>0.2133</x:v>
      </x:c>
      <x:c r="N974" s="97" t="n">
        <x:f>ROUND(L974*M974,2)</x:f>
        <x:v>5.97</x:v>
      </x:c>
      <x:c r="O974" s="94" t="n">
        <x:v>9</x:v>
      </x:c>
      <x:c r="P974" s="94" t="str">
        <x:v>模拟：Google/Microsoft Ads采购导入</x:v>
      </x:c>
    </x:row>
    <x:row r="975">
      <x:c r="A975" s="92" t="str">
        <x:v>PROC-0974</x:v>
      </x:c>
      <x:c r="B975" s="93" t="n">
        <x:v>46199</x:v>
      </x:c>
      <x:c r="C975" s="94" t="str">
        <x:v>Google Ads</x:v>
      </x:c>
      <x:c r="D975" s="94" t="str">
        <x:v>美国</x:v>
      </x:c>
      <x:c r="E975" s="94" t="str">
        <x:v>GGL-C24</x:v>
      </x:c>
      <x:c r="F975" s="94" t="str">
        <x:v>通用搜索</x:v>
      </x:c>
      <x:c r="G975" s="94" t="str">
        <x:v>高性价比商品</x:v>
      </x:c>
      <x:c r="H975" s="94" t="str">
        <x:v>移动端</x:v>
      </x:c>
      <x:c r="I975" s="94" t="str">
        <x:v>CPC</x:v>
      </x:c>
      <x:c r="J975" s="95" t="n">
        <x:v>1222</x:v>
      </x:c>
      <x:c r="K975" s="96" t="n">
        <x:f>IFERROR(L975/J975,0)</x:f>
        <x:v>0.03273322422258593</x:v>
      </x:c>
      <x:c r="L975" s="95" t="n">
        <x:v>40</x:v>
      </x:c>
      <x:c r="M975" s="97" t="n">
        <x:v>0.2941</x:v>
      </x:c>
      <x:c r="N975" s="97" t="n">
        <x:f>ROUND(L975*M975,2)</x:f>
        <x:v>11.76</x:v>
      </x:c>
      <x:c r="O975" s="94" t="n">
        <x:v>6</x:v>
      </x:c>
      <x:c r="P975" s="94" t="str">
        <x:v>模拟：Google/Microsoft Ads采购导入</x:v>
      </x:c>
    </x:row>
    <x:row r="976">
      <x:c r="A976" s="92" t="str">
        <x:v>PROC-0975</x:v>
      </x:c>
      <x:c r="B976" s="93" t="n">
        <x:v>46199</x:v>
      </x:c>
      <x:c r="C976" s="94" t="str">
        <x:v>Google Ads</x:v>
      </x:c>
      <x:c r="D976" s="94" t="str">
        <x:v>日本</x:v>
      </x:c>
      <x:c r="E976" s="94" t="str">
        <x:v>GGL-C04</x:v>
      </x:c>
      <x:c r="F976" s="94" t="str">
        <x:v>品牌搜索</x:v>
      </x:c>
      <x:c r="G976" s="94" t="str">
        <x:v>品牌优惠词</x:v>
      </x:c>
      <x:c r="H976" s="94" t="str">
        <x:v>移动端</x:v>
      </x:c>
      <x:c r="I976" s="94" t="str">
        <x:v>CPC</x:v>
      </x:c>
      <x:c r="J976" s="95" t="n">
        <x:v>825</x:v>
      </x:c>
      <x:c r="K976" s="96" t="n">
        <x:f>IFERROR(L976/J976,0)</x:f>
        <x:v>0.04606060606060606</x:v>
      </x:c>
      <x:c r="L976" s="95" t="n">
        <x:v>38</x:v>
      </x:c>
      <x:c r="M976" s="97" t="n">
        <x:v>0.1752</x:v>
      </x:c>
      <x:c r="N976" s="97" t="n">
        <x:f>ROUND(L976*M976,2)</x:f>
        <x:v>6.66</x:v>
      </x:c>
      <x:c r="O976" s="94" t="n">
        <x:v>7</x:v>
      </x:c>
      <x:c r="P976" s="94" t="str">
        <x:v>模拟：Google/Microsoft Ads采购导入</x:v>
      </x:c>
    </x:row>
    <x:row r="977">
      <x:c r="A977" s="92" t="str">
        <x:v>PROC-0976</x:v>
      </x:c>
      <x:c r="B977" s="93" t="n">
        <x:v>46199</x:v>
      </x:c>
      <x:c r="C977" s="94" t="str">
        <x:v>Google Ads</x:v>
      </x:c>
      <x:c r="D977" s="94" t="str">
        <x:v>美国</x:v>
      </x:c>
      <x:c r="E977" s="94" t="str">
        <x:v>GGL-C10</x:v>
      </x:c>
      <x:c r="F977" s="94" t="str">
        <x:v>竞品搜索</x:v>
      </x:c>
      <x:c r="G977" s="94" t="str">
        <x:v>替代品比较</x:v>
      </x:c>
      <x:c r="H977" s="94" t="str">
        <x:v>桌面端</x:v>
      </x:c>
      <x:c r="I977" s="94" t="str">
        <x:v>CPC</x:v>
      </x:c>
      <x:c r="J977" s="95" t="n">
        <x:v>948</x:v>
      </x:c>
      <x:c r="K977" s="96" t="n">
        <x:f>IFERROR(L977/J977,0)</x:f>
        <x:v>0.03270042194092827</x:v>
      </x:c>
      <x:c r="L977" s="95" t="n">
        <x:v>31</x:v>
      </x:c>
      <x:c r="M977" s="97" t="n">
        <x:v>0.5231</x:v>
      </x:c>
      <x:c r="N977" s="97" t="n">
        <x:f>ROUND(L977*M977,2)</x:f>
        <x:v>16.22</x:v>
      </x:c>
      <x:c r="O977" s="94" t="n">
        <x:v>9</x:v>
      </x:c>
      <x:c r="P977" s="94" t="str">
        <x:v>模拟：Google/Microsoft Ads采购导入</x:v>
      </x:c>
    </x:row>
    <x:row r="978">
      <x:c r="A978" s="92" t="str">
        <x:v>PROC-0977</x:v>
      </x:c>
      <x:c r="B978" s="93" t="n">
        <x:v>46199</x:v>
      </x:c>
      <x:c r="C978" s="94" t="str">
        <x:v>Google Ads</x:v>
      </x:c>
      <x:c r="D978" s="94" t="str">
        <x:v>英国</x:v>
      </x:c>
      <x:c r="E978" s="94" t="str">
        <x:v>GGL-C21</x:v>
      </x:c>
      <x:c r="F978" s="94" t="str">
        <x:v>竞品搜索</x:v>
      </x:c>
      <x:c r="G978" s="94" t="str">
        <x:v>更优选择</x:v>
      </x:c>
      <x:c r="H978" s="94" t="str">
        <x:v>桌面端</x:v>
      </x:c>
      <x:c r="I978" s="94" t="str">
        <x:v>CPC</x:v>
      </x:c>
      <x:c r="J978" s="95" t="n">
        <x:v>706</x:v>
      </x:c>
      <x:c r="K978" s="96" t="n">
        <x:f>IFERROR(L978/J978,0)</x:f>
        <x:v>0.028328611898016998</x:v>
      </x:c>
      <x:c r="L978" s="95" t="n">
        <x:v>20</x:v>
      </x:c>
      <x:c r="M978" s="97" t="n">
        <x:v>0.4129</x:v>
      </x:c>
      <x:c r="N978" s="97" t="n">
        <x:f>ROUND(L978*M978,2)</x:f>
        <x:v>8.26</x:v>
      </x:c>
      <x:c r="O978" s="94" t="n">
        <x:v>9</x:v>
      </x:c>
      <x:c r="P978" s="94" t="str">
        <x:v>模拟：Google/Microsoft Ads采购导入</x:v>
      </x:c>
    </x:row>
    <x:row r="979">
      <x:c r="A979" s="92" t="str">
        <x:v>PROC-0978</x:v>
      </x:c>
      <x:c r="B979" s="93" t="n">
        <x:v>46199</x:v>
      </x:c>
      <x:c r="C979" s="94" t="str">
        <x:v>Google Ads</x:v>
      </x:c>
      <x:c r="D979" s="94" t="str">
        <x:v>日本</x:v>
      </x:c>
      <x:c r="E979" s="94" t="str">
        <x:v>GGL-C24</x:v>
      </x:c>
      <x:c r="F979" s="94" t="str">
        <x:v>品牌搜索</x:v>
      </x:c>
      <x:c r="G979" s="94" t="str">
        <x:v>品牌型号词</x:v>
      </x:c>
      <x:c r="H979" s="94" t="str">
        <x:v>移动端</x:v>
      </x:c>
      <x:c r="I979" s="94" t="str">
        <x:v>CPC</x:v>
      </x:c>
      <x:c r="J979" s="95" t="n">
        <x:v>1046</x:v>
      </x:c>
      <x:c r="K979" s="96" t="n">
        <x:f>IFERROR(L979/J979,0)</x:f>
        <x:v>0.04780114722753346</x:v>
      </x:c>
      <x:c r="L979" s="95" t="n">
        <x:v>50</x:v>
      </x:c>
      <x:c r="M979" s="97" t="n">
        <x:v>0.2053</x:v>
      </x:c>
      <x:c r="N979" s="97" t="n">
        <x:f>ROUND(L979*M979,2)</x:f>
        <x:v>10.27</x:v>
      </x:c>
      <x:c r="O979" s="94" t="n">
        <x:v>9</x:v>
      </x:c>
      <x:c r="P979" s="94" t="str">
        <x:v>模拟：Google/Microsoft Ads采购导入</x:v>
      </x:c>
    </x:row>
    <x:row r="980">
      <x:c r="A980" s="92" t="str">
        <x:v>PROC-0979</x:v>
      </x:c>
      <x:c r="B980" s="93" t="n">
        <x:v>46200</x:v>
      </x:c>
      <x:c r="C980" s="94" t="str">
        <x:v>Google Ads</x:v>
      </x:c>
      <x:c r="D980" s="94" t="str">
        <x:v>美国</x:v>
      </x:c>
      <x:c r="E980" s="94" t="str">
        <x:v>GGL-C10</x:v>
      </x:c>
      <x:c r="F980" s="94" t="str">
        <x:v>竞品搜索</x:v>
      </x:c>
      <x:c r="G980" s="94" t="str">
        <x:v>更优选择</x:v>
      </x:c>
      <x:c r="H980" s="94" t="str">
        <x:v>移动端</x:v>
      </x:c>
      <x:c r="I980" s="94" t="str">
        <x:v>CPC</x:v>
      </x:c>
      <x:c r="J980" s="95" t="n">
        <x:v>1152</x:v>
      </x:c>
      <x:c r="K980" s="96" t="n">
        <x:f>IFERROR(L980/J980,0)</x:f>
        <x:v>0.03125</x:v>
      </x:c>
      <x:c r="L980" s="95" t="n">
        <x:v>36</x:v>
      </x:c>
      <x:c r="M980" s="97" t="n">
        <x:v>0.5056</x:v>
      </x:c>
      <x:c r="N980" s="97" t="n">
        <x:f>ROUND(L980*M980,2)</x:f>
        <x:v>18.2</x:v>
      </x:c>
      <x:c r="O980" s="94" t="n">
        <x:v>7</x:v>
      </x:c>
      <x:c r="P980" s="94" t="str">
        <x:v>模拟：Google/Microsoft Ads采购导入</x:v>
      </x:c>
    </x:row>
    <x:row r="981">
      <x:c r="A981" s="92" t="str">
        <x:v>PROC-0980</x:v>
      </x:c>
      <x:c r="B981" s="93" t="n">
        <x:v>46200</x:v>
      </x:c>
      <x:c r="C981" s="94" t="str">
        <x:v>Microsoft Ads</x:v>
      </x:c>
      <x:c r="D981" s="94" t="str">
        <x:v>美国</x:v>
      </x:c>
      <x:c r="E981" s="94" t="str">
        <x:v>MSA-C18</x:v>
      </x:c>
      <x:c r="F981" s="94" t="str">
        <x:v>竞品搜索</x:v>
      </x:c>
      <x:c r="G981" s="94" t="str">
        <x:v>替代品比较</x:v>
      </x:c>
      <x:c r="H981" s="94" t="str">
        <x:v>移动端</x:v>
      </x:c>
      <x:c r="I981" s="94" t="str">
        <x:v>CPC</x:v>
      </x:c>
      <x:c r="J981" s="95" t="n">
        <x:v>533</x:v>
      </x:c>
      <x:c r="K981" s="96" t="n">
        <x:f>IFERROR(L981/J981,0)</x:f>
        <x:v>0.0300187617260788</x:v>
      </x:c>
      <x:c r="L981" s="95" t="n">
        <x:v>16</x:v>
      </x:c>
      <x:c r="M981" s="97" t="n">
        <x:v>0.3691</x:v>
      </x:c>
      <x:c r="N981" s="97" t="n">
        <x:f>ROUND(L981*M981,2)</x:f>
        <x:v>5.91</x:v>
      </x:c>
      <x:c r="O981" s="94" t="n">
        <x:v>8</x:v>
      </x:c>
      <x:c r="P981" s="94" t="str">
        <x:v>模拟：Google/Microsoft Ads采购导入</x:v>
      </x:c>
    </x:row>
    <x:row r="982">
      <x:c r="A982" s="92" t="str">
        <x:v>PROC-0981</x:v>
      </x:c>
      <x:c r="B982" s="93" t="n">
        <x:v>46200</x:v>
      </x:c>
      <x:c r="C982" s="94" t="str">
        <x:v>Google Ads</x:v>
      </x:c>
      <x:c r="D982" s="94" t="str">
        <x:v>美国</x:v>
      </x:c>
      <x:c r="E982" s="94" t="str">
        <x:v>GGL-C23</x:v>
      </x:c>
      <x:c r="F982" s="94" t="str">
        <x:v>购物广告</x:v>
      </x:c>
      <x:c r="G982" s="94" t="str">
        <x:v>快速配送</x:v>
      </x:c>
      <x:c r="H982" s="94" t="str">
        <x:v>桌面端</x:v>
      </x:c>
      <x:c r="I982" s="94" t="str">
        <x:v>CPC</x:v>
      </x:c>
      <x:c r="J982" s="95" t="n">
        <x:v>1269</x:v>
      </x:c>
      <x:c r="K982" s="96" t="n">
        <x:f>IFERROR(L982/J982,0)</x:f>
        <x:v>0.039401103230890466</x:v>
      </x:c>
      <x:c r="L982" s="95" t="n">
        <x:v>50</x:v>
      </x:c>
      <x:c r="M982" s="97" t="n">
        <x:v>0.4275</x:v>
      </x:c>
      <x:c r="N982" s="97" t="n">
        <x:f>ROUND(L982*M982,2)</x:f>
        <x:v>21.38</x:v>
      </x:c>
      <x:c r="O982" s="94" t="n">
        <x:v>6</x:v>
      </x:c>
      <x:c r="P982" s="94" t="str">
        <x:v>模拟：Google/Microsoft Ads采购导入</x:v>
      </x:c>
    </x:row>
    <x:row r="983">
      <x:c r="A983" s="92" t="str">
        <x:v>PROC-0982</x:v>
      </x:c>
      <x:c r="B983" s="93" t="n">
        <x:v>46200</x:v>
      </x:c>
      <x:c r="C983" s="94" t="str">
        <x:v>Google Ads</x:v>
      </x:c>
      <x:c r="D983" s="94" t="str">
        <x:v>德国</x:v>
      </x:c>
      <x:c r="E983" s="94" t="str">
        <x:v>GGL-C07</x:v>
      </x:c>
      <x:c r="F983" s="94" t="str">
        <x:v>品牌搜索</x:v>
      </x:c>
      <x:c r="G983" s="94" t="str">
        <x:v>品牌评测词</x:v>
      </x:c>
      <x:c r="H983" s="94" t="str">
        <x:v>桌面端</x:v>
      </x:c>
      <x:c r="I983" s="94" t="str">
        <x:v>CPC</x:v>
      </x:c>
      <x:c r="J983" s="95" t="n">
        <x:v>1341</x:v>
      </x:c>
      <x:c r="K983" s="96" t="n">
        <x:f>IFERROR(L983/J983,0)</x:f>
        <x:v>0.048471290082028336</x:v>
      </x:c>
      <x:c r="L983" s="95" t="n">
        <x:v>65</x:v>
      </x:c>
      <x:c r="M983" s="97" t="n">
        <x:v>0.1867</x:v>
      </x:c>
      <x:c r="N983" s="97" t="n">
        <x:f>ROUND(L983*M983,2)</x:f>
        <x:v>12.14</x:v>
      </x:c>
      <x:c r="O983" s="94" t="n">
        <x:v>9</x:v>
      </x:c>
      <x:c r="P983" s="94" t="str">
        <x:v>模拟：Google/Microsoft Ads采购导入</x:v>
      </x:c>
    </x:row>
    <x:row r="984">
      <x:c r="A984" s="92" t="str">
        <x:v>PROC-0983</x:v>
      </x:c>
      <x:c r="B984" s="93" t="n">
        <x:v>46200</x:v>
      </x:c>
      <x:c r="C984" s="94" t="str">
        <x:v>Google Ads</x:v>
      </x:c>
      <x:c r="D984" s="94" t="str">
        <x:v>英国</x:v>
      </x:c>
      <x:c r="E984" s="94" t="str">
        <x:v>GGL-C14</x:v>
      </x:c>
      <x:c r="F984" s="94" t="str">
        <x:v>购物广告</x:v>
      </x:c>
      <x:c r="G984" s="94" t="str">
        <x:v>价格比较</x:v>
      </x:c>
      <x:c r="H984" s="94" t="str">
        <x:v>桌面端</x:v>
      </x:c>
      <x:c r="I984" s="94" t="str">
        <x:v>CPC</x:v>
      </x:c>
      <x:c r="J984" s="95" t="n">
        <x:v>1110</x:v>
      </x:c>
      <x:c r="K984" s="96" t="n">
        <x:f>IFERROR(L984/J984,0)</x:f>
        <x:v>0.043243243243243246</x:v>
      </x:c>
      <x:c r="L984" s="95" t="n">
        <x:v>48</x:v>
      </x:c>
      <x:c r="M984" s="97" t="n">
        <x:v>0.3622</x:v>
      </x:c>
      <x:c r="N984" s="97" t="n">
        <x:f>ROUND(L984*M984,2)</x:f>
        <x:v>17.39</x:v>
      </x:c>
      <x:c r="O984" s="94" t="n">
        <x:v>9</x:v>
      </x:c>
      <x:c r="P984" s="94" t="str">
        <x:v>模拟：Google/Microsoft Ads采购导入</x:v>
      </x:c>
    </x:row>
    <x:row r="985">
      <x:c r="A985" s="92" t="str">
        <x:v>PROC-0984</x:v>
      </x:c>
      <x:c r="B985" s="93" t="n">
        <x:v>46200</x:v>
      </x:c>
      <x:c r="C985" s="94" t="str">
        <x:v>Google Ads</x:v>
      </x:c>
      <x:c r="D985" s="94" t="str">
        <x:v>美国</x:v>
      </x:c>
      <x:c r="E985" s="94" t="str">
        <x:v>GGL-C21</x:v>
      </x:c>
      <x:c r="F985" s="94" t="str">
        <x:v>通用搜索</x:v>
      </x:c>
      <x:c r="G985" s="94" t="str">
        <x:v>家庭必备</x:v>
      </x:c>
      <x:c r="H985" s="94" t="str">
        <x:v>移动端</x:v>
      </x:c>
      <x:c r="I985" s="94" t="str">
        <x:v>CPC</x:v>
      </x:c>
      <x:c r="J985" s="95" t="n">
        <x:v>926</x:v>
      </x:c>
      <x:c r="K985" s="96" t="n">
        <x:f>IFERROR(L985/J985,0)</x:f>
        <x:v>0.03347732181425486</x:v>
      </x:c>
      <x:c r="L985" s="95" t="n">
        <x:v>31</x:v>
      </x:c>
      <x:c r="M985" s="97" t="n">
        <x:v>0.3224</x:v>
      </x:c>
      <x:c r="N985" s="97" t="n">
        <x:f>ROUND(L985*M985,2)</x:f>
        <x:v>9.99</x:v>
      </x:c>
      <x:c r="O985" s="94" t="n">
        <x:v>8</x:v>
      </x:c>
      <x:c r="P985" s="94" t="str">
        <x:v>模拟：Google/Microsoft Ads采购导入</x:v>
      </x:c>
    </x:row>
    <x:row r="986">
      <x:c r="A986" s="92" t="str">
        <x:v>PROC-0985</x:v>
      </x:c>
      <x:c r="B986" s="93" t="n">
        <x:v>46201</x:v>
      </x:c>
      <x:c r="C986" s="94" t="str">
        <x:v>Microsoft Ads</x:v>
      </x:c>
      <x:c r="D986" s="94" t="str">
        <x:v>美国</x:v>
      </x:c>
      <x:c r="E986" s="94" t="str">
        <x:v>MSA-C02</x:v>
      </x:c>
      <x:c r="F986" s="94" t="str">
        <x:v>购物广告</x:v>
      </x:c>
      <x:c r="G986" s="94" t="str">
        <x:v>畅销商品</x:v>
      </x:c>
      <x:c r="H986" s="94" t="str">
        <x:v>移动端</x:v>
      </x:c>
      <x:c r="I986" s="94" t="str">
        <x:v>CPC</x:v>
      </x:c>
      <x:c r="J986" s="95" t="n">
        <x:v>1086</x:v>
      </x:c>
      <x:c r="K986" s="96" t="n">
        <x:f>IFERROR(L986/J986,0)</x:f>
        <x:v>0.052486187845303865</x:v>
      </x:c>
      <x:c r="L986" s="95" t="n">
        <x:v>57</x:v>
      </x:c>
      <x:c r="M986" s="97" t="n">
        <x:v>0.3248</x:v>
      </x:c>
      <x:c r="N986" s="97" t="n">
        <x:f>ROUND(L986*M986,2)</x:f>
        <x:v>18.51</x:v>
      </x:c>
      <x:c r="O986" s="94" t="n">
        <x:v>6</x:v>
      </x:c>
      <x:c r="P986" s="94" t="str">
        <x:v>模拟：Google/Microsoft Ads采购导入</x:v>
      </x:c>
    </x:row>
    <x:row r="987">
      <x:c r="A987" s="92" t="str">
        <x:v>PROC-0986</x:v>
      </x:c>
      <x:c r="B987" s="93" t="n">
        <x:v>46201</x:v>
      </x:c>
      <x:c r="C987" s="94" t="str">
        <x:v>Google Ads</x:v>
      </x:c>
      <x:c r="D987" s="94" t="str">
        <x:v>英国</x:v>
      </x:c>
      <x:c r="E987" s="94" t="str">
        <x:v>GGL-C09</x:v>
      </x:c>
      <x:c r="F987" s="94" t="str">
        <x:v>通用搜索</x:v>
      </x:c>
      <x:c r="G987" s="94" t="str">
        <x:v>高性价比商品</x:v>
      </x:c>
      <x:c r="H987" s="94" t="str">
        <x:v>移动端</x:v>
      </x:c>
      <x:c r="I987" s="94" t="str">
        <x:v>CPC</x:v>
      </x:c>
      <x:c r="J987" s="95" t="n">
        <x:v>1382</x:v>
      </x:c>
      <x:c r="K987" s="96" t="n">
        <x:f>IFERROR(L987/J987,0)</x:f>
        <x:v>0.03762662807525326</x:v>
      </x:c>
      <x:c r="L987" s="95" t="n">
        <x:v>52</x:v>
      </x:c>
      <x:c r="M987" s="97" t="n">
        <x:v>0.3005</x:v>
      </x:c>
      <x:c r="N987" s="97" t="n">
        <x:f>ROUND(L987*M987,2)</x:f>
        <x:v>15.63</x:v>
      </x:c>
      <x:c r="O987" s="94" t="n">
        <x:v>6</x:v>
      </x:c>
      <x:c r="P987" s="94" t="str">
        <x:v>模拟：Google/Microsoft Ads采购导入</x:v>
      </x:c>
    </x:row>
    <x:row r="988">
      <x:c r="A988" s="92" t="str">
        <x:v>PROC-0987</x:v>
      </x:c>
      <x:c r="B988" s="93" t="n">
        <x:v>46201</x:v>
      </x:c>
      <x:c r="C988" s="94" t="str">
        <x:v>Microsoft Ads</x:v>
      </x:c>
      <x:c r="D988" s="94" t="str">
        <x:v>日本</x:v>
      </x:c>
      <x:c r="E988" s="94" t="str">
        <x:v>MSA-C19</x:v>
      </x:c>
      <x:c r="F988" s="94" t="str">
        <x:v>竞品搜索</x:v>
      </x:c>
      <x:c r="G988" s="94" t="str">
        <x:v>同类产品对比</x:v>
      </x:c>
      <x:c r="H988" s="94" t="str">
        <x:v>桌面端</x:v>
      </x:c>
      <x:c r="I988" s="94" t="str">
        <x:v>CPC</x:v>
      </x:c>
      <x:c r="J988" s="95" t="n">
        <x:v>567</x:v>
      </x:c>
      <x:c r="K988" s="96" t="n">
        <x:f>IFERROR(L988/J988,0)</x:f>
        <x:v>0.031746031746031744</x:v>
      </x:c>
      <x:c r="L988" s="95" t="n">
        <x:v>18</x:v>
      </x:c>
      <x:c r="M988" s="97" t="n">
        <x:v>0.3097</x:v>
      </x:c>
      <x:c r="N988" s="97" t="n">
        <x:f>ROUND(L988*M988,2)</x:f>
        <x:v>5.57</x:v>
      </x:c>
      <x:c r="O988" s="94" t="n">
        <x:v>9</x:v>
      </x:c>
      <x:c r="P988" s="94" t="str">
        <x:v>模拟：Google/Microsoft Ads采购导入</x:v>
      </x:c>
    </x:row>
    <x:row r="989">
      <x:c r="A989" s="92" t="str">
        <x:v>PROC-0988</x:v>
      </x:c>
      <x:c r="B989" s="93" t="n">
        <x:v>46201</x:v>
      </x:c>
      <x:c r="C989" s="94" t="str">
        <x:v>Microsoft Ads</x:v>
      </x:c>
      <x:c r="D989" s="94" t="str">
        <x:v>德国</x:v>
      </x:c>
      <x:c r="E989" s="94" t="str">
        <x:v>MSA-C02</x:v>
      </x:c>
      <x:c r="F989" s="94" t="str">
        <x:v>购物广告</x:v>
      </x:c>
      <x:c r="G989" s="94" t="str">
        <x:v>折扣商品</x:v>
      </x:c>
      <x:c r="H989" s="94" t="str">
        <x:v>移动端</x:v>
      </x:c>
      <x:c r="I989" s="94" t="str">
        <x:v>CPC</x:v>
      </x:c>
      <x:c r="J989" s="95" t="n">
        <x:v>1688</x:v>
      </x:c>
      <x:c r="K989" s="96" t="n">
        <x:f>IFERROR(L989/J989,0)</x:f>
        <x:v>0.04443127962085308</x:v>
      </x:c>
      <x:c r="L989" s="95" t="n">
        <x:v>75</x:v>
      </x:c>
      <x:c r="M989" s="97" t="n">
        <x:v>0.205</x:v>
      </x:c>
      <x:c r="N989" s="97" t="n">
        <x:f>ROUND(L989*M989,2)</x:f>
        <x:v>15.37</x:v>
      </x:c>
      <x:c r="O989" s="94" t="n">
        <x:v>6</x:v>
      </x:c>
      <x:c r="P989" s="94" t="str">
        <x:v>模拟：Google/Microsoft Ads采购导入</x:v>
      </x:c>
    </x:row>
    <x:row r="990">
      <x:c r="A990" s="92" t="str">
        <x:v>PROC-0989</x:v>
      </x:c>
      <x:c r="B990" s="93" t="n">
        <x:v>46201</x:v>
      </x:c>
      <x:c r="C990" s="94" t="str">
        <x:v>Microsoft Ads</x:v>
      </x:c>
      <x:c r="D990" s="94" t="str">
        <x:v>英国</x:v>
      </x:c>
      <x:c r="E990" s="94" t="str">
        <x:v>MSA-C06</x:v>
      </x:c>
      <x:c r="F990" s="94" t="str">
        <x:v>购物广告</x:v>
      </x:c>
      <x:c r="G990" s="94" t="str">
        <x:v>折扣商品</x:v>
      </x:c>
      <x:c r="H990" s="94" t="str">
        <x:v>移动端</x:v>
      </x:c>
      <x:c r="I990" s="94" t="str">
        <x:v>CPC</x:v>
      </x:c>
      <x:c r="J990" s="95" t="n">
        <x:v>786</x:v>
      </x:c>
      <x:c r="K990" s="96" t="n">
        <x:f>IFERROR(L990/J990,0)</x:f>
        <x:v>0.03816793893129771</x:v>
      </x:c>
      <x:c r="L990" s="95" t="n">
        <x:v>30</x:v>
      </x:c>
      <x:c r="M990" s="97" t="n">
        <x:v>0.2191</x:v>
      </x:c>
      <x:c r="N990" s="97" t="n">
        <x:f>ROUND(L990*M990,2)</x:f>
        <x:v>6.57</x:v>
      </x:c>
      <x:c r="O990" s="94" t="n">
        <x:v>6</x:v>
      </x:c>
      <x:c r="P990" s="94" t="str">
        <x:v>模拟：Google/Microsoft Ads采购导入</x:v>
      </x:c>
    </x:row>
    <x:row r="991">
      <x:c r="A991" s="92" t="str">
        <x:v>PROC-0990</x:v>
      </x:c>
      <x:c r="B991" s="93" t="n">
        <x:v>46202</x:v>
      </x:c>
      <x:c r="C991" s="94" t="str">
        <x:v>Google Ads</x:v>
      </x:c>
      <x:c r="D991" s="94" t="str">
        <x:v>英国</x:v>
      </x:c>
      <x:c r="E991" s="94" t="str">
        <x:v>GGL-C14</x:v>
      </x:c>
      <x:c r="F991" s="94" t="str">
        <x:v>购物广告</x:v>
      </x:c>
      <x:c r="G991" s="94" t="str">
        <x:v>畅销商品</x:v>
      </x:c>
      <x:c r="H991" s="94" t="str">
        <x:v>桌面端</x:v>
      </x:c>
      <x:c r="I991" s="94" t="str">
        <x:v>CPC</x:v>
      </x:c>
      <x:c r="J991" s="95" t="n">
        <x:v>1181</x:v>
      </x:c>
      <x:c r="K991" s="96" t="n">
        <x:f>IFERROR(L991/J991,0)</x:f>
        <x:v>0.04826418289585097</x:v>
      </x:c>
      <x:c r="L991" s="95" t="n">
        <x:v>57</x:v>
      </x:c>
      <x:c r="M991" s="97" t="n">
        <x:v>0.3358</x:v>
      </x:c>
      <x:c r="N991" s="97" t="n">
        <x:f>ROUND(L991*M991,2)</x:f>
        <x:v>19.14</x:v>
      </x:c>
      <x:c r="O991" s="94" t="n">
        <x:v>7</x:v>
      </x:c>
      <x:c r="P991" s="94" t="str">
        <x:v>模拟：Google/Microsoft Ads采购导入</x:v>
      </x:c>
    </x:row>
    <x:row r="992">
      <x:c r="A992" s="92" t="str">
        <x:v>PROC-0991</x:v>
      </x:c>
      <x:c r="B992" s="93" t="n">
        <x:v>46202</x:v>
      </x:c>
      <x:c r="C992" s="94" t="str">
        <x:v>Google Ads</x:v>
      </x:c>
      <x:c r="D992" s="94" t="str">
        <x:v>美国</x:v>
      </x:c>
      <x:c r="E992" s="94" t="str">
        <x:v>GGL-C21</x:v>
      </x:c>
      <x:c r="F992" s="94" t="str">
        <x:v>购物广告</x:v>
      </x:c>
      <x:c r="G992" s="94" t="str">
        <x:v>快速配送</x:v>
      </x:c>
      <x:c r="H992" s="94" t="str">
        <x:v>移动端</x:v>
      </x:c>
      <x:c r="I992" s="94" t="str">
        <x:v>CPC</x:v>
      </x:c>
      <x:c r="J992" s="95" t="n">
        <x:v>1337</x:v>
      </x:c>
      <x:c r="K992" s="96" t="n">
        <x:f>IFERROR(L992/J992,0)</x:f>
        <x:v>0.04487658937920718</x:v>
      </x:c>
      <x:c r="L992" s="95" t="n">
        <x:v>60</x:v>
      </x:c>
      <x:c r="M992" s="97" t="n">
        <x:v>0.3295</x:v>
      </x:c>
      <x:c r="N992" s="97" t="n">
        <x:f>ROUND(L992*M992,2)</x:f>
        <x:v>19.77</x:v>
      </x:c>
      <x:c r="O992" s="94" t="n">
        <x:v>7</x:v>
      </x:c>
      <x:c r="P992" s="94" t="str">
        <x:v>模拟：Google/Microsoft Ads采购导入</x:v>
      </x:c>
    </x:row>
    <x:row r="993">
      <x:c r="A993" s="92" t="str">
        <x:v>PROC-0992</x:v>
      </x:c>
      <x:c r="B993" s="93" t="n">
        <x:v>46202</x:v>
      </x:c>
      <x:c r="C993" s="94" t="str">
        <x:v>Microsoft Ads</x:v>
      </x:c>
      <x:c r="D993" s="94" t="str">
        <x:v>日本</x:v>
      </x:c>
      <x:c r="E993" s="94" t="str">
        <x:v>MSA-C06</x:v>
      </x:c>
      <x:c r="F993" s="94" t="str">
        <x:v>竞品搜索</x:v>
      </x:c>
      <x:c r="G993" s="94" t="str">
        <x:v>同类产品对比</x:v>
      </x:c>
      <x:c r="H993" s="94" t="str">
        <x:v>移动端</x:v>
      </x:c>
      <x:c r="I993" s="94" t="str">
        <x:v>CPC</x:v>
      </x:c>
      <x:c r="J993" s="95" t="n">
        <x:v>1022</x:v>
      </x:c>
      <x:c r="K993" s="96" t="n">
        <x:f>IFERROR(L993/J993,0)</x:f>
        <x:v>0.03424657534246575</x:v>
      </x:c>
      <x:c r="L993" s="95" t="n">
        <x:v>35</x:v>
      </x:c>
      <x:c r="M993" s="97" t="n">
        <x:v>0.2578</x:v>
      </x:c>
      <x:c r="N993" s="97" t="n">
        <x:f>ROUND(L993*M993,2)</x:f>
        <x:v>9.02</x:v>
      </x:c>
      <x:c r="O993" s="94" t="n">
        <x:v>9</x:v>
      </x:c>
      <x:c r="P993" s="94" t="str">
        <x:v>模拟：Google/Microsoft Ads采购导入</x:v>
      </x:c>
    </x:row>
    <x:row r="994">
      <x:c r="A994" s="92" t="str">
        <x:v>PROC-0993</x:v>
      </x:c>
      <x:c r="B994" s="93" t="n">
        <x:v>46202</x:v>
      </x:c>
      <x:c r="C994" s="94" t="str">
        <x:v>Microsoft Ads</x:v>
      </x:c>
      <x:c r="D994" s="94" t="str">
        <x:v>德国</x:v>
      </x:c>
      <x:c r="E994" s="94" t="str">
        <x:v>MSA-C11</x:v>
      </x:c>
      <x:c r="F994" s="94" t="str">
        <x:v>购物广告</x:v>
      </x:c>
      <x:c r="G994" s="94" t="str">
        <x:v>价格比较</x:v>
      </x:c>
      <x:c r="H994" s="94" t="str">
        <x:v>移动端</x:v>
      </x:c>
      <x:c r="I994" s="94" t="str">
        <x:v>CPC</x:v>
      </x:c>
      <x:c r="J994" s="95" t="n">
        <x:v>1369</x:v>
      </x:c>
      <x:c r="K994" s="96" t="n">
        <x:f>IFERROR(L994/J994,0)</x:f>
        <x:v>0.04163623082542001</x:v>
      </x:c>
      <x:c r="L994" s="95" t="n">
        <x:v>57</x:v>
      </x:c>
      <x:c r="M994" s="97" t="n">
        <x:v>0.2631</x:v>
      </x:c>
      <x:c r="N994" s="97" t="n">
        <x:f>ROUND(L994*M994,2)</x:f>
        <x:v>15</x:v>
      </x:c>
      <x:c r="O994" s="94" t="n">
        <x:v>6</x:v>
      </x:c>
      <x:c r="P994" s="94" t="str">
        <x:v>模拟：Google/Microsoft Ads采购导入</x:v>
      </x:c>
    </x:row>
    <x:row r="995">
      <x:c r="A995" s="92" t="str">
        <x:v>PROC-0994</x:v>
      </x:c>
      <x:c r="B995" s="93" t="n">
        <x:v>46202</x:v>
      </x:c>
      <x:c r="C995" s="94" t="str">
        <x:v>Google Ads</x:v>
      </x:c>
      <x:c r="D995" s="94" t="str">
        <x:v>德国</x:v>
      </x:c>
      <x:c r="E995" s="94" t="str">
        <x:v>GGL-C16</x:v>
      </x:c>
      <x:c r="F995" s="94" t="str">
        <x:v>竞品搜索</x:v>
      </x:c>
      <x:c r="G995" s="94" t="str">
        <x:v>更优选择</x:v>
      </x:c>
      <x:c r="H995" s="94" t="str">
        <x:v>桌面端</x:v>
      </x:c>
      <x:c r="I995" s="94" t="str">
        <x:v>CPC</x:v>
      </x:c>
      <x:c r="J995" s="95" t="n">
        <x:v>902</x:v>
      </x:c>
      <x:c r="K995" s="96" t="n">
        <x:f>IFERROR(L995/J995,0)</x:f>
        <x:v>0.025498891352549888</x:v>
      </x:c>
      <x:c r="L995" s="95" t="n">
        <x:v>23</x:v>
      </x:c>
      <x:c r="M995" s="97" t="n">
        <x:v>0.4354</x:v>
      </x:c>
      <x:c r="N995" s="97" t="n">
        <x:f>ROUND(L995*M995,2)</x:f>
        <x:v>10.01</x:v>
      </x:c>
      <x:c r="O995" s="94" t="n">
        <x:v>7</x:v>
      </x:c>
      <x:c r="P995" s="94" t="str">
        <x:v>模拟：Google/Microsoft Ads采购导入</x:v>
      </x:c>
    </x:row>
    <x:row r="996">
      <x:c r="A996" s="92" t="str">
        <x:v>PROC-0995</x:v>
      </x:c>
      <x:c r="B996" s="93" t="n">
        <x:v>46202</x:v>
      </x:c>
      <x:c r="C996" s="94" t="str">
        <x:v>Microsoft Ads</x:v>
      </x:c>
      <x:c r="D996" s="94" t="str">
        <x:v>英国</x:v>
      </x:c>
      <x:c r="E996" s="94" t="str">
        <x:v>MSA-C03</x:v>
      </x:c>
      <x:c r="F996" s="94" t="str">
        <x:v>品牌搜索</x:v>
      </x:c>
      <x:c r="G996" s="94" t="str">
        <x:v>品牌购买词</x:v>
      </x:c>
      <x:c r="H996" s="94" t="str">
        <x:v>桌面端</x:v>
      </x:c>
      <x:c r="I996" s="94" t="str">
        <x:v>CPC</x:v>
      </x:c>
      <x:c r="J996" s="95" t="n">
        <x:v>1198</x:v>
      </x:c>
      <x:c r="K996" s="96" t="n">
        <x:f>IFERROR(L996/J996,0)</x:f>
        <x:v>0.0659432387312187</x:v>
      </x:c>
      <x:c r="L996" s="95" t="n">
        <x:v>79</x:v>
      </x:c>
      <x:c r="M996" s="97" t="n">
        <x:v>0.1958</x:v>
      </x:c>
      <x:c r="N996" s="97" t="n">
        <x:f>ROUND(L996*M996,2)</x:f>
        <x:v>15.47</x:v>
      </x:c>
      <x:c r="O996" s="94" t="n">
        <x:v>9</x:v>
      </x:c>
      <x:c r="P996" s="94" t="str">
        <x:v>模拟：Google/Microsoft Ads采购导入</x:v>
      </x:c>
    </x:row>
    <x:row r="997">
      <x:c r="A997" s="92" t="str">
        <x:v>PROC-0996</x:v>
      </x:c>
      <x:c r="B997" s="93" t="n">
        <x:v>46203</x:v>
      </x:c>
      <x:c r="C997" s="94" t="str">
        <x:v>Google Ads</x:v>
      </x:c>
      <x:c r="D997" s="94" t="str">
        <x:v>美国</x:v>
      </x:c>
      <x:c r="E997" s="94" t="str">
        <x:v>GGL-C06</x:v>
      </x:c>
      <x:c r="F997" s="94" t="str">
        <x:v>购物广告</x:v>
      </x:c>
      <x:c r="G997" s="94" t="str">
        <x:v>折扣商品</x:v>
      </x:c>
      <x:c r="H997" s="94" t="str">
        <x:v>移动端</x:v>
      </x:c>
      <x:c r="I997" s="94" t="str">
        <x:v>CPC</x:v>
      </x:c>
      <x:c r="J997" s="95" t="n">
        <x:v>1250</x:v>
      </x:c>
      <x:c r="K997" s="96" t="n">
        <x:f>IFERROR(L997/J997,0)</x:f>
        <x:v>0.0472</x:v>
      </x:c>
      <x:c r="L997" s="95" t="n">
        <x:v>59</x:v>
      </x:c>
      <x:c r="M997" s="97" t="n">
        <x:v>0.3785</x:v>
      </x:c>
      <x:c r="N997" s="97" t="n">
        <x:f>ROUND(L997*M997,2)</x:f>
        <x:v>22.33</x:v>
      </x:c>
      <x:c r="O997" s="94" t="n">
        <x:v>8</x:v>
      </x:c>
      <x:c r="P997" s="94" t="str">
        <x:v>模拟：Google/Microsoft Ads采购导入</x:v>
      </x:c>
    </x:row>
    <x:row r="998">
      <x:c r="A998" s="92" t="str">
        <x:v>PROC-0997</x:v>
      </x:c>
      <x:c r="B998" s="93" t="n">
        <x:v>46203</x:v>
      </x:c>
      <x:c r="C998" s="94" t="str">
        <x:v>Microsoft Ads</x:v>
      </x:c>
      <x:c r="D998" s="94" t="str">
        <x:v>日本</x:v>
      </x:c>
      <x:c r="E998" s="94" t="str">
        <x:v>MSA-C14</x:v>
      </x:c>
      <x:c r="F998" s="94" t="str">
        <x:v>品牌搜索</x:v>
      </x:c>
      <x:c r="G998" s="94" t="str">
        <x:v>品牌评测词</x:v>
      </x:c>
      <x:c r="H998" s="94" t="str">
        <x:v>移动端</x:v>
      </x:c>
      <x:c r="I998" s="94" t="str">
        <x:v>CPC</x:v>
      </x:c>
      <x:c r="J998" s="95" t="n">
        <x:v>886</x:v>
      </x:c>
      <x:c r="K998" s="96" t="n">
        <x:f>IFERROR(L998/J998,0)</x:f>
        <x:v>0.05417607223476298</x:v>
      </x:c>
      <x:c r="L998" s="95" t="n">
        <x:v>48</x:v>
      </x:c>
      <x:c r="M998" s="97" t="n">
        <x:v>0.1294</x:v>
      </x:c>
      <x:c r="N998" s="97" t="n">
        <x:f>ROUND(L998*M998,2)</x:f>
        <x:v>6.21</x:v>
      </x:c>
      <x:c r="O998" s="94" t="n">
        <x:v>8</x:v>
      </x:c>
      <x:c r="P998" s="94" t="str">
        <x:v>模拟：Google/Microsoft Ads采购导入</x:v>
      </x:c>
    </x:row>
    <x:row r="999">
      <x:c r="A999" s="92" t="str">
        <x:v>PROC-0998</x:v>
      </x:c>
      <x:c r="B999" s="93" t="n">
        <x:v>46203</x:v>
      </x:c>
      <x:c r="C999" s="94" t="str">
        <x:v>Microsoft Ads</x:v>
      </x:c>
      <x:c r="D999" s="94" t="str">
        <x:v>德国</x:v>
      </x:c>
      <x:c r="E999" s="94" t="str">
        <x:v>MSA-C23</x:v>
      </x:c>
      <x:c r="F999" s="94" t="str">
        <x:v>通用搜索</x:v>
      </x:c>
      <x:c r="G999" s="94" t="str">
        <x:v>专业精选</x:v>
      </x:c>
      <x:c r="H999" s="94" t="str">
        <x:v>移动端</x:v>
      </x:c>
      <x:c r="I999" s="94" t="str">
        <x:v>CPC</x:v>
      </x:c>
      <x:c r="J999" s="95" t="n">
        <x:v>1163</x:v>
      </x:c>
      <x:c r="K999" s="96" t="n">
        <x:f>IFERROR(L999/J999,0)</x:f>
        <x:v>0.0412725709372313</x:v>
      </x:c>
      <x:c r="L999" s="95" t="n">
        <x:v>48</x:v>
      </x:c>
      <x:c r="M999" s="97" t="n">
        <x:v>0.1787</x:v>
      </x:c>
      <x:c r="N999" s="97" t="n">
        <x:f>ROUND(L999*M999,2)</x:f>
        <x:v>8.58</x:v>
      </x:c>
      <x:c r="O999" s="94" t="n">
        <x:v>8</x:v>
      </x:c>
      <x:c r="P999" s="94" t="str">
        <x:v>模拟：Google/Microsoft Ads采购导入</x:v>
      </x:c>
    </x:row>
    <x:row r="1000">
      <x:c r="A1000" s="92" t="str">
        <x:v>PROC-0999</x:v>
      </x:c>
      <x:c r="B1000" s="93" t="n">
        <x:v>46203</x:v>
      </x:c>
      <x:c r="C1000" s="94" t="str">
        <x:v>Google Ads</x:v>
      </x:c>
      <x:c r="D1000" s="94" t="str">
        <x:v>美国</x:v>
      </x:c>
      <x:c r="E1000" s="94" t="str">
        <x:v>GGL-C06</x:v>
      </x:c>
      <x:c r="F1000" s="94" t="str">
        <x:v>通用搜索</x:v>
      </x:c>
      <x:c r="G1000" s="94" t="str">
        <x:v>热门新品</x:v>
      </x:c>
      <x:c r="H1000" s="94" t="str">
        <x:v>桌面端</x:v>
      </x:c>
      <x:c r="I1000" s="94" t="str">
        <x:v>CPC</x:v>
      </x:c>
      <x:c r="J1000" s="95" t="n">
        <x:v>737</x:v>
      </x:c>
      <x:c r="K1000" s="96" t="n">
        <x:f>IFERROR(L1000/J1000,0)</x:f>
        <x:v>0.037991858887381276</x:v>
      </x:c>
      <x:c r="L1000" s="95" t="n">
        <x:v>28</x:v>
      </x:c>
      <x:c r="M1000" s="97" t="n">
        <x:v>0.387</x:v>
      </x:c>
      <x:c r="N1000" s="97" t="n">
        <x:f>ROUND(L1000*M1000,2)</x:f>
        <x:v>10.84</x:v>
      </x:c>
      <x:c r="O1000" s="94" t="n">
        <x:v>8</x:v>
      </x:c>
      <x:c r="P1000" s="94" t="str">
        <x:v>模拟：Google/Microsoft Ads采购导入</x:v>
      </x:c>
    </x:row>
    <x:row r="1001">
      <x:c r="A1001" s="98" t="str">
        <x:v>PROC-1000</x:v>
      </x:c>
      <x:c r="B1001" s="99" t="n">
        <x:v>46203</x:v>
      </x:c>
      <x:c r="C1001" s="100" t="str">
        <x:v>Google Ads</x:v>
      </x:c>
      <x:c r="D1001" s="100" t="str">
        <x:v>美国</x:v>
      </x:c>
      <x:c r="E1001" s="100" t="str">
        <x:v>GGL-C14</x:v>
      </x:c>
      <x:c r="F1001" s="100" t="str">
        <x:v>品牌搜索</x:v>
      </x:c>
      <x:c r="G1001" s="100" t="str">
        <x:v>品牌购买词</x:v>
      </x:c>
      <x:c r="H1001" s="100" t="str">
        <x:v>移动端</x:v>
      </x:c>
      <x:c r="I1001" s="100" t="str">
        <x:v>CPC</x:v>
      </x:c>
      <x:c r="J1001" s="101" t="n">
        <x:v>819</x:v>
      </x:c>
      <x:c r="K1001" s="102" t="n">
        <x:f>IFERROR(L1001/J1001,0)</x:f>
        <x:v>0.06227106227106227</x:v>
      </x:c>
      <x:c r="L1001" s="101" t="n">
        <x:v>51</x:v>
      </x:c>
      <x:c r="M1001" s="103" t="n">
        <x:v>0.271</x:v>
      </x:c>
      <x:c r="N1001" s="103" t="n">
        <x:f>ROUND(L1001*M1001,2)</x:f>
        <x:v>13.82</x:v>
      </x:c>
      <x:c r="O1001" s="100" t="n">
        <x:v>7</x:v>
      </x:c>
      <x:c r="P1001" s="100" t="str">
        <x:v>模拟：Google/Microsoft Ads采购导入</x:v>
      </x:c>
    </x:row>
  </x:sheetData>
  <x:pageMargins left="0.7" right="0.7" top="0.75" bottom="0.75" header="0.3" footer="0.3"/>
  <x:tableParts count="1">
    <x:tablePart xmlns:r="http://schemas.openxmlformats.org/officeDocument/2006/relationships" r:id="R5fd43d48c9d844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10" hidden="0" customWidth="1"/>
    <x:col min="5" max="5" width="14" hidden="0" customWidth="1"/>
    <x:col min="6" max="6" width="11" hidden="0" customWidth="1"/>
    <x:col min="7" max="7" width="12" hidden="0" customWidth="1"/>
    <x:col min="8" max="8" width="11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3" hidden="0" customWidth="1"/>
    <x:col min="15" max="15" width="13" hidden="0" customWidth="1"/>
    <x:col min="16" max="16" width="15" hidden="0" customWidth="1"/>
    <x:col min="17" max="17" width="15" hidden="0" customWidth="1"/>
    <x:col min="18" max="18" width="13" hidden="0" customWidth="1"/>
    <x:col min="19" max="19" width="13" hidden="0" customWidth="1"/>
    <x:col min="20" max="20" width="14" hidden="0" customWidth="1"/>
  </x:cols>
  <x:sheetData>
    <x:row r="1" ht="30" customHeight="1">
      <x:c r="A1" s="90" t="str">
        <x:v>采购ID</x:v>
      </x:c>
      <x:c r="B1" s="91" t="str">
        <x:v>日期</x:v>
      </x:c>
      <x:c r="C1" s="91" t="str">
        <x:v>平台</x:v>
      </x:c>
      <x:c r="D1" s="91" t="str">
        <x:v>市场</x:v>
      </x:c>
      <x:c r="E1" s="91" t="str">
        <x:v>活动类型</x:v>
      </x:c>
      <x:c r="F1" s="91" t="str">
        <x:v>广告点击</x:v>
      </x:c>
      <x:c r="G1" s="91" t="str">
        <x:v>落地页访问</x:v>
      </x:c>
      <x:c r="H1" s="91" t="str">
        <x:v>有效互动</x:v>
      </x:c>
      <x:c r="I1" s="91" t="str">
        <x:v>产品详情浏览</x:v>
      </x:c>
      <x:c r="J1" s="91" t="str">
        <x:v>Amazon点击</x:v>
      </x:c>
      <x:c r="K1" s="91" t="str">
        <x:v>Amazon加购</x:v>
      </x:c>
      <x:c r="L1" s="91" t="str">
        <x:v>完成购买</x:v>
      </x:c>
      <x:c r="M1" s="91" t="str">
        <x:v>点击→落地</x:v>
      </x:c>
      <x:c r="N1" s="91" t="str">
        <x:v>落地→互动</x:v>
      </x:c>
      <x:c r="O1" s="91" t="str">
        <x:v>互动→产品</x:v>
      </x:c>
      <x:c r="P1" s="91" t="str">
        <x:v>产品→Amazon</x:v>
      </x:c>
      <x:c r="Q1" s="91" t="str">
        <x:v>Amazon→购买</x:v>
      </x:c>
      <x:c r="R1" s="91" t="str">
        <x:v>点击→购买</x:v>
      </x:c>
      <x:c r="S1" s="91" t="str">
        <x:v>平均停留秒</x:v>
      </x:c>
      <x:c r="T1" s="91" t="str">
        <x:v>归因窗口</x:v>
      </x:c>
    </x:row>
    <x:row r="2">
      <x:c r="A2" s="92" t="str">
        <x:v>PROC-0001</x:v>
      </x:c>
      <x:c r="B2" s="93" t="n">
        <x:v>46023</x:v>
      </x:c>
      <x:c r="C2" s="94" t="str">
        <x:v>Google Ads</x:v>
      </x:c>
      <x:c r="D2" s="94" t="str">
        <x:v>日本</x:v>
      </x:c>
      <x:c r="E2" s="94" t="str">
        <x:v>品牌搜索</x:v>
      </x:c>
      <x:c r="F2" s="95" t="n">
        <x:v>89</x:v>
      </x:c>
      <x:c r="G2" s="95" t="n">
        <x:v>82</x:v>
      </x:c>
      <x:c r="H2" s="95" t="n">
        <x:v>62</x:v>
      </x:c>
      <x:c r="I2" s="95" t="n">
        <x:v>51</x:v>
      </x:c>
      <x:c r="J2" s="95" t="n">
        <x:v>24</x:v>
      </x:c>
      <x:c r="K2" s="95" t="n">
        <x:v>7</x:v>
      </x:c>
      <x:c r="L2" s="95" t="n">
        <x:v>3</x:v>
      </x:c>
      <x:c r="M2" s="96" t="n">
        <x:f>IFERROR(G2/F2,0)</x:f>
        <x:v>0.9213483146067416</x:v>
      </x:c>
      <x:c r="N2" s="96" t="n">
        <x:f>IFERROR(H2/G2,0)</x:f>
        <x:v>0.7560975609756098</x:v>
      </x:c>
      <x:c r="O2" s="96" t="n">
        <x:f>IFERROR(I2/H2,0)</x:f>
        <x:v>0.8225806451612904</x:v>
      </x:c>
      <x:c r="P2" s="96" t="n">
        <x:f>IFERROR(J2/I2,0)</x:f>
        <x:v>0.47058823529411764</x:v>
      </x:c>
      <x:c r="Q2" s="96" t="n">
        <x:f>IFERROR(L2/J2,0)</x:f>
        <x:v>0.125</x:v>
      </x:c>
      <x:c r="R2" s="96" t="n">
        <x:f>IFERROR(L2/F2,0)</x:f>
        <x:v>0.033707865168539325</x:v>
      </x:c>
      <x:c r="S2" s="95" t="n">
        <x:v>71</x:v>
      </x:c>
      <x:c r="T2" s="94" t="str">
        <x:v>末次点击7天</x:v>
      </x:c>
    </x:row>
    <x:row r="3">
      <x:c r="A3" s="92" t="str">
        <x:v>PROC-0002</x:v>
      </x:c>
      <x:c r="B3" s="93" t="n">
        <x:v>46023</x:v>
      </x:c>
      <x:c r="C3" s="94" t="str">
        <x:v>Microsoft Ads</x:v>
      </x:c>
      <x:c r="D3" s="94" t="str">
        <x:v>美国</x:v>
      </x:c>
      <x:c r="E3" s="94" t="str">
        <x:v>通用搜索</x:v>
      </x:c>
      <x:c r="F3" s="95" t="n">
        <x:v>53</x:v>
      </x:c>
      <x:c r="G3" s="95" t="n">
        <x:v>49</x:v>
      </x:c>
      <x:c r="H3" s="95" t="n">
        <x:v>35</x:v>
      </x:c>
      <x:c r="I3" s="95" t="n">
        <x:v>29</x:v>
      </x:c>
      <x:c r="J3" s="95" t="n">
        <x:v>11</x:v>
      </x:c>
      <x:c r="K3" s="95" t="n">
        <x:v>4</x:v>
      </x:c>
      <x:c r="L3" s="95" t="n">
        <x:v>1</x:v>
      </x:c>
      <x:c r="M3" s="96" t="n">
        <x:f>IFERROR(G3/F3,0)</x:f>
        <x:v>0.9245283018867925</x:v>
      </x:c>
      <x:c r="N3" s="96" t="n">
        <x:f>IFERROR(H3/G3,0)</x:f>
        <x:v>0.7142857142857143</x:v>
      </x:c>
      <x:c r="O3" s="96" t="n">
        <x:f>IFERROR(I3/H3,0)</x:f>
        <x:v>0.8285714285714286</x:v>
      </x:c>
      <x:c r="P3" s="96" t="n">
        <x:f>IFERROR(J3/I3,0)</x:f>
        <x:v>0.3793103448275862</x:v>
      </x:c>
      <x:c r="Q3" s="96" t="n">
        <x:f>IFERROR(L3/J3,0)</x:f>
        <x:v>0.09090909090909091</x:v>
      </x:c>
      <x:c r="R3" s="96" t="n">
        <x:f>IFERROR(L3/F3,0)</x:f>
        <x:v>0.018867924528301886</x:v>
      </x:c>
      <x:c r="S3" s="95" t="n">
        <x:v>155</x:v>
      </x:c>
      <x:c r="T3" s="94" t="str">
        <x:v>末次点击7天</x:v>
      </x:c>
    </x:row>
    <x:row r="4">
      <x:c r="A4" s="92" t="str">
        <x:v>PROC-0003</x:v>
      </x:c>
      <x:c r="B4" s="93" t="n">
        <x:v>46023</x:v>
      </x:c>
      <x:c r="C4" s="94" t="str">
        <x:v>Microsoft Ads</x:v>
      </x:c>
      <x:c r="D4" s="94" t="str">
        <x:v>日本</x:v>
      </x:c>
      <x:c r="E4" s="94" t="str">
        <x:v>购物广告</x:v>
      </x:c>
      <x:c r="F4" s="95" t="n">
        <x:v>30</x:v>
      </x:c>
      <x:c r="G4" s="95" t="n">
        <x:v>28</x:v>
      </x:c>
      <x:c r="H4" s="95" t="n">
        <x:v>20</x:v>
      </x:c>
      <x:c r="I4" s="95" t="n">
        <x:v>17</x:v>
      </x:c>
      <x:c r="J4" s="95" t="n">
        <x:v>9</x:v>
      </x:c>
      <x:c r="K4" s="95" t="n">
        <x:v>2</x:v>
      </x:c>
      <x:c r="L4" s="95" t="n">
        <x:v>1</x:v>
      </x:c>
      <x:c r="M4" s="96" t="n">
        <x:f>IFERROR(G4/F4,0)</x:f>
        <x:v>0.9333333333333333</x:v>
      </x:c>
      <x:c r="N4" s="96" t="n">
        <x:f>IFERROR(H4/G4,0)</x:f>
        <x:v>0.7142857142857143</x:v>
      </x:c>
      <x:c r="O4" s="96" t="n">
        <x:f>IFERROR(I4/H4,0)</x:f>
        <x:v>0.85</x:v>
      </x:c>
      <x:c r="P4" s="96" t="n">
        <x:f>IFERROR(J4/I4,0)</x:f>
        <x:v>0.5294117647058824</x:v>
      </x:c>
      <x:c r="Q4" s="96" t="n">
        <x:f>IFERROR(L4/J4,0)</x:f>
        <x:v>0.1111111111111111</x:v>
      </x:c>
      <x:c r="R4" s="96" t="n">
        <x:f>IFERROR(L4/F4,0)</x:f>
        <x:v>0.03333333333333333</x:v>
      </x:c>
      <x:c r="S4" s="95" t="n">
        <x:v>111</x:v>
      </x:c>
      <x:c r="T4" s="94" t="str">
        <x:v>末次点击7天</x:v>
      </x:c>
    </x:row>
    <x:row r="5">
      <x:c r="A5" s="92" t="str">
        <x:v>PROC-0004</x:v>
      </x:c>
      <x:c r="B5" s="93" t="n">
        <x:v>46023</x:v>
      </x:c>
      <x:c r="C5" s="94" t="str">
        <x:v>Google Ads</x:v>
      </x:c>
      <x:c r="D5" s="94" t="str">
        <x:v>美国</x:v>
      </x:c>
      <x:c r="E5" s="94" t="str">
        <x:v>通用搜索</x:v>
      </x:c>
      <x:c r="F5" s="95" t="n">
        <x:v>59</x:v>
      </x:c>
      <x:c r="G5" s="95" t="n">
        <x:v>53</x:v>
      </x:c>
      <x:c r="H5" s="95" t="n">
        <x:v>36</x:v>
      </x:c>
      <x:c r="I5" s="95" t="n">
        <x:v>31</x:v>
      </x:c>
      <x:c r="J5" s="95" t="n">
        <x:v>13</x:v>
      </x:c>
      <x:c r="K5" s="95" t="n">
        <x:v>4</x:v>
      </x:c>
      <x:c r="L5" s="95" t="n">
        <x:v>1</x:v>
      </x:c>
      <x:c r="M5" s="96" t="n">
        <x:f>IFERROR(G5/F5,0)</x:f>
        <x:v>0.8983050847457628</x:v>
      </x:c>
      <x:c r="N5" s="96" t="n">
        <x:f>IFERROR(H5/G5,0)</x:f>
        <x:v>0.6792452830188679</x:v>
      </x:c>
      <x:c r="O5" s="96" t="n">
        <x:f>IFERROR(I5/H5,0)</x:f>
        <x:v>0.8611111111111112</x:v>
      </x:c>
      <x:c r="P5" s="96" t="n">
        <x:f>IFERROR(J5/I5,0)</x:f>
        <x:v>0.41935483870967744</x:v>
      </x:c>
      <x:c r="Q5" s="96" t="n">
        <x:f>IFERROR(L5/J5,0)</x:f>
        <x:v>0.07692307692307693</x:v>
      </x:c>
      <x:c r="R5" s="96" t="n">
        <x:f>IFERROR(L5/F5,0)</x:f>
        <x:v>0.01694915254237288</x:v>
      </x:c>
      <x:c r="S5" s="95" t="n">
        <x:v>120</x:v>
      </x:c>
      <x:c r="T5" s="94" t="str">
        <x:v>末次点击7天</x:v>
      </x:c>
    </x:row>
    <x:row r="6">
      <x:c r="A6" s="92" t="str">
        <x:v>PROC-0005</x:v>
      </x:c>
      <x:c r="B6" s="93" t="n">
        <x:v>46023</x:v>
      </x:c>
      <x:c r="C6" s="94" t="str">
        <x:v>Google Ads</x:v>
      </x:c>
      <x:c r="D6" s="94" t="str">
        <x:v>日本</x:v>
      </x:c>
      <x:c r="E6" s="94" t="str">
        <x:v>购物广告</x:v>
      </x:c>
      <x:c r="F6" s="95" t="n">
        <x:v>64</x:v>
      </x:c>
      <x:c r="G6" s="95" t="n">
        <x:v>58</x:v>
      </x:c>
      <x:c r="H6" s="95" t="n">
        <x:v>39</x:v>
      </x:c>
      <x:c r="I6" s="95" t="n">
        <x:v>34</x:v>
      </x:c>
      <x:c r="J6" s="95" t="n">
        <x:v>17</x:v>
      </x:c>
      <x:c r="K6" s="95" t="n">
        <x:v>6</x:v>
      </x:c>
      <x:c r="L6" s="95" t="n">
        <x:v>1</x:v>
      </x:c>
      <x:c r="M6" s="96" t="n">
        <x:f>IFERROR(G6/F6,0)</x:f>
        <x:v>0.90625</x:v>
      </x:c>
      <x:c r="N6" s="96" t="n">
        <x:f>IFERROR(H6/G6,0)</x:f>
        <x:v>0.6724137931034483</x:v>
      </x:c>
      <x:c r="O6" s="96" t="n">
        <x:f>IFERROR(I6/H6,0)</x:f>
        <x:v>0.8717948717948718</x:v>
      </x:c>
      <x:c r="P6" s="96" t="n">
        <x:f>IFERROR(J6/I6,0)</x:f>
        <x:v>0.5</x:v>
      </x:c>
      <x:c r="Q6" s="96" t="n">
        <x:f>IFERROR(L6/J6,0)</x:f>
        <x:v>0.058823529411764705</x:v>
      </x:c>
      <x:c r="R6" s="96" t="n">
        <x:f>IFERROR(L6/F6,0)</x:f>
        <x:v>0.015625</x:v>
      </x:c>
      <x:c r="S6" s="95" t="n">
        <x:v>85</x:v>
      </x:c>
      <x:c r="T6" s="94" t="str">
        <x:v>末次点击7天</x:v>
      </x:c>
    </x:row>
    <x:row r="7">
      <x:c r="A7" s="92" t="str">
        <x:v>PROC-0006</x:v>
      </x:c>
      <x:c r="B7" s="93" t="n">
        <x:v>46023</x:v>
      </x:c>
      <x:c r="C7" s="94" t="str">
        <x:v>Microsoft Ads</x:v>
      </x:c>
      <x:c r="D7" s="94" t="str">
        <x:v>美国</x:v>
      </x:c>
      <x:c r="E7" s="94" t="str">
        <x:v>通用搜索</x:v>
      </x:c>
      <x:c r="F7" s="95" t="n">
        <x:v>52</x:v>
      </x:c>
      <x:c r="G7" s="95" t="n">
        <x:v>48</x:v>
      </x:c>
      <x:c r="H7" s="95" t="n">
        <x:v>35</x:v>
      </x:c>
      <x:c r="I7" s="95" t="n">
        <x:v>30</x:v>
      </x:c>
      <x:c r="J7" s="95" t="n">
        <x:v>13</x:v>
      </x:c>
      <x:c r="K7" s="95" t="n">
        <x:v>3</x:v>
      </x:c>
      <x:c r="L7" s="95" t="n">
        <x:v>1</x:v>
      </x:c>
      <x:c r="M7" s="96" t="n">
        <x:f>IFERROR(G7/F7,0)</x:f>
        <x:v>0.9230769230769231</x:v>
      </x:c>
      <x:c r="N7" s="96" t="n">
        <x:f>IFERROR(H7/G7,0)</x:f>
        <x:v>0.7291666666666666</x:v>
      </x:c>
      <x:c r="O7" s="96" t="n">
        <x:f>IFERROR(I7/H7,0)</x:f>
        <x:v>0.8571428571428571</x:v>
      </x:c>
      <x:c r="P7" s="96" t="n">
        <x:f>IFERROR(J7/I7,0)</x:f>
        <x:v>0.43333333333333335</x:v>
      </x:c>
      <x:c r="Q7" s="96" t="n">
        <x:f>IFERROR(L7/J7,0)</x:f>
        <x:v>0.07692307692307693</x:v>
      </x:c>
      <x:c r="R7" s="96" t="n">
        <x:f>IFERROR(L7/F7,0)</x:f>
        <x:v>0.019230769230769232</x:v>
      </x:c>
      <x:c r="S7" s="95" t="n">
        <x:v>130</x:v>
      </x:c>
      <x:c r="T7" s="94" t="str">
        <x:v>末次点击7天</x:v>
      </x:c>
    </x:row>
    <x:row r="8">
      <x:c r="A8" s="92" t="str">
        <x:v>PROC-0007</x:v>
      </x:c>
      <x:c r="B8" s="93" t="n">
        <x:v>46024</x:v>
      </x:c>
      <x:c r="C8" s="94" t="str">
        <x:v>Microsoft Ads</x:v>
      </x:c>
      <x:c r="D8" s="94" t="str">
        <x:v>德国</x:v>
      </x:c>
      <x:c r="E8" s="94" t="str">
        <x:v>购物广告</x:v>
      </x:c>
      <x:c r="F8" s="95" t="n">
        <x:v>27</x:v>
      </x:c>
      <x:c r="G8" s="95" t="n">
        <x:v>26</x:v>
      </x:c>
      <x:c r="H8" s="95" t="n">
        <x:v>18</x:v>
      </x:c>
      <x:c r="I8" s="95" t="n">
        <x:v>15</x:v>
      </x:c>
      <x:c r="J8" s="95" t="n">
        <x:v>6</x:v>
      </x:c>
      <x:c r="K8" s="95" t="n">
        <x:v>2</x:v>
      </x:c>
      <x:c r="L8" s="95" t="n">
        <x:v>1</x:v>
      </x:c>
      <x:c r="M8" s="96" t="n">
        <x:f>IFERROR(G8/F8,0)</x:f>
        <x:v>0.9629629629629629</x:v>
      </x:c>
      <x:c r="N8" s="96" t="n">
        <x:f>IFERROR(H8/G8,0)</x:f>
        <x:v>0.6923076923076923</x:v>
      </x:c>
      <x:c r="O8" s="96" t="n">
        <x:f>IFERROR(I8/H8,0)</x:f>
        <x:v>0.8333333333333334</x:v>
      </x:c>
      <x:c r="P8" s="96" t="n">
        <x:f>IFERROR(J8/I8,0)</x:f>
        <x:v>0.4</x:v>
      </x:c>
      <x:c r="Q8" s="96" t="n">
        <x:f>IFERROR(L8/J8,0)</x:f>
        <x:v>0.16666666666666666</x:v>
      </x:c>
      <x:c r="R8" s="96" t="n">
        <x:f>IFERROR(L8/F8,0)</x:f>
        <x:v>0.037037037037037035</x:v>
      </x:c>
      <x:c r="S8" s="95" t="n">
        <x:v>151</x:v>
      </x:c>
      <x:c r="T8" s="94" t="str">
        <x:v>末次点击7天</x:v>
      </x:c>
    </x:row>
    <x:row r="9">
      <x:c r="A9" s="92" t="str">
        <x:v>PROC-0008</x:v>
      </x:c>
      <x:c r="B9" s="93" t="n">
        <x:v>46024</x:v>
      </x:c>
      <x:c r="C9" s="94" t="str">
        <x:v>Google Ads</x:v>
      </x:c>
      <x:c r="D9" s="94" t="str">
        <x:v>美国</x:v>
      </x:c>
      <x:c r="E9" s="94" t="str">
        <x:v>购物广告</x:v>
      </x:c>
      <x:c r="F9" s="95" t="n">
        <x:v>58</x:v>
      </x:c>
      <x:c r="G9" s="95" t="n">
        <x:v>51</x:v>
      </x:c>
      <x:c r="H9" s="95" t="n">
        <x:v>37</x:v>
      </x:c>
      <x:c r="I9" s="95" t="n">
        <x:v>33</x:v>
      </x:c>
      <x:c r="J9" s="95" t="n">
        <x:v>17</x:v>
      </x:c>
      <x:c r="K9" s="95" t="n">
        <x:v>4</x:v>
      </x:c>
      <x:c r="L9" s="95" t="n">
        <x:v>2</x:v>
      </x:c>
      <x:c r="M9" s="96" t="n">
        <x:f>IFERROR(G9/F9,0)</x:f>
        <x:v>0.8793103448275862</x:v>
      </x:c>
      <x:c r="N9" s="96" t="n">
        <x:f>IFERROR(H9/G9,0)</x:f>
        <x:v>0.7254901960784313</x:v>
      </x:c>
      <x:c r="O9" s="96" t="n">
        <x:f>IFERROR(I9/H9,0)</x:f>
        <x:v>0.8918918918918919</x:v>
      </x:c>
      <x:c r="P9" s="96" t="n">
        <x:f>IFERROR(J9/I9,0)</x:f>
        <x:v>0.5151515151515151</x:v>
      </x:c>
      <x:c r="Q9" s="96" t="n">
        <x:f>IFERROR(L9/J9,0)</x:f>
        <x:v>0.11764705882352941</x:v>
      </x:c>
      <x:c r="R9" s="96" t="n">
        <x:f>IFERROR(L9/F9,0)</x:f>
        <x:v>0.034482758620689655</x:v>
      </x:c>
      <x:c r="S9" s="95" t="n">
        <x:v>112</x:v>
      </x:c>
      <x:c r="T9" s="94" t="str">
        <x:v>末次点击7天</x:v>
      </x:c>
    </x:row>
    <x:row r="10">
      <x:c r="A10" s="92" t="str">
        <x:v>PROC-0009</x:v>
      </x:c>
      <x:c r="B10" s="93" t="n">
        <x:v>46024</x:v>
      </x:c>
      <x:c r="C10" s="94" t="str">
        <x:v>Google Ads</x:v>
      </x:c>
      <x:c r="D10" s="94" t="str">
        <x:v>美国</x:v>
      </x:c>
      <x:c r="E10" s="94" t="str">
        <x:v>通用搜索</x:v>
      </x:c>
      <x:c r="F10" s="95" t="n">
        <x:v>47</x:v>
      </x:c>
      <x:c r="G10" s="95" t="n">
        <x:v>42</x:v>
      </x:c>
      <x:c r="H10" s="95" t="n">
        <x:v>31</x:v>
      </x:c>
      <x:c r="I10" s="95" t="n">
        <x:v>27</x:v>
      </x:c>
      <x:c r="J10" s="95" t="n">
        <x:v>11</x:v>
      </x:c>
      <x:c r="K10" s="95" t="n">
        <x:v>3</x:v>
      </x:c>
      <x:c r="L10" s="95" t="n">
        <x:v>1</x:v>
      </x:c>
      <x:c r="M10" s="96" t="n">
        <x:f>IFERROR(G10/F10,0)</x:f>
        <x:v>0.8936170212765957</x:v>
      </x:c>
      <x:c r="N10" s="96" t="n">
        <x:f>IFERROR(H10/G10,0)</x:f>
        <x:v>0.7380952380952381</x:v>
      </x:c>
      <x:c r="O10" s="96" t="n">
        <x:f>IFERROR(I10/H10,0)</x:f>
        <x:v>0.8709677419354839</x:v>
      </x:c>
      <x:c r="P10" s="96" t="n">
        <x:f>IFERROR(J10/I10,0)</x:f>
        <x:v>0.4074074074074074</x:v>
      </x:c>
      <x:c r="Q10" s="96" t="n">
        <x:f>IFERROR(L10/J10,0)</x:f>
        <x:v>0.09090909090909091</x:v>
      </x:c>
      <x:c r="R10" s="96" t="n">
        <x:f>IFERROR(L10/F10,0)</x:f>
        <x:v>0.02127659574468085</x:v>
      </x:c>
      <x:c r="S10" s="95" t="n">
        <x:v>92</x:v>
      </x:c>
      <x:c r="T10" s="94" t="str">
        <x:v>末次点击7天</x:v>
      </x:c>
    </x:row>
    <x:row r="11">
      <x:c r="A11" s="92" t="str">
        <x:v>PROC-0010</x:v>
      </x:c>
      <x:c r="B11" s="93" t="n">
        <x:v>46024</x:v>
      </x:c>
      <x:c r="C11" s="94" t="str">
        <x:v>Google Ads</x:v>
      </x:c>
      <x:c r="D11" s="94" t="str">
        <x:v>美国</x:v>
      </x:c>
      <x:c r="E11" s="94" t="str">
        <x:v>购物广告</x:v>
      </x:c>
      <x:c r="F11" s="95" t="n">
        <x:v>57</x:v>
      </x:c>
      <x:c r="G11" s="95" t="n">
        <x:v>50</x:v>
      </x:c>
      <x:c r="H11" s="95" t="n">
        <x:v>32</x:v>
      </x:c>
      <x:c r="I11" s="95" t="n">
        <x:v>28</x:v>
      </x:c>
      <x:c r="J11" s="95" t="n">
        <x:v>12</x:v>
      </x:c>
      <x:c r="K11" s="95" t="n">
        <x:v>3</x:v>
      </x:c>
      <x:c r="L11" s="95" t="n">
        <x:v>1</x:v>
      </x:c>
      <x:c r="M11" s="96" t="n">
        <x:f>IFERROR(G11/F11,0)</x:f>
        <x:v>0.8771929824561403</x:v>
      </x:c>
      <x:c r="N11" s="96" t="n">
        <x:f>IFERROR(H11/G11,0)</x:f>
        <x:v>0.64</x:v>
      </x:c>
      <x:c r="O11" s="96" t="n">
        <x:f>IFERROR(I11/H11,0)</x:f>
        <x:v>0.875</x:v>
      </x:c>
      <x:c r="P11" s="96" t="n">
        <x:f>IFERROR(J11/I11,0)</x:f>
        <x:v>0.42857142857142855</x:v>
      </x:c>
      <x:c r="Q11" s="96" t="n">
        <x:f>IFERROR(L11/J11,0)</x:f>
        <x:v>0.08333333333333333</x:v>
      </x:c>
      <x:c r="R11" s="96" t="n">
        <x:f>IFERROR(L11/F11,0)</x:f>
        <x:v>0.017543859649122806</x:v>
      </x:c>
      <x:c r="S11" s="95" t="n">
        <x:v>54</x:v>
      </x:c>
      <x:c r="T11" s="94" t="str">
        <x:v>末次点击7天</x:v>
      </x:c>
    </x:row>
    <x:row r="12">
      <x:c r="A12" s="92" t="str">
        <x:v>PROC-0011</x:v>
      </x:c>
      <x:c r="B12" s="93" t="n">
        <x:v>46024</x:v>
      </x:c>
      <x:c r="C12" s="94" t="str">
        <x:v>Microsoft Ads</x:v>
      </x:c>
      <x:c r="D12" s="94" t="str">
        <x:v>美国</x:v>
      </x:c>
      <x:c r="E12" s="94" t="str">
        <x:v>品牌搜索</x:v>
      </x:c>
      <x:c r="F12" s="95" t="n">
        <x:v>76</x:v>
      </x:c>
      <x:c r="G12" s="95" t="n">
        <x:v>71</x:v>
      </x:c>
      <x:c r="H12" s="95" t="n">
        <x:v>51</x:v>
      </x:c>
      <x:c r="I12" s="95" t="n">
        <x:v>44</x:v>
      </x:c>
      <x:c r="J12" s="95" t="n">
        <x:v>19</x:v>
      </x:c>
      <x:c r="K12" s="95" t="n">
        <x:v>6</x:v>
      </x:c>
      <x:c r="L12" s="95" t="n">
        <x:v>2</x:v>
      </x:c>
      <x:c r="M12" s="96" t="n">
        <x:f>IFERROR(G12/F12,0)</x:f>
        <x:v>0.9342105263157895</x:v>
      </x:c>
      <x:c r="N12" s="96" t="n">
        <x:f>IFERROR(H12/G12,0)</x:f>
        <x:v>0.7183098591549296</x:v>
      </x:c>
      <x:c r="O12" s="96" t="n">
        <x:f>IFERROR(I12/H12,0)</x:f>
        <x:v>0.8627450980392157</x:v>
      </x:c>
      <x:c r="P12" s="96" t="n">
        <x:f>IFERROR(J12/I12,0)</x:f>
        <x:v>0.4318181818181818</x:v>
      </x:c>
      <x:c r="Q12" s="96" t="n">
        <x:f>IFERROR(L12/J12,0)</x:f>
        <x:v>0.10526315789473684</x:v>
      </x:c>
      <x:c r="R12" s="96" t="n">
        <x:f>IFERROR(L12/F12,0)</x:f>
        <x:v>0.02631578947368421</x:v>
      </x:c>
      <x:c r="S12" s="95" t="n">
        <x:v>115</x:v>
      </x:c>
      <x:c r="T12" s="94" t="str">
        <x:v>末次点击7天</x:v>
      </x:c>
    </x:row>
    <x:row r="13">
      <x:c r="A13" s="92" t="str">
        <x:v>PROC-0012</x:v>
      </x:c>
      <x:c r="B13" s="93" t="n">
        <x:v>46024</x:v>
      </x:c>
      <x:c r="C13" s="94" t="str">
        <x:v>Google Ads</x:v>
      </x:c>
      <x:c r="D13" s="94" t="str">
        <x:v>英国</x:v>
      </x:c>
      <x:c r="E13" s="94" t="str">
        <x:v>通用搜索</x:v>
      </x:c>
      <x:c r="F13" s="95" t="n">
        <x:v>48</x:v>
      </x:c>
      <x:c r="G13" s="95" t="n">
        <x:v>45</x:v>
      </x:c>
      <x:c r="H13" s="95" t="n">
        <x:v>32</x:v>
      </x:c>
      <x:c r="I13" s="95" t="n">
        <x:v>27</x:v>
      </x:c>
      <x:c r="J13" s="95" t="n">
        <x:v>10</x:v>
      </x:c>
      <x:c r="K13" s="95" t="n">
        <x:v>3</x:v>
      </x:c>
      <x:c r="L13" s="95" t="n">
        <x:v>1</x:v>
      </x:c>
      <x:c r="M13" s="96" t="n">
        <x:f>IFERROR(G13/F13,0)</x:f>
        <x:v>0.9375</x:v>
      </x:c>
      <x:c r="N13" s="96" t="n">
        <x:f>IFERROR(H13/G13,0)</x:f>
        <x:v>0.7111111111111111</x:v>
      </x:c>
      <x:c r="O13" s="96" t="n">
        <x:f>IFERROR(I13/H13,0)</x:f>
        <x:v>0.84375</x:v>
      </x:c>
      <x:c r="P13" s="96" t="n">
        <x:f>IFERROR(J13/I13,0)</x:f>
        <x:v>0.37037037037037035</x:v>
      </x:c>
      <x:c r="Q13" s="96" t="n">
        <x:f>IFERROR(L13/J13,0)</x:f>
        <x:v>0.1</x:v>
      </x:c>
      <x:c r="R13" s="96" t="n">
        <x:f>IFERROR(L13/F13,0)</x:f>
        <x:v>0.020833333333333332</x:v>
      </x:c>
      <x:c r="S13" s="95" t="n">
        <x:v>92</x:v>
      </x:c>
      <x:c r="T13" s="94" t="str">
        <x:v>末次点击7天</x:v>
      </x:c>
    </x:row>
    <x:row r="14">
      <x:c r="A14" s="92" t="str">
        <x:v>PROC-0013</x:v>
      </x:c>
      <x:c r="B14" s="93" t="n">
        <x:v>46025</x:v>
      </x:c>
      <x:c r="C14" s="94" t="str">
        <x:v>Google Ads</x:v>
      </x:c>
      <x:c r="D14" s="94" t="str">
        <x:v>英国</x:v>
      </x:c>
      <x:c r="E14" s="94" t="str">
        <x:v>购物广告</x:v>
      </x:c>
      <x:c r="F14" s="95" t="n">
        <x:v>45</x:v>
      </x:c>
      <x:c r="G14" s="95" t="n">
        <x:v>43</x:v>
      </x:c>
      <x:c r="H14" s="95" t="n">
        <x:v>27</x:v>
      </x:c>
      <x:c r="I14" s="95" t="n">
        <x:v>24</x:v>
      </x:c>
      <x:c r="J14" s="95" t="n">
        <x:v>10</x:v>
      </x:c>
      <x:c r="K14" s="95" t="n">
        <x:v>3</x:v>
      </x:c>
      <x:c r="L14" s="95" t="n">
        <x:v>1</x:v>
      </x:c>
      <x:c r="M14" s="96" t="n">
        <x:f>IFERROR(G14/F14,0)</x:f>
        <x:v>0.9555555555555556</x:v>
      </x:c>
      <x:c r="N14" s="96" t="n">
        <x:f>IFERROR(H14/G14,0)</x:f>
        <x:v>0.627906976744186</x:v>
      </x:c>
      <x:c r="O14" s="96" t="n">
        <x:f>IFERROR(I14/H14,0)</x:f>
        <x:v>0.8888888888888888</x:v>
      </x:c>
      <x:c r="P14" s="96" t="n">
        <x:f>IFERROR(J14/I14,0)</x:f>
        <x:v>0.4166666666666667</x:v>
      </x:c>
      <x:c r="Q14" s="96" t="n">
        <x:f>IFERROR(L14/J14,0)</x:f>
        <x:v>0.1</x:v>
      </x:c>
      <x:c r="R14" s="96" t="n">
        <x:f>IFERROR(L14/F14,0)</x:f>
        <x:v>0.022222222222222223</x:v>
      </x:c>
      <x:c r="S14" s="95" t="n">
        <x:v>74</x:v>
      </x:c>
      <x:c r="T14" s="94" t="str">
        <x:v>末次点击7天</x:v>
      </x:c>
    </x:row>
    <x:row r="15">
      <x:c r="A15" s="92" t="str">
        <x:v>PROC-0014</x:v>
      </x:c>
      <x:c r="B15" s="93" t="n">
        <x:v>46025</x:v>
      </x:c>
      <x:c r="C15" s="94" t="str">
        <x:v>Google Ads</x:v>
      </x:c>
      <x:c r="D15" s="94" t="str">
        <x:v>日本</x:v>
      </x:c>
      <x:c r="E15" s="94" t="str">
        <x:v>品牌搜索</x:v>
      </x:c>
      <x:c r="F15" s="95" t="n">
        <x:v>54</x:v>
      </x:c>
      <x:c r="G15" s="95" t="n">
        <x:v>49</x:v>
      </x:c>
      <x:c r="H15" s="95" t="n">
        <x:v>35</x:v>
      </x:c>
      <x:c r="I15" s="95" t="n">
        <x:v>30</x:v>
      </x:c>
      <x:c r="J15" s="95" t="n">
        <x:v>15</x:v>
      </x:c>
      <x:c r="K15" s="95" t="n">
        <x:v>3</x:v>
      </x:c>
      <x:c r="L15" s="95" t="n">
        <x:v>1</x:v>
      </x:c>
      <x:c r="M15" s="96" t="n">
        <x:f>IFERROR(G15/F15,0)</x:f>
        <x:v>0.9074074074074074</x:v>
      </x:c>
      <x:c r="N15" s="96" t="n">
        <x:f>IFERROR(H15/G15,0)</x:f>
        <x:v>0.7142857142857143</x:v>
      </x:c>
      <x:c r="O15" s="96" t="n">
        <x:f>IFERROR(I15/H15,0)</x:f>
        <x:v>0.8571428571428571</x:v>
      </x:c>
      <x:c r="P15" s="96" t="n">
        <x:f>IFERROR(J15/I15,0)</x:f>
        <x:v>0.5</x:v>
      </x:c>
      <x:c r="Q15" s="96" t="n">
        <x:f>IFERROR(L15/J15,0)</x:f>
        <x:v>0.06666666666666667</x:v>
      </x:c>
      <x:c r="R15" s="96" t="n">
        <x:f>IFERROR(L15/F15,0)</x:f>
        <x:v>0.018518518518518517</x:v>
      </x:c>
      <x:c r="S15" s="95" t="n">
        <x:v>138</x:v>
      </x:c>
      <x:c r="T15" s="94" t="str">
        <x:v>末次点击7天</x:v>
      </x:c>
    </x:row>
    <x:row r="16">
      <x:c r="A16" s="92" t="str">
        <x:v>PROC-0015</x:v>
      </x:c>
      <x:c r="B16" s="93" t="n">
        <x:v>46025</x:v>
      </x:c>
      <x:c r="C16" s="94" t="str">
        <x:v>Google Ads</x:v>
      </x:c>
      <x:c r="D16" s="94" t="str">
        <x:v>美国</x:v>
      </x:c>
      <x:c r="E16" s="94" t="str">
        <x:v>品牌搜索</x:v>
      </x:c>
      <x:c r="F16" s="95" t="n">
        <x:v>53</x:v>
      </x:c>
      <x:c r="G16" s="95" t="n">
        <x:v>48</x:v>
      </x:c>
      <x:c r="H16" s="95" t="n">
        <x:v>36</x:v>
      </x:c>
      <x:c r="I16" s="95" t="n">
        <x:v>29</x:v>
      </x:c>
      <x:c r="J16" s="95" t="n">
        <x:v>15</x:v>
      </x:c>
      <x:c r="K16" s="95" t="n">
        <x:v>5</x:v>
      </x:c>
      <x:c r="L16" s="95" t="n">
        <x:v>1</x:v>
      </x:c>
      <x:c r="M16" s="96" t="n">
        <x:f>IFERROR(G16/F16,0)</x:f>
        <x:v>0.9056603773584906</x:v>
      </x:c>
      <x:c r="N16" s="96" t="n">
        <x:f>IFERROR(H16/G16,0)</x:f>
        <x:v>0.75</x:v>
      </x:c>
      <x:c r="O16" s="96" t="n">
        <x:f>IFERROR(I16/H16,0)</x:f>
        <x:v>0.8055555555555556</x:v>
      </x:c>
      <x:c r="P16" s="96" t="n">
        <x:f>IFERROR(J16/I16,0)</x:f>
        <x:v>0.5172413793103449</x:v>
      </x:c>
      <x:c r="Q16" s="96" t="n">
        <x:f>IFERROR(L16/J16,0)</x:f>
        <x:v>0.06666666666666667</x:v>
      </x:c>
      <x:c r="R16" s="96" t="n">
        <x:f>IFERROR(L16/F16,0)</x:f>
        <x:v>0.018867924528301886</x:v>
      </x:c>
      <x:c r="S16" s="95" t="n">
        <x:v>122</x:v>
      </x:c>
      <x:c r="T16" s="94" t="str">
        <x:v>末次点击7天</x:v>
      </x:c>
    </x:row>
    <x:row r="17">
      <x:c r="A17" s="92" t="str">
        <x:v>PROC-0016</x:v>
      </x:c>
      <x:c r="B17" s="93" t="n">
        <x:v>46025</x:v>
      </x:c>
      <x:c r="C17" s="94" t="str">
        <x:v>Google Ads</x:v>
      </x:c>
      <x:c r="D17" s="94" t="str">
        <x:v>日本</x:v>
      </x:c>
      <x:c r="E17" s="94" t="str">
        <x:v>购物广告</x:v>
      </x:c>
      <x:c r="F17" s="95" t="n">
        <x:v>54</x:v>
      </x:c>
      <x:c r="G17" s="95" t="n">
        <x:v>47</x:v>
      </x:c>
      <x:c r="H17" s="95" t="n">
        <x:v>32</x:v>
      </x:c>
      <x:c r="I17" s="95" t="n">
        <x:v>28</x:v>
      </x:c>
      <x:c r="J17" s="95" t="n">
        <x:v>12</x:v>
      </x:c>
      <x:c r="K17" s="95" t="n">
        <x:v>3</x:v>
      </x:c>
      <x:c r="L17" s="95" t="n">
        <x:v>1</x:v>
      </x:c>
      <x:c r="M17" s="96" t="n">
        <x:f>IFERROR(G17/F17,0)</x:f>
        <x:v>0.8703703703703703</x:v>
      </x:c>
      <x:c r="N17" s="96" t="n">
        <x:f>IFERROR(H17/G17,0)</x:f>
        <x:v>0.6808510638297872</x:v>
      </x:c>
      <x:c r="O17" s="96" t="n">
        <x:f>IFERROR(I17/H17,0)</x:f>
        <x:v>0.875</x:v>
      </x:c>
      <x:c r="P17" s="96" t="n">
        <x:f>IFERROR(J17/I17,0)</x:f>
        <x:v>0.42857142857142855</x:v>
      </x:c>
      <x:c r="Q17" s="96" t="n">
        <x:f>IFERROR(L17/J17,0)</x:f>
        <x:v>0.08333333333333333</x:v>
      </x:c>
      <x:c r="R17" s="96" t="n">
        <x:f>IFERROR(L17/F17,0)</x:f>
        <x:v>0.018518518518518517</x:v>
      </x:c>
      <x:c r="S17" s="95" t="n">
        <x:v>134</x:v>
      </x:c>
      <x:c r="T17" s="94" t="str">
        <x:v>末次点击7天</x:v>
      </x:c>
    </x:row>
    <x:row r="18">
      <x:c r="A18" s="92" t="str">
        <x:v>PROC-0017</x:v>
      </x:c>
      <x:c r="B18" s="93" t="n">
        <x:v>46025</x:v>
      </x:c>
      <x:c r="C18" s="94" t="str">
        <x:v>Microsoft Ads</x:v>
      </x:c>
      <x:c r="D18" s="94" t="str">
        <x:v>德国</x:v>
      </x:c>
      <x:c r="E18" s="94" t="str">
        <x:v>竞品搜索</x:v>
      </x:c>
      <x:c r="F18" s="95" t="n">
        <x:v>31</x:v>
      </x:c>
      <x:c r="G18" s="95" t="n">
        <x:v>28</x:v>
      </x:c>
      <x:c r="H18" s="95" t="n">
        <x:v>19</x:v>
      </x:c>
      <x:c r="I18" s="95" t="n">
        <x:v>16</x:v>
      </x:c>
      <x:c r="J18" s="95" t="n">
        <x:v>6</x:v>
      </x:c>
      <x:c r="K18" s="95" t="n">
        <x:v>2</x:v>
      </x:c>
      <x:c r="L18" s="95" t="n">
        <x:v>0</x:v>
      </x:c>
      <x:c r="M18" s="96" t="n">
        <x:f>IFERROR(G18/F18,0)</x:f>
        <x:v>0.9032258064516129</x:v>
      </x:c>
      <x:c r="N18" s="96" t="n">
        <x:f>IFERROR(H18/G18,0)</x:f>
        <x:v>0.6785714285714286</x:v>
      </x:c>
      <x:c r="O18" s="96" t="n">
        <x:f>IFERROR(I18/H18,0)</x:f>
        <x:v>0.8421052631578947</x:v>
      </x:c>
      <x:c r="P18" s="96" t="n">
        <x:f>IFERROR(J18/I18,0)</x:f>
        <x:v>0.375</x:v>
      </x:c>
      <x:c r="Q18" s="96" t="n">
        <x:f>IFERROR(L18/J18,0)</x:f>
        <x:v>0</x:v>
      </x:c>
      <x:c r="R18" s="96" t="n">
        <x:f>IFERROR(L18/F18,0)</x:f>
        <x:v>0</x:v>
      </x:c>
      <x:c r="S18" s="95" t="n">
        <x:v>154</x:v>
      </x:c>
      <x:c r="T18" s="94" t="str">
        <x:v>末次点击7天</x:v>
      </x:c>
    </x:row>
    <x:row r="19">
      <x:c r="A19" s="92" t="str">
        <x:v>PROC-0018</x:v>
      </x:c>
      <x:c r="B19" s="93" t="n">
        <x:v>46026</x:v>
      </x:c>
      <x:c r="C19" s="94" t="str">
        <x:v>Microsoft Ads</x:v>
      </x:c>
      <x:c r="D19" s="94" t="str">
        <x:v>德国</x:v>
      </x:c>
      <x:c r="E19" s="94" t="str">
        <x:v>竞品搜索</x:v>
      </x:c>
      <x:c r="F19" s="95" t="n">
        <x:v>42</x:v>
      </x:c>
      <x:c r="G19" s="95" t="n">
        <x:v>39</x:v>
      </x:c>
      <x:c r="H19" s="95" t="n">
        <x:v>26</x:v>
      </x:c>
      <x:c r="I19" s="95" t="n">
        <x:v>23</x:v>
      </x:c>
      <x:c r="J19" s="95" t="n">
        <x:v>9</x:v>
      </x:c>
      <x:c r="K19" s="95" t="n">
        <x:v>3</x:v>
      </x:c>
      <x:c r="L19" s="95" t="n">
        <x:v>1</x:v>
      </x:c>
      <x:c r="M19" s="96" t="n">
        <x:f>IFERROR(G19/F19,0)</x:f>
        <x:v>0.9285714285714286</x:v>
      </x:c>
      <x:c r="N19" s="96" t="n">
        <x:f>IFERROR(H19/G19,0)</x:f>
        <x:v>0.6666666666666666</x:v>
      </x:c>
      <x:c r="O19" s="96" t="n">
        <x:f>IFERROR(I19/H19,0)</x:f>
        <x:v>0.8846153846153846</x:v>
      </x:c>
      <x:c r="P19" s="96" t="n">
        <x:f>IFERROR(J19/I19,0)</x:f>
        <x:v>0.391304347826087</x:v>
      </x:c>
      <x:c r="Q19" s="96" t="n">
        <x:f>IFERROR(L19/J19,0)</x:f>
        <x:v>0.1111111111111111</x:v>
      </x:c>
      <x:c r="R19" s="96" t="n">
        <x:f>IFERROR(L19/F19,0)</x:f>
        <x:v>0.023809523809523808</x:v>
      </x:c>
      <x:c r="S19" s="95" t="n">
        <x:v>64</x:v>
      </x:c>
      <x:c r="T19" s="94" t="str">
        <x:v>末次点击7天</x:v>
      </x:c>
    </x:row>
    <x:row r="20">
      <x:c r="A20" s="92" t="str">
        <x:v>PROC-0019</x:v>
      </x:c>
      <x:c r="B20" s="93" t="n">
        <x:v>46026</x:v>
      </x:c>
      <x:c r="C20" s="94" t="str">
        <x:v>Google Ads</x:v>
      </x:c>
      <x:c r="D20" s="94" t="str">
        <x:v>美国</x:v>
      </x:c>
      <x:c r="E20" s="94" t="str">
        <x:v>通用搜索</x:v>
      </x:c>
      <x:c r="F20" s="95" t="n">
        <x:v>34</x:v>
      </x:c>
      <x:c r="G20" s="95" t="n">
        <x:v>31</x:v>
      </x:c>
      <x:c r="H20" s="95" t="n">
        <x:v>23</x:v>
      </x:c>
      <x:c r="I20" s="95" t="n">
        <x:v>19</x:v>
      </x:c>
      <x:c r="J20" s="95" t="n">
        <x:v>7</x:v>
      </x:c>
      <x:c r="K20" s="95" t="n">
        <x:v>2</x:v>
      </x:c>
      <x:c r="L20" s="95" t="n">
        <x:v>0</x:v>
      </x:c>
      <x:c r="M20" s="96" t="n">
        <x:f>IFERROR(G20/F20,0)</x:f>
        <x:v>0.9117647058823529</x:v>
      </x:c>
      <x:c r="N20" s="96" t="n">
        <x:f>IFERROR(H20/G20,0)</x:f>
        <x:v>0.7419354838709677</x:v>
      </x:c>
      <x:c r="O20" s="96" t="n">
        <x:f>IFERROR(I20/H20,0)</x:f>
        <x:v>0.8260869565217391</x:v>
      </x:c>
      <x:c r="P20" s="96" t="n">
        <x:f>IFERROR(J20/I20,0)</x:f>
        <x:v>0.3684210526315789</x:v>
      </x:c>
      <x:c r="Q20" s="96" t="n">
        <x:f>IFERROR(L20/J20,0)</x:f>
        <x:v>0</x:v>
      </x:c>
      <x:c r="R20" s="96" t="n">
        <x:f>IFERROR(L20/F20,0)</x:f>
        <x:v>0</x:v>
      </x:c>
      <x:c r="S20" s="95" t="n">
        <x:v>77</x:v>
      </x:c>
      <x:c r="T20" s="94" t="str">
        <x:v>末次点击7天</x:v>
      </x:c>
    </x:row>
    <x:row r="21">
      <x:c r="A21" s="92" t="str">
        <x:v>PROC-0020</x:v>
      </x:c>
      <x:c r="B21" s="93" t="n">
        <x:v>46026</x:v>
      </x:c>
      <x:c r="C21" s="94" t="str">
        <x:v>Microsoft Ads</x:v>
      </x:c>
      <x:c r="D21" s="94" t="str">
        <x:v>美国</x:v>
      </x:c>
      <x:c r="E21" s="94" t="str">
        <x:v>品牌搜索</x:v>
      </x:c>
      <x:c r="F21" s="95" t="n">
        <x:v>89</x:v>
      </x:c>
      <x:c r="G21" s="95" t="n">
        <x:v>84</x:v>
      </x:c>
      <x:c r="H21" s="95" t="n">
        <x:v>63</x:v>
      </x:c>
      <x:c r="I21" s="95" t="n">
        <x:v>52</x:v>
      </x:c>
      <x:c r="J21" s="95" t="n">
        <x:v>24</x:v>
      </x:c>
      <x:c r="K21" s="95" t="n">
        <x:v>7</x:v>
      </x:c>
      <x:c r="L21" s="95" t="n">
        <x:v>2</x:v>
      </x:c>
      <x:c r="M21" s="96" t="n">
        <x:f>IFERROR(G21/F21,0)</x:f>
        <x:v>0.9438202247191011</x:v>
      </x:c>
      <x:c r="N21" s="96" t="n">
        <x:f>IFERROR(H21/G21,0)</x:f>
        <x:v>0.75</x:v>
      </x:c>
      <x:c r="O21" s="96" t="n">
        <x:f>IFERROR(I21/H21,0)</x:f>
        <x:v>0.8253968253968254</x:v>
      </x:c>
      <x:c r="P21" s="96" t="n">
        <x:f>IFERROR(J21/I21,0)</x:f>
        <x:v>0.46153846153846156</x:v>
      </x:c>
      <x:c r="Q21" s="96" t="n">
        <x:f>IFERROR(L21/J21,0)</x:f>
        <x:v>0.08333333333333333</x:v>
      </x:c>
      <x:c r="R21" s="96" t="n">
        <x:f>IFERROR(L21/F21,0)</x:f>
        <x:v>0.02247191011235955</x:v>
      </x:c>
      <x:c r="S21" s="95" t="n">
        <x:v>101</x:v>
      </x:c>
      <x:c r="T21" s="94" t="str">
        <x:v>末次点击7天</x:v>
      </x:c>
    </x:row>
    <x:row r="22">
      <x:c r="A22" s="92" t="str">
        <x:v>PROC-0021</x:v>
      </x:c>
      <x:c r="B22" s="93" t="n">
        <x:v>46026</x:v>
      </x:c>
      <x:c r="C22" s="94" t="str">
        <x:v>Microsoft Ads</x:v>
      </x:c>
      <x:c r="D22" s="94" t="str">
        <x:v>英国</x:v>
      </x:c>
      <x:c r="E22" s="94" t="str">
        <x:v>通用搜索</x:v>
      </x:c>
      <x:c r="F22" s="95" t="n">
        <x:v>27</x:v>
      </x:c>
      <x:c r="G22" s="95" t="n">
        <x:v>25</x:v>
      </x:c>
      <x:c r="H22" s="95" t="n">
        <x:v>20</x:v>
      </x:c>
      <x:c r="I22" s="95" t="n">
        <x:v>16</x:v>
      </x:c>
      <x:c r="J22" s="95" t="n">
        <x:v>6</x:v>
      </x:c>
      <x:c r="K22" s="95" t="n">
        <x:v>2</x:v>
      </x:c>
      <x:c r="L22" s="95" t="n">
        <x:v>1</x:v>
      </x:c>
      <x:c r="M22" s="96" t="n">
        <x:f>IFERROR(G22/F22,0)</x:f>
        <x:v>0.9259259259259259</x:v>
      </x:c>
      <x:c r="N22" s="96" t="n">
        <x:f>IFERROR(H22/G22,0)</x:f>
        <x:v>0.8</x:v>
      </x:c>
      <x:c r="O22" s="96" t="n">
        <x:f>IFERROR(I22/H22,0)</x:f>
        <x:v>0.8</x:v>
      </x:c>
      <x:c r="P22" s="96" t="n">
        <x:f>IFERROR(J22/I22,0)</x:f>
        <x:v>0.375</x:v>
      </x:c>
      <x:c r="Q22" s="96" t="n">
        <x:f>IFERROR(L22/J22,0)</x:f>
        <x:v>0.16666666666666666</x:v>
      </x:c>
      <x:c r="R22" s="96" t="n">
        <x:f>IFERROR(L22/F22,0)</x:f>
        <x:v>0.037037037037037035</x:v>
      </x:c>
      <x:c r="S22" s="95" t="n">
        <x:v>140</x:v>
      </x:c>
      <x:c r="T22" s="94" t="str">
        <x:v>末次点击7天</x:v>
      </x:c>
    </x:row>
    <x:row r="23">
      <x:c r="A23" s="92" t="str">
        <x:v>PROC-0022</x:v>
      </x:c>
      <x:c r="B23" s="93" t="n">
        <x:v>46026</x:v>
      </x:c>
      <x:c r="C23" s="94" t="str">
        <x:v>Google Ads</x:v>
      </x:c>
      <x:c r="D23" s="94" t="str">
        <x:v>英国</x:v>
      </x:c>
      <x:c r="E23" s="94" t="str">
        <x:v>购物广告</x:v>
      </x:c>
      <x:c r="F23" s="95" t="n">
        <x:v>64</x:v>
      </x:c>
      <x:c r="G23" s="95" t="n">
        <x:v>60</x:v>
      </x:c>
      <x:c r="H23" s="95" t="n">
        <x:v>41</x:v>
      </x:c>
      <x:c r="I23" s="95" t="n">
        <x:v>35</x:v>
      </x:c>
      <x:c r="J23" s="95" t="n">
        <x:v>16</x:v>
      </x:c>
      <x:c r="K23" s="95" t="n">
        <x:v>4</x:v>
      </x:c>
      <x:c r="L23" s="95" t="n">
        <x:v>1</x:v>
      </x:c>
      <x:c r="M23" s="96" t="n">
        <x:f>IFERROR(G23/F23,0)</x:f>
        <x:v>0.9375</x:v>
      </x:c>
      <x:c r="N23" s="96" t="n">
        <x:f>IFERROR(H23/G23,0)</x:f>
        <x:v>0.6833333333333333</x:v>
      </x:c>
      <x:c r="O23" s="96" t="n">
        <x:f>IFERROR(I23/H23,0)</x:f>
        <x:v>0.8536585365853658</x:v>
      </x:c>
      <x:c r="P23" s="96" t="n">
        <x:f>IFERROR(J23/I23,0)</x:f>
        <x:v>0.45714285714285713</x:v>
      </x:c>
      <x:c r="Q23" s="96" t="n">
        <x:f>IFERROR(L23/J23,0)</x:f>
        <x:v>0.0625</x:v>
      </x:c>
      <x:c r="R23" s="96" t="n">
        <x:f>IFERROR(L23/F23,0)</x:f>
        <x:v>0.015625</x:v>
      </x:c>
      <x:c r="S23" s="95" t="n">
        <x:v>60</x:v>
      </x:c>
      <x:c r="T23" s="94" t="str">
        <x:v>末次点击7天</x:v>
      </x:c>
    </x:row>
    <x:row r="24">
      <x:c r="A24" s="92" t="str">
        <x:v>PROC-0023</x:v>
      </x:c>
      <x:c r="B24" s="93" t="n">
        <x:v>46026</x:v>
      </x:c>
      <x:c r="C24" s="94" t="str">
        <x:v>Google Ads</x:v>
      </x:c>
      <x:c r="D24" s="94" t="str">
        <x:v>美国</x:v>
      </x:c>
      <x:c r="E24" s="94" t="str">
        <x:v>通用搜索</x:v>
      </x:c>
      <x:c r="F24" s="95" t="n">
        <x:v>43</x:v>
      </x:c>
      <x:c r="G24" s="95" t="n">
        <x:v>40</x:v>
      </x:c>
      <x:c r="H24" s="95" t="n">
        <x:v>28</x:v>
      </x:c>
      <x:c r="I24" s="95" t="n">
        <x:v>24</x:v>
      </x:c>
      <x:c r="J24" s="95" t="n">
        <x:v>10</x:v>
      </x:c>
      <x:c r="K24" s="95" t="n">
        <x:v>3</x:v>
      </x:c>
      <x:c r="L24" s="95" t="n">
        <x:v>1</x:v>
      </x:c>
      <x:c r="M24" s="96" t="n">
        <x:f>IFERROR(G24/F24,0)</x:f>
        <x:v>0.9302325581395349</x:v>
      </x:c>
      <x:c r="N24" s="96" t="n">
        <x:f>IFERROR(H24/G24,0)</x:f>
        <x:v>0.7</x:v>
      </x:c>
      <x:c r="O24" s="96" t="n">
        <x:f>IFERROR(I24/H24,0)</x:f>
        <x:v>0.8571428571428571</x:v>
      </x:c>
      <x:c r="P24" s="96" t="n">
        <x:f>IFERROR(J24/I24,0)</x:f>
        <x:v>0.4166666666666667</x:v>
      </x:c>
      <x:c r="Q24" s="96" t="n">
        <x:f>IFERROR(L24/J24,0)</x:f>
        <x:v>0.1</x:v>
      </x:c>
      <x:c r="R24" s="96" t="n">
        <x:f>IFERROR(L24/F24,0)</x:f>
        <x:v>0.023255813953488372</x:v>
      </x:c>
      <x:c r="S24" s="95" t="n">
        <x:v>130</x:v>
      </x:c>
      <x:c r="T24" s="94" t="str">
        <x:v>末次点击7天</x:v>
      </x:c>
    </x:row>
    <x:row r="25">
      <x:c r="A25" s="92" t="str">
        <x:v>PROC-0024</x:v>
      </x:c>
      <x:c r="B25" s="93" t="n">
        <x:v>46027</x:v>
      </x:c>
      <x:c r="C25" s="94" t="str">
        <x:v>Microsoft Ads</x:v>
      </x:c>
      <x:c r="D25" s="94" t="str">
        <x:v>日本</x:v>
      </x:c>
      <x:c r="E25" s="94" t="str">
        <x:v>购物广告</x:v>
      </x:c>
      <x:c r="F25" s="95" t="n">
        <x:v>64</x:v>
      </x:c>
      <x:c r="G25" s="95" t="n">
        <x:v>59</x:v>
      </x:c>
      <x:c r="H25" s="95" t="n">
        <x:v>40</x:v>
      </x:c>
      <x:c r="I25" s="95" t="n">
        <x:v>34</x:v>
      </x:c>
      <x:c r="J25" s="95" t="n">
        <x:v>14</x:v>
      </x:c>
      <x:c r="K25" s="95" t="n">
        <x:v>4</x:v>
      </x:c>
      <x:c r="L25" s="95" t="n">
        <x:v>1</x:v>
      </x:c>
      <x:c r="M25" s="96" t="n">
        <x:f>IFERROR(G25/F25,0)</x:f>
        <x:v>0.921875</x:v>
      </x:c>
      <x:c r="N25" s="96" t="n">
        <x:f>IFERROR(H25/G25,0)</x:f>
        <x:v>0.6779661016949152</x:v>
      </x:c>
      <x:c r="O25" s="96" t="n">
        <x:f>IFERROR(I25/H25,0)</x:f>
        <x:v>0.85</x:v>
      </x:c>
      <x:c r="P25" s="96" t="n">
        <x:f>IFERROR(J25/I25,0)</x:f>
        <x:v>0.4117647058823529</x:v>
      </x:c>
      <x:c r="Q25" s="96" t="n">
        <x:f>IFERROR(L25/J25,0)</x:f>
        <x:v>0.07142857142857142</x:v>
      </x:c>
      <x:c r="R25" s="96" t="n">
        <x:f>IFERROR(L25/F25,0)</x:f>
        <x:v>0.015625</x:v>
      </x:c>
      <x:c r="S25" s="95" t="n">
        <x:v>144</x:v>
      </x:c>
      <x:c r="T25" s="94" t="str">
        <x:v>末次点击7天</x:v>
      </x:c>
    </x:row>
    <x:row r="26">
      <x:c r="A26" s="92" t="str">
        <x:v>PROC-0025</x:v>
      </x:c>
      <x:c r="B26" s="93" t="n">
        <x:v>46027</x:v>
      </x:c>
      <x:c r="C26" s="94" t="str">
        <x:v>Google Ads</x:v>
      </x:c>
      <x:c r="D26" s="94" t="str">
        <x:v>美国</x:v>
      </x:c>
      <x:c r="E26" s="94" t="str">
        <x:v>通用搜索</x:v>
      </x:c>
      <x:c r="F26" s="95" t="n">
        <x:v>33</x:v>
      </x:c>
      <x:c r="G26" s="95" t="n">
        <x:v>31</x:v>
      </x:c>
      <x:c r="H26" s="95" t="n">
        <x:v>23</x:v>
      </x:c>
      <x:c r="I26" s="95" t="n">
        <x:v>20</x:v>
      </x:c>
      <x:c r="J26" s="95" t="n">
        <x:v>8</x:v>
      </x:c>
      <x:c r="K26" s="95" t="n">
        <x:v>3</x:v>
      </x:c>
      <x:c r="L26" s="95" t="n">
        <x:v>1</x:v>
      </x:c>
      <x:c r="M26" s="96" t="n">
        <x:f>IFERROR(G26/F26,0)</x:f>
        <x:v>0.9393939393939394</x:v>
      </x:c>
      <x:c r="N26" s="96" t="n">
        <x:f>IFERROR(H26/G26,0)</x:f>
        <x:v>0.7419354838709677</x:v>
      </x:c>
      <x:c r="O26" s="96" t="n">
        <x:f>IFERROR(I26/H26,0)</x:f>
        <x:v>0.8695652173913043</x:v>
      </x:c>
      <x:c r="P26" s="96" t="n">
        <x:f>IFERROR(J26/I26,0)</x:f>
        <x:v>0.4</x:v>
      </x:c>
      <x:c r="Q26" s="96" t="n">
        <x:f>IFERROR(L26/J26,0)</x:f>
        <x:v>0.125</x:v>
      </x:c>
      <x:c r="R26" s="96" t="n">
        <x:f>IFERROR(L26/F26,0)</x:f>
        <x:v>0.030303030303030304</x:v>
      </x:c>
      <x:c r="S26" s="95" t="n">
        <x:v>92</x:v>
      </x:c>
      <x:c r="T26" s="94" t="str">
        <x:v>末次点击7天</x:v>
      </x:c>
    </x:row>
    <x:row r="27">
      <x:c r="A27" s="92" t="str">
        <x:v>PROC-0026</x:v>
      </x:c>
      <x:c r="B27" s="93" t="n">
        <x:v>46027</x:v>
      </x:c>
      <x:c r="C27" s="94" t="str">
        <x:v>Google Ads</x:v>
      </x:c>
      <x:c r="D27" s="94" t="str">
        <x:v>美国</x:v>
      </x:c>
      <x:c r="E27" s="94" t="str">
        <x:v>购物广告</x:v>
      </x:c>
      <x:c r="F27" s="95" t="n">
        <x:v>51</x:v>
      </x:c>
      <x:c r="G27" s="95" t="n">
        <x:v>47</x:v>
      </x:c>
      <x:c r="H27" s="95" t="n">
        <x:v>36</x:v>
      </x:c>
      <x:c r="I27" s="95" t="n">
        <x:v>32</x:v>
      </x:c>
      <x:c r="J27" s="95" t="n">
        <x:v>13</x:v>
      </x:c>
      <x:c r="K27" s="95" t="n">
        <x:v>4</x:v>
      </x:c>
      <x:c r="L27" s="95" t="n">
        <x:v>1</x:v>
      </x:c>
      <x:c r="M27" s="96" t="n">
        <x:f>IFERROR(G27/F27,0)</x:f>
        <x:v>0.9215686274509803</x:v>
      </x:c>
      <x:c r="N27" s="96" t="n">
        <x:f>IFERROR(H27/G27,0)</x:f>
        <x:v>0.7659574468085106</x:v>
      </x:c>
      <x:c r="O27" s="96" t="n">
        <x:f>IFERROR(I27/H27,0)</x:f>
        <x:v>0.8888888888888888</x:v>
      </x:c>
      <x:c r="P27" s="96" t="n">
        <x:f>IFERROR(J27/I27,0)</x:f>
        <x:v>0.40625</x:v>
      </x:c>
      <x:c r="Q27" s="96" t="n">
        <x:f>IFERROR(L27/J27,0)</x:f>
        <x:v>0.07692307692307693</x:v>
      </x:c>
      <x:c r="R27" s="96" t="n">
        <x:f>IFERROR(L27/F27,0)</x:f>
        <x:v>0.0196078431372549</x:v>
      </x:c>
      <x:c r="S27" s="95" t="n">
        <x:v>151</x:v>
      </x:c>
      <x:c r="T27" s="94" t="str">
        <x:v>末次点击7天</x:v>
      </x:c>
    </x:row>
    <x:row r="28">
      <x:c r="A28" s="92" t="str">
        <x:v>PROC-0027</x:v>
      </x:c>
      <x:c r="B28" s="93" t="n">
        <x:v>46027</x:v>
      </x:c>
      <x:c r="C28" s="94" t="str">
        <x:v>Google Ads</x:v>
      </x:c>
      <x:c r="D28" s="94" t="str">
        <x:v>德国</x:v>
      </x:c>
      <x:c r="E28" s="94" t="str">
        <x:v>通用搜索</x:v>
      </x:c>
      <x:c r="F28" s="95" t="n">
        <x:v>19</x:v>
      </x:c>
      <x:c r="G28" s="95" t="n">
        <x:v>18</x:v>
      </x:c>
      <x:c r="H28" s="95" t="n">
        <x:v>14</x:v>
      </x:c>
      <x:c r="I28" s="95" t="n">
        <x:v>12</x:v>
      </x:c>
      <x:c r="J28" s="95" t="n">
        <x:v>4</x:v>
      </x:c>
      <x:c r="K28" s="95" t="n">
        <x:v>1</x:v>
      </x:c>
      <x:c r="L28" s="95" t="n">
        <x:v>0</x:v>
      </x:c>
      <x:c r="M28" s="96" t="n">
        <x:f>IFERROR(G28/F28,0)</x:f>
        <x:v>0.9473684210526315</x:v>
      </x:c>
      <x:c r="N28" s="96" t="n">
        <x:f>IFERROR(H28/G28,0)</x:f>
        <x:v>0.7777777777777778</x:v>
      </x:c>
      <x:c r="O28" s="96" t="n">
        <x:f>IFERROR(I28/H28,0)</x:f>
        <x:v>0.8571428571428571</x:v>
      </x:c>
      <x:c r="P28" s="96" t="n">
        <x:f>IFERROR(J28/I28,0)</x:f>
        <x:v>0.3333333333333333</x:v>
      </x:c>
      <x:c r="Q28" s="96" t="n">
        <x:f>IFERROR(L28/J28,0)</x:f>
        <x:v>0</x:v>
      </x:c>
      <x:c r="R28" s="96" t="n">
        <x:f>IFERROR(L28/F28,0)</x:f>
        <x:v>0</x:v>
      </x:c>
      <x:c r="S28" s="95" t="n">
        <x:v>46</x:v>
      </x:c>
      <x:c r="T28" s="94" t="str">
        <x:v>末次点击7天</x:v>
      </x:c>
    </x:row>
    <x:row r="29">
      <x:c r="A29" s="92" t="str">
        <x:v>PROC-0028</x:v>
      </x:c>
      <x:c r="B29" s="93" t="n">
        <x:v>46027</x:v>
      </x:c>
      <x:c r="C29" s="94" t="str">
        <x:v>Microsoft Ads</x:v>
      </x:c>
      <x:c r="D29" s="94" t="str">
        <x:v>德国</x:v>
      </x:c>
      <x:c r="E29" s="94" t="str">
        <x:v>通用搜索</x:v>
      </x:c>
      <x:c r="F29" s="95" t="n">
        <x:v>52</x:v>
      </x:c>
      <x:c r="G29" s="95" t="n">
        <x:v>47</x:v>
      </x:c>
      <x:c r="H29" s="95" t="n">
        <x:v>34</x:v>
      </x:c>
      <x:c r="I29" s="95" t="n">
        <x:v>28</x:v>
      </x:c>
      <x:c r="J29" s="95" t="n">
        <x:v>12</x:v>
      </x:c>
      <x:c r="K29" s="95" t="n">
        <x:v>3</x:v>
      </x:c>
      <x:c r="L29" s="95" t="n">
        <x:v>1</x:v>
      </x:c>
      <x:c r="M29" s="96" t="n">
        <x:f>IFERROR(G29/F29,0)</x:f>
        <x:v>0.9038461538461539</x:v>
      </x:c>
      <x:c r="N29" s="96" t="n">
        <x:f>IFERROR(H29/G29,0)</x:f>
        <x:v>0.723404255319149</x:v>
      </x:c>
      <x:c r="O29" s="96" t="n">
        <x:f>IFERROR(I29/H29,0)</x:f>
        <x:v>0.8235294117647058</x:v>
      </x:c>
      <x:c r="P29" s="96" t="n">
        <x:f>IFERROR(J29/I29,0)</x:f>
        <x:v>0.42857142857142855</x:v>
      </x:c>
      <x:c r="Q29" s="96" t="n">
        <x:f>IFERROR(L29/J29,0)</x:f>
        <x:v>0.08333333333333333</x:v>
      </x:c>
      <x:c r="R29" s="96" t="n">
        <x:f>IFERROR(L29/F29,0)</x:f>
        <x:v>0.019230769230769232</x:v>
      </x:c>
      <x:c r="S29" s="95" t="n">
        <x:v>64</x:v>
      </x:c>
      <x:c r="T29" s="94" t="str">
        <x:v>末次点击7天</x:v>
      </x:c>
    </x:row>
    <x:row r="30">
      <x:c r="A30" s="92" t="str">
        <x:v>PROC-0029</x:v>
      </x:c>
      <x:c r="B30" s="93" t="n">
        <x:v>46028</x:v>
      </x:c>
      <x:c r="C30" s="94" t="str">
        <x:v>Google Ads</x:v>
      </x:c>
      <x:c r="D30" s="94" t="str">
        <x:v>美国</x:v>
      </x:c>
      <x:c r="E30" s="94" t="str">
        <x:v>购物广告</x:v>
      </x:c>
      <x:c r="F30" s="95" t="n">
        <x:v>43</x:v>
      </x:c>
      <x:c r="G30" s="95" t="n">
        <x:v>38</x:v>
      </x:c>
      <x:c r="H30" s="95" t="n">
        <x:v>27</x:v>
      </x:c>
      <x:c r="I30" s="95" t="n">
        <x:v>23</x:v>
      </x:c>
      <x:c r="J30" s="95" t="n">
        <x:v>11</x:v>
      </x:c>
      <x:c r="K30" s="95" t="n">
        <x:v>4</x:v>
      </x:c>
      <x:c r="L30" s="95" t="n">
        <x:v>1</x:v>
      </x:c>
      <x:c r="M30" s="96" t="n">
        <x:f>IFERROR(G30/F30,0)</x:f>
        <x:v>0.8837209302325582</x:v>
      </x:c>
      <x:c r="N30" s="96" t="n">
        <x:f>IFERROR(H30/G30,0)</x:f>
        <x:v>0.7105263157894737</x:v>
      </x:c>
      <x:c r="O30" s="96" t="n">
        <x:f>IFERROR(I30/H30,0)</x:f>
        <x:v>0.8518518518518519</x:v>
      </x:c>
      <x:c r="P30" s="96" t="n">
        <x:f>IFERROR(J30/I30,0)</x:f>
        <x:v>0.4782608695652174</x:v>
      </x:c>
      <x:c r="Q30" s="96" t="n">
        <x:f>IFERROR(L30/J30,0)</x:f>
        <x:v>0.09090909090909091</x:v>
      </x:c>
      <x:c r="R30" s="96" t="n">
        <x:f>IFERROR(L30/F30,0)</x:f>
        <x:v>0.023255813953488372</x:v>
      </x:c>
      <x:c r="S30" s="95" t="n">
        <x:v>127</x:v>
      </x:c>
      <x:c r="T30" s="94" t="str">
        <x:v>末次点击7天</x:v>
      </x:c>
    </x:row>
    <x:row r="31">
      <x:c r="A31" s="92" t="str">
        <x:v>PROC-0030</x:v>
      </x:c>
      <x:c r="B31" s="93" t="n">
        <x:v>46028</x:v>
      </x:c>
      <x:c r="C31" s="94" t="str">
        <x:v>Google Ads</x:v>
      </x:c>
      <x:c r="D31" s="94" t="str">
        <x:v>日本</x:v>
      </x:c>
      <x:c r="E31" s="94" t="str">
        <x:v>竞品搜索</x:v>
      </x:c>
      <x:c r="F31" s="95" t="n">
        <x:v>21</x:v>
      </x:c>
      <x:c r="G31" s="95" t="n">
        <x:v>19</x:v>
      </x:c>
      <x:c r="H31" s="95" t="n">
        <x:v>13</x:v>
      </x:c>
      <x:c r="I31" s="95" t="n">
        <x:v>11</x:v>
      </x:c>
      <x:c r="J31" s="95" t="n">
        <x:v>5</x:v>
      </x:c>
      <x:c r="K31" s="95" t="n">
        <x:v>2</x:v>
      </x:c>
      <x:c r="L31" s="95" t="n">
        <x:v>0</x:v>
      </x:c>
      <x:c r="M31" s="96" t="n">
        <x:f>IFERROR(G31/F31,0)</x:f>
        <x:v>0.9047619047619048</x:v>
      </x:c>
      <x:c r="N31" s="96" t="n">
        <x:f>IFERROR(H31/G31,0)</x:f>
        <x:v>0.6842105263157895</x:v>
      </x:c>
      <x:c r="O31" s="96" t="n">
        <x:f>IFERROR(I31/H31,0)</x:f>
        <x:v>0.8461538461538461</x:v>
      </x:c>
      <x:c r="P31" s="96" t="n">
        <x:f>IFERROR(J31/I31,0)</x:f>
        <x:v>0.45454545454545453</x:v>
      </x:c>
      <x:c r="Q31" s="96" t="n">
        <x:f>IFERROR(L31/J31,0)</x:f>
        <x:v>0</x:v>
      </x:c>
      <x:c r="R31" s="96" t="n">
        <x:f>IFERROR(L31/F31,0)</x:f>
        <x:v>0</x:v>
      </x:c>
      <x:c r="S31" s="95" t="n">
        <x:v>49</x:v>
      </x:c>
      <x:c r="T31" s="94" t="str">
        <x:v>末次点击7天</x:v>
      </x:c>
    </x:row>
    <x:row r="32">
      <x:c r="A32" s="92" t="str">
        <x:v>PROC-0031</x:v>
      </x:c>
      <x:c r="B32" s="93" t="n">
        <x:v>46028</x:v>
      </x:c>
      <x:c r="C32" s="94" t="str">
        <x:v>Microsoft Ads</x:v>
      </x:c>
      <x:c r="D32" s="94" t="str">
        <x:v>美国</x:v>
      </x:c>
      <x:c r="E32" s="94" t="str">
        <x:v>品牌搜索</x:v>
      </x:c>
      <x:c r="F32" s="95" t="n">
        <x:v>65</x:v>
      </x:c>
      <x:c r="G32" s="95" t="n">
        <x:v>62</x:v>
      </x:c>
      <x:c r="H32" s="95" t="n">
        <x:v>45</x:v>
      </x:c>
      <x:c r="I32" s="95" t="n">
        <x:v>37</x:v>
      </x:c>
      <x:c r="J32" s="95" t="n">
        <x:v>19</x:v>
      </x:c>
      <x:c r="K32" s="95" t="n">
        <x:v>5</x:v>
      </x:c>
      <x:c r="L32" s="95" t="n">
        <x:v>2</x:v>
      </x:c>
      <x:c r="M32" s="96" t="n">
        <x:f>IFERROR(G32/F32,0)</x:f>
        <x:v>0.9538461538461539</x:v>
      </x:c>
      <x:c r="N32" s="96" t="n">
        <x:f>IFERROR(H32/G32,0)</x:f>
        <x:v>0.7258064516129032</x:v>
      </x:c>
      <x:c r="O32" s="96" t="n">
        <x:f>IFERROR(I32/H32,0)</x:f>
        <x:v>0.8222222222222222</x:v>
      </x:c>
      <x:c r="P32" s="96" t="n">
        <x:f>IFERROR(J32/I32,0)</x:f>
        <x:v>0.5135135135135135</x:v>
      </x:c>
      <x:c r="Q32" s="96" t="n">
        <x:f>IFERROR(L32/J32,0)</x:f>
        <x:v>0.10526315789473684</x:v>
      </x:c>
      <x:c r="R32" s="96" t="n">
        <x:f>IFERROR(L32/F32,0)</x:f>
        <x:v>0.03076923076923077</x:v>
      </x:c>
      <x:c r="S32" s="95" t="n">
        <x:v>112</x:v>
      </x:c>
      <x:c r="T32" s="94" t="str">
        <x:v>末次点击7天</x:v>
      </x:c>
    </x:row>
    <x:row r="33">
      <x:c r="A33" s="92" t="str">
        <x:v>PROC-0032</x:v>
      </x:c>
      <x:c r="B33" s="93" t="n">
        <x:v>46028</x:v>
      </x:c>
      <x:c r="C33" s="94" t="str">
        <x:v>Microsoft Ads</x:v>
      </x:c>
      <x:c r="D33" s="94" t="str">
        <x:v>英国</x:v>
      </x:c>
      <x:c r="E33" s="94" t="str">
        <x:v>购物广告</x:v>
      </x:c>
      <x:c r="F33" s="95" t="n">
        <x:v>34</x:v>
      </x:c>
      <x:c r="G33" s="95" t="n">
        <x:v>32</x:v>
      </x:c>
      <x:c r="H33" s="95" t="n">
        <x:v>21</x:v>
      </x:c>
      <x:c r="I33" s="95" t="n">
        <x:v>19</x:v>
      </x:c>
      <x:c r="J33" s="95" t="n">
        <x:v>9</x:v>
      </x:c>
      <x:c r="K33" s="95" t="n">
        <x:v>3</x:v>
      </x:c>
      <x:c r="L33" s="95" t="n">
        <x:v>1</x:v>
      </x:c>
      <x:c r="M33" s="96" t="n">
        <x:f>IFERROR(G33/F33,0)</x:f>
        <x:v>0.9411764705882353</x:v>
      </x:c>
      <x:c r="N33" s="96" t="n">
        <x:f>IFERROR(H33/G33,0)</x:f>
        <x:v>0.65625</x:v>
      </x:c>
      <x:c r="O33" s="96" t="n">
        <x:f>IFERROR(I33/H33,0)</x:f>
        <x:v>0.9047619047619048</x:v>
      </x:c>
      <x:c r="P33" s="96" t="n">
        <x:f>IFERROR(J33/I33,0)</x:f>
        <x:v>0.47368421052631576</x:v>
      </x:c>
      <x:c r="Q33" s="96" t="n">
        <x:f>IFERROR(L33/J33,0)</x:f>
        <x:v>0.1111111111111111</x:v>
      </x:c>
      <x:c r="R33" s="96" t="n">
        <x:f>IFERROR(L33/F33,0)</x:f>
        <x:v>0.029411764705882353</x:v>
      </x:c>
      <x:c r="S33" s="95" t="n">
        <x:v>85</x:v>
      </x:c>
      <x:c r="T33" s="94" t="str">
        <x:v>末次点击7天</x:v>
      </x:c>
    </x:row>
    <x:row r="34">
      <x:c r="A34" s="92" t="str">
        <x:v>PROC-0033</x:v>
      </x:c>
      <x:c r="B34" s="93" t="n">
        <x:v>46028</x:v>
      </x:c>
      <x:c r="C34" s="94" t="str">
        <x:v>Microsoft Ads</x:v>
      </x:c>
      <x:c r="D34" s="94" t="str">
        <x:v>美国</x:v>
      </x:c>
      <x:c r="E34" s="94" t="str">
        <x:v>通用搜索</x:v>
      </x:c>
      <x:c r="F34" s="95" t="n">
        <x:v>25</x:v>
      </x:c>
      <x:c r="G34" s="95" t="n">
        <x:v>23</x:v>
      </x:c>
      <x:c r="H34" s="95" t="n">
        <x:v>18</x:v>
      </x:c>
      <x:c r="I34" s="95" t="n">
        <x:v>15</x:v>
      </x:c>
      <x:c r="J34" s="95" t="n">
        <x:v>7</x:v>
      </x:c>
      <x:c r="K34" s="95" t="n">
        <x:v>2</x:v>
      </x:c>
      <x:c r="L34" s="95" t="n">
        <x:v>1</x:v>
      </x:c>
      <x:c r="M34" s="96" t="n">
        <x:f>IFERROR(G34/F34,0)</x:f>
        <x:v>0.92</x:v>
      </x:c>
      <x:c r="N34" s="96" t="n">
        <x:f>IFERROR(H34/G34,0)</x:f>
        <x:v>0.782608695652174</x:v>
      </x:c>
      <x:c r="O34" s="96" t="n">
        <x:f>IFERROR(I34/H34,0)</x:f>
        <x:v>0.8333333333333334</x:v>
      </x:c>
      <x:c r="P34" s="96" t="n">
        <x:f>IFERROR(J34/I34,0)</x:f>
        <x:v>0.4666666666666667</x:v>
      </x:c>
      <x:c r="Q34" s="96" t="n">
        <x:f>IFERROR(L34/J34,0)</x:f>
        <x:v>0.14285714285714285</x:v>
      </x:c>
      <x:c r="R34" s="96" t="n">
        <x:f>IFERROR(L34/F34,0)</x:f>
        <x:v>0.04</x:v>
      </x:c>
      <x:c r="S34" s="95" t="n">
        <x:v>138</x:v>
      </x:c>
      <x:c r="T34" s="94" t="str">
        <x:v>末次点击7天</x:v>
      </x:c>
    </x:row>
    <x:row r="35">
      <x:c r="A35" s="92" t="str">
        <x:v>PROC-0034</x:v>
      </x:c>
      <x:c r="B35" s="93" t="n">
        <x:v>46028</x:v>
      </x:c>
      <x:c r="C35" s="94" t="str">
        <x:v>Google Ads</x:v>
      </x:c>
      <x:c r="D35" s="94" t="str">
        <x:v>美国</x:v>
      </x:c>
      <x:c r="E35" s="94" t="str">
        <x:v>购物广告</x:v>
      </x:c>
      <x:c r="F35" s="95" t="n">
        <x:v>28</x:v>
      </x:c>
      <x:c r="G35" s="95" t="n">
        <x:v>25</x:v>
      </x:c>
      <x:c r="H35" s="95" t="n">
        <x:v>16</x:v>
      </x:c>
      <x:c r="I35" s="95" t="n">
        <x:v>14</x:v>
      </x:c>
      <x:c r="J35" s="95" t="n">
        <x:v>6</x:v>
      </x:c>
      <x:c r="K35" s="95" t="n">
        <x:v>1</x:v>
      </x:c>
      <x:c r="L35" s="95" t="n">
        <x:v>1</x:v>
      </x:c>
      <x:c r="M35" s="96" t="n">
        <x:f>IFERROR(G35/F35,0)</x:f>
        <x:v>0.8928571428571429</x:v>
      </x:c>
      <x:c r="N35" s="96" t="n">
        <x:f>IFERROR(H35/G35,0)</x:f>
        <x:v>0.64</x:v>
      </x:c>
      <x:c r="O35" s="96" t="n">
        <x:f>IFERROR(I35/H35,0)</x:f>
        <x:v>0.875</x:v>
      </x:c>
      <x:c r="P35" s="96" t="n">
        <x:f>IFERROR(J35/I35,0)</x:f>
        <x:v>0.42857142857142855</x:v>
      </x:c>
      <x:c r="Q35" s="96" t="n">
        <x:f>IFERROR(L35/J35,0)</x:f>
        <x:v>0.16666666666666666</x:v>
      </x:c>
      <x:c r="R35" s="96" t="n">
        <x:f>IFERROR(L35/F35,0)</x:f>
        <x:v>0.03571428571428571</x:v>
      </x:c>
      <x:c r="S35" s="95" t="n">
        <x:v>136</x:v>
      </x:c>
      <x:c r="T35" s="94" t="str">
        <x:v>末次点击7天</x:v>
      </x:c>
    </x:row>
    <x:row r="36">
      <x:c r="A36" s="92" t="str">
        <x:v>PROC-0035</x:v>
      </x:c>
      <x:c r="B36" s="93" t="n">
        <x:v>46029</x:v>
      </x:c>
      <x:c r="C36" s="94" t="str">
        <x:v>Google Ads</x:v>
      </x:c>
      <x:c r="D36" s="94" t="str">
        <x:v>美国</x:v>
      </x:c>
      <x:c r="E36" s="94" t="str">
        <x:v>通用搜索</x:v>
      </x:c>
      <x:c r="F36" s="95" t="n">
        <x:v>27</x:v>
      </x:c>
      <x:c r="G36" s="95" t="n">
        <x:v>25</x:v>
      </x:c>
      <x:c r="H36" s="95" t="n">
        <x:v>18</x:v>
      </x:c>
      <x:c r="I36" s="95" t="n">
        <x:v>15</x:v>
      </x:c>
      <x:c r="J36" s="95" t="n">
        <x:v>5</x:v>
      </x:c>
      <x:c r="K36" s="95" t="n">
        <x:v>2</x:v>
      </x:c>
      <x:c r="L36" s="95" t="n">
        <x:v>0</x:v>
      </x:c>
      <x:c r="M36" s="96" t="n">
        <x:f>IFERROR(G36/F36,0)</x:f>
        <x:v>0.9259259259259259</x:v>
      </x:c>
      <x:c r="N36" s="96" t="n">
        <x:f>IFERROR(H36/G36,0)</x:f>
        <x:v>0.72</x:v>
      </x:c>
      <x:c r="O36" s="96" t="n">
        <x:f>IFERROR(I36/H36,0)</x:f>
        <x:v>0.8333333333333334</x:v>
      </x:c>
      <x:c r="P36" s="96" t="n">
        <x:f>IFERROR(J36/I36,0)</x:f>
        <x:v>0.3333333333333333</x:v>
      </x:c>
      <x:c r="Q36" s="96" t="n">
        <x:f>IFERROR(L36/J36,0)</x:f>
        <x:v>0</x:v>
      </x:c>
      <x:c r="R36" s="96" t="n">
        <x:f>IFERROR(L36/F36,0)</x:f>
        <x:v>0</x:v>
      </x:c>
      <x:c r="S36" s="95" t="n">
        <x:v>85</x:v>
      </x:c>
      <x:c r="T36" s="94" t="str">
        <x:v>末次点击7天</x:v>
      </x:c>
    </x:row>
    <x:row r="37">
      <x:c r="A37" s="92" t="str">
        <x:v>PROC-0036</x:v>
      </x:c>
      <x:c r="B37" s="93" t="n">
        <x:v>46029</x:v>
      </x:c>
      <x:c r="C37" s="94" t="str">
        <x:v>Google Ads</x:v>
      </x:c>
      <x:c r="D37" s="94" t="str">
        <x:v>日本</x:v>
      </x:c>
      <x:c r="E37" s="94" t="str">
        <x:v>购物广告</x:v>
      </x:c>
      <x:c r="F37" s="95" t="n">
        <x:v>59</x:v>
      </x:c>
      <x:c r="G37" s="95" t="n">
        <x:v>55</x:v>
      </x:c>
      <x:c r="H37" s="95" t="n">
        <x:v>36</x:v>
      </x:c>
      <x:c r="I37" s="95" t="n">
        <x:v>31</x:v>
      </x:c>
      <x:c r="J37" s="95" t="n">
        <x:v>15</x:v>
      </x:c>
      <x:c r="K37" s="95" t="n">
        <x:v>4</x:v>
      </x:c>
      <x:c r="L37" s="95" t="n">
        <x:v>1</x:v>
      </x:c>
      <x:c r="M37" s="96" t="n">
        <x:f>IFERROR(G37/F37,0)</x:f>
        <x:v>0.9322033898305084</x:v>
      </x:c>
      <x:c r="N37" s="96" t="n">
        <x:f>IFERROR(H37/G37,0)</x:f>
        <x:v>0.6545454545454545</x:v>
      </x:c>
      <x:c r="O37" s="96" t="n">
        <x:f>IFERROR(I37/H37,0)</x:f>
        <x:v>0.8611111111111112</x:v>
      </x:c>
      <x:c r="P37" s="96" t="n">
        <x:f>IFERROR(J37/I37,0)</x:f>
        <x:v>0.4838709677419355</x:v>
      </x:c>
      <x:c r="Q37" s="96" t="n">
        <x:f>IFERROR(L37/J37,0)</x:f>
        <x:v>0.06666666666666667</x:v>
      </x:c>
      <x:c r="R37" s="96" t="n">
        <x:f>IFERROR(L37/F37,0)</x:f>
        <x:v>0.01694915254237288</x:v>
      </x:c>
      <x:c r="S37" s="95" t="n">
        <x:v>127</x:v>
      </x:c>
      <x:c r="T37" s="94" t="str">
        <x:v>末次点击7天</x:v>
      </x:c>
    </x:row>
    <x:row r="38">
      <x:c r="A38" s="92" t="str">
        <x:v>PROC-0037</x:v>
      </x:c>
      <x:c r="B38" s="93" t="n">
        <x:v>46029</x:v>
      </x:c>
      <x:c r="C38" s="94" t="str">
        <x:v>Google Ads</x:v>
      </x:c>
      <x:c r="D38" s="94" t="str">
        <x:v>日本</x:v>
      </x:c>
      <x:c r="E38" s="94" t="str">
        <x:v>购物广告</x:v>
      </x:c>
      <x:c r="F38" s="95" t="n">
        <x:v>38</x:v>
      </x:c>
      <x:c r="G38" s="95" t="n">
        <x:v>35</x:v>
      </x:c>
      <x:c r="H38" s="95" t="n">
        <x:v>22</x:v>
      </x:c>
      <x:c r="I38" s="95" t="n">
        <x:v>19</x:v>
      </x:c>
      <x:c r="J38" s="95" t="n">
        <x:v>9</x:v>
      </x:c>
      <x:c r="K38" s="95" t="n">
        <x:v>3</x:v>
      </x:c>
      <x:c r="L38" s="95" t="n">
        <x:v>1</x:v>
      </x:c>
      <x:c r="M38" s="96" t="n">
        <x:f>IFERROR(G38/F38,0)</x:f>
        <x:v>0.9210526315789473</x:v>
      </x:c>
      <x:c r="N38" s="96" t="n">
        <x:f>IFERROR(H38/G38,0)</x:f>
        <x:v>0.6285714285714286</x:v>
      </x:c>
      <x:c r="O38" s="96" t="n">
        <x:f>IFERROR(I38/H38,0)</x:f>
        <x:v>0.8636363636363636</x:v>
      </x:c>
      <x:c r="P38" s="96" t="n">
        <x:f>IFERROR(J38/I38,0)</x:f>
        <x:v>0.47368421052631576</x:v>
      </x:c>
      <x:c r="Q38" s="96" t="n">
        <x:f>IFERROR(L38/J38,0)</x:f>
        <x:v>0.1111111111111111</x:v>
      </x:c>
      <x:c r="R38" s="96" t="n">
        <x:f>IFERROR(L38/F38,0)</x:f>
        <x:v>0.02631578947368421</x:v>
      </x:c>
      <x:c r="S38" s="95" t="n">
        <x:v>61</x:v>
      </x:c>
      <x:c r="T38" s="94" t="str">
        <x:v>末次点击7天</x:v>
      </x:c>
    </x:row>
    <x:row r="39">
      <x:c r="A39" s="92" t="str">
        <x:v>PROC-0038</x:v>
      </x:c>
      <x:c r="B39" s="93" t="n">
        <x:v>46029</x:v>
      </x:c>
      <x:c r="C39" s="94" t="str">
        <x:v>Google Ads</x:v>
      </x:c>
      <x:c r="D39" s="94" t="str">
        <x:v>日本</x:v>
      </x:c>
      <x:c r="E39" s="94" t="str">
        <x:v>品牌搜索</x:v>
      </x:c>
      <x:c r="F39" s="95" t="n">
        <x:v>59</x:v>
      </x:c>
      <x:c r="G39" s="95" t="n">
        <x:v>52</x:v>
      </x:c>
      <x:c r="H39" s="95" t="n">
        <x:v>38</x:v>
      </x:c>
      <x:c r="I39" s="95" t="n">
        <x:v>30</x:v>
      </x:c>
      <x:c r="J39" s="95" t="n">
        <x:v>14</x:v>
      </x:c>
      <x:c r="K39" s="95" t="n">
        <x:v>4</x:v>
      </x:c>
      <x:c r="L39" s="95" t="n">
        <x:v>1</x:v>
      </x:c>
      <x:c r="M39" s="96" t="n">
        <x:f>IFERROR(G39/F39,0)</x:f>
        <x:v>0.8813559322033898</x:v>
      </x:c>
      <x:c r="N39" s="96" t="n">
        <x:f>IFERROR(H39/G39,0)</x:f>
        <x:v>0.7307692307692307</x:v>
      </x:c>
      <x:c r="O39" s="96" t="n">
        <x:f>IFERROR(I39/H39,0)</x:f>
        <x:v>0.7894736842105263</x:v>
      </x:c>
      <x:c r="P39" s="96" t="n">
        <x:f>IFERROR(J39/I39,0)</x:f>
        <x:v>0.4666666666666667</x:v>
      </x:c>
      <x:c r="Q39" s="96" t="n">
        <x:f>IFERROR(L39/J39,0)</x:f>
        <x:v>0.07142857142857142</x:v>
      </x:c>
      <x:c r="R39" s="96" t="n">
        <x:f>IFERROR(L39/F39,0)</x:f>
        <x:v>0.01694915254237288</x:v>
      </x:c>
      <x:c r="S39" s="95" t="n">
        <x:v>103</x:v>
      </x:c>
      <x:c r="T39" s="94" t="str">
        <x:v>末次点击7天</x:v>
      </x:c>
    </x:row>
    <x:row r="40">
      <x:c r="A40" s="92" t="str">
        <x:v>PROC-0039</x:v>
      </x:c>
      <x:c r="B40" s="93" t="n">
        <x:v>46029</x:v>
      </x:c>
      <x:c r="C40" s="94" t="str">
        <x:v>Microsoft Ads</x:v>
      </x:c>
      <x:c r="D40" s="94" t="str">
        <x:v>美国</x:v>
      </x:c>
      <x:c r="E40" s="94" t="str">
        <x:v>购物广告</x:v>
      </x:c>
      <x:c r="F40" s="95" t="n">
        <x:v>29</x:v>
      </x:c>
      <x:c r="G40" s="95" t="n">
        <x:v>27</x:v>
      </x:c>
      <x:c r="H40" s="95" t="n">
        <x:v>19</x:v>
      </x:c>
      <x:c r="I40" s="95" t="n">
        <x:v>16</x:v>
      </x:c>
      <x:c r="J40" s="95" t="n">
        <x:v>8</x:v>
      </x:c>
      <x:c r="K40" s="95" t="n">
        <x:v>3</x:v>
      </x:c>
      <x:c r="L40" s="95" t="n">
        <x:v>1</x:v>
      </x:c>
      <x:c r="M40" s="96" t="n">
        <x:f>IFERROR(G40/F40,0)</x:f>
        <x:v>0.9310344827586207</x:v>
      </x:c>
      <x:c r="N40" s="96" t="n">
        <x:f>IFERROR(H40/G40,0)</x:f>
        <x:v>0.7037037037037037</x:v>
      </x:c>
      <x:c r="O40" s="96" t="n">
        <x:f>IFERROR(I40/H40,0)</x:f>
        <x:v>0.8421052631578947</x:v>
      </x:c>
      <x:c r="P40" s="96" t="n">
        <x:f>IFERROR(J40/I40,0)</x:f>
        <x:v>0.5</x:v>
      </x:c>
      <x:c r="Q40" s="96" t="n">
        <x:f>IFERROR(L40/J40,0)</x:f>
        <x:v>0.125</x:v>
      </x:c>
      <x:c r="R40" s="96" t="n">
        <x:f>IFERROR(L40/F40,0)</x:f>
        <x:v>0.034482758620689655</x:v>
      </x:c>
      <x:c r="S40" s="95" t="n">
        <x:v>147</x:v>
      </x:c>
      <x:c r="T40" s="94" t="str">
        <x:v>末次点击7天</x:v>
      </x:c>
    </x:row>
    <x:row r="41">
      <x:c r="A41" s="92" t="str">
        <x:v>PROC-0040</x:v>
      </x:c>
      <x:c r="B41" s="93" t="n">
        <x:v>46030</x:v>
      </x:c>
      <x:c r="C41" s="94" t="str">
        <x:v>Google Ads</x:v>
      </x:c>
      <x:c r="D41" s="94" t="str">
        <x:v>日本</x:v>
      </x:c>
      <x:c r="E41" s="94" t="str">
        <x:v>品牌搜索</x:v>
      </x:c>
      <x:c r="F41" s="95" t="n">
        <x:v>63</x:v>
      </x:c>
      <x:c r="G41" s="95" t="n">
        <x:v>58</x:v>
      </x:c>
      <x:c r="H41" s="95" t="n">
        <x:v>39</x:v>
      </x:c>
      <x:c r="I41" s="95" t="n">
        <x:v>33</x:v>
      </x:c>
      <x:c r="J41" s="95" t="n">
        <x:v>14</x:v>
      </x:c>
      <x:c r="K41" s="95" t="n">
        <x:v>4</x:v>
      </x:c>
      <x:c r="L41" s="95" t="n">
        <x:v>2</x:v>
      </x:c>
      <x:c r="M41" s="96" t="n">
        <x:f>IFERROR(G41/F41,0)</x:f>
        <x:v>0.9206349206349206</x:v>
      </x:c>
      <x:c r="N41" s="96" t="n">
        <x:f>IFERROR(H41/G41,0)</x:f>
        <x:v>0.6724137931034483</x:v>
      </x:c>
      <x:c r="O41" s="96" t="n">
        <x:f>IFERROR(I41/H41,0)</x:f>
        <x:v>0.8461538461538461</x:v>
      </x:c>
      <x:c r="P41" s="96" t="n">
        <x:f>IFERROR(J41/I41,0)</x:f>
        <x:v>0.42424242424242425</x:v>
      </x:c>
      <x:c r="Q41" s="96" t="n">
        <x:f>IFERROR(L41/J41,0)</x:f>
        <x:v>0.14285714285714285</x:v>
      </x:c>
      <x:c r="R41" s="96" t="n">
        <x:f>IFERROR(L41/F41,0)</x:f>
        <x:v>0.031746031746031744</x:v>
      </x:c>
      <x:c r="S41" s="95" t="n">
        <x:v>76</x:v>
      </x:c>
      <x:c r="T41" s="94" t="str">
        <x:v>末次点击7天</x:v>
      </x:c>
    </x:row>
    <x:row r="42">
      <x:c r="A42" s="92" t="str">
        <x:v>PROC-0041</x:v>
      </x:c>
      <x:c r="B42" s="93" t="n">
        <x:v>46030</x:v>
      </x:c>
      <x:c r="C42" s="94" t="str">
        <x:v>Microsoft Ads</x:v>
      </x:c>
      <x:c r="D42" s="94" t="str">
        <x:v>日本</x:v>
      </x:c>
      <x:c r="E42" s="94" t="str">
        <x:v>通用搜索</x:v>
      </x:c>
      <x:c r="F42" s="95" t="n">
        <x:v>43</x:v>
      </x:c>
      <x:c r="G42" s="95" t="n">
        <x:v>40</x:v>
      </x:c>
      <x:c r="H42" s="95" t="n">
        <x:v>28</x:v>
      </x:c>
      <x:c r="I42" s="95" t="n">
        <x:v>23</x:v>
      </x:c>
      <x:c r="J42" s="95" t="n">
        <x:v>9</x:v>
      </x:c>
      <x:c r="K42" s="95" t="n">
        <x:v>2</x:v>
      </x:c>
      <x:c r="L42" s="95" t="n">
        <x:v>1</x:v>
      </x:c>
      <x:c r="M42" s="96" t="n">
        <x:f>IFERROR(G42/F42,0)</x:f>
        <x:v>0.9302325581395349</x:v>
      </x:c>
      <x:c r="N42" s="96" t="n">
        <x:f>IFERROR(H42/G42,0)</x:f>
        <x:v>0.7</x:v>
      </x:c>
      <x:c r="O42" s="96" t="n">
        <x:f>IFERROR(I42/H42,0)</x:f>
        <x:v>0.8214285714285714</x:v>
      </x:c>
      <x:c r="P42" s="96" t="n">
        <x:f>IFERROR(J42/I42,0)</x:f>
        <x:v>0.391304347826087</x:v>
      </x:c>
      <x:c r="Q42" s="96" t="n">
        <x:f>IFERROR(L42/J42,0)</x:f>
        <x:v>0.1111111111111111</x:v>
      </x:c>
      <x:c r="R42" s="96" t="n">
        <x:f>IFERROR(L42/F42,0)</x:f>
        <x:v>0.023255813953488372</x:v>
      </x:c>
      <x:c r="S42" s="95" t="n">
        <x:v>131</x:v>
      </x:c>
      <x:c r="T42" s="94" t="str">
        <x:v>末次点击7天</x:v>
      </x:c>
    </x:row>
    <x:row r="43">
      <x:c r="A43" s="92" t="str">
        <x:v>PROC-0042</x:v>
      </x:c>
      <x:c r="B43" s="93" t="n">
        <x:v>46030</x:v>
      </x:c>
      <x:c r="C43" s="94" t="str">
        <x:v>Google Ads</x:v>
      </x:c>
      <x:c r="D43" s="94" t="str">
        <x:v>日本</x:v>
      </x:c>
      <x:c r="E43" s="94" t="str">
        <x:v>竞品搜索</x:v>
      </x:c>
      <x:c r="F43" s="95" t="n">
        <x:v>21</x:v>
      </x:c>
      <x:c r="G43" s="95" t="n">
        <x:v>19</x:v>
      </x:c>
      <x:c r="H43" s="95" t="n">
        <x:v>13</x:v>
      </x:c>
      <x:c r="I43" s="95" t="n">
        <x:v>11</x:v>
      </x:c>
      <x:c r="J43" s="95" t="n">
        <x:v>5</x:v>
      </x:c>
      <x:c r="K43" s="95" t="n">
        <x:v>1</x:v>
      </x:c>
      <x:c r="L43" s="95" t="n">
        <x:v>0</x:v>
      </x:c>
      <x:c r="M43" s="96" t="n">
        <x:f>IFERROR(G43/F43,0)</x:f>
        <x:v>0.9047619047619048</x:v>
      </x:c>
      <x:c r="N43" s="96" t="n">
        <x:f>IFERROR(H43/G43,0)</x:f>
        <x:v>0.6842105263157895</x:v>
      </x:c>
      <x:c r="O43" s="96" t="n">
        <x:f>IFERROR(I43/H43,0)</x:f>
        <x:v>0.8461538461538461</x:v>
      </x:c>
      <x:c r="P43" s="96" t="n">
        <x:f>IFERROR(J43/I43,0)</x:f>
        <x:v>0.45454545454545453</x:v>
      </x:c>
      <x:c r="Q43" s="96" t="n">
        <x:f>IFERROR(L43/J43,0)</x:f>
        <x:v>0</x:v>
      </x:c>
      <x:c r="R43" s="96" t="n">
        <x:f>IFERROR(L43/F43,0)</x:f>
        <x:v>0</x:v>
      </x:c>
      <x:c r="S43" s="95" t="n">
        <x:v>139</x:v>
      </x:c>
      <x:c r="T43" s="94" t="str">
        <x:v>末次点击7天</x:v>
      </x:c>
    </x:row>
    <x:row r="44">
      <x:c r="A44" s="92" t="str">
        <x:v>PROC-0043</x:v>
      </x:c>
      <x:c r="B44" s="93" t="n">
        <x:v>46030</x:v>
      </x:c>
      <x:c r="C44" s="94" t="str">
        <x:v>Google Ads</x:v>
      </x:c>
      <x:c r="D44" s="94" t="str">
        <x:v>美国</x:v>
      </x:c>
      <x:c r="E44" s="94" t="str">
        <x:v>通用搜索</x:v>
      </x:c>
      <x:c r="F44" s="95" t="n">
        <x:v>33</x:v>
      </x:c>
      <x:c r="G44" s="95" t="n">
        <x:v>30</x:v>
      </x:c>
      <x:c r="H44" s="95" t="n">
        <x:v>23</x:v>
      </x:c>
      <x:c r="I44" s="95" t="n">
        <x:v>19</x:v>
      </x:c>
      <x:c r="J44" s="95" t="n">
        <x:v>8</x:v>
      </x:c>
      <x:c r="K44" s="95" t="n">
        <x:v>3</x:v>
      </x:c>
      <x:c r="L44" s="95" t="n">
        <x:v>1</x:v>
      </x:c>
      <x:c r="M44" s="96" t="n">
        <x:f>IFERROR(G44/F44,0)</x:f>
        <x:v>0.9090909090909091</x:v>
      </x:c>
      <x:c r="N44" s="96" t="n">
        <x:f>IFERROR(H44/G44,0)</x:f>
        <x:v>0.7666666666666667</x:v>
      </x:c>
      <x:c r="O44" s="96" t="n">
        <x:f>IFERROR(I44/H44,0)</x:f>
        <x:v>0.8260869565217391</x:v>
      </x:c>
      <x:c r="P44" s="96" t="n">
        <x:f>IFERROR(J44/I44,0)</x:f>
        <x:v>0.42105263157894735</x:v>
      </x:c>
      <x:c r="Q44" s="96" t="n">
        <x:f>IFERROR(L44/J44,0)</x:f>
        <x:v>0.125</x:v>
      </x:c>
      <x:c r="R44" s="96" t="n">
        <x:f>IFERROR(L44/F44,0)</x:f>
        <x:v>0.030303030303030304</x:v>
      </x:c>
      <x:c r="S44" s="95" t="n">
        <x:v>92</x:v>
      </x:c>
      <x:c r="T44" s="94" t="str">
        <x:v>末次点击7天</x:v>
      </x:c>
    </x:row>
    <x:row r="45">
      <x:c r="A45" s="92" t="str">
        <x:v>PROC-0044</x:v>
      </x:c>
      <x:c r="B45" s="93" t="n">
        <x:v>46030</x:v>
      </x:c>
      <x:c r="C45" s="94" t="str">
        <x:v>Google Ads</x:v>
      </x:c>
      <x:c r="D45" s="94" t="str">
        <x:v>美国</x:v>
      </x:c>
      <x:c r="E45" s="94" t="str">
        <x:v>品牌搜索</x:v>
      </x:c>
      <x:c r="F45" s="95" t="n">
        <x:v>52</x:v>
      </x:c>
      <x:c r="G45" s="95" t="n">
        <x:v>48</x:v>
      </x:c>
      <x:c r="H45" s="95" t="n">
        <x:v>33</x:v>
      </x:c>
      <x:c r="I45" s="95" t="n">
        <x:v>28</x:v>
      </x:c>
      <x:c r="J45" s="95" t="n">
        <x:v>13</x:v>
      </x:c>
      <x:c r="K45" s="95" t="n">
        <x:v>4</x:v>
      </x:c>
      <x:c r="L45" s="95" t="n">
        <x:v>1</x:v>
      </x:c>
      <x:c r="M45" s="96" t="n">
        <x:f>IFERROR(G45/F45,0)</x:f>
        <x:v>0.9230769230769231</x:v>
      </x:c>
      <x:c r="N45" s="96" t="n">
        <x:f>IFERROR(H45/G45,0)</x:f>
        <x:v>0.6875</x:v>
      </x:c>
      <x:c r="O45" s="96" t="n">
        <x:f>IFERROR(I45/H45,0)</x:f>
        <x:v>0.8484848484848485</x:v>
      </x:c>
      <x:c r="P45" s="96" t="n">
        <x:f>IFERROR(J45/I45,0)</x:f>
        <x:v>0.4642857142857143</x:v>
      </x:c>
      <x:c r="Q45" s="96" t="n">
        <x:f>IFERROR(L45/J45,0)</x:f>
        <x:v>0.07692307692307693</x:v>
      </x:c>
      <x:c r="R45" s="96" t="n">
        <x:f>IFERROR(L45/F45,0)</x:f>
        <x:v>0.019230769230769232</x:v>
      </x:c>
      <x:c r="S45" s="95" t="n">
        <x:v>108</x:v>
      </x:c>
      <x:c r="T45" s="94" t="str">
        <x:v>末次点击7天</x:v>
      </x:c>
    </x:row>
    <x:row r="46">
      <x:c r="A46" s="92" t="str">
        <x:v>PROC-0045</x:v>
      </x:c>
      <x:c r="B46" s="93" t="n">
        <x:v>46030</x:v>
      </x:c>
      <x:c r="C46" s="94" t="str">
        <x:v>Microsoft Ads</x:v>
      </x:c>
      <x:c r="D46" s="94" t="str">
        <x:v>美国</x:v>
      </x:c>
      <x:c r="E46" s="94" t="str">
        <x:v>通用搜索</x:v>
      </x:c>
      <x:c r="F46" s="95" t="n">
        <x:v>26</x:v>
      </x:c>
      <x:c r="G46" s="95" t="n">
        <x:v>23</x:v>
      </x:c>
      <x:c r="H46" s="95" t="n">
        <x:v>16</x:v>
      </x:c>
      <x:c r="I46" s="95" t="n">
        <x:v>13</x:v>
      </x:c>
      <x:c r="J46" s="95" t="n">
        <x:v>5</x:v>
      </x:c>
      <x:c r="K46" s="95" t="n">
        <x:v>1</x:v>
      </x:c>
      <x:c r="L46" s="95" t="n">
        <x:v>0</x:v>
      </x:c>
      <x:c r="M46" s="96" t="n">
        <x:f>IFERROR(G46/F46,0)</x:f>
        <x:v>0.8846153846153846</x:v>
      </x:c>
      <x:c r="N46" s="96" t="n">
        <x:f>IFERROR(H46/G46,0)</x:f>
        <x:v>0.6956521739130435</x:v>
      </x:c>
      <x:c r="O46" s="96" t="n">
        <x:f>IFERROR(I46/H46,0)</x:f>
        <x:v>0.8125</x:v>
      </x:c>
      <x:c r="P46" s="96" t="n">
        <x:f>IFERROR(J46/I46,0)</x:f>
        <x:v>0.38461538461538464</x:v>
      </x:c>
      <x:c r="Q46" s="96" t="n">
        <x:f>IFERROR(L46/J46,0)</x:f>
        <x:v>0</x:v>
      </x:c>
      <x:c r="R46" s="96" t="n">
        <x:f>IFERROR(L46/F46,0)</x:f>
        <x:v>0</x:v>
      </x:c>
      <x:c r="S46" s="95" t="n">
        <x:v>81</x:v>
      </x:c>
      <x:c r="T46" s="94" t="str">
        <x:v>末次点击7天</x:v>
      </x:c>
    </x:row>
    <x:row r="47">
      <x:c r="A47" s="92" t="str">
        <x:v>PROC-0046</x:v>
      </x:c>
      <x:c r="B47" s="93" t="n">
        <x:v>46031</x:v>
      </x:c>
      <x:c r="C47" s="94" t="str">
        <x:v>Google Ads</x:v>
      </x:c>
      <x:c r="D47" s="94" t="str">
        <x:v>日本</x:v>
      </x:c>
      <x:c r="E47" s="94" t="str">
        <x:v>购物广告</x:v>
      </x:c>
      <x:c r="F47" s="95" t="n">
        <x:v>40</x:v>
      </x:c>
      <x:c r="G47" s="95" t="n">
        <x:v>35</x:v>
      </x:c>
      <x:c r="H47" s="95" t="n">
        <x:v>22</x:v>
      </x:c>
      <x:c r="I47" s="95" t="n">
        <x:v>19</x:v>
      </x:c>
      <x:c r="J47" s="95" t="n">
        <x:v>9</x:v>
      </x:c>
      <x:c r="K47" s="95" t="n">
        <x:v>2</x:v>
      </x:c>
      <x:c r="L47" s="95" t="n">
        <x:v>1</x:v>
      </x:c>
      <x:c r="M47" s="96" t="n">
        <x:f>IFERROR(G47/F47,0)</x:f>
        <x:v>0.875</x:v>
      </x:c>
      <x:c r="N47" s="96" t="n">
        <x:f>IFERROR(H47/G47,0)</x:f>
        <x:v>0.6285714285714286</x:v>
      </x:c>
      <x:c r="O47" s="96" t="n">
        <x:f>IFERROR(I47/H47,0)</x:f>
        <x:v>0.8636363636363636</x:v>
      </x:c>
      <x:c r="P47" s="96" t="n">
        <x:f>IFERROR(J47/I47,0)</x:f>
        <x:v>0.47368421052631576</x:v>
      </x:c>
      <x:c r="Q47" s="96" t="n">
        <x:f>IFERROR(L47/J47,0)</x:f>
        <x:v>0.1111111111111111</x:v>
      </x:c>
      <x:c r="R47" s="96" t="n">
        <x:f>IFERROR(L47/F47,0)</x:f>
        <x:v>0.025</x:v>
      </x:c>
      <x:c r="S47" s="95" t="n">
        <x:v>137</x:v>
      </x:c>
      <x:c r="T47" s="94" t="str">
        <x:v>末次点击7天</x:v>
      </x:c>
    </x:row>
    <x:row r="48">
      <x:c r="A48" s="92" t="str">
        <x:v>PROC-0047</x:v>
      </x:c>
      <x:c r="B48" s="93" t="n">
        <x:v>46031</x:v>
      </x:c>
      <x:c r="C48" s="94" t="str">
        <x:v>Google Ads</x:v>
      </x:c>
      <x:c r="D48" s="94" t="str">
        <x:v>英国</x:v>
      </x:c>
      <x:c r="E48" s="94" t="str">
        <x:v>通用搜索</x:v>
      </x:c>
      <x:c r="F48" s="95" t="n">
        <x:v>28</x:v>
      </x:c>
      <x:c r="G48" s="95" t="n">
        <x:v>25</x:v>
      </x:c>
      <x:c r="H48" s="95" t="n">
        <x:v>18</x:v>
      </x:c>
      <x:c r="I48" s="95" t="n">
        <x:v>15</x:v>
      </x:c>
      <x:c r="J48" s="95" t="n">
        <x:v>7</x:v>
      </x:c>
      <x:c r="K48" s="95" t="n">
        <x:v>2</x:v>
      </x:c>
      <x:c r="L48" s="95" t="n">
        <x:v>1</x:v>
      </x:c>
      <x:c r="M48" s="96" t="n">
        <x:f>IFERROR(G48/F48,0)</x:f>
        <x:v>0.8928571428571429</x:v>
      </x:c>
      <x:c r="N48" s="96" t="n">
        <x:f>IFERROR(H48/G48,0)</x:f>
        <x:v>0.72</x:v>
      </x:c>
      <x:c r="O48" s="96" t="n">
        <x:f>IFERROR(I48/H48,0)</x:f>
        <x:v>0.8333333333333334</x:v>
      </x:c>
      <x:c r="P48" s="96" t="n">
        <x:f>IFERROR(J48/I48,0)</x:f>
        <x:v>0.4666666666666667</x:v>
      </x:c>
      <x:c r="Q48" s="96" t="n">
        <x:f>IFERROR(L48/J48,0)</x:f>
        <x:v>0.14285714285714285</x:v>
      </x:c>
      <x:c r="R48" s="96" t="n">
        <x:f>IFERROR(L48/F48,0)</x:f>
        <x:v>0.03571428571428571</x:v>
      </x:c>
      <x:c r="S48" s="95" t="n">
        <x:v>151</x:v>
      </x:c>
      <x:c r="T48" s="94" t="str">
        <x:v>末次点击7天</x:v>
      </x:c>
    </x:row>
    <x:row r="49">
      <x:c r="A49" s="92" t="str">
        <x:v>PROC-0048</x:v>
      </x:c>
      <x:c r="B49" s="93" t="n">
        <x:v>46031</x:v>
      </x:c>
      <x:c r="C49" s="94" t="str">
        <x:v>Google Ads</x:v>
      </x:c>
      <x:c r="D49" s="94" t="str">
        <x:v>德国</x:v>
      </x:c>
      <x:c r="E49" s="94" t="str">
        <x:v>竞品搜索</x:v>
      </x:c>
      <x:c r="F49" s="95" t="n">
        <x:v>19</x:v>
      </x:c>
      <x:c r="G49" s="95" t="n">
        <x:v>17</x:v>
      </x:c>
      <x:c r="H49" s="95" t="n">
        <x:v>12</x:v>
      </x:c>
      <x:c r="I49" s="95" t="n">
        <x:v>10</x:v>
      </x:c>
      <x:c r="J49" s="95" t="n">
        <x:v>5</x:v>
      </x:c>
      <x:c r="K49" s="95" t="n">
        <x:v>1</x:v>
      </x:c>
      <x:c r="L49" s="95" t="n">
        <x:v>0</x:v>
      </x:c>
      <x:c r="M49" s="96" t="n">
        <x:f>IFERROR(G49/F49,0)</x:f>
        <x:v>0.8947368421052632</x:v>
      </x:c>
      <x:c r="N49" s="96" t="n">
        <x:f>IFERROR(H49/G49,0)</x:f>
        <x:v>0.7058823529411765</x:v>
      </x:c>
      <x:c r="O49" s="96" t="n">
        <x:f>IFERROR(I49/H49,0)</x:f>
        <x:v>0.8333333333333334</x:v>
      </x:c>
      <x:c r="P49" s="96" t="n">
        <x:f>IFERROR(J49/I49,0)</x:f>
        <x:v>0.5</x:v>
      </x:c>
      <x:c r="Q49" s="96" t="n">
        <x:f>IFERROR(L49/J49,0)</x:f>
        <x:v>0</x:v>
      </x:c>
      <x:c r="R49" s="96" t="n">
        <x:f>IFERROR(L49/F49,0)</x:f>
        <x:v>0</x:v>
      </x:c>
      <x:c r="S49" s="95" t="n">
        <x:v>85</x:v>
      </x:c>
      <x:c r="T49" s="94" t="str">
        <x:v>末次点击7天</x:v>
      </x:c>
    </x:row>
    <x:row r="50">
      <x:c r="A50" s="92" t="str">
        <x:v>PROC-0049</x:v>
      </x:c>
      <x:c r="B50" s="93" t="n">
        <x:v>46031</x:v>
      </x:c>
      <x:c r="C50" s="94" t="str">
        <x:v>Google Ads</x:v>
      </x:c>
      <x:c r="D50" s="94" t="str">
        <x:v>德国</x:v>
      </x:c>
      <x:c r="E50" s="94" t="str">
        <x:v>通用搜索</x:v>
      </x:c>
      <x:c r="F50" s="95" t="n">
        <x:v>34</x:v>
      </x:c>
      <x:c r="G50" s="95" t="n">
        <x:v>31</x:v>
      </x:c>
      <x:c r="H50" s="95" t="n">
        <x:v>23</x:v>
      </x:c>
      <x:c r="I50" s="95" t="n">
        <x:v>18</x:v>
      </x:c>
      <x:c r="J50" s="95" t="n">
        <x:v>8</x:v>
      </x:c>
      <x:c r="K50" s="95" t="n">
        <x:v>2</x:v>
      </x:c>
      <x:c r="L50" s="95" t="n">
        <x:v>1</x:v>
      </x:c>
      <x:c r="M50" s="96" t="n">
        <x:f>IFERROR(G50/F50,0)</x:f>
        <x:v>0.9117647058823529</x:v>
      </x:c>
      <x:c r="N50" s="96" t="n">
        <x:f>IFERROR(H50/G50,0)</x:f>
        <x:v>0.7419354838709677</x:v>
      </x:c>
      <x:c r="O50" s="96" t="n">
        <x:f>IFERROR(I50/H50,0)</x:f>
        <x:v>0.782608695652174</x:v>
      </x:c>
      <x:c r="P50" s="96" t="n">
        <x:f>IFERROR(J50/I50,0)</x:f>
        <x:v>0.4444444444444444</x:v>
      </x:c>
      <x:c r="Q50" s="96" t="n">
        <x:f>IFERROR(L50/J50,0)</x:f>
        <x:v>0.125</x:v>
      </x:c>
      <x:c r="R50" s="96" t="n">
        <x:f>IFERROR(L50/F50,0)</x:f>
        <x:v>0.029411764705882353</x:v>
      </x:c>
      <x:c r="S50" s="95" t="n">
        <x:v>78</x:v>
      </x:c>
      <x:c r="T50" s="94" t="str">
        <x:v>末次点击7天</x:v>
      </x:c>
    </x:row>
    <x:row r="51">
      <x:c r="A51" s="92" t="str">
        <x:v>PROC-0050</x:v>
      </x:c>
      <x:c r="B51" s="93" t="n">
        <x:v>46031</x:v>
      </x:c>
      <x:c r="C51" s="94" t="str">
        <x:v>Google Ads</x:v>
      </x:c>
      <x:c r="D51" s="94" t="str">
        <x:v>英国</x:v>
      </x:c>
      <x:c r="E51" s="94" t="str">
        <x:v>品牌搜索</x:v>
      </x:c>
      <x:c r="F51" s="95" t="n">
        <x:v>63</x:v>
      </x:c>
      <x:c r="G51" s="95" t="n">
        <x:v>58</x:v>
      </x:c>
      <x:c r="H51" s="95" t="n">
        <x:v>42</x:v>
      </x:c>
      <x:c r="I51" s="95" t="n">
        <x:v>35</x:v>
      </x:c>
      <x:c r="J51" s="95" t="n">
        <x:v>16</x:v>
      </x:c>
      <x:c r="K51" s="95" t="n">
        <x:v>5</x:v>
      </x:c>
      <x:c r="L51" s="95" t="n">
        <x:v>1</x:v>
      </x:c>
      <x:c r="M51" s="96" t="n">
        <x:f>IFERROR(G51/F51,0)</x:f>
        <x:v>0.9206349206349206</x:v>
      </x:c>
      <x:c r="N51" s="96" t="n">
        <x:f>IFERROR(H51/G51,0)</x:f>
        <x:v>0.7241379310344828</x:v>
      </x:c>
      <x:c r="O51" s="96" t="n">
        <x:f>IFERROR(I51/H51,0)</x:f>
        <x:v>0.8333333333333334</x:v>
      </x:c>
      <x:c r="P51" s="96" t="n">
        <x:f>IFERROR(J51/I51,0)</x:f>
        <x:v>0.45714285714285713</x:v>
      </x:c>
      <x:c r="Q51" s="96" t="n">
        <x:f>IFERROR(L51/J51,0)</x:f>
        <x:v>0.0625</x:v>
      </x:c>
      <x:c r="R51" s="96" t="n">
        <x:f>IFERROR(L51/F51,0)</x:f>
        <x:v>0.015873015873015872</x:v>
      </x:c>
      <x:c r="S51" s="95" t="n">
        <x:v>125</x:v>
      </x:c>
      <x:c r="T51" s="94" t="str">
        <x:v>末次点击7天</x:v>
      </x:c>
    </x:row>
    <x:row r="52">
      <x:c r="A52" s="92" t="str">
        <x:v>PROC-0051</x:v>
      </x:c>
      <x:c r="B52" s="93" t="n">
        <x:v>46032</x:v>
      </x:c>
      <x:c r="C52" s="94" t="str">
        <x:v>Microsoft Ads</x:v>
      </x:c>
      <x:c r="D52" s="94" t="str">
        <x:v>日本</x:v>
      </x:c>
      <x:c r="E52" s="94" t="str">
        <x:v>品牌搜索</x:v>
      </x:c>
      <x:c r="F52" s="95" t="n">
        <x:v>36</x:v>
      </x:c>
      <x:c r="G52" s="95" t="n">
        <x:v>34</x:v>
      </x:c>
      <x:c r="H52" s="95" t="n">
        <x:v>26</x:v>
      </x:c>
      <x:c r="I52" s="95" t="n">
        <x:v>21</x:v>
      </x:c>
      <x:c r="J52" s="95" t="n">
        <x:v>10</x:v>
      </x:c>
      <x:c r="K52" s="95" t="n">
        <x:v>3</x:v>
      </x:c>
      <x:c r="L52" s="95" t="n">
        <x:v>1</x:v>
      </x:c>
      <x:c r="M52" s="96" t="n">
        <x:f>IFERROR(G52/F52,0)</x:f>
        <x:v>0.9444444444444444</x:v>
      </x:c>
      <x:c r="N52" s="96" t="n">
        <x:f>IFERROR(H52/G52,0)</x:f>
        <x:v>0.7647058823529411</x:v>
      </x:c>
      <x:c r="O52" s="96" t="n">
        <x:f>IFERROR(I52/H52,0)</x:f>
        <x:v>0.8076923076923077</x:v>
      </x:c>
      <x:c r="P52" s="96" t="n">
        <x:f>IFERROR(J52/I52,0)</x:f>
        <x:v>0.47619047619047616</x:v>
      </x:c>
      <x:c r="Q52" s="96" t="n">
        <x:f>IFERROR(L52/J52,0)</x:f>
        <x:v>0.1</x:v>
      </x:c>
      <x:c r="R52" s="96" t="n">
        <x:f>IFERROR(L52/F52,0)</x:f>
        <x:v>0.027777777777777776</x:v>
      </x:c>
      <x:c r="S52" s="95" t="n">
        <x:v>110</x:v>
      </x:c>
      <x:c r="T52" s="94" t="str">
        <x:v>末次点击7天</x:v>
      </x:c>
    </x:row>
    <x:row r="53">
      <x:c r="A53" s="92" t="str">
        <x:v>PROC-0052</x:v>
      </x:c>
      <x:c r="B53" s="93" t="n">
        <x:v>46032</x:v>
      </x:c>
      <x:c r="C53" s="94" t="str">
        <x:v>Microsoft Ads</x:v>
      </x:c>
      <x:c r="D53" s="94" t="str">
        <x:v>英国</x:v>
      </x:c>
      <x:c r="E53" s="94" t="str">
        <x:v>购物广告</x:v>
      </x:c>
      <x:c r="F53" s="95" t="n">
        <x:v>34</x:v>
      </x:c>
      <x:c r="G53" s="95" t="n">
        <x:v>31</x:v>
      </x:c>
      <x:c r="H53" s="95" t="n">
        <x:v>22</x:v>
      </x:c>
      <x:c r="I53" s="95" t="n">
        <x:v>20</x:v>
      </x:c>
      <x:c r="J53" s="95" t="n">
        <x:v>8</x:v>
      </x:c>
      <x:c r="K53" s="95" t="n">
        <x:v>2</x:v>
      </x:c>
      <x:c r="L53" s="95" t="n">
        <x:v>1</x:v>
      </x:c>
      <x:c r="M53" s="96" t="n">
        <x:f>IFERROR(G53/F53,0)</x:f>
        <x:v>0.9117647058823529</x:v>
      </x:c>
      <x:c r="N53" s="96" t="n">
        <x:f>IFERROR(H53/G53,0)</x:f>
        <x:v>0.7096774193548387</x:v>
      </x:c>
      <x:c r="O53" s="96" t="n">
        <x:f>IFERROR(I53/H53,0)</x:f>
        <x:v>0.9090909090909091</x:v>
      </x:c>
      <x:c r="P53" s="96" t="n">
        <x:f>IFERROR(J53/I53,0)</x:f>
        <x:v>0.4</x:v>
      </x:c>
      <x:c r="Q53" s="96" t="n">
        <x:f>IFERROR(L53/J53,0)</x:f>
        <x:v>0.125</x:v>
      </x:c>
      <x:c r="R53" s="96" t="n">
        <x:f>IFERROR(L53/F53,0)</x:f>
        <x:v>0.029411764705882353</x:v>
      </x:c>
      <x:c r="S53" s="95" t="n">
        <x:v>135</x:v>
      </x:c>
      <x:c r="T53" s="94" t="str">
        <x:v>末次点击7天</x:v>
      </x:c>
    </x:row>
    <x:row r="54">
      <x:c r="A54" s="92" t="str">
        <x:v>PROC-0053</x:v>
      </x:c>
      <x:c r="B54" s="93" t="n">
        <x:v>46032</x:v>
      </x:c>
      <x:c r="C54" s="94" t="str">
        <x:v>Microsoft Ads</x:v>
      </x:c>
      <x:c r="D54" s="94" t="str">
        <x:v>英国</x:v>
      </x:c>
      <x:c r="E54" s="94" t="str">
        <x:v>购物广告</x:v>
      </x:c>
      <x:c r="F54" s="95" t="n">
        <x:v>64</x:v>
      </x:c>
      <x:c r="G54" s="95" t="n">
        <x:v>57</x:v>
      </x:c>
      <x:c r="H54" s="95" t="n">
        <x:v>37</x:v>
      </x:c>
      <x:c r="I54" s="95" t="n">
        <x:v>32</x:v>
      </x:c>
      <x:c r="J54" s="95" t="n">
        <x:v>13</x:v>
      </x:c>
      <x:c r="K54" s="95" t="n">
        <x:v>4</x:v>
      </x:c>
      <x:c r="L54" s="95" t="n">
        <x:v>1</x:v>
      </x:c>
      <x:c r="M54" s="96" t="n">
        <x:f>IFERROR(G54/F54,0)</x:f>
        <x:v>0.890625</x:v>
      </x:c>
      <x:c r="N54" s="96" t="n">
        <x:f>IFERROR(H54/G54,0)</x:f>
        <x:v>0.6491228070175439</x:v>
      </x:c>
      <x:c r="O54" s="96" t="n">
        <x:f>IFERROR(I54/H54,0)</x:f>
        <x:v>0.8648648648648649</x:v>
      </x:c>
      <x:c r="P54" s="96" t="n">
        <x:f>IFERROR(J54/I54,0)</x:f>
        <x:v>0.40625</x:v>
      </x:c>
      <x:c r="Q54" s="96" t="n">
        <x:f>IFERROR(L54/J54,0)</x:f>
        <x:v>0.07692307692307693</x:v>
      </x:c>
      <x:c r="R54" s="96" t="n">
        <x:f>IFERROR(L54/F54,0)</x:f>
        <x:v>0.015625</x:v>
      </x:c>
      <x:c r="S54" s="95" t="n">
        <x:v>142</x:v>
      </x:c>
      <x:c r="T54" s="94" t="str">
        <x:v>末次点击7天</x:v>
      </x:c>
    </x:row>
    <x:row r="55">
      <x:c r="A55" s="92" t="str">
        <x:v>PROC-0054</x:v>
      </x:c>
      <x:c r="B55" s="93" t="n">
        <x:v>46032</x:v>
      </x:c>
      <x:c r="C55" s="94" t="str">
        <x:v>Google Ads</x:v>
      </x:c>
      <x:c r="D55" s="94" t="str">
        <x:v>德国</x:v>
      </x:c>
      <x:c r="E55" s="94" t="str">
        <x:v>品牌搜索</x:v>
      </x:c>
      <x:c r="F55" s="95" t="n">
        <x:v>70</x:v>
      </x:c>
      <x:c r="G55" s="95" t="n">
        <x:v>64</x:v>
      </x:c>
      <x:c r="H55" s="95" t="n">
        <x:v>43</x:v>
      </x:c>
      <x:c r="I55" s="95" t="n">
        <x:v>36</x:v>
      </x:c>
      <x:c r="J55" s="95" t="n">
        <x:v>18</x:v>
      </x:c>
      <x:c r="K55" s="95" t="n">
        <x:v>5</x:v>
      </x:c>
      <x:c r="L55" s="95" t="n">
        <x:v>1</x:v>
      </x:c>
      <x:c r="M55" s="96" t="n">
        <x:f>IFERROR(G55/F55,0)</x:f>
        <x:v>0.9142857142857143</x:v>
      </x:c>
      <x:c r="N55" s="96" t="n">
        <x:f>IFERROR(H55/G55,0)</x:f>
        <x:v>0.671875</x:v>
      </x:c>
      <x:c r="O55" s="96" t="n">
        <x:f>IFERROR(I55/H55,0)</x:f>
        <x:v>0.8372093023255814</x:v>
      </x:c>
      <x:c r="P55" s="96" t="n">
        <x:f>IFERROR(J55/I55,0)</x:f>
        <x:v>0.5</x:v>
      </x:c>
      <x:c r="Q55" s="96" t="n">
        <x:f>IFERROR(L55/J55,0)</x:f>
        <x:v>0.05555555555555555</x:v>
      </x:c>
      <x:c r="R55" s="96" t="n">
        <x:f>IFERROR(L55/F55,0)</x:f>
        <x:v>0.014285714285714285</x:v>
      </x:c>
      <x:c r="S55" s="95" t="n">
        <x:v>128</x:v>
      </x:c>
      <x:c r="T55" s="94" t="str">
        <x:v>末次点击7天</x:v>
      </x:c>
    </x:row>
    <x:row r="56">
      <x:c r="A56" s="92" t="str">
        <x:v>PROC-0055</x:v>
      </x:c>
      <x:c r="B56" s="93" t="n">
        <x:v>46032</x:v>
      </x:c>
      <x:c r="C56" s="94" t="str">
        <x:v>Microsoft Ads</x:v>
      </x:c>
      <x:c r="D56" s="94" t="str">
        <x:v>英国</x:v>
      </x:c>
      <x:c r="E56" s="94" t="str">
        <x:v>购物广告</x:v>
      </x:c>
      <x:c r="F56" s="95" t="n">
        <x:v>39</x:v>
      </x:c>
      <x:c r="G56" s="95" t="n">
        <x:v>37</x:v>
      </x:c>
      <x:c r="H56" s="95" t="n">
        <x:v>26</x:v>
      </x:c>
      <x:c r="I56" s="95" t="n">
        <x:v>23</x:v>
      </x:c>
      <x:c r="J56" s="95" t="n">
        <x:v>12</x:v>
      </x:c>
      <x:c r="K56" s="95" t="n">
        <x:v>3</x:v>
      </x:c>
      <x:c r="L56" s="95" t="n">
        <x:v>1</x:v>
      </x:c>
      <x:c r="M56" s="96" t="n">
        <x:f>IFERROR(G56/F56,0)</x:f>
        <x:v>0.9487179487179487</x:v>
      </x:c>
      <x:c r="N56" s="96" t="n">
        <x:f>IFERROR(H56/G56,0)</x:f>
        <x:v>0.7027027027027027</x:v>
      </x:c>
      <x:c r="O56" s="96" t="n">
        <x:f>IFERROR(I56/H56,0)</x:f>
        <x:v>0.8846153846153846</x:v>
      </x:c>
      <x:c r="P56" s="96" t="n">
        <x:f>IFERROR(J56/I56,0)</x:f>
        <x:v>0.5217391304347826</x:v>
      </x:c>
      <x:c r="Q56" s="96" t="n">
        <x:f>IFERROR(L56/J56,0)</x:f>
        <x:v>0.08333333333333333</x:v>
      </x:c>
      <x:c r="R56" s="96" t="n">
        <x:f>IFERROR(L56/F56,0)</x:f>
        <x:v>0.02564102564102564</x:v>
      </x:c>
      <x:c r="S56" s="95" t="n">
        <x:v>50</x:v>
      </x:c>
      <x:c r="T56" s="94" t="str">
        <x:v>末次点击7天</x:v>
      </x:c>
    </x:row>
    <x:row r="57">
      <x:c r="A57" s="92" t="str">
        <x:v>PROC-0056</x:v>
      </x:c>
      <x:c r="B57" s="93" t="n">
        <x:v>46032</x:v>
      </x:c>
      <x:c r="C57" s="94" t="str">
        <x:v>Microsoft Ads</x:v>
      </x:c>
      <x:c r="D57" s="94" t="str">
        <x:v>美国</x:v>
      </x:c>
      <x:c r="E57" s="94" t="str">
        <x:v>竞品搜索</x:v>
      </x:c>
      <x:c r="F57" s="95" t="n">
        <x:v>45</x:v>
      </x:c>
      <x:c r="G57" s="95" t="n">
        <x:v>41</x:v>
      </x:c>
      <x:c r="H57" s="95" t="n">
        <x:v>32</x:v>
      </x:c>
      <x:c r="I57" s="95" t="n">
        <x:v>26</x:v>
      </x:c>
      <x:c r="J57" s="95" t="n">
        <x:v>9</x:v>
      </x:c>
      <x:c r="K57" s="95" t="n">
        <x:v>3</x:v>
      </x:c>
      <x:c r="L57" s="95" t="n">
        <x:v>1</x:v>
      </x:c>
      <x:c r="M57" s="96" t="n">
        <x:f>IFERROR(G57/F57,0)</x:f>
        <x:v>0.9111111111111111</x:v>
      </x:c>
      <x:c r="N57" s="96" t="n">
        <x:f>IFERROR(H57/G57,0)</x:f>
        <x:v>0.7804878048780488</x:v>
      </x:c>
      <x:c r="O57" s="96" t="n">
        <x:f>IFERROR(I57/H57,0)</x:f>
        <x:v>0.8125</x:v>
      </x:c>
      <x:c r="P57" s="96" t="n">
        <x:f>IFERROR(J57/I57,0)</x:f>
        <x:v>0.34615384615384615</x:v>
      </x:c>
      <x:c r="Q57" s="96" t="n">
        <x:f>IFERROR(L57/J57,0)</x:f>
        <x:v>0.1111111111111111</x:v>
      </x:c>
      <x:c r="R57" s="96" t="n">
        <x:f>IFERROR(L57/F57,0)</x:f>
        <x:v>0.022222222222222223</x:v>
      </x:c>
      <x:c r="S57" s="95" t="n">
        <x:v>149</x:v>
      </x:c>
      <x:c r="T57" s="94" t="str">
        <x:v>末次点击7天</x:v>
      </x:c>
    </x:row>
    <x:row r="58">
      <x:c r="A58" s="92" t="str">
        <x:v>PROC-0057</x:v>
      </x:c>
      <x:c r="B58" s="93" t="n">
        <x:v>46033</x:v>
      </x:c>
      <x:c r="C58" s="94" t="str">
        <x:v>Microsoft Ads</x:v>
      </x:c>
      <x:c r="D58" s="94" t="str">
        <x:v>英国</x:v>
      </x:c>
      <x:c r="E58" s="94" t="str">
        <x:v>竞品搜索</x:v>
      </x:c>
      <x:c r="F58" s="95" t="n">
        <x:v>39</x:v>
      </x:c>
      <x:c r="G58" s="95" t="n">
        <x:v>35</x:v>
      </x:c>
      <x:c r="H58" s="95" t="n">
        <x:v>24</x:v>
      </x:c>
      <x:c r="I58" s="95" t="n">
        <x:v>20</x:v>
      </x:c>
      <x:c r="J58" s="95" t="n">
        <x:v>8</x:v>
      </x:c>
      <x:c r="K58" s="95" t="n">
        <x:v>2</x:v>
      </x:c>
      <x:c r="L58" s="95" t="n">
        <x:v>1</x:v>
      </x:c>
      <x:c r="M58" s="96" t="n">
        <x:f>IFERROR(G58/F58,0)</x:f>
        <x:v>0.8974358974358975</x:v>
      </x:c>
      <x:c r="N58" s="96" t="n">
        <x:f>IFERROR(H58/G58,0)</x:f>
        <x:v>0.6857142857142857</x:v>
      </x:c>
      <x:c r="O58" s="96" t="n">
        <x:f>IFERROR(I58/H58,0)</x:f>
        <x:v>0.8333333333333334</x:v>
      </x:c>
      <x:c r="P58" s="96" t="n">
        <x:f>IFERROR(J58/I58,0)</x:f>
        <x:v>0.4</x:v>
      </x:c>
      <x:c r="Q58" s="96" t="n">
        <x:f>IFERROR(L58/J58,0)</x:f>
        <x:v>0.125</x:v>
      </x:c>
      <x:c r="R58" s="96" t="n">
        <x:f>IFERROR(L58/F58,0)</x:f>
        <x:v>0.02564102564102564</x:v>
      </x:c>
      <x:c r="S58" s="95" t="n">
        <x:v>110</x:v>
      </x:c>
      <x:c r="T58" s="94" t="str">
        <x:v>末次点击7天</x:v>
      </x:c>
    </x:row>
    <x:row r="59">
      <x:c r="A59" s="92" t="str">
        <x:v>PROC-0058</x:v>
      </x:c>
      <x:c r="B59" s="93" t="n">
        <x:v>46033</x:v>
      </x:c>
      <x:c r="C59" s="94" t="str">
        <x:v>Google Ads</x:v>
      </x:c>
      <x:c r="D59" s="94" t="str">
        <x:v>德国</x:v>
      </x:c>
      <x:c r="E59" s="94" t="str">
        <x:v>购物广告</x:v>
      </x:c>
      <x:c r="F59" s="95" t="n">
        <x:v>32</x:v>
      </x:c>
      <x:c r="G59" s="95" t="n">
        <x:v>29</x:v>
      </x:c>
      <x:c r="H59" s="95" t="n">
        <x:v>21</x:v>
      </x:c>
      <x:c r="I59" s="95" t="n">
        <x:v>18</x:v>
      </x:c>
      <x:c r="J59" s="95" t="n">
        <x:v>9</x:v>
      </x:c>
      <x:c r="K59" s="95" t="n">
        <x:v>2</x:v>
      </x:c>
      <x:c r="L59" s="95" t="n">
        <x:v>1</x:v>
      </x:c>
      <x:c r="M59" s="96" t="n">
        <x:f>IFERROR(G59/F59,0)</x:f>
        <x:v>0.90625</x:v>
      </x:c>
      <x:c r="N59" s="96" t="n">
        <x:f>IFERROR(H59/G59,0)</x:f>
        <x:v>0.7241379310344828</x:v>
      </x:c>
      <x:c r="O59" s="96" t="n">
        <x:f>IFERROR(I59/H59,0)</x:f>
        <x:v>0.8571428571428571</x:v>
      </x:c>
      <x:c r="P59" s="96" t="n">
        <x:f>IFERROR(J59/I59,0)</x:f>
        <x:v>0.5</x:v>
      </x:c>
      <x:c r="Q59" s="96" t="n">
        <x:f>IFERROR(L59/J59,0)</x:f>
        <x:v>0.1111111111111111</x:v>
      </x:c>
      <x:c r="R59" s="96" t="n">
        <x:f>IFERROR(L59/F59,0)</x:f>
        <x:v>0.03125</x:v>
      </x:c>
      <x:c r="S59" s="95" t="n">
        <x:v>125</x:v>
      </x:c>
      <x:c r="T59" s="94" t="str">
        <x:v>末次点击7天</x:v>
      </x:c>
    </x:row>
    <x:row r="60">
      <x:c r="A60" s="92" t="str">
        <x:v>PROC-0059</x:v>
      </x:c>
      <x:c r="B60" s="93" t="n">
        <x:v>46033</x:v>
      </x:c>
      <x:c r="C60" s="94" t="str">
        <x:v>Microsoft Ads</x:v>
      </x:c>
      <x:c r="D60" s="94" t="str">
        <x:v>德国</x:v>
      </x:c>
      <x:c r="E60" s="94" t="str">
        <x:v>竞品搜索</x:v>
      </x:c>
      <x:c r="F60" s="95" t="n">
        <x:v>29</x:v>
      </x:c>
      <x:c r="G60" s="95" t="n">
        <x:v>27</x:v>
      </x:c>
      <x:c r="H60" s="95" t="n">
        <x:v>19</x:v>
      </x:c>
      <x:c r="I60" s="95" t="n">
        <x:v>16</x:v>
      </x:c>
      <x:c r="J60" s="95" t="n">
        <x:v>7</x:v>
      </x:c>
      <x:c r="K60" s="95" t="n">
        <x:v>2</x:v>
      </x:c>
      <x:c r="L60" s="95" t="n">
        <x:v>0</x:v>
      </x:c>
      <x:c r="M60" s="96" t="n">
        <x:f>IFERROR(G60/F60,0)</x:f>
        <x:v>0.9310344827586207</x:v>
      </x:c>
      <x:c r="N60" s="96" t="n">
        <x:f>IFERROR(H60/G60,0)</x:f>
        <x:v>0.7037037037037037</x:v>
      </x:c>
      <x:c r="O60" s="96" t="n">
        <x:f>IFERROR(I60/H60,0)</x:f>
        <x:v>0.8421052631578947</x:v>
      </x:c>
      <x:c r="P60" s="96" t="n">
        <x:f>IFERROR(J60/I60,0)</x:f>
        <x:v>0.4375</x:v>
      </x:c>
      <x:c r="Q60" s="96" t="n">
        <x:f>IFERROR(L60/J60,0)</x:f>
        <x:v>0</x:v>
      </x:c>
      <x:c r="R60" s="96" t="n">
        <x:f>IFERROR(L60/F60,0)</x:f>
        <x:v>0</x:v>
      </x:c>
      <x:c r="S60" s="95" t="n">
        <x:v>91</x:v>
      </x:c>
      <x:c r="T60" s="94" t="str">
        <x:v>末次点击7天</x:v>
      </x:c>
    </x:row>
    <x:row r="61">
      <x:c r="A61" s="92" t="str">
        <x:v>PROC-0060</x:v>
      </x:c>
      <x:c r="B61" s="93" t="n">
        <x:v>46033</x:v>
      </x:c>
      <x:c r="C61" s="94" t="str">
        <x:v>Google Ads</x:v>
      </x:c>
      <x:c r="D61" s="94" t="str">
        <x:v>德国</x:v>
      </x:c>
      <x:c r="E61" s="94" t="str">
        <x:v>品牌搜索</x:v>
      </x:c>
      <x:c r="F61" s="95" t="n">
        <x:v>43</x:v>
      </x:c>
      <x:c r="G61" s="95" t="n">
        <x:v>40</x:v>
      </x:c>
      <x:c r="H61" s="95" t="n">
        <x:v>26</x:v>
      </x:c>
      <x:c r="I61" s="95" t="n">
        <x:v>22</x:v>
      </x:c>
      <x:c r="J61" s="95" t="n">
        <x:v>10</x:v>
      </x:c>
      <x:c r="K61" s="95" t="n">
        <x:v>2</x:v>
      </x:c>
      <x:c r="L61" s="95" t="n">
        <x:v>1</x:v>
      </x:c>
      <x:c r="M61" s="96" t="n">
        <x:f>IFERROR(G61/F61,0)</x:f>
        <x:v>0.9302325581395349</x:v>
      </x:c>
      <x:c r="N61" s="96" t="n">
        <x:f>IFERROR(H61/G61,0)</x:f>
        <x:v>0.65</x:v>
      </x:c>
      <x:c r="O61" s="96" t="n">
        <x:f>IFERROR(I61/H61,0)</x:f>
        <x:v>0.8461538461538461</x:v>
      </x:c>
      <x:c r="P61" s="96" t="n">
        <x:f>IFERROR(J61/I61,0)</x:f>
        <x:v>0.45454545454545453</x:v>
      </x:c>
      <x:c r="Q61" s="96" t="n">
        <x:f>IFERROR(L61/J61,0)</x:f>
        <x:v>0.1</x:v>
      </x:c>
      <x:c r="R61" s="96" t="n">
        <x:f>IFERROR(L61/F61,0)</x:f>
        <x:v>0.023255813953488372</x:v>
      </x:c>
      <x:c r="S61" s="95" t="n">
        <x:v>155</x:v>
      </x:c>
      <x:c r="T61" s="94" t="str">
        <x:v>末次点击7天</x:v>
      </x:c>
    </x:row>
    <x:row r="62">
      <x:c r="A62" s="92" t="str">
        <x:v>PROC-0061</x:v>
      </x:c>
      <x:c r="B62" s="93" t="n">
        <x:v>46033</x:v>
      </x:c>
      <x:c r="C62" s="94" t="str">
        <x:v>Microsoft Ads</x:v>
      </x:c>
      <x:c r="D62" s="94" t="str">
        <x:v>德国</x:v>
      </x:c>
      <x:c r="E62" s="94" t="str">
        <x:v>购物广告</x:v>
      </x:c>
      <x:c r="F62" s="95" t="n">
        <x:v>42</x:v>
      </x:c>
      <x:c r="G62" s="95" t="n">
        <x:v>37</x:v>
      </x:c>
      <x:c r="H62" s="95" t="n">
        <x:v>27</x:v>
      </x:c>
      <x:c r="I62" s="95" t="n">
        <x:v>24</x:v>
      </x:c>
      <x:c r="J62" s="95" t="n">
        <x:v>12</x:v>
      </x:c>
      <x:c r="K62" s="95" t="n">
        <x:v>3</x:v>
      </x:c>
      <x:c r="L62" s="95" t="n">
        <x:v>1</x:v>
      </x:c>
      <x:c r="M62" s="96" t="n">
        <x:f>IFERROR(G62/F62,0)</x:f>
        <x:v>0.8809523809523809</x:v>
      </x:c>
      <x:c r="N62" s="96" t="n">
        <x:f>IFERROR(H62/G62,0)</x:f>
        <x:v>0.7297297297297297</x:v>
      </x:c>
      <x:c r="O62" s="96" t="n">
        <x:f>IFERROR(I62/H62,0)</x:f>
        <x:v>0.8888888888888888</x:v>
      </x:c>
      <x:c r="P62" s="96" t="n">
        <x:f>IFERROR(J62/I62,0)</x:f>
        <x:v>0.5</x:v>
      </x:c>
      <x:c r="Q62" s="96" t="n">
        <x:f>IFERROR(L62/J62,0)</x:f>
        <x:v>0.08333333333333333</x:v>
      </x:c>
      <x:c r="R62" s="96" t="n">
        <x:f>IFERROR(L62/F62,0)</x:f>
        <x:v>0.023809523809523808</x:v>
      </x:c>
      <x:c r="S62" s="95" t="n">
        <x:v>56</x:v>
      </x:c>
      <x:c r="T62" s="94" t="str">
        <x:v>末次点击7天</x:v>
      </x:c>
    </x:row>
    <x:row r="63">
      <x:c r="A63" s="92" t="str">
        <x:v>PROC-0062</x:v>
      </x:c>
      <x:c r="B63" s="93" t="n">
        <x:v>46034</x:v>
      </x:c>
      <x:c r="C63" s="94" t="str">
        <x:v>Google Ads</x:v>
      </x:c>
      <x:c r="D63" s="94" t="str">
        <x:v>英国</x:v>
      </x:c>
      <x:c r="E63" s="94" t="str">
        <x:v>通用搜索</x:v>
      </x:c>
      <x:c r="F63" s="95" t="n">
        <x:v>29</x:v>
      </x:c>
      <x:c r="G63" s="95" t="n">
        <x:v>27</x:v>
      </x:c>
      <x:c r="H63" s="95" t="n">
        <x:v>19</x:v>
      </x:c>
      <x:c r="I63" s="95" t="n">
        <x:v>15</x:v>
      </x:c>
      <x:c r="J63" s="95" t="n">
        <x:v>6</x:v>
      </x:c>
      <x:c r="K63" s="95" t="n">
        <x:v>2</x:v>
      </x:c>
      <x:c r="L63" s="95" t="n">
        <x:v>1</x:v>
      </x:c>
      <x:c r="M63" s="96" t="n">
        <x:f>IFERROR(G63/F63,0)</x:f>
        <x:v>0.9310344827586207</x:v>
      </x:c>
      <x:c r="N63" s="96" t="n">
        <x:f>IFERROR(H63/G63,0)</x:f>
        <x:v>0.7037037037037037</x:v>
      </x:c>
      <x:c r="O63" s="96" t="n">
        <x:f>IFERROR(I63/H63,0)</x:f>
        <x:v>0.7894736842105263</x:v>
      </x:c>
      <x:c r="P63" s="96" t="n">
        <x:f>IFERROR(J63/I63,0)</x:f>
        <x:v>0.4</x:v>
      </x:c>
      <x:c r="Q63" s="96" t="n">
        <x:f>IFERROR(L63/J63,0)</x:f>
        <x:v>0.16666666666666666</x:v>
      </x:c>
      <x:c r="R63" s="96" t="n">
        <x:f>IFERROR(L63/F63,0)</x:f>
        <x:v>0.034482758620689655</x:v>
      </x:c>
      <x:c r="S63" s="95" t="n">
        <x:v>74</x:v>
      </x:c>
      <x:c r="T63" s="94" t="str">
        <x:v>末次点击7天</x:v>
      </x:c>
    </x:row>
    <x:row r="64">
      <x:c r="A64" s="92" t="str">
        <x:v>PROC-0063</x:v>
      </x:c>
      <x:c r="B64" s="93" t="n">
        <x:v>46034</x:v>
      </x:c>
      <x:c r="C64" s="94" t="str">
        <x:v>Google Ads</x:v>
      </x:c>
      <x:c r="D64" s="94" t="str">
        <x:v>美国</x:v>
      </x:c>
      <x:c r="E64" s="94" t="str">
        <x:v>通用搜索</x:v>
      </x:c>
      <x:c r="F64" s="95" t="n">
        <x:v>31</x:v>
      </x:c>
      <x:c r="G64" s="95" t="n">
        <x:v>27</x:v>
      </x:c>
      <x:c r="H64" s="95" t="n">
        <x:v>17</x:v>
      </x:c>
      <x:c r="I64" s="95" t="n">
        <x:v>14</x:v>
      </x:c>
      <x:c r="J64" s="95" t="n">
        <x:v>5</x:v>
      </x:c>
      <x:c r="K64" s="95" t="n">
        <x:v>1</x:v>
      </x:c>
      <x:c r="L64" s="95" t="n">
        <x:v>0</x:v>
      </x:c>
      <x:c r="M64" s="96" t="n">
        <x:f>IFERROR(G64/F64,0)</x:f>
        <x:v>0.8709677419354839</x:v>
      </x:c>
      <x:c r="N64" s="96" t="n">
        <x:f>IFERROR(H64/G64,0)</x:f>
        <x:v>0.6296296296296297</x:v>
      </x:c>
      <x:c r="O64" s="96" t="n">
        <x:f>IFERROR(I64/H64,0)</x:f>
        <x:v>0.8235294117647058</x:v>
      </x:c>
      <x:c r="P64" s="96" t="n">
        <x:f>IFERROR(J64/I64,0)</x:f>
        <x:v>0.35714285714285715</x:v>
      </x:c>
      <x:c r="Q64" s="96" t="n">
        <x:f>IFERROR(L64/J64,0)</x:f>
        <x:v>0</x:v>
      </x:c>
      <x:c r="R64" s="96" t="n">
        <x:f>IFERROR(L64/F64,0)</x:f>
        <x:v>0</x:v>
      </x:c>
      <x:c r="S64" s="95" t="n">
        <x:v>54</x:v>
      </x:c>
      <x:c r="T64" s="94" t="str">
        <x:v>末次点击7天</x:v>
      </x:c>
    </x:row>
    <x:row r="65">
      <x:c r="A65" s="92" t="str">
        <x:v>PROC-0064</x:v>
      </x:c>
      <x:c r="B65" s="93" t="n">
        <x:v>46034</x:v>
      </x:c>
      <x:c r="C65" s="94" t="str">
        <x:v>Google Ads</x:v>
      </x:c>
      <x:c r="D65" s="94" t="str">
        <x:v>美国</x:v>
      </x:c>
      <x:c r="E65" s="94" t="str">
        <x:v>通用搜索</x:v>
      </x:c>
      <x:c r="F65" s="95" t="n">
        <x:v>30</x:v>
      </x:c>
      <x:c r="G65" s="95" t="n">
        <x:v>28</x:v>
      </x:c>
      <x:c r="H65" s="95" t="n">
        <x:v>19</x:v>
      </x:c>
      <x:c r="I65" s="95" t="n">
        <x:v>16</x:v>
      </x:c>
      <x:c r="J65" s="95" t="n">
        <x:v>7</x:v>
      </x:c>
      <x:c r="K65" s="95" t="n">
        <x:v>2</x:v>
      </x:c>
      <x:c r="L65" s="95" t="n">
        <x:v>1</x:v>
      </x:c>
      <x:c r="M65" s="96" t="n">
        <x:f>IFERROR(G65/F65,0)</x:f>
        <x:v>0.9333333333333333</x:v>
      </x:c>
      <x:c r="N65" s="96" t="n">
        <x:f>IFERROR(H65/G65,0)</x:f>
        <x:v>0.6785714285714286</x:v>
      </x:c>
      <x:c r="O65" s="96" t="n">
        <x:f>IFERROR(I65/H65,0)</x:f>
        <x:v>0.8421052631578947</x:v>
      </x:c>
      <x:c r="P65" s="96" t="n">
        <x:f>IFERROR(J65/I65,0)</x:f>
        <x:v>0.4375</x:v>
      </x:c>
      <x:c r="Q65" s="96" t="n">
        <x:f>IFERROR(L65/J65,0)</x:f>
        <x:v>0.14285714285714285</x:v>
      </x:c>
      <x:c r="R65" s="96" t="n">
        <x:f>IFERROR(L65/F65,0)</x:f>
        <x:v>0.03333333333333333</x:v>
      </x:c>
      <x:c r="S65" s="95" t="n">
        <x:v>113</x:v>
      </x:c>
      <x:c r="T65" s="94" t="str">
        <x:v>末次点击7天</x:v>
      </x:c>
    </x:row>
    <x:row r="66">
      <x:c r="A66" s="92" t="str">
        <x:v>PROC-0065</x:v>
      </x:c>
      <x:c r="B66" s="93" t="n">
        <x:v>46034</x:v>
      </x:c>
      <x:c r="C66" s="94" t="str">
        <x:v>Microsoft Ads</x:v>
      </x:c>
      <x:c r="D66" s="94" t="str">
        <x:v>英国</x:v>
      </x:c>
      <x:c r="E66" s="94" t="str">
        <x:v>通用搜索</x:v>
      </x:c>
      <x:c r="F66" s="95" t="n">
        <x:v>47</x:v>
      </x:c>
      <x:c r="G66" s="95" t="n">
        <x:v>45</x:v>
      </x:c>
      <x:c r="H66" s="95" t="n">
        <x:v>28</x:v>
      </x:c>
      <x:c r="I66" s="95" t="n">
        <x:v>23</x:v>
      </x:c>
      <x:c r="J66" s="95" t="n">
        <x:v>9</x:v>
      </x:c>
      <x:c r="K66" s="95" t="n">
        <x:v>2</x:v>
      </x:c>
      <x:c r="L66" s="95" t="n">
        <x:v>1</x:v>
      </x:c>
      <x:c r="M66" s="96" t="n">
        <x:f>IFERROR(G66/F66,0)</x:f>
        <x:v>0.9574468085106383</x:v>
      </x:c>
      <x:c r="N66" s="96" t="n">
        <x:f>IFERROR(H66/G66,0)</x:f>
        <x:v>0.6222222222222222</x:v>
      </x:c>
      <x:c r="O66" s="96" t="n">
        <x:f>IFERROR(I66/H66,0)</x:f>
        <x:v>0.8214285714285714</x:v>
      </x:c>
      <x:c r="P66" s="96" t="n">
        <x:f>IFERROR(J66/I66,0)</x:f>
        <x:v>0.391304347826087</x:v>
      </x:c>
      <x:c r="Q66" s="96" t="n">
        <x:f>IFERROR(L66/J66,0)</x:f>
        <x:v>0.1111111111111111</x:v>
      </x:c>
      <x:c r="R66" s="96" t="n">
        <x:f>IFERROR(L66/F66,0)</x:f>
        <x:v>0.02127659574468085</x:v>
      </x:c>
      <x:c r="S66" s="95" t="n">
        <x:v>107</x:v>
      </x:c>
      <x:c r="T66" s="94" t="str">
        <x:v>末次点击7天</x:v>
      </x:c>
    </x:row>
    <x:row r="67">
      <x:c r="A67" s="92" t="str">
        <x:v>PROC-0066</x:v>
      </x:c>
      <x:c r="B67" s="93" t="n">
        <x:v>46034</x:v>
      </x:c>
      <x:c r="C67" s="94" t="str">
        <x:v>Google Ads</x:v>
      </x:c>
      <x:c r="D67" s="94" t="str">
        <x:v>日本</x:v>
      </x:c>
      <x:c r="E67" s="94" t="str">
        <x:v>购物广告</x:v>
      </x:c>
      <x:c r="F67" s="95" t="n">
        <x:v>28</x:v>
      </x:c>
      <x:c r="G67" s="95" t="n">
        <x:v>26</x:v>
      </x:c>
      <x:c r="H67" s="95" t="n">
        <x:v>18</x:v>
      </x:c>
      <x:c r="I67" s="95" t="n">
        <x:v>16</x:v>
      </x:c>
      <x:c r="J67" s="95" t="n">
        <x:v>7</x:v>
      </x:c>
      <x:c r="K67" s="95" t="n">
        <x:v>2</x:v>
      </x:c>
      <x:c r="L67" s="95" t="n">
        <x:v>1</x:v>
      </x:c>
      <x:c r="M67" s="96" t="n">
        <x:f>IFERROR(G67/F67,0)</x:f>
        <x:v>0.9285714285714286</x:v>
      </x:c>
      <x:c r="N67" s="96" t="n">
        <x:f>IFERROR(H67/G67,0)</x:f>
        <x:v>0.6923076923076923</x:v>
      </x:c>
      <x:c r="O67" s="96" t="n">
        <x:f>IFERROR(I67/H67,0)</x:f>
        <x:v>0.8888888888888888</x:v>
      </x:c>
      <x:c r="P67" s="96" t="n">
        <x:f>IFERROR(J67/I67,0)</x:f>
        <x:v>0.4375</x:v>
      </x:c>
      <x:c r="Q67" s="96" t="n">
        <x:f>IFERROR(L67/J67,0)</x:f>
        <x:v>0.14285714285714285</x:v>
      </x:c>
      <x:c r="R67" s="96" t="n">
        <x:f>IFERROR(L67/F67,0)</x:f>
        <x:v>0.03571428571428571</x:v>
      </x:c>
      <x:c r="S67" s="95" t="n">
        <x:v>109</x:v>
      </x:c>
      <x:c r="T67" s="94" t="str">
        <x:v>末次点击7天</x:v>
      </x:c>
    </x:row>
    <x:row r="68">
      <x:c r="A68" s="92" t="str">
        <x:v>PROC-0067</x:v>
      </x:c>
      <x:c r="B68" s="93" t="n">
        <x:v>46034</x:v>
      </x:c>
      <x:c r="C68" s="94" t="str">
        <x:v>Google Ads</x:v>
      </x:c>
      <x:c r="D68" s="94" t="str">
        <x:v>美国</x:v>
      </x:c>
      <x:c r="E68" s="94" t="str">
        <x:v>通用搜索</x:v>
      </x:c>
      <x:c r="F68" s="95" t="n">
        <x:v>46</x:v>
      </x:c>
      <x:c r="G68" s="95" t="n">
        <x:v>43</x:v>
      </x:c>
      <x:c r="H68" s="95" t="n">
        <x:v>32</x:v>
      </x:c>
      <x:c r="I68" s="95" t="n">
        <x:v>27</x:v>
      </x:c>
      <x:c r="J68" s="95" t="n">
        <x:v>11</x:v>
      </x:c>
      <x:c r="K68" s="95" t="n">
        <x:v>3</x:v>
      </x:c>
      <x:c r="L68" s="95" t="n">
        <x:v>1</x:v>
      </x:c>
      <x:c r="M68" s="96" t="n">
        <x:f>IFERROR(G68/F68,0)</x:f>
        <x:v>0.9347826086956522</x:v>
      </x:c>
      <x:c r="N68" s="96" t="n">
        <x:f>IFERROR(H68/G68,0)</x:f>
        <x:v>0.7441860465116279</x:v>
      </x:c>
      <x:c r="O68" s="96" t="n">
        <x:f>IFERROR(I68/H68,0)</x:f>
        <x:v>0.84375</x:v>
      </x:c>
      <x:c r="P68" s="96" t="n">
        <x:f>IFERROR(J68/I68,0)</x:f>
        <x:v>0.4074074074074074</x:v>
      </x:c>
      <x:c r="Q68" s="96" t="n">
        <x:f>IFERROR(L68/J68,0)</x:f>
        <x:v>0.09090909090909091</x:v>
      </x:c>
      <x:c r="R68" s="96" t="n">
        <x:f>IFERROR(L68/F68,0)</x:f>
        <x:v>0.021739130434782608</x:v>
      </x:c>
      <x:c r="S68" s="95" t="n">
        <x:v>94</x:v>
      </x:c>
      <x:c r="T68" s="94" t="str">
        <x:v>末次点击7天</x:v>
      </x:c>
    </x:row>
    <x:row r="69">
      <x:c r="A69" s="92" t="str">
        <x:v>PROC-0068</x:v>
      </x:c>
      <x:c r="B69" s="93" t="n">
        <x:v>46035</x:v>
      </x:c>
      <x:c r="C69" s="94" t="str">
        <x:v>Google Ads</x:v>
      </x:c>
      <x:c r="D69" s="94" t="str">
        <x:v>美国</x:v>
      </x:c>
      <x:c r="E69" s="94" t="str">
        <x:v>竞品搜索</x:v>
      </x:c>
      <x:c r="F69" s="95" t="n">
        <x:v>36</x:v>
      </x:c>
      <x:c r="G69" s="95" t="n">
        <x:v>33</x:v>
      </x:c>
      <x:c r="H69" s="95" t="n">
        <x:v>21</x:v>
      </x:c>
      <x:c r="I69" s="95" t="n">
        <x:v>17</x:v>
      </x:c>
      <x:c r="J69" s="95" t="n">
        <x:v>7</x:v>
      </x:c>
      <x:c r="K69" s="95" t="n">
        <x:v>2</x:v>
      </x:c>
      <x:c r="L69" s="95" t="n">
        <x:v>0</x:v>
      </x:c>
      <x:c r="M69" s="96" t="n">
        <x:f>IFERROR(G69/F69,0)</x:f>
        <x:v>0.9166666666666666</x:v>
      </x:c>
      <x:c r="N69" s="96" t="n">
        <x:f>IFERROR(H69/G69,0)</x:f>
        <x:v>0.6363636363636364</x:v>
      </x:c>
      <x:c r="O69" s="96" t="n">
        <x:f>IFERROR(I69/H69,0)</x:f>
        <x:v>0.8095238095238095</x:v>
      </x:c>
      <x:c r="P69" s="96" t="n">
        <x:f>IFERROR(J69/I69,0)</x:f>
        <x:v>0.4117647058823529</x:v>
      </x:c>
      <x:c r="Q69" s="96" t="n">
        <x:f>IFERROR(L69/J69,0)</x:f>
        <x:v>0</x:v>
      </x:c>
      <x:c r="R69" s="96" t="n">
        <x:f>IFERROR(L69/F69,0)</x:f>
        <x:v>0</x:v>
      </x:c>
      <x:c r="S69" s="95" t="n">
        <x:v>109</x:v>
      </x:c>
      <x:c r="T69" s="94" t="str">
        <x:v>末次点击7天</x:v>
      </x:c>
    </x:row>
    <x:row r="70">
      <x:c r="A70" s="92" t="str">
        <x:v>PROC-0069</x:v>
      </x:c>
      <x:c r="B70" s="93" t="n">
        <x:v>46035</x:v>
      </x:c>
      <x:c r="C70" s="94" t="str">
        <x:v>Google Ads</x:v>
      </x:c>
      <x:c r="D70" s="94" t="str">
        <x:v>美国</x:v>
      </x:c>
      <x:c r="E70" s="94" t="str">
        <x:v>购物广告</x:v>
      </x:c>
      <x:c r="F70" s="95" t="n">
        <x:v>63</x:v>
      </x:c>
      <x:c r="G70" s="95" t="n">
        <x:v>59</x:v>
      </x:c>
      <x:c r="H70" s="95" t="n">
        <x:v>40</x:v>
      </x:c>
      <x:c r="I70" s="95" t="n">
        <x:v>34</x:v>
      </x:c>
      <x:c r="J70" s="95" t="n">
        <x:v>17</x:v>
      </x:c>
      <x:c r="K70" s="95" t="n">
        <x:v>6</x:v>
      </x:c>
      <x:c r="L70" s="95" t="n">
        <x:v>2</x:v>
      </x:c>
      <x:c r="M70" s="96" t="n">
        <x:f>IFERROR(G70/F70,0)</x:f>
        <x:v>0.9365079365079365</x:v>
      </x:c>
      <x:c r="N70" s="96" t="n">
        <x:f>IFERROR(H70/G70,0)</x:f>
        <x:v>0.6779661016949152</x:v>
      </x:c>
      <x:c r="O70" s="96" t="n">
        <x:f>IFERROR(I70/H70,0)</x:f>
        <x:v>0.85</x:v>
      </x:c>
      <x:c r="P70" s="96" t="n">
        <x:f>IFERROR(J70/I70,0)</x:f>
        <x:v>0.5</x:v>
      </x:c>
      <x:c r="Q70" s="96" t="n">
        <x:f>IFERROR(L70/J70,0)</x:f>
        <x:v>0.11764705882352941</x:v>
      </x:c>
      <x:c r="R70" s="96" t="n">
        <x:f>IFERROR(L70/F70,0)</x:f>
        <x:v>0.031746031746031744</x:v>
      </x:c>
      <x:c r="S70" s="95" t="n">
        <x:v>121</x:v>
      </x:c>
      <x:c r="T70" s="94" t="str">
        <x:v>末次点击7天</x:v>
      </x:c>
    </x:row>
    <x:row r="71">
      <x:c r="A71" s="92" t="str">
        <x:v>PROC-0070</x:v>
      </x:c>
      <x:c r="B71" s="93" t="n">
        <x:v>46035</x:v>
      </x:c>
      <x:c r="C71" s="94" t="str">
        <x:v>Google Ads</x:v>
      </x:c>
      <x:c r="D71" s="94" t="str">
        <x:v>美国</x:v>
      </x:c>
      <x:c r="E71" s="94" t="str">
        <x:v>通用搜索</x:v>
      </x:c>
      <x:c r="F71" s="95" t="n">
        <x:v>56</x:v>
      </x:c>
      <x:c r="G71" s="95" t="n">
        <x:v>52</x:v>
      </x:c>
      <x:c r="H71" s="95" t="n">
        <x:v>38</x:v>
      </x:c>
      <x:c r="I71" s="95" t="n">
        <x:v>31</x:v>
      </x:c>
      <x:c r="J71" s="95" t="n">
        <x:v>13</x:v>
      </x:c>
      <x:c r="K71" s="95" t="n">
        <x:v>4</x:v>
      </x:c>
      <x:c r="L71" s="95" t="n">
        <x:v>1</x:v>
      </x:c>
      <x:c r="M71" s="96" t="n">
        <x:f>IFERROR(G71/F71,0)</x:f>
        <x:v>0.9285714285714286</x:v>
      </x:c>
      <x:c r="N71" s="96" t="n">
        <x:f>IFERROR(H71/G71,0)</x:f>
        <x:v>0.7307692307692307</x:v>
      </x:c>
      <x:c r="O71" s="96" t="n">
        <x:f>IFERROR(I71/H71,0)</x:f>
        <x:v>0.8157894736842105</x:v>
      </x:c>
      <x:c r="P71" s="96" t="n">
        <x:f>IFERROR(J71/I71,0)</x:f>
        <x:v>0.41935483870967744</x:v>
      </x:c>
      <x:c r="Q71" s="96" t="n">
        <x:f>IFERROR(L71/J71,0)</x:f>
        <x:v>0.07692307692307693</x:v>
      </x:c>
      <x:c r="R71" s="96" t="n">
        <x:f>IFERROR(L71/F71,0)</x:f>
        <x:v>0.017857142857142856</x:v>
      </x:c>
      <x:c r="S71" s="95" t="n">
        <x:v>76</x:v>
      </x:c>
      <x:c r="T71" s="94" t="str">
        <x:v>末次点击7天</x:v>
      </x:c>
    </x:row>
    <x:row r="72">
      <x:c r="A72" s="92" t="str">
        <x:v>PROC-0071</x:v>
      </x:c>
      <x:c r="B72" s="93" t="n">
        <x:v>46035</x:v>
      </x:c>
      <x:c r="C72" s="94" t="str">
        <x:v>Microsoft Ads</x:v>
      </x:c>
      <x:c r="D72" s="94" t="str">
        <x:v>美国</x:v>
      </x:c>
      <x:c r="E72" s="94" t="str">
        <x:v>竞品搜索</x:v>
      </x:c>
      <x:c r="F72" s="95" t="n">
        <x:v>44</x:v>
      </x:c>
      <x:c r="G72" s="95" t="n">
        <x:v>41</x:v>
      </x:c>
      <x:c r="H72" s="95" t="n">
        <x:v>27</x:v>
      </x:c>
      <x:c r="I72" s="95" t="n">
        <x:v>22</x:v>
      </x:c>
      <x:c r="J72" s="95" t="n">
        <x:v>10</x:v>
      </x:c>
      <x:c r="K72" s="95" t="n">
        <x:v>3</x:v>
      </x:c>
      <x:c r="L72" s="95" t="n">
        <x:v>1</x:v>
      </x:c>
      <x:c r="M72" s="96" t="n">
        <x:f>IFERROR(G72/F72,0)</x:f>
        <x:v>0.9318181818181818</x:v>
      </x:c>
      <x:c r="N72" s="96" t="n">
        <x:f>IFERROR(H72/G72,0)</x:f>
        <x:v>0.6585365853658537</x:v>
      </x:c>
      <x:c r="O72" s="96" t="n">
        <x:f>IFERROR(I72/H72,0)</x:f>
        <x:v>0.8148148148148148</x:v>
      </x:c>
      <x:c r="P72" s="96" t="n">
        <x:f>IFERROR(J72/I72,0)</x:f>
        <x:v>0.45454545454545453</x:v>
      </x:c>
      <x:c r="Q72" s="96" t="n">
        <x:f>IFERROR(L72/J72,0)</x:f>
        <x:v>0.1</x:v>
      </x:c>
      <x:c r="R72" s="96" t="n">
        <x:f>IFERROR(L72/F72,0)</x:f>
        <x:v>0.022727272727272728</x:v>
      </x:c>
      <x:c r="S72" s="95" t="n">
        <x:v>120</x:v>
      </x:c>
      <x:c r="T72" s="94" t="str">
        <x:v>末次点击7天</x:v>
      </x:c>
    </x:row>
    <x:row r="73">
      <x:c r="A73" s="92" t="str">
        <x:v>PROC-0072</x:v>
      </x:c>
      <x:c r="B73" s="93" t="n">
        <x:v>46035</x:v>
      </x:c>
      <x:c r="C73" s="94" t="str">
        <x:v>Google Ads</x:v>
      </x:c>
      <x:c r="D73" s="94" t="str">
        <x:v>美国</x:v>
      </x:c>
      <x:c r="E73" s="94" t="str">
        <x:v>通用搜索</x:v>
      </x:c>
      <x:c r="F73" s="95" t="n">
        <x:v>45</x:v>
      </x:c>
      <x:c r="G73" s="95" t="n">
        <x:v>42</x:v>
      </x:c>
      <x:c r="H73" s="95" t="n">
        <x:v>31</x:v>
      </x:c>
      <x:c r="I73" s="95" t="n">
        <x:v>27</x:v>
      </x:c>
      <x:c r="J73" s="95" t="n">
        <x:v>11</x:v>
      </x:c>
      <x:c r="K73" s="95" t="n">
        <x:v>4</x:v>
      </x:c>
      <x:c r="L73" s="95" t="n">
        <x:v>1</x:v>
      </x:c>
      <x:c r="M73" s="96" t="n">
        <x:f>IFERROR(G73/F73,0)</x:f>
        <x:v>0.9333333333333333</x:v>
      </x:c>
      <x:c r="N73" s="96" t="n">
        <x:f>IFERROR(H73/G73,0)</x:f>
        <x:v>0.7380952380952381</x:v>
      </x:c>
      <x:c r="O73" s="96" t="n">
        <x:f>IFERROR(I73/H73,0)</x:f>
        <x:v>0.8709677419354839</x:v>
      </x:c>
      <x:c r="P73" s="96" t="n">
        <x:f>IFERROR(J73/I73,0)</x:f>
        <x:v>0.4074074074074074</x:v>
      </x:c>
      <x:c r="Q73" s="96" t="n">
        <x:f>IFERROR(L73/J73,0)</x:f>
        <x:v>0.09090909090909091</x:v>
      </x:c>
      <x:c r="R73" s="96" t="n">
        <x:f>IFERROR(L73/F73,0)</x:f>
        <x:v>0.022222222222222223</x:v>
      </x:c>
      <x:c r="S73" s="95" t="n">
        <x:v>149</x:v>
      </x:c>
      <x:c r="T73" s="94" t="str">
        <x:v>末次点击7天</x:v>
      </x:c>
    </x:row>
    <x:row r="74">
      <x:c r="A74" s="92" t="str">
        <x:v>PROC-0073</x:v>
      </x:c>
      <x:c r="B74" s="93" t="n">
        <x:v>46036</x:v>
      </x:c>
      <x:c r="C74" s="94" t="str">
        <x:v>Google Ads</x:v>
      </x:c>
      <x:c r="D74" s="94" t="str">
        <x:v>美国</x:v>
      </x:c>
      <x:c r="E74" s="94" t="str">
        <x:v>购物广告</x:v>
      </x:c>
      <x:c r="F74" s="95" t="n">
        <x:v>45</x:v>
      </x:c>
      <x:c r="G74" s="95" t="n">
        <x:v>42</x:v>
      </x:c>
      <x:c r="H74" s="95" t="n">
        <x:v>30</x:v>
      </x:c>
      <x:c r="I74" s="95" t="n">
        <x:v>27</x:v>
      </x:c>
      <x:c r="J74" s="95" t="n">
        <x:v>11</x:v>
      </x:c>
      <x:c r="K74" s="95" t="n">
        <x:v>4</x:v>
      </x:c>
      <x:c r="L74" s="95" t="n">
        <x:v>1</x:v>
      </x:c>
      <x:c r="M74" s="96" t="n">
        <x:f>IFERROR(G74/F74,0)</x:f>
        <x:v>0.9333333333333333</x:v>
      </x:c>
      <x:c r="N74" s="96" t="n">
        <x:f>IFERROR(H74/G74,0)</x:f>
        <x:v>0.7142857142857143</x:v>
      </x:c>
      <x:c r="O74" s="96" t="n">
        <x:f>IFERROR(I74/H74,0)</x:f>
        <x:v>0.9</x:v>
      </x:c>
      <x:c r="P74" s="96" t="n">
        <x:f>IFERROR(J74/I74,0)</x:f>
        <x:v>0.4074074074074074</x:v>
      </x:c>
      <x:c r="Q74" s="96" t="n">
        <x:f>IFERROR(L74/J74,0)</x:f>
        <x:v>0.09090909090909091</x:v>
      </x:c>
      <x:c r="R74" s="96" t="n">
        <x:f>IFERROR(L74/F74,0)</x:f>
        <x:v>0.022222222222222223</x:v>
      </x:c>
      <x:c r="S74" s="95" t="n">
        <x:v>126</x:v>
      </x:c>
      <x:c r="T74" s="94" t="str">
        <x:v>末次点击7天</x:v>
      </x:c>
    </x:row>
    <x:row r="75">
      <x:c r="A75" s="92" t="str">
        <x:v>PROC-0074</x:v>
      </x:c>
      <x:c r="B75" s="93" t="n">
        <x:v>46036</x:v>
      </x:c>
      <x:c r="C75" s="94" t="str">
        <x:v>Microsoft Ads</x:v>
      </x:c>
      <x:c r="D75" s="94" t="str">
        <x:v>英国</x:v>
      </x:c>
      <x:c r="E75" s="94" t="str">
        <x:v>购物广告</x:v>
      </x:c>
      <x:c r="F75" s="95" t="n">
        <x:v>64</x:v>
      </x:c>
      <x:c r="G75" s="95" t="n">
        <x:v>61</x:v>
      </x:c>
      <x:c r="H75" s="95" t="n">
        <x:v>41</x:v>
      </x:c>
      <x:c r="I75" s="95" t="n">
        <x:v>38</x:v>
      </x:c>
      <x:c r="J75" s="95" t="n">
        <x:v>18</x:v>
      </x:c>
      <x:c r="K75" s="95" t="n">
        <x:v>5</x:v>
      </x:c>
      <x:c r="L75" s="95" t="n">
        <x:v>2</x:v>
      </x:c>
      <x:c r="M75" s="96" t="n">
        <x:f>IFERROR(G75/F75,0)</x:f>
        <x:v>0.953125</x:v>
      </x:c>
      <x:c r="N75" s="96" t="n">
        <x:f>IFERROR(H75/G75,0)</x:f>
        <x:v>0.6721311475409836</x:v>
      </x:c>
      <x:c r="O75" s="96" t="n">
        <x:f>IFERROR(I75/H75,0)</x:f>
        <x:v>0.926829268292683</x:v>
      </x:c>
      <x:c r="P75" s="96" t="n">
        <x:f>IFERROR(J75/I75,0)</x:f>
        <x:v>0.47368421052631576</x:v>
      </x:c>
      <x:c r="Q75" s="96" t="n">
        <x:f>IFERROR(L75/J75,0)</x:f>
        <x:v>0.1111111111111111</x:v>
      </x:c>
      <x:c r="R75" s="96" t="n">
        <x:f>IFERROR(L75/F75,0)</x:f>
        <x:v>0.03125</x:v>
      </x:c>
      <x:c r="S75" s="95" t="n">
        <x:v>147</x:v>
      </x:c>
      <x:c r="T75" s="94" t="str">
        <x:v>末次点击7天</x:v>
      </x:c>
    </x:row>
    <x:row r="76">
      <x:c r="A76" s="92" t="str">
        <x:v>PROC-0075</x:v>
      </x:c>
      <x:c r="B76" s="93" t="n">
        <x:v>46036</x:v>
      </x:c>
      <x:c r="C76" s="94" t="str">
        <x:v>Google Ads</x:v>
      </x:c>
      <x:c r="D76" s="94" t="str">
        <x:v>日本</x:v>
      </x:c>
      <x:c r="E76" s="94" t="str">
        <x:v>通用搜索</x:v>
      </x:c>
      <x:c r="F76" s="95" t="n">
        <x:v>34</x:v>
      </x:c>
      <x:c r="G76" s="95" t="n">
        <x:v>30</x:v>
      </x:c>
      <x:c r="H76" s="95" t="n">
        <x:v>22</x:v>
      </x:c>
      <x:c r="I76" s="95" t="n">
        <x:v>19</x:v>
      </x:c>
      <x:c r="J76" s="95" t="n">
        <x:v>7</x:v>
      </x:c>
      <x:c r="K76" s="95" t="n">
        <x:v>1</x:v>
      </x:c>
      <x:c r="L76" s="95" t="n">
        <x:v>1</x:v>
      </x:c>
      <x:c r="M76" s="96" t="n">
        <x:f>IFERROR(G76/F76,0)</x:f>
        <x:v>0.8823529411764706</x:v>
      </x:c>
      <x:c r="N76" s="96" t="n">
        <x:f>IFERROR(H76/G76,0)</x:f>
        <x:v>0.7333333333333333</x:v>
      </x:c>
      <x:c r="O76" s="96" t="n">
        <x:f>IFERROR(I76/H76,0)</x:f>
        <x:v>0.8636363636363636</x:v>
      </x:c>
      <x:c r="P76" s="96" t="n">
        <x:f>IFERROR(J76/I76,0)</x:f>
        <x:v>0.3684210526315789</x:v>
      </x:c>
      <x:c r="Q76" s="96" t="n">
        <x:f>IFERROR(L76/J76,0)</x:f>
        <x:v>0.14285714285714285</x:v>
      </x:c>
      <x:c r="R76" s="96" t="n">
        <x:f>IFERROR(L76/F76,0)</x:f>
        <x:v>0.029411764705882353</x:v>
      </x:c>
      <x:c r="S76" s="95" t="n">
        <x:v>62</x:v>
      </x:c>
      <x:c r="T76" s="94" t="str">
        <x:v>末次点击7天</x:v>
      </x:c>
    </x:row>
    <x:row r="77">
      <x:c r="A77" s="92" t="str">
        <x:v>PROC-0076</x:v>
      </x:c>
      <x:c r="B77" s="93" t="n">
        <x:v>46036</x:v>
      </x:c>
      <x:c r="C77" s="94" t="str">
        <x:v>Google Ads</x:v>
      </x:c>
      <x:c r="D77" s="94" t="str">
        <x:v>英国</x:v>
      </x:c>
      <x:c r="E77" s="94" t="str">
        <x:v>通用搜索</x:v>
      </x:c>
      <x:c r="F77" s="95" t="n">
        <x:v>34</x:v>
      </x:c>
      <x:c r="G77" s="95" t="n">
        <x:v>30</x:v>
      </x:c>
      <x:c r="H77" s="95" t="n">
        <x:v>20</x:v>
      </x:c>
      <x:c r="I77" s="95" t="n">
        <x:v>17</x:v>
      </x:c>
      <x:c r="J77" s="95" t="n">
        <x:v>6</x:v>
      </x:c>
      <x:c r="K77" s="95" t="n">
        <x:v>1</x:v>
      </x:c>
      <x:c r="L77" s="95" t="n">
        <x:v>0</x:v>
      </x:c>
      <x:c r="M77" s="96" t="n">
        <x:f>IFERROR(G77/F77,0)</x:f>
        <x:v>0.8823529411764706</x:v>
      </x:c>
      <x:c r="N77" s="96" t="n">
        <x:f>IFERROR(H77/G77,0)</x:f>
        <x:v>0.6666666666666666</x:v>
      </x:c>
      <x:c r="O77" s="96" t="n">
        <x:f>IFERROR(I77/H77,0)</x:f>
        <x:v>0.85</x:v>
      </x:c>
      <x:c r="P77" s="96" t="n">
        <x:f>IFERROR(J77/I77,0)</x:f>
        <x:v>0.35294117647058826</x:v>
      </x:c>
      <x:c r="Q77" s="96" t="n">
        <x:f>IFERROR(L77/J77,0)</x:f>
        <x:v>0</x:v>
      </x:c>
      <x:c r="R77" s="96" t="n">
        <x:f>IFERROR(L77/F77,0)</x:f>
        <x:v>0</x:v>
      </x:c>
      <x:c r="S77" s="95" t="n">
        <x:v>79</x:v>
      </x:c>
      <x:c r="T77" s="94" t="str">
        <x:v>末次点击7天</x:v>
      </x:c>
    </x:row>
    <x:row r="78">
      <x:c r="A78" s="92" t="str">
        <x:v>PROC-0077</x:v>
      </x:c>
      <x:c r="B78" s="93" t="n">
        <x:v>46036</x:v>
      </x:c>
      <x:c r="C78" s="94" t="str">
        <x:v>Microsoft Ads</x:v>
      </x:c>
      <x:c r="D78" s="94" t="str">
        <x:v>美国</x:v>
      </x:c>
      <x:c r="E78" s="94" t="str">
        <x:v>竞品搜索</x:v>
      </x:c>
      <x:c r="F78" s="95" t="n">
        <x:v>33</x:v>
      </x:c>
      <x:c r="G78" s="95" t="n">
        <x:v>31</x:v>
      </x:c>
      <x:c r="H78" s="95" t="n">
        <x:v>22</x:v>
      </x:c>
      <x:c r="I78" s="95" t="n">
        <x:v>19</x:v>
      </x:c>
      <x:c r="J78" s="95" t="n">
        <x:v>8</x:v>
      </x:c>
      <x:c r="K78" s="95" t="n">
        <x:v>2</x:v>
      </x:c>
      <x:c r="L78" s="95" t="n">
        <x:v>1</x:v>
      </x:c>
      <x:c r="M78" s="96" t="n">
        <x:f>IFERROR(G78/F78,0)</x:f>
        <x:v>0.9393939393939394</x:v>
      </x:c>
      <x:c r="N78" s="96" t="n">
        <x:f>IFERROR(H78/G78,0)</x:f>
        <x:v>0.7096774193548387</x:v>
      </x:c>
      <x:c r="O78" s="96" t="n">
        <x:f>IFERROR(I78/H78,0)</x:f>
        <x:v>0.8636363636363636</x:v>
      </x:c>
      <x:c r="P78" s="96" t="n">
        <x:f>IFERROR(J78/I78,0)</x:f>
        <x:v>0.42105263157894735</x:v>
      </x:c>
      <x:c r="Q78" s="96" t="n">
        <x:f>IFERROR(L78/J78,0)</x:f>
        <x:v>0.125</x:v>
      </x:c>
      <x:c r="R78" s="96" t="n">
        <x:f>IFERROR(L78/F78,0)</x:f>
        <x:v>0.030303030303030304</x:v>
      </x:c>
      <x:c r="S78" s="95" t="n">
        <x:v>73</x:v>
      </x:c>
      <x:c r="T78" s="94" t="str">
        <x:v>末次点击7天</x:v>
      </x:c>
    </x:row>
    <x:row r="79">
      <x:c r="A79" s="92" t="str">
        <x:v>PROC-0078</x:v>
      </x:c>
      <x:c r="B79" s="93" t="n">
        <x:v>46036</x:v>
      </x:c>
      <x:c r="C79" s="94" t="str">
        <x:v>Microsoft Ads</x:v>
      </x:c>
      <x:c r="D79" s="94" t="str">
        <x:v>英国</x:v>
      </x:c>
      <x:c r="E79" s="94" t="str">
        <x:v>购物广告</x:v>
      </x:c>
      <x:c r="F79" s="95" t="n">
        <x:v>41</x:v>
      </x:c>
      <x:c r="G79" s="95" t="n">
        <x:v>39</x:v>
      </x:c>
      <x:c r="H79" s="95" t="n">
        <x:v>28</x:v>
      </x:c>
      <x:c r="I79" s="95" t="n">
        <x:v>24</x:v>
      </x:c>
      <x:c r="J79" s="95" t="n">
        <x:v>10</x:v>
      </x:c>
      <x:c r="K79" s="95" t="n">
        <x:v>3</x:v>
      </x:c>
      <x:c r="L79" s="95" t="n">
        <x:v>1</x:v>
      </x:c>
      <x:c r="M79" s="96" t="n">
        <x:f>IFERROR(G79/F79,0)</x:f>
        <x:v>0.9512195121951219</x:v>
      </x:c>
      <x:c r="N79" s="96" t="n">
        <x:f>IFERROR(H79/G79,0)</x:f>
        <x:v>0.717948717948718</x:v>
      </x:c>
      <x:c r="O79" s="96" t="n">
        <x:f>IFERROR(I79/H79,0)</x:f>
        <x:v>0.8571428571428571</x:v>
      </x:c>
      <x:c r="P79" s="96" t="n">
        <x:f>IFERROR(J79/I79,0)</x:f>
        <x:v>0.4166666666666667</x:v>
      </x:c>
      <x:c r="Q79" s="96" t="n">
        <x:f>IFERROR(L79/J79,0)</x:f>
        <x:v>0.1</x:v>
      </x:c>
      <x:c r="R79" s="96" t="n">
        <x:f>IFERROR(L79/F79,0)</x:f>
        <x:v>0.024390243902439025</x:v>
      </x:c>
      <x:c r="S79" s="95" t="n">
        <x:v>93</x:v>
      </x:c>
      <x:c r="T79" s="94" t="str">
        <x:v>末次点击7天</x:v>
      </x:c>
    </x:row>
    <x:row r="80">
      <x:c r="A80" s="92" t="str">
        <x:v>PROC-0079</x:v>
      </x:c>
      <x:c r="B80" s="93" t="n">
        <x:v>46037</x:v>
      </x:c>
      <x:c r="C80" s="94" t="str">
        <x:v>Google Ads</x:v>
      </x:c>
      <x:c r="D80" s="94" t="str">
        <x:v>美国</x:v>
      </x:c>
      <x:c r="E80" s="94" t="str">
        <x:v>竞品搜索</x:v>
      </x:c>
      <x:c r="F80" s="95" t="n">
        <x:v>25</x:v>
      </x:c>
      <x:c r="G80" s="95" t="n">
        <x:v>23</x:v>
      </x:c>
      <x:c r="H80" s="95" t="n">
        <x:v>18</x:v>
      </x:c>
      <x:c r="I80" s="95" t="n">
        <x:v>16</x:v>
      </x:c>
      <x:c r="J80" s="95" t="n">
        <x:v>7</x:v>
      </x:c>
      <x:c r="K80" s="95" t="n">
        <x:v>2</x:v>
      </x:c>
      <x:c r="L80" s="95" t="n">
        <x:v>0</x:v>
      </x:c>
      <x:c r="M80" s="96" t="n">
        <x:f>IFERROR(G80/F80,0)</x:f>
        <x:v>0.92</x:v>
      </x:c>
      <x:c r="N80" s="96" t="n">
        <x:f>IFERROR(H80/G80,0)</x:f>
        <x:v>0.782608695652174</x:v>
      </x:c>
      <x:c r="O80" s="96" t="n">
        <x:f>IFERROR(I80/H80,0)</x:f>
        <x:v>0.8888888888888888</x:v>
      </x:c>
      <x:c r="P80" s="96" t="n">
        <x:f>IFERROR(J80/I80,0)</x:f>
        <x:v>0.4375</x:v>
      </x:c>
      <x:c r="Q80" s="96" t="n">
        <x:f>IFERROR(L80/J80,0)</x:f>
        <x:v>0</x:v>
      </x:c>
      <x:c r="R80" s="96" t="n">
        <x:f>IFERROR(L80/F80,0)</x:f>
        <x:v>0</x:v>
      </x:c>
      <x:c r="S80" s="95" t="n">
        <x:v>82</x:v>
      </x:c>
      <x:c r="T80" s="94" t="str">
        <x:v>末次点击7天</x:v>
      </x:c>
    </x:row>
    <x:row r="81">
      <x:c r="A81" s="92" t="str">
        <x:v>PROC-0080</x:v>
      </x:c>
      <x:c r="B81" s="93" t="n">
        <x:v>46037</x:v>
      </x:c>
      <x:c r="C81" s="94" t="str">
        <x:v>Google Ads</x:v>
      </x:c>
      <x:c r="D81" s="94" t="str">
        <x:v>英国</x:v>
      </x:c>
      <x:c r="E81" s="94" t="str">
        <x:v>购物广告</x:v>
      </x:c>
      <x:c r="F81" s="95" t="n">
        <x:v>50</x:v>
      </x:c>
      <x:c r="G81" s="95" t="n">
        <x:v>48</x:v>
      </x:c>
      <x:c r="H81" s="95" t="n">
        <x:v>37</x:v>
      </x:c>
      <x:c r="I81" s="95" t="n">
        <x:v>33</x:v>
      </x:c>
      <x:c r="J81" s="95" t="n">
        <x:v>14</x:v>
      </x:c>
      <x:c r="K81" s="95" t="n">
        <x:v>3</x:v>
      </x:c>
      <x:c r="L81" s="95" t="n">
        <x:v>1</x:v>
      </x:c>
      <x:c r="M81" s="96" t="n">
        <x:f>IFERROR(G81/F81,0)</x:f>
        <x:v>0.96</x:v>
      </x:c>
      <x:c r="N81" s="96" t="n">
        <x:f>IFERROR(H81/G81,0)</x:f>
        <x:v>0.7708333333333334</x:v>
      </x:c>
      <x:c r="O81" s="96" t="n">
        <x:f>IFERROR(I81/H81,0)</x:f>
        <x:v>0.8918918918918919</x:v>
      </x:c>
      <x:c r="P81" s="96" t="n">
        <x:f>IFERROR(J81/I81,0)</x:f>
        <x:v>0.42424242424242425</x:v>
      </x:c>
      <x:c r="Q81" s="96" t="n">
        <x:f>IFERROR(L81/J81,0)</x:f>
        <x:v>0.07142857142857142</x:v>
      </x:c>
      <x:c r="R81" s="96" t="n">
        <x:f>IFERROR(L81/F81,0)</x:f>
        <x:v>0.02</x:v>
      </x:c>
      <x:c r="S81" s="95" t="n">
        <x:v>151</x:v>
      </x:c>
      <x:c r="T81" s="94" t="str">
        <x:v>末次点击7天</x:v>
      </x:c>
    </x:row>
    <x:row r="82">
      <x:c r="A82" s="92" t="str">
        <x:v>PROC-0081</x:v>
      </x:c>
      <x:c r="B82" s="93" t="n">
        <x:v>46037</x:v>
      </x:c>
      <x:c r="C82" s="94" t="str">
        <x:v>Microsoft Ads</x:v>
      </x:c>
      <x:c r="D82" s="94" t="str">
        <x:v>美国</x:v>
      </x:c>
      <x:c r="E82" s="94" t="str">
        <x:v>通用搜索</x:v>
      </x:c>
      <x:c r="F82" s="95" t="n">
        <x:v>43</x:v>
      </x:c>
      <x:c r="G82" s="95" t="n">
        <x:v>39</x:v>
      </x:c>
      <x:c r="H82" s="95" t="n">
        <x:v>28</x:v>
      </x:c>
      <x:c r="I82" s="95" t="n">
        <x:v>23</x:v>
      </x:c>
      <x:c r="J82" s="95" t="n">
        <x:v>9</x:v>
      </x:c>
      <x:c r="K82" s="95" t="n">
        <x:v>3</x:v>
      </x:c>
      <x:c r="L82" s="95" t="n">
        <x:v>1</x:v>
      </x:c>
      <x:c r="M82" s="96" t="n">
        <x:f>IFERROR(G82/F82,0)</x:f>
        <x:v>0.9069767441860465</x:v>
      </x:c>
      <x:c r="N82" s="96" t="n">
        <x:f>IFERROR(H82/G82,0)</x:f>
        <x:v>0.717948717948718</x:v>
      </x:c>
      <x:c r="O82" s="96" t="n">
        <x:f>IFERROR(I82/H82,0)</x:f>
        <x:v>0.8214285714285714</x:v>
      </x:c>
      <x:c r="P82" s="96" t="n">
        <x:f>IFERROR(J82/I82,0)</x:f>
        <x:v>0.391304347826087</x:v>
      </x:c>
      <x:c r="Q82" s="96" t="n">
        <x:f>IFERROR(L82/J82,0)</x:f>
        <x:v>0.1111111111111111</x:v>
      </x:c>
      <x:c r="R82" s="96" t="n">
        <x:f>IFERROR(L82/F82,0)</x:f>
        <x:v>0.023255813953488372</x:v>
      </x:c>
      <x:c r="S82" s="95" t="n">
        <x:v>47</x:v>
      </x:c>
      <x:c r="T82" s="94" t="str">
        <x:v>末次点击7天</x:v>
      </x:c>
    </x:row>
    <x:row r="83">
      <x:c r="A83" s="92" t="str">
        <x:v>PROC-0082</x:v>
      </x:c>
      <x:c r="B83" s="93" t="n">
        <x:v>46037</x:v>
      </x:c>
      <x:c r="C83" s="94" t="str">
        <x:v>Google Ads</x:v>
      </x:c>
      <x:c r="D83" s="94" t="str">
        <x:v>日本</x:v>
      </x:c>
      <x:c r="E83" s="94" t="str">
        <x:v>通用搜索</x:v>
      </x:c>
      <x:c r="F83" s="95" t="n">
        <x:v>39</x:v>
      </x:c>
      <x:c r="G83" s="95" t="n">
        <x:v>34</x:v>
      </x:c>
      <x:c r="H83" s="95" t="n">
        <x:v>24</x:v>
      </x:c>
      <x:c r="I83" s="95" t="n">
        <x:v>20</x:v>
      </x:c>
      <x:c r="J83" s="95" t="n">
        <x:v>9</x:v>
      </x:c>
      <x:c r="K83" s="95" t="n">
        <x:v>3</x:v>
      </x:c>
      <x:c r="L83" s="95" t="n">
        <x:v>1</x:v>
      </x:c>
      <x:c r="M83" s="96" t="n">
        <x:f>IFERROR(G83/F83,0)</x:f>
        <x:v>0.8717948717948718</x:v>
      </x:c>
      <x:c r="N83" s="96" t="n">
        <x:f>IFERROR(H83/G83,0)</x:f>
        <x:v>0.7058823529411765</x:v>
      </x:c>
      <x:c r="O83" s="96" t="n">
        <x:f>IFERROR(I83/H83,0)</x:f>
        <x:v>0.8333333333333334</x:v>
      </x:c>
      <x:c r="P83" s="96" t="n">
        <x:f>IFERROR(J83/I83,0)</x:f>
        <x:v>0.45</x:v>
      </x:c>
      <x:c r="Q83" s="96" t="n">
        <x:f>IFERROR(L83/J83,0)</x:f>
        <x:v>0.1111111111111111</x:v>
      </x:c>
      <x:c r="R83" s="96" t="n">
        <x:f>IFERROR(L83/F83,0)</x:f>
        <x:v>0.02564102564102564</x:v>
      </x:c>
      <x:c r="S83" s="95" t="n">
        <x:v>64</x:v>
      </x:c>
      <x:c r="T83" s="94" t="str">
        <x:v>末次点击7天</x:v>
      </x:c>
    </x:row>
    <x:row r="84">
      <x:c r="A84" s="92" t="str">
        <x:v>PROC-0083</x:v>
      </x:c>
      <x:c r="B84" s="93" t="n">
        <x:v>46037</x:v>
      </x:c>
      <x:c r="C84" s="94" t="str">
        <x:v>Google Ads</x:v>
      </x:c>
      <x:c r="D84" s="94" t="str">
        <x:v>日本</x:v>
      </x:c>
      <x:c r="E84" s="94" t="str">
        <x:v>购物广告</x:v>
      </x:c>
      <x:c r="F84" s="95" t="n">
        <x:v>60</x:v>
      </x:c>
      <x:c r="G84" s="95" t="n">
        <x:v>54</x:v>
      </x:c>
      <x:c r="H84" s="95" t="n">
        <x:v>34</x:v>
      </x:c>
      <x:c r="I84" s="95" t="n">
        <x:v>29</x:v>
      </x:c>
      <x:c r="J84" s="95" t="n">
        <x:v>13</x:v>
      </x:c>
      <x:c r="K84" s="95" t="n">
        <x:v>3</x:v>
      </x:c>
      <x:c r="L84" s="95" t="n">
        <x:v>1</x:v>
      </x:c>
      <x:c r="M84" s="96" t="n">
        <x:f>IFERROR(G84/F84,0)</x:f>
        <x:v>0.9</x:v>
      </x:c>
      <x:c r="N84" s="96" t="n">
        <x:f>IFERROR(H84/G84,0)</x:f>
        <x:v>0.6296296296296297</x:v>
      </x:c>
      <x:c r="O84" s="96" t="n">
        <x:f>IFERROR(I84/H84,0)</x:f>
        <x:v>0.8529411764705882</x:v>
      </x:c>
      <x:c r="P84" s="96" t="n">
        <x:f>IFERROR(J84/I84,0)</x:f>
        <x:v>0.4482758620689655</x:v>
      </x:c>
      <x:c r="Q84" s="96" t="n">
        <x:f>IFERROR(L84/J84,0)</x:f>
        <x:v>0.07692307692307693</x:v>
      </x:c>
      <x:c r="R84" s="96" t="n">
        <x:f>IFERROR(L84/F84,0)</x:f>
        <x:v>0.016666666666666666</x:v>
      </x:c>
      <x:c r="S84" s="95" t="n">
        <x:v>50</x:v>
      </x:c>
      <x:c r="T84" s="94" t="str">
        <x:v>末次点击7天</x:v>
      </x:c>
    </x:row>
    <x:row r="85">
      <x:c r="A85" s="92" t="str">
        <x:v>PROC-0084</x:v>
      </x:c>
      <x:c r="B85" s="93" t="n">
        <x:v>46038</x:v>
      </x:c>
      <x:c r="C85" s="94" t="str">
        <x:v>Microsoft Ads</x:v>
      </x:c>
      <x:c r="D85" s="94" t="str">
        <x:v>日本</x:v>
      </x:c>
      <x:c r="E85" s="94" t="str">
        <x:v>通用搜索</x:v>
      </x:c>
      <x:c r="F85" s="95" t="n">
        <x:v>39</x:v>
      </x:c>
      <x:c r="G85" s="95" t="n">
        <x:v>37</x:v>
      </x:c>
      <x:c r="H85" s="95" t="n">
        <x:v>26</x:v>
      </x:c>
      <x:c r="I85" s="95" t="n">
        <x:v>22</x:v>
      </x:c>
      <x:c r="J85" s="95" t="n">
        <x:v>8</x:v>
      </x:c>
      <x:c r="K85" s="95" t="n">
        <x:v>2</x:v>
      </x:c>
      <x:c r="L85" s="95" t="n">
        <x:v>1</x:v>
      </x:c>
      <x:c r="M85" s="96" t="n">
        <x:f>IFERROR(G85/F85,0)</x:f>
        <x:v>0.9487179487179487</x:v>
      </x:c>
      <x:c r="N85" s="96" t="n">
        <x:f>IFERROR(H85/G85,0)</x:f>
        <x:v>0.7027027027027027</x:v>
      </x:c>
      <x:c r="O85" s="96" t="n">
        <x:f>IFERROR(I85/H85,0)</x:f>
        <x:v>0.8461538461538461</x:v>
      </x:c>
      <x:c r="P85" s="96" t="n">
        <x:f>IFERROR(J85/I85,0)</x:f>
        <x:v>0.36363636363636365</x:v>
      </x:c>
      <x:c r="Q85" s="96" t="n">
        <x:f>IFERROR(L85/J85,0)</x:f>
        <x:v>0.125</x:v>
      </x:c>
      <x:c r="R85" s="96" t="n">
        <x:f>IFERROR(L85/F85,0)</x:f>
        <x:v>0.02564102564102564</x:v>
      </x:c>
      <x:c r="S85" s="95" t="n">
        <x:v>104</x:v>
      </x:c>
      <x:c r="T85" s="94" t="str">
        <x:v>末次点击7天</x:v>
      </x:c>
    </x:row>
    <x:row r="86">
      <x:c r="A86" s="92" t="str">
        <x:v>PROC-0085</x:v>
      </x:c>
      <x:c r="B86" s="93" t="n">
        <x:v>46038</x:v>
      </x:c>
      <x:c r="C86" s="94" t="str">
        <x:v>Microsoft Ads</x:v>
      </x:c>
      <x:c r="D86" s="94" t="str">
        <x:v>德国</x:v>
      </x:c>
      <x:c r="E86" s="94" t="str">
        <x:v>品牌搜索</x:v>
      </x:c>
      <x:c r="F86" s="95" t="n">
        <x:v>64</x:v>
      </x:c>
      <x:c r="G86" s="95" t="n">
        <x:v>58</x:v>
      </x:c>
      <x:c r="H86" s="95" t="n">
        <x:v>45</x:v>
      </x:c>
      <x:c r="I86" s="95" t="n">
        <x:v>38</x:v>
      </x:c>
      <x:c r="J86" s="95" t="n">
        <x:v>19</x:v>
      </x:c>
      <x:c r="K86" s="95" t="n">
        <x:v>5</x:v>
      </x:c>
      <x:c r="L86" s="95" t="n">
        <x:v>2</x:v>
      </x:c>
      <x:c r="M86" s="96" t="n">
        <x:f>IFERROR(G86/F86,0)</x:f>
        <x:v>0.90625</x:v>
      </x:c>
      <x:c r="N86" s="96" t="n">
        <x:f>IFERROR(H86/G86,0)</x:f>
        <x:v>0.7758620689655172</x:v>
      </x:c>
      <x:c r="O86" s="96" t="n">
        <x:f>IFERROR(I86/H86,0)</x:f>
        <x:v>0.8444444444444444</x:v>
      </x:c>
      <x:c r="P86" s="96" t="n">
        <x:f>IFERROR(J86/I86,0)</x:f>
        <x:v>0.5</x:v>
      </x:c>
      <x:c r="Q86" s="96" t="n">
        <x:f>IFERROR(L86/J86,0)</x:f>
        <x:v>0.10526315789473684</x:v>
      </x:c>
      <x:c r="R86" s="96" t="n">
        <x:f>IFERROR(L86/F86,0)</x:f>
        <x:v>0.03125</x:v>
      </x:c>
      <x:c r="S86" s="95" t="n">
        <x:v>91</x:v>
      </x:c>
      <x:c r="T86" s="94" t="str">
        <x:v>末次点击7天</x:v>
      </x:c>
    </x:row>
    <x:row r="87">
      <x:c r="A87" s="92" t="str">
        <x:v>PROC-0086</x:v>
      </x:c>
      <x:c r="B87" s="93" t="n">
        <x:v>46038</x:v>
      </x:c>
      <x:c r="C87" s="94" t="str">
        <x:v>Google Ads</x:v>
      </x:c>
      <x:c r="D87" s="94" t="str">
        <x:v>日本</x:v>
      </x:c>
      <x:c r="E87" s="94" t="str">
        <x:v>竞品搜索</x:v>
      </x:c>
      <x:c r="F87" s="95" t="n">
        <x:v>21</x:v>
      </x:c>
      <x:c r="G87" s="95" t="n">
        <x:v>19</x:v>
      </x:c>
      <x:c r="H87" s="95" t="n">
        <x:v>13</x:v>
      </x:c>
      <x:c r="I87" s="95" t="n">
        <x:v>11</x:v>
      </x:c>
      <x:c r="J87" s="95" t="n">
        <x:v>4</x:v>
      </x:c>
      <x:c r="K87" s="95" t="n">
        <x:v>1</x:v>
      </x:c>
      <x:c r="L87" s="95" t="n">
        <x:v>0</x:v>
      </x:c>
      <x:c r="M87" s="96" t="n">
        <x:f>IFERROR(G87/F87,0)</x:f>
        <x:v>0.9047619047619048</x:v>
      </x:c>
      <x:c r="N87" s="96" t="n">
        <x:f>IFERROR(H87/G87,0)</x:f>
        <x:v>0.6842105263157895</x:v>
      </x:c>
      <x:c r="O87" s="96" t="n">
        <x:f>IFERROR(I87/H87,0)</x:f>
        <x:v>0.8461538461538461</x:v>
      </x:c>
      <x:c r="P87" s="96" t="n">
        <x:f>IFERROR(J87/I87,0)</x:f>
        <x:v>0.36363636363636365</x:v>
      </x:c>
      <x:c r="Q87" s="96" t="n">
        <x:f>IFERROR(L87/J87,0)</x:f>
        <x:v>0</x:v>
      </x:c>
      <x:c r="R87" s="96" t="n">
        <x:f>IFERROR(L87/F87,0)</x:f>
        <x:v>0</x:v>
      </x:c>
      <x:c r="S87" s="95" t="n">
        <x:v>123</x:v>
      </x:c>
      <x:c r="T87" s="94" t="str">
        <x:v>末次点击7天</x:v>
      </x:c>
    </x:row>
    <x:row r="88">
      <x:c r="A88" s="92" t="str">
        <x:v>PROC-0087</x:v>
      </x:c>
      <x:c r="B88" s="93" t="n">
        <x:v>46038</x:v>
      </x:c>
      <x:c r="C88" s="94" t="str">
        <x:v>Google Ads</x:v>
      </x:c>
      <x:c r="D88" s="94" t="str">
        <x:v>日本</x:v>
      </x:c>
      <x:c r="E88" s="94" t="str">
        <x:v>品牌搜索</x:v>
      </x:c>
      <x:c r="F88" s="95" t="n">
        <x:v>73</x:v>
      </x:c>
      <x:c r="G88" s="95" t="n">
        <x:v>69</x:v>
      </x:c>
      <x:c r="H88" s="95" t="n">
        <x:v>43</x:v>
      </x:c>
      <x:c r="I88" s="95" t="n">
        <x:v>37</x:v>
      </x:c>
      <x:c r="J88" s="95" t="n">
        <x:v>19</x:v>
      </x:c>
      <x:c r="K88" s="95" t="n">
        <x:v>5</x:v>
      </x:c>
      <x:c r="L88" s="95" t="n">
        <x:v>2</x:v>
      </x:c>
      <x:c r="M88" s="96" t="n">
        <x:f>IFERROR(G88/F88,0)</x:f>
        <x:v>0.9452054794520548</x:v>
      </x:c>
      <x:c r="N88" s="96" t="n">
        <x:f>IFERROR(H88/G88,0)</x:f>
        <x:v>0.6231884057971014</x:v>
      </x:c>
      <x:c r="O88" s="96" t="n">
        <x:f>IFERROR(I88/H88,0)</x:f>
        <x:v>0.8604651162790697</x:v>
      </x:c>
      <x:c r="P88" s="96" t="n">
        <x:f>IFERROR(J88/I88,0)</x:f>
        <x:v>0.5135135135135135</x:v>
      </x:c>
      <x:c r="Q88" s="96" t="n">
        <x:f>IFERROR(L88/J88,0)</x:f>
        <x:v>0.10526315789473684</x:v>
      </x:c>
      <x:c r="R88" s="96" t="n">
        <x:f>IFERROR(L88/F88,0)</x:f>
        <x:v>0.0273972602739726</x:v>
      </x:c>
      <x:c r="S88" s="95" t="n">
        <x:v>55</x:v>
      </x:c>
      <x:c r="T88" s="94" t="str">
        <x:v>末次点击7天</x:v>
      </x:c>
    </x:row>
    <x:row r="89">
      <x:c r="A89" s="92" t="str">
        <x:v>PROC-0088</x:v>
      </x:c>
      <x:c r="B89" s="93" t="n">
        <x:v>46038</x:v>
      </x:c>
      <x:c r="C89" s="94" t="str">
        <x:v>Microsoft Ads</x:v>
      </x:c>
      <x:c r="D89" s="94" t="str">
        <x:v>日本</x:v>
      </x:c>
      <x:c r="E89" s="94" t="str">
        <x:v>购物广告</x:v>
      </x:c>
      <x:c r="F89" s="95" t="n">
        <x:v>42</x:v>
      </x:c>
      <x:c r="G89" s="95" t="n">
        <x:v>37</x:v>
      </x:c>
      <x:c r="H89" s="95" t="n">
        <x:v>25</x:v>
      </x:c>
      <x:c r="I89" s="95" t="n">
        <x:v>22</x:v>
      </x:c>
      <x:c r="J89" s="95" t="n">
        <x:v>10</x:v>
      </x:c>
      <x:c r="K89" s="95" t="n">
        <x:v>2</x:v>
      </x:c>
      <x:c r="L89" s="95" t="n">
        <x:v>1</x:v>
      </x:c>
      <x:c r="M89" s="96" t="n">
        <x:f>IFERROR(G89/F89,0)</x:f>
        <x:v>0.8809523809523809</x:v>
      </x:c>
      <x:c r="N89" s="96" t="n">
        <x:f>IFERROR(H89/G89,0)</x:f>
        <x:v>0.6756756756756757</x:v>
      </x:c>
      <x:c r="O89" s="96" t="n">
        <x:f>IFERROR(I89/H89,0)</x:f>
        <x:v>0.88</x:v>
      </x:c>
      <x:c r="P89" s="96" t="n">
        <x:f>IFERROR(J89/I89,0)</x:f>
        <x:v>0.45454545454545453</x:v>
      </x:c>
      <x:c r="Q89" s="96" t="n">
        <x:f>IFERROR(L89/J89,0)</x:f>
        <x:v>0.1</x:v>
      </x:c>
      <x:c r="R89" s="96" t="n">
        <x:f>IFERROR(L89/F89,0)</x:f>
        <x:v>0.023809523809523808</x:v>
      </x:c>
      <x:c r="S89" s="95" t="n">
        <x:v>150</x:v>
      </x:c>
      <x:c r="T89" s="94" t="str">
        <x:v>末次点击7天</x:v>
      </x:c>
    </x:row>
    <x:row r="90">
      <x:c r="A90" s="92" t="str">
        <x:v>PROC-0089</x:v>
      </x:c>
      <x:c r="B90" s="93" t="n">
        <x:v>46038</x:v>
      </x:c>
      <x:c r="C90" s="94" t="str">
        <x:v>Microsoft Ads</x:v>
      </x:c>
      <x:c r="D90" s="94" t="str">
        <x:v>英国</x:v>
      </x:c>
      <x:c r="E90" s="94" t="str">
        <x:v>通用搜索</x:v>
      </x:c>
      <x:c r="F90" s="95" t="n">
        <x:v>29</x:v>
      </x:c>
      <x:c r="G90" s="95" t="n">
        <x:v>26</x:v>
      </x:c>
      <x:c r="H90" s="95" t="n">
        <x:v>19</x:v>
      </x:c>
      <x:c r="I90" s="95" t="n">
        <x:v>16</x:v>
      </x:c>
      <x:c r="J90" s="95" t="n">
        <x:v>6</x:v>
      </x:c>
      <x:c r="K90" s="95" t="n">
        <x:v>2</x:v>
      </x:c>
      <x:c r="L90" s="95" t="n">
        <x:v>1</x:v>
      </x:c>
      <x:c r="M90" s="96" t="n">
        <x:f>IFERROR(G90/F90,0)</x:f>
        <x:v>0.896551724137931</x:v>
      </x:c>
      <x:c r="N90" s="96" t="n">
        <x:f>IFERROR(H90/G90,0)</x:f>
        <x:v>0.7307692307692307</x:v>
      </x:c>
      <x:c r="O90" s="96" t="n">
        <x:f>IFERROR(I90/H90,0)</x:f>
        <x:v>0.8421052631578947</x:v>
      </x:c>
      <x:c r="P90" s="96" t="n">
        <x:f>IFERROR(J90/I90,0)</x:f>
        <x:v>0.375</x:v>
      </x:c>
      <x:c r="Q90" s="96" t="n">
        <x:f>IFERROR(L90/J90,0)</x:f>
        <x:v>0.16666666666666666</x:v>
      </x:c>
      <x:c r="R90" s="96" t="n">
        <x:f>IFERROR(L90/F90,0)</x:f>
        <x:v>0.034482758620689655</x:v>
      </x:c>
      <x:c r="S90" s="95" t="n">
        <x:v>152</x:v>
      </x:c>
      <x:c r="T90" s="94" t="str">
        <x:v>末次点击7天</x:v>
      </x:c>
    </x:row>
    <x:row r="91">
      <x:c r="A91" s="92" t="str">
        <x:v>PROC-0090</x:v>
      </x:c>
      <x:c r="B91" s="93" t="n">
        <x:v>46039</x:v>
      </x:c>
      <x:c r="C91" s="94" t="str">
        <x:v>Microsoft Ads</x:v>
      </x:c>
      <x:c r="D91" s="94" t="str">
        <x:v>英国</x:v>
      </x:c>
      <x:c r="E91" s="94" t="str">
        <x:v>通用搜索</x:v>
      </x:c>
      <x:c r="F91" s="95" t="n">
        <x:v>31</x:v>
      </x:c>
      <x:c r="G91" s="95" t="n">
        <x:v>28</x:v>
      </x:c>
      <x:c r="H91" s="95" t="n">
        <x:v>20</x:v>
      </x:c>
      <x:c r="I91" s="95" t="n">
        <x:v>17</x:v>
      </x:c>
      <x:c r="J91" s="95" t="n">
        <x:v>7</x:v>
      </x:c>
      <x:c r="K91" s="95" t="n">
        <x:v>2</x:v>
      </x:c>
      <x:c r="L91" s="95" t="n">
        <x:v>1</x:v>
      </x:c>
      <x:c r="M91" s="96" t="n">
        <x:f>IFERROR(G91/F91,0)</x:f>
        <x:v>0.9032258064516129</x:v>
      </x:c>
      <x:c r="N91" s="96" t="n">
        <x:f>IFERROR(H91/G91,0)</x:f>
        <x:v>0.7142857142857143</x:v>
      </x:c>
      <x:c r="O91" s="96" t="n">
        <x:f>IFERROR(I91/H91,0)</x:f>
        <x:v>0.85</x:v>
      </x:c>
      <x:c r="P91" s="96" t="n">
        <x:f>IFERROR(J91/I91,0)</x:f>
        <x:v>0.4117647058823529</x:v>
      </x:c>
      <x:c r="Q91" s="96" t="n">
        <x:f>IFERROR(L91/J91,0)</x:f>
        <x:v>0.14285714285714285</x:v>
      </x:c>
      <x:c r="R91" s="96" t="n">
        <x:f>IFERROR(L91/F91,0)</x:f>
        <x:v>0.03225806451612903</x:v>
      </x:c>
      <x:c r="S91" s="95" t="n">
        <x:v>71</x:v>
      </x:c>
      <x:c r="T91" s="94" t="str">
        <x:v>末次点击7天</x:v>
      </x:c>
    </x:row>
    <x:row r="92">
      <x:c r="A92" s="92" t="str">
        <x:v>PROC-0091</x:v>
      </x:c>
      <x:c r="B92" s="93" t="n">
        <x:v>46039</x:v>
      </x:c>
      <x:c r="C92" s="94" t="str">
        <x:v>Microsoft Ads</x:v>
      </x:c>
      <x:c r="D92" s="94" t="str">
        <x:v>美国</x:v>
      </x:c>
      <x:c r="E92" s="94" t="str">
        <x:v>通用搜索</x:v>
      </x:c>
      <x:c r="F92" s="95" t="n">
        <x:v>54</x:v>
      </x:c>
      <x:c r="G92" s="95" t="n">
        <x:v>48</x:v>
      </x:c>
      <x:c r="H92" s="95" t="n">
        <x:v>31</x:v>
      </x:c>
      <x:c r="I92" s="95" t="n">
        <x:v>25</x:v>
      </x:c>
      <x:c r="J92" s="95" t="n">
        <x:v>10</x:v>
      </x:c>
      <x:c r="K92" s="95" t="n">
        <x:v>3</x:v>
      </x:c>
      <x:c r="L92" s="95" t="n">
        <x:v>1</x:v>
      </x:c>
      <x:c r="M92" s="96" t="n">
        <x:f>IFERROR(G92/F92,0)</x:f>
        <x:v>0.8888888888888888</x:v>
      </x:c>
      <x:c r="N92" s="96" t="n">
        <x:f>IFERROR(H92/G92,0)</x:f>
        <x:v>0.6458333333333334</x:v>
      </x:c>
      <x:c r="O92" s="96" t="n">
        <x:f>IFERROR(I92/H92,0)</x:f>
        <x:v>0.8064516129032258</x:v>
      </x:c>
      <x:c r="P92" s="96" t="n">
        <x:f>IFERROR(J92/I92,0)</x:f>
        <x:v>0.4</x:v>
      </x:c>
      <x:c r="Q92" s="96" t="n">
        <x:f>IFERROR(L92/J92,0)</x:f>
        <x:v>0.1</x:v>
      </x:c>
      <x:c r="R92" s="96" t="n">
        <x:f>IFERROR(L92/F92,0)</x:f>
        <x:v>0.018518518518518517</x:v>
      </x:c>
      <x:c r="S92" s="95" t="n">
        <x:v>62</x:v>
      </x:c>
      <x:c r="T92" s="94" t="str">
        <x:v>末次点击7天</x:v>
      </x:c>
    </x:row>
    <x:row r="93">
      <x:c r="A93" s="92" t="str">
        <x:v>PROC-0092</x:v>
      </x:c>
      <x:c r="B93" s="93" t="n">
        <x:v>46039</x:v>
      </x:c>
      <x:c r="C93" s="94" t="str">
        <x:v>Microsoft Ads</x:v>
      </x:c>
      <x:c r="D93" s="94" t="str">
        <x:v>日本</x:v>
      </x:c>
      <x:c r="E93" s="94" t="str">
        <x:v>竞品搜索</x:v>
      </x:c>
      <x:c r="F93" s="95" t="n">
        <x:v>35</x:v>
      </x:c>
      <x:c r="G93" s="95" t="n">
        <x:v>34</x:v>
      </x:c>
      <x:c r="H93" s="95" t="n">
        <x:v>24</x:v>
      </x:c>
      <x:c r="I93" s="95" t="n">
        <x:v>20</x:v>
      </x:c>
      <x:c r="J93" s="95" t="n">
        <x:v>8</x:v>
      </x:c>
      <x:c r="K93" s="95" t="n">
        <x:v>2</x:v>
      </x:c>
      <x:c r="L93" s="95" t="n">
        <x:v>1</x:v>
      </x:c>
      <x:c r="M93" s="96" t="n">
        <x:f>IFERROR(G93/F93,0)</x:f>
        <x:v>0.9714285714285714</x:v>
      </x:c>
      <x:c r="N93" s="96" t="n">
        <x:f>IFERROR(H93/G93,0)</x:f>
        <x:v>0.7058823529411765</x:v>
      </x:c>
      <x:c r="O93" s="96" t="n">
        <x:f>IFERROR(I93/H93,0)</x:f>
        <x:v>0.8333333333333334</x:v>
      </x:c>
      <x:c r="P93" s="96" t="n">
        <x:f>IFERROR(J93/I93,0)</x:f>
        <x:v>0.4</x:v>
      </x:c>
      <x:c r="Q93" s="96" t="n">
        <x:f>IFERROR(L93/J93,0)</x:f>
        <x:v>0.125</x:v>
      </x:c>
      <x:c r="R93" s="96" t="n">
        <x:f>IFERROR(L93/F93,0)</x:f>
        <x:v>0.02857142857142857</x:v>
      </x:c>
      <x:c r="S93" s="95" t="n">
        <x:v>115</x:v>
      </x:c>
      <x:c r="T93" s="94" t="str">
        <x:v>末次点击7天</x:v>
      </x:c>
    </x:row>
    <x:row r="94">
      <x:c r="A94" s="92" t="str">
        <x:v>PROC-0093</x:v>
      </x:c>
      <x:c r="B94" s="93" t="n">
        <x:v>46039</x:v>
      </x:c>
      <x:c r="C94" s="94" t="str">
        <x:v>Microsoft Ads</x:v>
      </x:c>
      <x:c r="D94" s="94" t="str">
        <x:v>美国</x:v>
      </x:c>
      <x:c r="E94" s="94" t="str">
        <x:v>品牌搜索</x:v>
      </x:c>
      <x:c r="F94" s="95" t="n">
        <x:v>58</x:v>
      </x:c>
      <x:c r="G94" s="95" t="n">
        <x:v>52</x:v>
      </x:c>
      <x:c r="H94" s="95" t="n">
        <x:v>33</x:v>
      </x:c>
      <x:c r="I94" s="95" t="n">
        <x:v>28</x:v>
      </x:c>
      <x:c r="J94" s="95" t="n">
        <x:v>14</x:v>
      </x:c>
      <x:c r="K94" s="95" t="n">
        <x:v>4</x:v>
      </x:c>
      <x:c r="L94" s="95" t="n">
        <x:v>1</x:v>
      </x:c>
      <x:c r="M94" s="96" t="n">
        <x:f>IFERROR(G94/F94,0)</x:f>
        <x:v>0.896551724137931</x:v>
      </x:c>
      <x:c r="N94" s="96" t="n">
        <x:f>IFERROR(H94/G94,0)</x:f>
        <x:v>0.6346153846153846</x:v>
      </x:c>
      <x:c r="O94" s="96" t="n">
        <x:f>IFERROR(I94/H94,0)</x:f>
        <x:v>0.8484848484848485</x:v>
      </x:c>
      <x:c r="P94" s="96" t="n">
        <x:f>IFERROR(J94/I94,0)</x:f>
        <x:v>0.5</x:v>
      </x:c>
      <x:c r="Q94" s="96" t="n">
        <x:f>IFERROR(L94/J94,0)</x:f>
        <x:v>0.07142857142857142</x:v>
      </x:c>
      <x:c r="R94" s="96" t="n">
        <x:f>IFERROR(L94/F94,0)</x:f>
        <x:v>0.017241379310344827</x:v>
      </x:c>
      <x:c r="S94" s="95" t="n">
        <x:v>72</x:v>
      </x:c>
      <x:c r="T94" s="94" t="str">
        <x:v>末次点击7天</x:v>
      </x:c>
    </x:row>
    <x:row r="95">
      <x:c r="A95" s="92" t="str">
        <x:v>PROC-0094</x:v>
      </x:c>
      <x:c r="B95" s="93" t="n">
        <x:v>46039</x:v>
      </x:c>
      <x:c r="C95" s="94" t="str">
        <x:v>Google Ads</x:v>
      </x:c>
      <x:c r="D95" s="94" t="str">
        <x:v>美国</x:v>
      </x:c>
      <x:c r="E95" s="94" t="str">
        <x:v>购物广告</x:v>
      </x:c>
      <x:c r="F95" s="95" t="n">
        <x:v>57</x:v>
      </x:c>
      <x:c r="G95" s="95" t="n">
        <x:v>51</x:v>
      </x:c>
      <x:c r="H95" s="95" t="n">
        <x:v>40</x:v>
      </x:c>
      <x:c r="I95" s="95" t="n">
        <x:v>37</x:v>
      </x:c>
      <x:c r="J95" s="95" t="n">
        <x:v>17</x:v>
      </x:c>
      <x:c r="K95" s="95" t="n">
        <x:v>4</x:v>
      </x:c>
      <x:c r="L95" s="95" t="n">
        <x:v>1</x:v>
      </x:c>
      <x:c r="M95" s="96" t="n">
        <x:f>IFERROR(G95/F95,0)</x:f>
        <x:v>0.8947368421052632</x:v>
      </x:c>
      <x:c r="N95" s="96" t="n">
        <x:f>IFERROR(H95/G95,0)</x:f>
        <x:v>0.7843137254901961</x:v>
      </x:c>
      <x:c r="O95" s="96" t="n">
        <x:f>IFERROR(I95/H95,0)</x:f>
        <x:v>0.925</x:v>
      </x:c>
      <x:c r="P95" s="96" t="n">
        <x:f>IFERROR(J95/I95,0)</x:f>
        <x:v>0.4594594594594595</x:v>
      </x:c>
      <x:c r="Q95" s="96" t="n">
        <x:f>IFERROR(L95/J95,0)</x:f>
        <x:v>0.058823529411764705</x:v>
      </x:c>
      <x:c r="R95" s="96" t="n">
        <x:f>IFERROR(L95/F95,0)</x:f>
        <x:v>0.017543859649122806</x:v>
      </x:c>
      <x:c r="S95" s="95" t="n">
        <x:v>121</x:v>
      </x:c>
      <x:c r="T95" s="94" t="str">
        <x:v>末次点击7天</x:v>
      </x:c>
    </x:row>
    <x:row r="96">
      <x:c r="A96" s="92" t="str">
        <x:v>PROC-0095</x:v>
      </x:c>
      <x:c r="B96" s="93" t="n">
        <x:v>46040</x:v>
      </x:c>
      <x:c r="C96" s="94" t="str">
        <x:v>Google Ads</x:v>
      </x:c>
      <x:c r="D96" s="94" t="str">
        <x:v>美国</x:v>
      </x:c>
      <x:c r="E96" s="94" t="str">
        <x:v>品牌搜索</x:v>
      </x:c>
      <x:c r="F96" s="95" t="n">
        <x:v>40</x:v>
      </x:c>
      <x:c r="G96" s="95" t="n">
        <x:v>36</x:v>
      </x:c>
      <x:c r="H96" s="95" t="n">
        <x:v>24</x:v>
      </x:c>
      <x:c r="I96" s="95" t="n">
        <x:v>21</x:v>
      </x:c>
      <x:c r="J96" s="95" t="n">
        <x:v>11</x:v>
      </x:c>
      <x:c r="K96" s="95" t="n">
        <x:v>3</x:v>
      </x:c>
      <x:c r="L96" s="95" t="n">
        <x:v>1</x:v>
      </x:c>
      <x:c r="M96" s="96" t="n">
        <x:f>IFERROR(G96/F96,0)</x:f>
        <x:v>0.9</x:v>
      </x:c>
      <x:c r="N96" s="96" t="n">
        <x:f>IFERROR(H96/G96,0)</x:f>
        <x:v>0.6666666666666666</x:v>
      </x:c>
      <x:c r="O96" s="96" t="n">
        <x:f>IFERROR(I96/H96,0)</x:f>
        <x:v>0.875</x:v>
      </x:c>
      <x:c r="P96" s="96" t="n">
        <x:f>IFERROR(J96/I96,0)</x:f>
        <x:v>0.5238095238095238</x:v>
      </x:c>
      <x:c r="Q96" s="96" t="n">
        <x:f>IFERROR(L96/J96,0)</x:f>
        <x:v>0.09090909090909091</x:v>
      </x:c>
      <x:c r="R96" s="96" t="n">
        <x:f>IFERROR(L96/F96,0)</x:f>
        <x:v>0.025</x:v>
      </x:c>
      <x:c r="S96" s="95" t="n">
        <x:v>71</x:v>
      </x:c>
      <x:c r="T96" s="94" t="str">
        <x:v>末次点击7天</x:v>
      </x:c>
    </x:row>
    <x:row r="97">
      <x:c r="A97" s="92" t="str">
        <x:v>PROC-0096</x:v>
      </x:c>
      <x:c r="B97" s="93" t="n">
        <x:v>46040</x:v>
      </x:c>
      <x:c r="C97" s="94" t="str">
        <x:v>Google Ads</x:v>
      </x:c>
      <x:c r="D97" s="94" t="str">
        <x:v>美国</x:v>
      </x:c>
      <x:c r="E97" s="94" t="str">
        <x:v>竞品搜索</x:v>
      </x:c>
      <x:c r="F97" s="95" t="n">
        <x:v>43</x:v>
      </x:c>
      <x:c r="G97" s="95" t="n">
        <x:v>40</x:v>
      </x:c>
      <x:c r="H97" s="95" t="n">
        <x:v>29</x:v>
      </x:c>
      <x:c r="I97" s="95" t="n">
        <x:v>25</x:v>
      </x:c>
      <x:c r="J97" s="95" t="n">
        <x:v>11</x:v>
      </x:c>
      <x:c r="K97" s="95" t="n">
        <x:v>3</x:v>
      </x:c>
      <x:c r="L97" s="95" t="n">
        <x:v>1</x:v>
      </x:c>
      <x:c r="M97" s="96" t="n">
        <x:f>IFERROR(G97/F97,0)</x:f>
        <x:v>0.9302325581395349</x:v>
      </x:c>
      <x:c r="N97" s="96" t="n">
        <x:f>IFERROR(H97/G97,0)</x:f>
        <x:v>0.725</x:v>
      </x:c>
      <x:c r="O97" s="96" t="n">
        <x:f>IFERROR(I97/H97,0)</x:f>
        <x:v>0.8620689655172413</x:v>
      </x:c>
      <x:c r="P97" s="96" t="n">
        <x:f>IFERROR(J97/I97,0)</x:f>
        <x:v>0.44</x:v>
      </x:c>
      <x:c r="Q97" s="96" t="n">
        <x:f>IFERROR(L97/J97,0)</x:f>
        <x:v>0.09090909090909091</x:v>
      </x:c>
      <x:c r="R97" s="96" t="n">
        <x:f>IFERROR(L97/F97,0)</x:f>
        <x:v>0.023255813953488372</x:v>
      </x:c>
      <x:c r="S97" s="95" t="n">
        <x:v>133</x:v>
      </x:c>
      <x:c r="T97" s="94" t="str">
        <x:v>末次点击7天</x:v>
      </x:c>
    </x:row>
    <x:row r="98">
      <x:c r="A98" s="92" t="str">
        <x:v>PROC-0097</x:v>
      </x:c>
      <x:c r="B98" s="93" t="n">
        <x:v>46040</x:v>
      </x:c>
      <x:c r="C98" s="94" t="str">
        <x:v>Microsoft Ads</x:v>
      </x:c>
      <x:c r="D98" s="94" t="str">
        <x:v>美国</x:v>
      </x:c>
      <x:c r="E98" s="94" t="str">
        <x:v>品牌搜索</x:v>
      </x:c>
      <x:c r="F98" s="95" t="n">
        <x:v>66</x:v>
      </x:c>
      <x:c r="G98" s="95" t="n">
        <x:v>63</x:v>
      </x:c>
      <x:c r="H98" s="95" t="n">
        <x:v>41</x:v>
      </x:c>
      <x:c r="I98" s="95" t="n">
        <x:v>34</x:v>
      </x:c>
      <x:c r="J98" s="95" t="n">
        <x:v>16</x:v>
      </x:c>
      <x:c r="K98" s="95" t="n">
        <x:v>4</x:v>
      </x:c>
      <x:c r="L98" s="95" t="n">
        <x:v>1</x:v>
      </x:c>
      <x:c r="M98" s="96" t="n">
        <x:f>IFERROR(G98/F98,0)</x:f>
        <x:v>0.9545454545454546</x:v>
      </x:c>
      <x:c r="N98" s="96" t="n">
        <x:f>IFERROR(H98/G98,0)</x:f>
        <x:v>0.6507936507936508</x:v>
      </x:c>
      <x:c r="O98" s="96" t="n">
        <x:f>IFERROR(I98/H98,0)</x:f>
        <x:v>0.8292682926829268</x:v>
      </x:c>
      <x:c r="P98" s="96" t="n">
        <x:f>IFERROR(J98/I98,0)</x:f>
        <x:v>0.47058823529411764</x:v>
      </x:c>
      <x:c r="Q98" s="96" t="n">
        <x:f>IFERROR(L98/J98,0)</x:f>
        <x:v>0.0625</x:v>
      </x:c>
      <x:c r="R98" s="96" t="n">
        <x:f>IFERROR(L98/F98,0)</x:f>
        <x:v>0.015151515151515152</x:v>
      </x:c>
      <x:c r="S98" s="95" t="n">
        <x:v>54</x:v>
      </x:c>
      <x:c r="T98" s="94" t="str">
        <x:v>末次点击7天</x:v>
      </x:c>
    </x:row>
    <x:row r="99">
      <x:c r="A99" s="92" t="str">
        <x:v>PROC-0098</x:v>
      </x:c>
      <x:c r="B99" s="93" t="n">
        <x:v>46040</x:v>
      </x:c>
      <x:c r="C99" s="94" t="str">
        <x:v>Microsoft Ads</x:v>
      </x:c>
      <x:c r="D99" s="94" t="str">
        <x:v>美国</x:v>
      </x:c>
      <x:c r="E99" s="94" t="str">
        <x:v>品牌搜索</x:v>
      </x:c>
      <x:c r="F99" s="95" t="n">
        <x:v>68</x:v>
      </x:c>
      <x:c r="G99" s="95" t="n">
        <x:v>60</x:v>
      </x:c>
      <x:c r="H99" s="95" t="n">
        <x:v>42</x:v>
      </x:c>
      <x:c r="I99" s="95" t="n">
        <x:v>35</x:v>
      </x:c>
      <x:c r="J99" s="95" t="n">
        <x:v>17</x:v>
      </x:c>
      <x:c r="K99" s="95" t="n">
        <x:v>5</x:v>
      </x:c>
      <x:c r="L99" s="95" t="n">
        <x:v>2</x:v>
      </x:c>
      <x:c r="M99" s="96" t="n">
        <x:f>IFERROR(G99/F99,0)</x:f>
        <x:v>0.8823529411764706</x:v>
      </x:c>
      <x:c r="N99" s="96" t="n">
        <x:f>IFERROR(H99/G99,0)</x:f>
        <x:v>0.7</x:v>
      </x:c>
      <x:c r="O99" s="96" t="n">
        <x:f>IFERROR(I99/H99,0)</x:f>
        <x:v>0.8333333333333334</x:v>
      </x:c>
      <x:c r="P99" s="96" t="n">
        <x:f>IFERROR(J99/I99,0)</x:f>
        <x:v>0.4857142857142857</x:v>
      </x:c>
      <x:c r="Q99" s="96" t="n">
        <x:f>IFERROR(L99/J99,0)</x:f>
        <x:v>0.11764705882352941</x:v>
      </x:c>
      <x:c r="R99" s="96" t="n">
        <x:f>IFERROR(L99/F99,0)</x:f>
        <x:v>0.029411764705882353</x:v>
      </x:c>
      <x:c r="S99" s="95" t="n">
        <x:v>131</x:v>
      </x:c>
      <x:c r="T99" s="94" t="str">
        <x:v>末次点击7天</x:v>
      </x:c>
    </x:row>
    <x:row r="100">
      <x:c r="A100" s="92" t="str">
        <x:v>PROC-0099</x:v>
      </x:c>
      <x:c r="B100" s="93" t="n">
        <x:v>46040</x:v>
      </x:c>
      <x:c r="C100" s="94" t="str">
        <x:v>Google Ads</x:v>
      </x:c>
      <x:c r="D100" s="94" t="str">
        <x:v>德国</x:v>
      </x:c>
      <x:c r="E100" s="94" t="str">
        <x:v>通用搜索</x:v>
      </x:c>
      <x:c r="F100" s="95" t="n">
        <x:v>26</x:v>
      </x:c>
      <x:c r="G100" s="95" t="n">
        <x:v>23</x:v>
      </x:c>
      <x:c r="H100" s="95" t="n">
        <x:v>15</x:v>
      </x:c>
      <x:c r="I100" s="95" t="n">
        <x:v>13</x:v>
      </x:c>
      <x:c r="J100" s="95" t="n">
        <x:v>5</x:v>
      </x:c>
      <x:c r="K100" s="95" t="n">
        <x:v>2</x:v>
      </x:c>
      <x:c r="L100" s="95" t="n">
        <x:v>0</x:v>
      </x:c>
      <x:c r="M100" s="96" t="n">
        <x:f>IFERROR(G100/F100,0)</x:f>
        <x:v>0.8846153846153846</x:v>
      </x:c>
      <x:c r="N100" s="96" t="n">
        <x:f>IFERROR(H100/G100,0)</x:f>
        <x:v>0.6521739130434783</x:v>
      </x:c>
      <x:c r="O100" s="96" t="n">
        <x:f>IFERROR(I100/H100,0)</x:f>
        <x:v>0.8666666666666667</x:v>
      </x:c>
      <x:c r="P100" s="96" t="n">
        <x:f>IFERROR(J100/I100,0)</x:f>
        <x:v>0.38461538461538464</x:v>
      </x:c>
      <x:c r="Q100" s="96" t="n">
        <x:f>IFERROR(L100/J100,0)</x:f>
        <x:v>0</x:v>
      </x:c>
      <x:c r="R100" s="96" t="n">
        <x:f>IFERROR(L100/F100,0)</x:f>
        <x:v>0</x:v>
      </x:c>
      <x:c r="S100" s="95" t="n">
        <x:v>94</x:v>
      </x:c>
      <x:c r="T100" s="94" t="str">
        <x:v>末次点击7天</x:v>
      </x:c>
    </x:row>
    <x:row r="101">
      <x:c r="A101" s="92" t="str">
        <x:v>PROC-0100</x:v>
      </x:c>
      <x:c r="B101" s="93" t="n">
        <x:v>46040</x:v>
      </x:c>
      <x:c r="C101" s="94" t="str">
        <x:v>Google Ads</x:v>
      </x:c>
      <x:c r="D101" s="94" t="str">
        <x:v>美国</x:v>
      </x:c>
      <x:c r="E101" s="94" t="str">
        <x:v>品牌搜索</x:v>
      </x:c>
      <x:c r="F101" s="95" t="n">
        <x:v>90</x:v>
      </x:c>
      <x:c r="G101" s="95" t="n">
        <x:v>84</x:v>
      </x:c>
      <x:c r="H101" s="95" t="n">
        <x:v>58</x:v>
      </x:c>
      <x:c r="I101" s="95" t="n">
        <x:v>49</x:v>
      </x:c>
      <x:c r="J101" s="95" t="n">
        <x:v>23</x:v>
      </x:c>
      <x:c r="K101" s="95" t="n">
        <x:v>7</x:v>
      </x:c>
      <x:c r="L101" s="95" t="n">
        <x:v>2</x:v>
      </x:c>
      <x:c r="M101" s="96" t="n">
        <x:f>IFERROR(G101/F101,0)</x:f>
        <x:v>0.9333333333333333</x:v>
      </x:c>
      <x:c r="N101" s="96" t="n">
        <x:f>IFERROR(H101/G101,0)</x:f>
        <x:v>0.6904761904761905</x:v>
      </x:c>
      <x:c r="O101" s="96" t="n">
        <x:f>IFERROR(I101/H101,0)</x:f>
        <x:v>0.8448275862068966</x:v>
      </x:c>
      <x:c r="P101" s="96" t="n">
        <x:f>IFERROR(J101/I101,0)</x:f>
        <x:v>0.46938775510204084</x:v>
      </x:c>
      <x:c r="Q101" s="96" t="n">
        <x:f>IFERROR(L101/J101,0)</x:f>
        <x:v>0.08695652173913043</x:v>
      </x:c>
      <x:c r="R101" s="96" t="n">
        <x:f>IFERROR(L101/F101,0)</x:f>
        <x:v>0.022222222222222223</x:v>
      </x:c>
      <x:c r="S101" s="95" t="n">
        <x:v>67</x:v>
      </x:c>
      <x:c r="T101" s="94" t="str">
        <x:v>末次点击7天</x:v>
      </x:c>
    </x:row>
    <x:row r="102">
      <x:c r="A102" s="92" t="str">
        <x:v>PROC-0101</x:v>
      </x:c>
      <x:c r="B102" s="93" t="n">
        <x:v>46041</x:v>
      </x:c>
      <x:c r="C102" s="94" t="str">
        <x:v>Microsoft Ads</x:v>
      </x:c>
      <x:c r="D102" s="94" t="str">
        <x:v>德国</x:v>
      </x:c>
      <x:c r="E102" s="94" t="str">
        <x:v>通用搜索</x:v>
      </x:c>
      <x:c r="F102" s="95" t="n">
        <x:v>26</x:v>
      </x:c>
      <x:c r="G102" s="95" t="n">
        <x:v>23</x:v>
      </x:c>
      <x:c r="H102" s="95" t="n">
        <x:v>16</x:v>
      </x:c>
      <x:c r="I102" s="95" t="n">
        <x:v>14</x:v>
      </x:c>
      <x:c r="J102" s="95" t="n">
        <x:v>5</x:v>
      </x:c>
      <x:c r="K102" s="95" t="n">
        <x:v>2</x:v>
      </x:c>
      <x:c r="L102" s="95" t="n">
        <x:v>0</x:v>
      </x:c>
      <x:c r="M102" s="96" t="n">
        <x:f>IFERROR(G102/F102,0)</x:f>
        <x:v>0.8846153846153846</x:v>
      </x:c>
      <x:c r="N102" s="96" t="n">
        <x:f>IFERROR(H102/G102,0)</x:f>
        <x:v>0.6956521739130435</x:v>
      </x:c>
      <x:c r="O102" s="96" t="n">
        <x:f>IFERROR(I102/H102,0)</x:f>
        <x:v>0.875</x:v>
      </x:c>
      <x:c r="P102" s="96" t="n">
        <x:f>IFERROR(J102/I102,0)</x:f>
        <x:v>0.35714285714285715</x:v>
      </x:c>
      <x:c r="Q102" s="96" t="n">
        <x:f>IFERROR(L102/J102,0)</x:f>
        <x:v>0</x:v>
      </x:c>
      <x:c r="R102" s="96" t="n">
        <x:f>IFERROR(L102/F102,0)</x:f>
        <x:v>0</x:v>
      </x:c>
      <x:c r="S102" s="95" t="n">
        <x:v>104</x:v>
      </x:c>
      <x:c r="T102" s="94" t="str">
        <x:v>末次点击7天</x:v>
      </x:c>
    </x:row>
    <x:row r="103">
      <x:c r="A103" s="92" t="str">
        <x:v>PROC-0102</x:v>
      </x:c>
      <x:c r="B103" s="93" t="n">
        <x:v>46041</x:v>
      </x:c>
      <x:c r="C103" s="94" t="str">
        <x:v>Microsoft Ads</x:v>
      </x:c>
      <x:c r="D103" s="94" t="str">
        <x:v>德国</x:v>
      </x:c>
      <x:c r="E103" s="94" t="str">
        <x:v>购物广告</x:v>
      </x:c>
      <x:c r="F103" s="95" t="n">
        <x:v>38</x:v>
      </x:c>
      <x:c r="G103" s="95" t="n">
        <x:v>36</x:v>
      </x:c>
      <x:c r="H103" s="95" t="n">
        <x:v>24</x:v>
      </x:c>
      <x:c r="I103" s="95" t="n">
        <x:v>20</x:v>
      </x:c>
      <x:c r="J103" s="95" t="n">
        <x:v>8</x:v>
      </x:c>
      <x:c r="K103" s="95" t="n">
        <x:v>2</x:v>
      </x:c>
      <x:c r="L103" s="95" t="n">
        <x:v>1</x:v>
      </x:c>
      <x:c r="M103" s="96" t="n">
        <x:f>IFERROR(G103/F103,0)</x:f>
        <x:v>0.9473684210526315</x:v>
      </x:c>
      <x:c r="N103" s="96" t="n">
        <x:f>IFERROR(H103/G103,0)</x:f>
        <x:v>0.6666666666666666</x:v>
      </x:c>
      <x:c r="O103" s="96" t="n">
        <x:f>IFERROR(I103/H103,0)</x:f>
        <x:v>0.8333333333333334</x:v>
      </x:c>
      <x:c r="P103" s="96" t="n">
        <x:f>IFERROR(J103/I103,0)</x:f>
        <x:v>0.4</x:v>
      </x:c>
      <x:c r="Q103" s="96" t="n">
        <x:f>IFERROR(L103/J103,0)</x:f>
        <x:v>0.125</x:v>
      </x:c>
      <x:c r="R103" s="96" t="n">
        <x:f>IFERROR(L103/F103,0)</x:f>
        <x:v>0.02631578947368421</x:v>
      </x:c>
      <x:c r="S103" s="95" t="n">
        <x:v>68</x:v>
      </x:c>
      <x:c r="T103" s="94" t="str">
        <x:v>末次点击7天</x:v>
      </x:c>
    </x:row>
    <x:row r="104">
      <x:c r="A104" s="92" t="str">
        <x:v>PROC-0103</x:v>
      </x:c>
      <x:c r="B104" s="93" t="n">
        <x:v>46041</x:v>
      </x:c>
      <x:c r="C104" s="94" t="str">
        <x:v>Google Ads</x:v>
      </x:c>
      <x:c r="D104" s="94" t="str">
        <x:v>美国</x:v>
      </x:c>
      <x:c r="E104" s="94" t="str">
        <x:v>通用搜索</x:v>
      </x:c>
      <x:c r="F104" s="95" t="n">
        <x:v>25</x:v>
      </x:c>
      <x:c r="G104" s="95" t="n">
        <x:v>23</x:v>
      </x:c>
      <x:c r="H104" s="95" t="n">
        <x:v>16</x:v>
      </x:c>
      <x:c r="I104" s="95" t="n">
        <x:v>14</x:v>
      </x:c>
      <x:c r="J104" s="95" t="n">
        <x:v>6</x:v>
      </x:c>
      <x:c r="K104" s="95" t="n">
        <x:v>1</x:v>
      </x:c>
      <x:c r="L104" s="95" t="n">
        <x:v>1</x:v>
      </x:c>
      <x:c r="M104" s="96" t="n">
        <x:f>IFERROR(G104/F104,0)</x:f>
        <x:v>0.92</x:v>
      </x:c>
      <x:c r="N104" s="96" t="n">
        <x:f>IFERROR(H104/G104,0)</x:f>
        <x:v>0.6956521739130435</x:v>
      </x:c>
      <x:c r="O104" s="96" t="n">
        <x:f>IFERROR(I104/H104,0)</x:f>
        <x:v>0.875</x:v>
      </x:c>
      <x:c r="P104" s="96" t="n">
        <x:f>IFERROR(J104/I104,0)</x:f>
        <x:v>0.42857142857142855</x:v>
      </x:c>
      <x:c r="Q104" s="96" t="n">
        <x:f>IFERROR(L104/J104,0)</x:f>
        <x:v>0.16666666666666666</x:v>
      </x:c>
      <x:c r="R104" s="96" t="n">
        <x:f>IFERROR(L104/F104,0)</x:f>
        <x:v>0.04</x:v>
      </x:c>
      <x:c r="S104" s="95" t="n">
        <x:v>109</x:v>
      </x:c>
      <x:c r="T104" s="94" t="str">
        <x:v>末次点击7天</x:v>
      </x:c>
    </x:row>
    <x:row r="105">
      <x:c r="A105" s="92" t="str">
        <x:v>PROC-0104</x:v>
      </x:c>
      <x:c r="B105" s="93" t="n">
        <x:v>46041</x:v>
      </x:c>
      <x:c r="C105" s="94" t="str">
        <x:v>Microsoft Ads</x:v>
      </x:c>
      <x:c r="D105" s="94" t="str">
        <x:v>美国</x:v>
      </x:c>
      <x:c r="E105" s="94" t="str">
        <x:v>通用搜索</x:v>
      </x:c>
      <x:c r="F105" s="95" t="n">
        <x:v>43</x:v>
      </x:c>
      <x:c r="G105" s="95" t="n">
        <x:v>39</x:v>
      </x:c>
      <x:c r="H105" s="95" t="n">
        <x:v>28</x:v>
      </x:c>
      <x:c r="I105" s="95" t="n">
        <x:v>24</x:v>
      </x:c>
      <x:c r="J105" s="95" t="n">
        <x:v>10</x:v>
      </x:c>
      <x:c r="K105" s="95" t="n">
        <x:v>2</x:v>
      </x:c>
      <x:c r="L105" s="95" t="n">
        <x:v>1</x:v>
      </x:c>
      <x:c r="M105" s="96" t="n">
        <x:f>IFERROR(G105/F105,0)</x:f>
        <x:v>0.9069767441860465</x:v>
      </x:c>
      <x:c r="N105" s="96" t="n">
        <x:f>IFERROR(H105/G105,0)</x:f>
        <x:v>0.717948717948718</x:v>
      </x:c>
      <x:c r="O105" s="96" t="n">
        <x:f>IFERROR(I105/H105,0)</x:f>
        <x:v>0.8571428571428571</x:v>
      </x:c>
      <x:c r="P105" s="96" t="n">
        <x:f>IFERROR(J105/I105,0)</x:f>
        <x:v>0.4166666666666667</x:v>
      </x:c>
      <x:c r="Q105" s="96" t="n">
        <x:f>IFERROR(L105/J105,0)</x:f>
        <x:v>0.1</x:v>
      </x:c>
      <x:c r="R105" s="96" t="n">
        <x:f>IFERROR(L105/F105,0)</x:f>
        <x:v>0.023255813953488372</x:v>
      </x:c>
      <x:c r="S105" s="95" t="n">
        <x:v>132</x:v>
      </x:c>
      <x:c r="T105" s="94" t="str">
        <x:v>末次点击7天</x:v>
      </x:c>
    </x:row>
    <x:row r="106">
      <x:c r="A106" s="92" t="str">
        <x:v>PROC-0105</x:v>
      </x:c>
      <x:c r="B106" s="93" t="n">
        <x:v>46041</x:v>
      </x:c>
      <x:c r="C106" s="94" t="str">
        <x:v>Microsoft Ads</x:v>
      </x:c>
      <x:c r="D106" s="94" t="str">
        <x:v>日本</x:v>
      </x:c>
      <x:c r="E106" s="94" t="str">
        <x:v>竞品搜索</x:v>
      </x:c>
      <x:c r="F106" s="95" t="n">
        <x:v>22</x:v>
      </x:c>
      <x:c r="G106" s="95" t="n">
        <x:v>21</x:v>
      </x:c>
      <x:c r="H106" s="95" t="n">
        <x:v>14</x:v>
      </x:c>
      <x:c r="I106" s="95" t="n">
        <x:v>12</x:v>
      </x:c>
      <x:c r="J106" s="95" t="n">
        <x:v>5</x:v>
      </x:c>
      <x:c r="K106" s="95" t="n">
        <x:v>2</x:v>
      </x:c>
      <x:c r="L106" s="95" t="n">
        <x:v>0</x:v>
      </x:c>
      <x:c r="M106" s="96" t="n">
        <x:f>IFERROR(G106/F106,0)</x:f>
        <x:v>0.9545454545454546</x:v>
      </x:c>
      <x:c r="N106" s="96" t="n">
        <x:f>IFERROR(H106/G106,0)</x:f>
        <x:v>0.6666666666666666</x:v>
      </x:c>
      <x:c r="O106" s="96" t="n">
        <x:f>IFERROR(I106/H106,0)</x:f>
        <x:v>0.8571428571428571</x:v>
      </x:c>
      <x:c r="P106" s="96" t="n">
        <x:f>IFERROR(J106/I106,0)</x:f>
        <x:v>0.4166666666666667</x:v>
      </x:c>
      <x:c r="Q106" s="96" t="n">
        <x:f>IFERROR(L106/J106,0)</x:f>
        <x:v>0</x:v>
      </x:c>
      <x:c r="R106" s="96" t="n">
        <x:f>IFERROR(L106/F106,0)</x:f>
        <x:v>0</x:v>
      </x:c>
      <x:c r="S106" s="95" t="n">
        <x:v>121</x:v>
      </x:c>
      <x:c r="T106" s="94" t="str">
        <x:v>末次点击7天</x:v>
      </x:c>
    </x:row>
    <x:row r="107">
      <x:c r="A107" s="92" t="str">
        <x:v>PROC-0106</x:v>
      </x:c>
      <x:c r="B107" s="93" t="n">
        <x:v>46042</x:v>
      </x:c>
      <x:c r="C107" s="94" t="str">
        <x:v>Microsoft Ads</x:v>
      </x:c>
      <x:c r="D107" s="94" t="str">
        <x:v>美国</x:v>
      </x:c>
      <x:c r="E107" s="94" t="str">
        <x:v>购物广告</x:v>
      </x:c>
      <x:c r="F107" s="95" t="n">
        <x:v>56</x:v>
      </x:c>
      <x:c r="G107" s="95" t="n">
        <x:v>51</x:v>
      </x:c>
      <x:c r="H107" s="95" t="n">
        <x:v>40</x:v>
      </x:c>
      <x:c r="I107" s="95" t="n">
        <x:v>37</x:v>
      </x:c>
      <x:c r="J107" s="95" t="n">
        <x:v>16</x:v>
      </x:c>
      <x:c r="K107" s="95" t="n">
        <x:v>5</x:v>
      </x:c>
      <x:c r="L107" s="95" t="n">
        <x:v>2</x:v>
      </x:c>
      <x:c r="M107" s="96" t="n">
        <x:f>IFERROR(G107/F107,0)</x:f>
        <x:v>0.9107142857142857</x:v>
      </x:c>
      <x:c r="N107" s="96" t="n">
        <x:f>IFERROR(H107/G107,0)</x:f>
        <x:v>0.7843137254901961</x:v>
      </x:c>
      <x:c r="O107" s="96" t="n">
        <x:f>IFERROR(I107/H107,0)</x:f>
        <x:v>0.925</x:v>
      </x:c>
      <x:c r="P107" s="96" t="n">
        <x:f>IFERROR(J107/I107,0)</x:f>
        <x:v>0.43243243243243246</x:v>
      </x:c>
      <x:c r="Q107" s="96" t="n">
        <x:f>IFERROR(L107/J107,0)</x:f>
        <x:v>0.125</x:v>
      </x:c>
      <x:c r="R107" s="96" t="n">
        <x:f>IFERROR(L107/F107,0)</x:f>
        <x:v>0.03571428571428571</x:v>
      </x:c>
      <x:c r="S107" s="95" t="n">
        <x:v>75</x:v>
      </x:c>
      <x:c r="T107" s="94" t="str">
        <x:v>末次点击7天</x:v>
      </x:c>
    </x:row>
    <x:row r="108">
      <x:c r="A108" s="92" t="str">
        <x:v>PROC-0107</x:v>
      </x:c>
      <x:c r="B108" s="93" t="n">
        <x:v>46042</x:v>
      </x:c>
      <x:c r="C108" s="94" t="str">
        <x:v>Microsoft Ads</x:v>
      </x:c>
      <x:c r="D108" s="94" t="str">
        <x:v>美国</x:v>
      </x:c>
      <x:c r="E108" s="94" t="str">
        <x:v>购物广告</x:v>
      </x:c>
      <x:c r="F108" s="95" t="n">
        <x:v>61</x:v>
      </x:c>
      <x:c r="G108" s="95" t="n">
        <x:v>55</x:v>
      </x:c>
      <x:c r="H108" s="95" t="n">
        <x:v>40</x:v>
      </x:c>
      <x:c r="I108" s="95" t="n">
        <x:v>34</x:v>
      </x:c>
      <x:c r="J108" s="95" t="n">
        <x:v>14</x:v>
      </x:c>
      <x:c r="K108" s="95" t="n">
        <x:v>5</x:v>
      </x:c>
      <x:c r="L108" s="95" t="n">
        <x:v>1</x:v>
      </x:c>
      <x:c r="M108" s="96" t="n">
        <x:f>IFERROR(G108/F108,0)</x:f>
        <x:v>0.9016393442622951</x:v>
      </x:c>
      <x:c r="N108" s="96" t="n">
        <x:f>IFERROR(H108/G108,0)</x:f>
        <x:v>0.7272727272727273</x:v>
      </x:c>
      <x:c r="O108" s="96" t="n">
        <x:f>IFERROR(I108/H108,0)</x:f>
        <x:v>0.85</x:v>
      </x:c>
      <x:c r="P108" s="96" t="n">
        <x:f>IFERROR(J108/I108,0)</x:f>
        <x:v>0.4117647058823529</x:v>
      </x:c>
      <x:c r="Q108" s="96" t="n">
        <x:f>IFERROR(L108/J108,0)</x:f>
        <x:v>0.07142857142857142</x:v>
      </x:c>
      <x:c r="R108" s="96" t="n">
        <x:f>IFERROR(L108/F108,0)</x:f>
        <x:v>0.01639344262295082</x:v>
      </x:c>
      <x:c r="S108" s="95" t="n">
        <x:v>63</x:v>
      </x:c>
      <x:c r="T108" s="94" t="str">
        <x:v>末次点击7天</x:v>
      </x:c>
    </x:row>
    <x:row r="109">
      <x:c r="A109" s="92" t="str">
        <x:v>PROC-0108</x:v>
      </x:c>
      <x:c r="B109" s="93" t="n">
        <x:v>46042</x:v>
      </x:c>
      <x:c r="C109" s="94" t="str">
        <x:v>Google Ads</x:v>
      </x:c>
      <x:c r="D109" s="94" t="str">
        <x:v>德国</x:v>
      </x:c>
      <x:c r="E109" s="94" t="str">
        <x:v>品牌搜索</x:v>
      </x:c>
      <x:c r="F109" s="95" t="n">
        <x:v>37</x:v>
      </x:c>
      <x:c r="G109" s="95" t="n">
        <x:v>32</x:v>
      </x:c>
      <x:c r="H109" s="95" t="n">
        <x:v>21</x:v>
      </x:c>
      <x:c r="I109" s="95" t="n">
        <x:v>17</x:v>
      </x:c>
      <x:c r="J109" s="95" t="n">
        <x:v>7</x:v>
      </x:c>
      <x:c r="K109" s="95" t="n">
        <x:v>2</x:v>
      </x:c>
      <x:c r="L109" s="95" t="n">
        <x:v>1</x:v>
      </x:c>
      <x:c r="M109" s="96" t="n">
        <x:f>IFERROR(G109/F109,0)</x:f>
        <x:v>0.8648648648648649</x:v>
      </x:c>
      <x:c r="N109" s="96" t="n">
        <x:f>IFERROR(H109/G109,0)</x:f>
        <x:v>0.65625</x:v>
      </x:c>
      <x:c r="O109" s="96" t="n">
        <x:f>IFERROR(I109/H109,0)</x:f>
        <x:v>0.8095238095238095</x:v>
      </x:c>
      <x:c r="P109" s="96" t="n">
        <x:f>IFERROR(J109/I109,0)</x:f>
        <x:v>0.4117647058823529</x:v>
      </x:c>
      <x:c r="Q109" s="96" t="n">
        <x:f>IFERROR(L109/J109,0)</x:f>
        <x:v>0.14285714285714285</x:v>
      </x:c>
      <x:c r="R109" s="96" t="n">
        <x:f>IFERROR(L109/F109,0)</x:f>
        <x:v>0.02702702702702703</x:v>
      </x:c>
      <x:c r="S109" s="95" t="n">
        <x:v>89</x:v>
      </x:c>
      <x:c r="T109" s="94" t="str">
        <x:v>末次点击7天</x:v>
      </x:c>
    </x:row>
    <x:row r="110">
      <x:c r="A110" s="92" t="str">
        <x:v>PROC-0109</x:v>
      </x:c>
      <x:c r="B110" s="93" t="n">
        <x:v>46042</x:v>
      </x:c>
      <x:c r="C110" s="94" t="str">
        <x:v>Google Ads</x:v>
      </x:c>
      <x:c r="D110" s="94" t="str">
        <x:v>英国</x:v>
      </x:c>
      <x:c r="E110" s="94" t="str">
        <x:v>通用搜索</x:v>
      </x:c>
      <x:c r="F110" s="95" t="n">
        <x:v>59</x:v>
      </x:c>
      <x:c r="G110" s="95" t="n">
        <x:v>53</x:v>
      </x:c>
      <x:c r="H110" s="95" t="n">
        <x:v>39</x:v>
      </x:c>
      <x:c r="I110" s="95" t="n">
        <x:v>33</x:v>
      </x:c>
      <x:c r="J110" s="95" t="n">
        <x:v>15</x:v>
      </x:c>
      <x:c r="K110" s="95" t="n">
        <x:v>4</x:v>
      </x:c>
      <x:c r="L110" s="95" t="n">
        <x:v>1</x:v>
      </x:c>
      <x:c r="M110" s="96" t="n">
        <x:f>IFERROR(G110/F110,0)</x:f>
        <x:v>0.8983050847457628</x:v>
      </x:c>
      <x:c r="N110" s="96" t="n">
        <x:f>IFERROR(H110/G110,0)</x:f>
        <x:v>0.7358490566037735</x:v>
      </x:c>
      <x:c r="O110" s="96" t="n">
        <x:f>IFERROR(I110/H110,0)</x:f>
        <x:v>0.8461538461538461</x:v>
      </x:c>
      <x:c r="P110" s="96" t="n">
        <x:f>IFERROR(J110/I110,0)</x:f>
        <x:v>0.45454545454545453</x:v>
      </x:c>
      <x:c r="Q110" s="96" t="n">
        <x:f>IFERROR(L110/J110,0)</x:f>
        <x:v>0.06666666666666667</x:v>
      </x:c>
      <x:c r="R110" s="96" t="n">
        <x:f>IFERROR(L110/F110,0)</x:f>
        <x:v>0.01694915254237288</x:v>
      </x:c>
      <x:c r="S110" s="95" t="n">
        <x:v>108</x:v>
      </x:c>
      <x:c r="T110" s="94" t="str">
        <x:v>末次点击7天</x:v>
      </x:c>
    </x:row>
    <x:row r="111">
      <x:c r="A111" s="92" t="str">
        <x:v>PROC-0110</x:v>
      </x:c>
      <x:c r="B111" s="93" t="n">
        <x:v>46042</x:v>
      </x:c>
      <x:c r="C111" s="94" t="str">
        <x:v>Google Ads</x:v>
      </x:c>
      <x:c r="D111" s="94" t="str">
        <x:v>美国</x:v>
      </x:c>
      <x:c r="E111" s="94" t="str">
        <x:v>通用搜索</x:v>
      </x:c>
      <x:c r="F111" s="95" t="n">
        <x:v>37</x:v>
      </x:c>
      <x:c r="G111" s="95" t="n">
        <x:v>33</x:v>
      </x:c>
      <x:c r="H111" s="95" t="n">
        <x:v>24</x:v>
      </x:c>
      <x:c r="I111" s="95" t="n">
        <x:v>19</x:v>
      </x:c>
      <x:c r="J111" s="95" t="n">
        <x:v>9</x:v>
      </x:c>
      <x:c r="K111" s="95" t="n">
        <x:v>2</x:v>
      </x:c>
      <x:c r="L111" s="95" t="n">
        <x:v>1</x:v>
      </x:c>
      <x:c r="M111" s="96" t="n">
        <x:f>IFERROR(G111/F111,0)</x:f>
        <x:v>0.8918918918918919</x:v>
      </x:c>
      <x:c r="N111" s="96" t="n">
        <x:f>IFERROR(H111/G111,0)</x:f>
        <x:v>0.7272727272727273</x:v>
      </x:c>
      <x:c r="O111" s="96" t="n">
        <x:f>IFERROR(I111/H111,0)</x:f>
        <x:v>0.7916666666666666</x:v>
      </x:c>
      <x:c r="P111" s="96" t="n">
        <x:f>IFERROR(J111/I111,0)</x:f>
        <x:v>0.47368421052631576</x:v>
      </x:c>
      <x:c r="Q111" s="96" t="n">
        <x:f>IFERROR(L111/J111,0)</x:f>
        <x:v>0.1111111111111111</x:v>
      </x:c>
      <x:c r="R111" s="96" t="n">
        <x:f>IFERROR(L111/F111,0)</x:f>
        <x:v>0.02702702702702703</x:v>
      </x:c>
      <x:c r="S111" s="95" t="n">
        <x:v>66</x:v>
      </x:c>
      <x:c r="T111" s="94" t="str">
        <x:v>末次点击7天</x:v>
      </x:c>
    </x:row>
    <x:row r="112">
      <x:c r="A112" s="92" t="str">
        <x:v>PROC-0111</x:v>
      </x:c>
      <x:c r="B112" s="93" t="n">
        <x:v>46042</x:v>
      </x:c>
      <x:c r="C112" s="94" t="str">
        <x:v>Microsoft Ads</x:v>
      </x:c>
      <x:c r="D112" s="94" t="str">
        <x:v>美国</x:v>
      </x:c>
      <x:c r="E112" s="94" t="str">
        <x:v>通用搜索</x:v>
      </x:c>
      <x:c r="F112" s="95" t="n">
        <x:v>34</x:v>
      </x:c>
      <x:c r="G112" s="95" t="n">
        <x:v>33</x:v>
      </x:c>
      <x:c r="H112" s="95" t="n">
        <x:v>24</x:v>
      </x:c>
      <x:c r="I112" s="95" t="n">
        <x:v>20</x:v>
      </x:c>
      <x:c r="J112" s="95" t="n">
        <x:v>8</x:v>
      </x:c>
      <x:c r="K112" s="95" t="n">
        <x:v>2</x:v>
      </x:c>
      <x:c r="L112" s="95" t="n">
        <x:v>1</x:v>
      </x:c>
      <x:c r="M112" s="96" t="n">
        <x:f>IFERROR(G112/F112,0)</x:f>
        <x:v>0.9705882352941176</x:v>
      </x:c>
      <x:c r="N112" s="96" t="n">
        <x:f>IFERROR(H112/G112,0)</x:f>
        <x:v>0.7272727272727273</x:v>
      </x:c>
      <x:c r="O112" s="96" t="n">
        <x:f>IFERROR(I112/H112,0)</x:f>
        <x:v>0.8333333333333334</x:v>
      </x:c>
      <x:c r="P112" s="96" t="n">
        <x:f>IFERROR(J112/I112,0)</x:f>
        <x:v>0.4</x:v>
      </x:c>
      <x:c r="Q112" s="96" t="n">
        <x:f>IFERROR(L112/J112,0)</x:f>
        <x:v>0.125</x:v>
      </x:c>
      <x:c r="R112" s="96" t="n">
        <x:f>IFERROR(L112/F112,0)</x:f>
        <x:v>0.029411764705882353</x:v>
      </x:c>
      <x:c r="S112" s="95" t="n">
        <x:v>75</x:v>
      </x:c>
      <x:c r="T112" s="94" t="str">
        <x:v>末次点击7天</x:v>
      </x:c>
    </x:row>
    <x:row r="113">
      <x:c r="A113" s="92" t="str">
        <x:v>PROC-0112</x:v>
      </x:c>
      <x:c r="B113" s="93" t="n">
        <x:v>46043</x:v>
      </x:c>
      <x:c r="C113" s="94" t="str">
        <x:v>Microsoft Ads</x:v>
      </x:c>
      <x:c r="D113" s="94" t="str">
        <x:v>日本</x:v>
      </x:c>
      <x:c r="E113" s="94" t="str">
        <x:v>通用搜索</x:v>
      </x:c>
      <x:c r="F113" s="95" t="n">
        <x:v>41</x:v>
      </x:c>
      <x:c r="G113" s="95" t="n">
        <x:v>37</x:v>
      </x:c>
      <x:c r="H113" s="95" t="n">
        <x:v>23</x:v>
      </x:c>
      <x:c r="I113" s="95" t="n">
        <x:v>19</x:v>
      </x:c>
      <x:c r="J113" s="95" t="n">
        <x:v>8</x:v>
      </x:c>
      <x:c r="K113" s="95" t="n">
        <x:v>3</x:v>
      </x:c>
      <x:c r="L113" s="95" t="n">
        <x:v>1</x:v>
      </x:c>
      <x:c r="M113" s="96" t="n">
        <x:f>IFERROR(G113/F113,0)</x:f>
        <x:v>0.9024390243902439</x:v>
      </x:c>
      <x:c r="N113" s="96" t="n">
        <x:f>IFERROR(H113/G113,0)</x:f>
        <x:v>0.6216216216216216</x:v>
      </x:c>
      <x:c r="O113" s="96" t="n">
        <x:f>IFERROR(I113/H113,0)</x:f>
        <x:v>0.8260869565217391</x:v>
      </x:c>
      <x:c r="P113" s="96" t="n">
        <x:f>IFERROR(J113/I113,0)</x:f>
        <x:v>0.42105263157894735</x:v>
      </x:c>
      <x:c r="Q113" s="96" t="n">
        <x:f>IFERROR(L113/J113,0)</x:f>
        <x:v>0.125</x:v>
      </x:c>
      <x:c r="R113" s="96" t="n">
        <x:f>IFERROR(L113/F113,0)</x:f>
        <x:v>0.024390243902439025</x:v>
      </x:c>
      <x:c r="S113" s="95" t="n">
        <x:v>53</x:v>
      </x:c>
      <x:c r="T113" s="94" t="str">
        <x:v>末次点击7天</x:v>
      </x:c>
    </x:row>
    <x:row r="114">
      <x:c r="A114" s="92" t="str">
        <x:v>PROC-0113</x:v>
      </x:c>
      <x:c r="B114" s="93" t="n">
        <x:v>46043</x:v>
      </x:c>
      <x:c r="C114" s="94" t="str">
        <x:v>Microsoft Ads</x:v>
      </x:c>
      <x:c r="D114" s="94" t="str">
        <x:v>美国</x:v>
      </x:c>
      <x:c r="E114" s="94" t="str">
        <x:v>竞品搜索</x:v>
      </x:c>
      <x:c r="F114" s="95" t="n">
        <x:v>35</x:v>
      </x:c>
      <x:c r="G114" s="95" t="n">
        <x:v>31</x:v>
      </x:c>
      <x:c r="H114" s="95" t="n">
        <x:v>21</x:v>
      </x:c>
      <x:c r="I114" s="95" t="n">
        <x:v>18</x:v>
      </x:c>
      <x:c r="J114" s="95" t="n">
        <x:v>7</x:v>
      </x:c>
      <x:c r="K114" s="95" t="n">
        <x:v>2</x:v>
      </x:c>
      <x:c r="L114" s="95" t="n">
        <x:v>1</x:v>
      </x:c>
      <x:c r="M114" s="96" t="n">
        <x:f>IFERROR(G114/F114,0)</x:f>
        <x:v>0.8857142857142857</x:v>
      </x:c>
      <x:c r="N114" s="96" t="n">
        <x:f>IFERROR(H114/G114,0)</x:f>
        <x:v>0.6774193548387096</x:v>
      </x:c>
      <x:c r="O114" s="96" t="n">
        <x:f>IFERROR(I114/H114,0)</x:f>
        <x:v>0.8571428571428571</x:v>
      </x:c>
      <x:c r="P114" s="96" t="n">
        <x:f>IFERROR(J114/I114,0)</x:f>
        <x:v>0.3888888888888889</x:v>
      </x:c>
      <x:c r="Q114" s="96" t="n">
        <x:f>IFERROR(L114/J114,0)</x:f>
        <x:v>0.14285714285714285</x:v>
      </x:c>
      <x:c r="R114" s="96" t="n">
        <x:f>IFERROR(L114/F114,0)</x:f>
        <x:v>0.02857142857142857</x:v>
      </x:c>
      <x:c r="S114" s="95" t="n">
        <x:v>66</x:v>
      </x:c>
      <x:c r="T114" s="94" t="str">
        <x:v>末次点击7天</x:v>
      </x:c>
    </x:row>
    <x:row r="115">
      <x:c r="A115" s="92" t="str">
        <x:v>PROC-0114</x:v>
      </x:c>
      <x:c r="B115" s="93" t="n">
        <x:v>46043</x:v>
      </x:c>
      <x:c r="C115" s="94" t="str">
        <x:v>Microsoft Ads</x:v>
      </x:c>
      <x:c r="D115" s="94" t="str">
        <x:v>日本</x:v>
      </x:c>
      <x:c r="E115" s="94" t="str">
        <x:v>购物广告</x:v>
      </x:c>
      <x:c r="F115" s="95" t="n">
        <x:v>57</x:v>
      </x:c>
      <x:c r="G115" s="95" t="n">
        <x:v>53</x:v>
      </x:c>
      <x:c r="H115" s="95" t="n">
        <x:v>35</x:v>
      </x:c>
      <x:c r="I115" s="95" t="n">
        <x:v>30</x:v>
      </x:c>
      <x:c r="J115" s="95" t="n">
        <x:v>12</x:v>
      </x:c>
      <x:c r="K115" s="95" t="n">
        <x:v>4</x:v>
      </x:c>
      <x:c r="L115" s="95" t="n">
        <x:v>1</x:v>
      </x:c>
      <x:c r="M115" s="96" t="n">
        <x:f>IFERROR(G115/F115,0)</x:f>
        <x:v>0.9298245614035088</x:v>
      </x:c>
      <x:c r="N115" s="96" t="n">
        <x:f>IFERROR(H115/G115,0)</x:f>
        <x:v>0.660377358490566</x:v>
      </x:c>
      <x:c r="O115" s="96" t="n">
        <x:f>IFERROR(I115/H115,0)</x:f>
        <x:v>0.8571428571428571</x:v>
      </x:c>
      <x:c r="P115" s="96" t="n">
        <x:f>IFERROR(J115/I115,0)</x:f>
        <x:v>0.4</x:v>
      </x:c>
      <x:c r="Q115" s="96" t="n">
        <x:f>IFERROR(L115/J115,0)</x:f>
        <x:v>0.08333333333333333</x:v>
      </x:c>
      <x:c r="R115" s="96" t="n">
        <x:f>IFERROR(L115/F115,0)</x:f>
        <x:v>0.017543859649122806</x:v>
      </x:c>
      <x:c r="S115" s="95" t="n">
        <x:v>44</x:v>
      </x:c>
      <x:c r="T115" s="94" t="str">
        <x:v>末次点击7天</x:v>
      </x:c>
    </x:row>
    <x:row r="116">
      <x:c r="A116" s="92" t="str">
        <x:v>PROC-0115</x:v>
      </x:c>
      <x:c r="B116" s="93" t="n">
        <x:v>46043</x:v>
      </x:c>
      <x:c r="C116" s="94" t="str">
        <x:v>Microsoft Ads</x:v>
      </x:c>
      <x:c r="D116" s="94" t="str">
        <x:v>美国</x:v>
      </x:c>
      <x:c r="E116" s="94" t="str">
        <x:v>竞品搜索</x:v>
      </x:c>
      <x:c r="F116" s="95" t="n">
        <x:v>37</x:v>
      </x:c>
      <x:c r="G116" s="95" t="n">
        <x:v>35</x:v>
      </x:c>
      <x:c r="H116" s="95" t="n">
        <x:v>25</x:v>
      </x:c>
      <x:c r="I116" s="95" t="n">
        <x:v>21</x:v>
      </x:c>
      <x:c r="J116" s="95" t="n">
        <x:v>8</x:v>
      </x:c>
      <x:c r="K116" s="95" t="n">
        <x:v>2</x:v>
      </x:c>
      <x:c r="L116" s="95" t="n">
        <x:v>1</x:v>
      </x:c>
      <x:c r="M116" s="96" t="n">
        <x:f>IFERROR(G116/F116,0)</x:f>
        <x:v>0.9459459459459459</x:v>
      </x:c>
      <x:c r="N116" s="96" t="n">
        <x:f>IFERROR(H116/G116,0)</x:f>
        <x:v>0.7142857142857143</x:v>
      </x:c>
      <x:c r="O116" s="96" t="n">
        <x:f>IFERROR(I116/H116,0)</x:f>
        <x:v>0.84</x:v>
      </x:c>
      <x:c r="P116" s="96" t="n">
        <x:f>IFERROR(J116/I116,0)</x:f>
        <x:v>0.38095238095238093</x:v>
      </x:c>
      <x:c r="Q116" s="96" t="n">
        <x:f>IFERROR(L116/J116,0)</x:f>
        <x:v>0.125</x:v>
      </x:c>
      <x:c r="R116" s="96" t="n">
        <x:f>IFERROR(L116/F116,0)</x:f>
        <x:v>0.02702702702702703</x:v>
      </x:c>
      <x:c r="S116" s="95" t="n">
        <x:v>135</x:v>
      </x:c>
      <x:c r="T116" s="94" t="str">
        <x:v>末次点击7天</x:v>
      </x:c>
    </x:row>
    <x:row r="117">
      <x:c r="A117" s="92" t="str">
        <x:v>PROC-0116</x:v>
      </x:c>
      <x:c r="B117" s="93" t="n">
        <x:v>46043</x:v>
      </x:c>
      <x:c r="C117" s="94" t="str">
        <x:v>Google Ads</x:v>
      </x:c>
      <x:c r="D117" s="94" t="str">
        <x:v>日本</x:v>
      </x:c>
      <x:c r="E117" s="94" t="str">
        <x:v>通用搜索</x:v>
      </x:c>
      <x:c r="F117" s="95" t="n">
        <x:v>26</x:v>
      </x:c>
      <x:c r="G117" s="95" t="n">
        <x:v>24</x:v>
      </x:c>
      <x:c r="H117" s="95" t="n">
        <x:v>18</x:v>
      </x:c>
      <x:c r="I117" s="95" t="n">
        <x:v>15</x:v>
      </x:c>
      <x:c r="J117" s="95" t="n">
        <x:v>6</x:v>
      </x:c>
      <x:c r="K117" s="95" t="n">
        <x:v>2</x:v>
      </x:c>
      <x:c r="L117" s="95" t="n">
        <x:v>0</x:v>
      </x:c>
      <x:c r="M117" s="96" t="n">
        <x:f>IFERROR(G117/F117,0)</x:f>
        <x:v>0.9230769230769231</x:v>
      </x:c>
      <x:c r="N117" s="96" t="n">
        <x:f>IFERROR(H117/G117,0)</x:f>
        <x:v>0.75</x:v>
      </x:c>
      <x:c r="O117" s="96" t="n">
        <x:f>IFERROR(I117/H117,0)</x:f>
        <x:v>0.8333333333333334</x:v>
      </x:c>
      <x:c r="P117" s="96" t="n">
        <x:f>IFERROR(J117/I117,0)</x:f>
        <x:v>0.4</x:v>
      </x:c>
      <x:c r="Q117" s="96" t="n">
        <x:f>IFERROR(L117/J117,0)</x:f>
        <x:v>0</x:v>
      </x:c>
      <x:c r="R117" s="96" t="n">
        <x:f>IFERROR(L117/F117,0)</x:f>
        <x:v>0</x:v>
      </x:c>
      <x:c r="S117" s="95" t="n">
        <x:v>136</x:v>
      </x:c>
      <x:c r="T117" s="94" t="str">
        <x:v>末次点击7天</x:v>
      </x:c>
    </x:row>
    <x:row r="118">
      <x:c r="A118" s="92" t="str">
        <x:v>PROC-0117</x:v>
      </x:c>
      <x:c r="B118" s="93" t="n">
        <x:v>46043</x:v>
      </x:c>
      <x:c r="C118" s="94" t="str">
        <x:v>Google Ads</x:v>
      </x:c>
      <x:c r="D118" s="94" t="str">
        <x:v>英国</x:v>
      </x:c>
      <x:c r="E118" s="94" t="str">
        <x:v>品牌搜索</x:v>
      </x:c>
      <x:c r="F118" s="95" t="n">
        <x:v>43</x:v>
      </x:c>
      <x:c r="G118" s="95" t="n">
        <x:v>38</x:v>
      </x:c>
      <x:c r="H118" s="95" t="n">
        <x:v>27</x:v>
      </x:c>
      <x:c r="I118" s="95" t="n">
        <x:v>22</x:v>
      </x:c>
      <x:c r="J118" s="95" t="n">
        <x:v>11</x:v>
      </x:c>
      <x:c r="K118" s="95" t="n">
        <x:v>4</x:v>
      </x:c>
      <x:c r="L118" s="95" t="n">
        <x:v>1</x:v>
      </x:c>
      <x:c r="M118" s="96" t="n">
        <x:f>IFERROR(G118/F118,0)</x:f>
        <x:v>0.8837209302325582</x:v>
      </x:c>
      <x:c r="N118" s="96" t="n">
        <x:f>IFERROR(H118/G118,0)</x:f>
        <x:v>0.7105263157894737</x:v>
      </x:c>
      <x:c r="O118" s="96" t="n">
        <x:f>IFERROR(I118/H118,0)</x:f>
        <x:v>0.8148148148148148</x:v>
      </x:c>
      <x:c r="P118" s="96" t="n">
        <x:f>IFERROR(J118/I118,0)</x:f>
        <x:v>0.5</x:v>
      </x:c>
      <x:c r="Q118" s="96" t="n">
        <x:f>IFERROR(L118/J118,0)</x:f>
        <x:v>0.09090909090909091</x:v>
      </x:c>
      <x:c r="R118" s="96" t="n">
        <x:f>IFERROR(L118/F118,0)</x:f>
        <x:v>0.023255813953488372</x:v>
      </x:c>
      <x:c r="S118" s="95" t="n">
        <x:v>127</x:v>
      </x:c>
      <x:c r="T118" s="94" t="str">
        <x:v>末次点击7天</x:v>
      </x:c>
    </x:row>
    <x:row r="119">
      <x:c r="A119" s="92" t="str">
        <x:v>PROC-0118</x:v>
      </x:c>
      <x:c r="B119" s="93" t="n">
        <x:v>46044</x:v>
      </x:c>
      <x:c r="C119" s="94" t="str">
        <x:v>Google Ads</x:v>
      </x:c>
      <x:c r="D119" s="94" t="str">
        <x:v>日本</x:v>
      </x:c>
      <x:c r="E119" s="94" t="str">
        <x:v>购物广告</x:v>
      </x:c>
      <x:c r="F119" s="95" t="n">
        <x:v>45</x:v>
      </x:c>
      <x:c r="G119" s="95" t="n">
        <x:v>41</x:v>
      </x:c>
      <x:c r="H119" s="95" t="n">
        <x:v>29</x:v>
      </x:c>
      <x:c r="I119" s="95" t="n">
        <x:v>24</x:v>
      </x:c>
      <x:c r="J119" s="95" t="n">
        <x:v>12</x:v>
      </x:c>
      <x:c r="K119" s="95" t="n">
        <x:v>3</x:v>
      </x:c>
      <x:c r="L119" s="95" t="n">
        <x:v>1</x:v>
      </x:c>
      <x:c r="M119" s="96" t="n">
        <x:f>IFERROR(G119/F119,0)</x:f>
        <x:v>0.9111111111111111</x:v>
      </x:c>
      <x:c r="N119" s="96" t="n">
        <x:f>IFERROR(H119/G119,0)</x:f>
        <x:v>0.7073170731707317</x:v>
      </x:c>
      <x:c r="O119" s="96" t="n">
        <x:f>IFERROR(I119/H119,0)</x:f>
        <x:v>0.8275862068965517</x:v>
      </x:c>
      <x:c r="P119" s="96" t="n">
        <x:f>IFERROR(J119/I119,0)</x:f>
        <x:v>0.5</x:v>
      </x:c>
      <x:c r="Q119" s="96" t="n">
        <x:f>IFERROR(L119/J119,0)</x:f>
        <x:v>0.08333333333333333</x:v>
      </x:c>
      <x:c r="R119" s="96" t="n">
        <x:f>IFERROR(L119/F119,0)</x:f>
        <x:v>0.022222222222222223</x:v>
      </x:c>
      <x:c r="S119" s="95" t="n">
        <x:v>127</x:v>
      </x:c>
      <x:c r="T119" s="94" t="str">
        <x:v>末次点击7天</x:v>
      </x:c>
    </x:row>
    <x:row r="120">
      <x:c r="A120" s="92" t="str">
        <x:v>PROC-0119</x:v>
      </x:c>
      <x:c r="B120" s="93" t="n">
        <x:v>46044</x:v>
      </x:c>
      <x:c r="C120" s="94" t="str">
        <x:v>Google Ads</x:v>
      </x:c>
      <x:c r="D120" s="94" t="str">
        <x:v>英国</x:v>
      </x:c>
      <x:c r="E120" s="94" t="str">
        <x:v>品牌搜索</x:v>
      </x:c>
      <x:c r="F120" s="95" t="n">
        <x:v>67</x:v>
      </x:c>
      <x:c r="G120" s="95" t="n">
        <x:v>63</x:v>
      </x:c>
      <x:c r="H120" s="95" t="n">
        <x:v>40</x:v>
      </x:c>
      <x:c r="I120" s="95" t="n">
        <x:v>32</x:v>
      </x:c>
      <x:c r="J120" s="95" t="n">
        <x:v>15</x:v>
      </x:c>
      <x:c r="K120" s="95" t="n">
        <x:v>5</x:v>
      </x:c>
      <x:c r="L120" s="95" t="n">
        <x:v>2</x:v>
      </x:c>
      <x:c r="M120" s="96" t="n">
        <x:f>IFERROR(G120/F120,0)</x:f>
        <x:v>0.9402985074626866</x:v>
      </x:c>
      <x:c r="N120" s="96" t="n">
        <x:f>IFERROR(H120/G120,0)</x:f>
        <x:v>0.6349206349206349</x:v>
      </x:c>
      <x:c r="O120" s="96" t="n">
        <x:f>IFERROR(I120/H120,0)</x:f>
        <x:v>0.8</x:v>
      </x:c>
      <x:c r="P120" s="96" t="n">
        <x:f>IFERROR(J120/I120,0)</x:f>
        <x:v>0.46875</x:v>
      </x:c>
      <x:c r="Q120" s="96" t="n">
        <x:f>IFERROR(L120/J120,0)</x:f>
        <x:v>0.13333333333333333</x:v>
      </x:c>
      <x:c r="R120" s="96" t="n">
        <x:f>IFERROR(L120/F120,0)</x:f>
        <x:v>0.029850746268656716</x:v>
      </x:c>
      <x:c r="S120" s="95" t="n">
        <x:v>134</x:v>
      </x:c>
      <x:c r="T120" s="94" t="str">
        <x:v>末次点击7天</x:v>
      </x:c>
    </x:row>
    <x:row r="121">
      <x:c r="A121" s="92" t="str">
        <x:v>PROC-0120</x:v>
      </x:c>
      <x:c r="B121" s="93" t="n">
        <x:v>46044</x:v>
      </x:c>
      <x:c r="C121" s="94" t="str">
        <x:v>Google Ads</x:v>
      </x:c>
      <x:c r="D121" s="94" t="str">
        <x:v>英国</x:v>
      </x:c>
      <x:c r="E121" s="94" t="str">
        <x:v>竞品搜索</x:v>
      </x:c>
      <x:c r="F121" s="95" t="n">
        <x:v>29</x:v>
      </x:c>
      <x:c r="G121" s="95" t="n">
        <x:v>27</x:v>
      </x:c>
      <x:c r="H121" s="95" t="n">
        <x:v>18</x:v>
      </x:c>
      <x:c r="I121" s="95" t="n">
        <x:v>15</x:v>
      </x:c>
      <x:c r="J121" s="95" t="n">
        <x:v>6</x:v>
      </x:c>
      <x:c r="K121" s="95" t="n">
        <x:v>2</x:v>
      </x:c>
      <x:c r="L121" s="95" t="n">
        <x:v>0</x:v>
      </x:c>
      <x:c r="M121" s="96" t="n">
        <x:f>IFERROR(G121/F121,0)</x:f>
        <x:v>0.9310344827586207</x:v>
      </x:c>
      <x:c r="N121" s="96" t="n">
        <x:f>IFERROR(H121/G121,0)</x:f>
        <x:v>0.6666666666666666</x:v>
      </x:c>
      <x:c r="O121" s="96" t="n">
        <x:f>IFERROR(I121/H121,0)</x:f>
        <x:v>0.8333333333333334</x:v>
      </x:c>
      <x:c r="P121" s="96" t="n">
        <x:f>IFERROR(J121/I121,0)</x:f>
        <x:v>0.4</x:v>
      </x:c>
      <x:c r="Q121" s="96" t="n">
        <x:f>IFERROR(L121/J121,0)</x:f>
        <x:v>0</x:v>
      </x:c>
      <x:c r="R121" s="96" t="n">
        <x:f>IFERROR(L121/F121,0)</x:f>
        <x:v>0</x:v>
      </x:c>
      <x:c r="S121" s="95" t="n">
        <x:v>148</x:v>
      </x:c>
      <x:c r="T121" s="94" t="str">
        <x:v>末次点击7天</x:v>
      </x:c>
    </x:row>
    <x:row r="122">
      <x:c r="A122" s="92" t="str">
        <x:v>PROC-0121</x:v>
      </x:c>
      <x:c r="B122" s="93" t="n">
        <x:v>46044</x:v>
      </x:c>
      <x:c r="C122" s="94" t="str">
        <x:v>Google Ads</x:v>
      </x:c>
      <x:c r="D122" s="94" t="str">
        <x:v>日本</x:v>
      </x:c>
      <x:c r="E122" s="94" t="str">
        <x:v>通用搜索</x:v>
      </x:c>
      <x:c r="F122" s="95" t="n">
        <x:v>27</x:v>
      </x:c>
      <x:c r="G122" s="95" t="n">
        <x:v>25</x:v>
      </x:c>
      <x:c r="H122" s="95" t="n">
        <x:v>19</x:v>
      </x:c>
      <x:c r="I122" s="95" t="n">
        <x:v>16</x:v>
      </x:c>
      <x:c r="J122" s="95" t="n">
        <x:v>6</x:v>
      </x:c>
      <x:c r="K122" s="95" t="n">
        <x:v>1</x:v>
      </x:c>
      <x:c r="L122" s="95" t="n">
        <x:v>1</x:v>
      </x:c>
      <x:c r="M122" s="96" t="n">
        <x:f>IFERROR(G122/F122,0)</x:f>
        <x:v>0.9259259259259259</x:v>
      </x:c>
      <x:c r="N122" s="96" t="n">
        <x:f>IFERROR(H122/G122,0)</x:f>
        <x:v>0.76</x:v>
      </x:c>
      <x:c r="O122" s="96" t="n">
        <x:f>IFERROR(I122/H122,0)</x:f>
        <x:v>0.8421052631578947</x:v>
      </x:c>
      <x:c r="P122" s="96" t="n">
        <x:f>IFERROR(J122/I122,0)</x:f>
        <x:v>0.375</x:v>
      </x:c>
      <x:c r="Q122" s="96" t="n">
        <x:f>IFERROR(L122/J122,0)</x:f>
        <x:v>0.16666666666666666</x:v>
      </x:c>
      <x:c r="R122" s="96" t="n">
        <x:f>IFERROR(L122/F122,0)</x:f>
        <x:v>0.037037037037037035</x:v>
      </x:c>
      <x:c r="S122" s="95" t="n">
        <x:v>54</x:v>
      </x:c>
      <x:c r="T122" s="94" t="str">
        <x:v>末次点击7天</x:v>
      </x:c>
    </x:row>
    <x:row r="123">
      <x:c r="A123" s="92" t="str">
        <x:v>PROC-0122</x:v>
      </x:c>
      <x:c r="B123" s="93" t="n">
        <x:v>46044</x:v>
      </x:c>
      <x:c r="C123" s="94" t="str">
        <x:v>Google Ads</x:v>
      </x:c>
      <x:c r="D123" s="94" t="str">
        <x:v>日本</x:v>
      </x:c>
      <x:c r="E123" s="94" t="str">
        <x:v>购物广告</x:v>
      </x:c>
      <x:c r="F123" s="95" t="n">
        <x:v>53</x:v>
      </x:c>
      <x:c r="G123" s="95" t="n">
        <x:v>47</x:v>
      </x:c>
      <x:c r="H123" s="95" t="n">
        <x:v>29</x:v>
      </x:c>
      <x:c r="I123" s="95" t="n">
        <x:v>26</x:v>
      </x:c>
      <x:c r="J123" s="95" t="n">
        <x:v>13</x:v>
      </x:c>
      <x:c r="K123" s="95" t="n">
        <x:v>3</x:v>
      </x:c>
      <x:c r="L123" s="95" t="n">
        <x:v>1</x:v>
      </x:c>
      <x:c r="M123" s="96" t="n">
        <x:f>IFERROR(G123/F123,0)</x:f>
        <x:v>0.8867924528301887</x:v>
      </x:c>
      <x:c r="N123" s="96" t="n">
        <x:f>IFERROR(H123/G123,0)</x:f>
        <x:v>0.6170212765957447</x:v>
      </x:c>
      <x:c r="O123" s="96" t="n">
        <x:f>IFERROR(I123/H123,0)</x:f>
        <x:v>0.896551724137931</x:v>
      </x:c>
      <x:c r="P123" s="96" t="n">
        <x:f>IFERROR(J123/I123,0)</x:f>
        <x:v>0.5</x:v>
      </x:c>
      <x:c r="Q123" s="96" t="n">
        <x:f>IFERROR(L123/J123,0)</x:f>
        <x:v>0.07692307692307693</x:v>
      </x:c>
      <x:c r="R123" s="96" t="n">
        <x:f>IFERROR(L123/F123,0)</x:f>
        <x:v>0.018867924528301886</x:v>
      </x:c>
      <x:c r="S123" s="95" t="n">
        <x:v>147</x:v>
      </x:c>
      <x:c r="T123" s="94" t="str">
        <x:v>末次点击7天</x:v>
      </x:c>
    </x:row>
    <x:row r="124">
      <x:c r="A124" s="92" t="str">
        <x:v>PROC-0123</x:v>
      </x:c>
      <x:c r="B124" s="93" t="n">
        <x:v>46045</x:v>
      </x:c>
      <x:c r="C124" s="94" t="str">
        <x:v>Microsoft Ads</x:v>
      </x:c>
      <x:c r="D124" s="94" t="str">
        <x:v>美国</x:v>
      </x:c>
      <x:c r="E124" s="94" t="str">
        <x:v>通用搜索</x:v>
      </x:c>
      <x:c r="F124" s="95" t="n">
        <x:v>49</x:v>
      </x:c>
      <x:c r="G124" s="95" t="n">
        <x:v>46</x:v>
      </x:c>
      <x:c r="H124" s="95" t="n">
        <x:v>34</x:v>
      </x:c>
      <x:c r="I124" s="95" t="n">
        <x:v>27</x:v>
      </x:c>
      <x:c r="J124" s="95" t="n">
        <x:v>10</x:v>
      </x:c>
      <x:c r="K124" s="95" t="n">
        <x:v>2</x:v>
      </x:c>
      <x:c r="L124" s="95" t="n">
        <x:v>1</x:v>
      </x:c>
      <x:c r="M124" s="96" t="n">
        <x:f>IFERROR(G124/F124,0)</x:f>
        <x:v>0.9387755102040817</x:v>
      </x:c>
      <x:c r="N124" s="96" t="n">
        <x:f>IFERROR(H124/G124,0)</x:f>
        <x:v>0.7391304347826086</x:v>
      </x:c>
      <x:c r="O124" s="96" t="n">
        <x:f>IFERROR(I124/H124,0)</x:f>
        <x:v>0.7941176470588235</x:v>
      </x:c>
      <x:c r="P124" s="96" t="n">
        <x:f>IFERROR(J124/I124,0)</x:f>
        <x:v>0.37037037037037035</x:v>
      </x:c>
      <x:c r="Q124" s="96" t="n">
        <x:f>IFERROR(L124/J124,0)</x:f>
        <x:v>0.1</x:v>
      </x:c>
      <x:c r="R124" s="96" t="n">
        <x:f>IFERROR(L124/F124,0)</x:f>
        <x:v>0.02040816326530612</x:v>
      </x:c>
      <x:c r="S124" s="95" t="n">
        <x:v>113</x:v>
      </x:c>
      <x:c r="T124" s="94" t="str">
        <x:v>末次点击7天</x:v>
      </x:c>
    </x:row>
    <x:row r="125">
      <x:c r="A125" s="92" t="str">
        <x:v>PROC-0124</x:v>
      </x:c>
      <x:c r="B125" s="93" t="n">
        <x:v>46045</x:v>
      </x:c>
      <x:c r="C125" s="94" t="str">
        <x:v>Google Ads</x:v>
      </x:c>
      <x:c r="D125" s="94" t="str">
        <x:v>美国</x:v>
      </x:c>
      <x:c r="E125" s="94" t="str">
        <x:v>通用搜索</x:v>
      </x:c>
      <x:c r="F125" s="95" t="n">
        <x:v>49</x:v>
      </x:c>
      <x:c r="G125" s="95" t="n">
        <x:v>46</x:v>
      </x:c>
      <x:c r="H125" s="95" t="n">
        <x:v>34</x:v>
      </x:c>
      <x:c r="I125" s="95" t="n">
        <x:v>28</x:v>
      </x:c>
      <x:c r="J125" s="95" t="n">
        <x:v>12</x:v>
      </x:c>
      <x:c r="K125" s="95" t="n">
        <x:v>4</x:v>
      </x:c>
      <x:c r="L125" s="95" t="n">
        <x:v>1</x:v>
      </x:c>
      <x:c r="M125" s="96" t="n">
        <x:f>IFERROR(G125/F125,0)</x:f>
        <x:v>0.9387755102040817</x:v>
      </x:c>
      <x:c r="N125" s="96" t="n">
        <x:f>IFERROR(H125/G125,0)</x:f>
        <x:v>0.7391304347826086</x:v>
      </x:c>
      <x:c r="O125" s="96" t="n">
        <x:f>IFERROR(I125/H125,0)</x:f>
        <x:v>0.8235294117647058</x:v>
      </x:c>
      <x:c r="P125" s="96" t="n">
        <x:f>IFERROR(J125/I125,0)</x:f>
        <x:v>0.42857142857142855</x:v>
      </x:c>
      <x:c r="Q125" s="96" t="n">
        <x:f>IFERROR(L125/J125,0)</x:f>
        <x:v>0.08333333333333333</x:v>
      </x:c>
      <x:c r="R125" s="96" t="n">
        <x:f>IFERROR(L125/F125,0)</x:f>
        <x:v>0.02040816326530612</x:v>
      </x:c>
      <x:c r="S125" s="95" t="n">
        <x:v>42</x:v>
      </x:c>
      <x:c r="T125" s="94" t="str">
        <x:v>末次点击7天</x:v>
      </x:c>
    </x:row>
    <x:row r="126">
      <x:c r="A126" s="92" t="str">
        <x:v>PROC-0125</x:v>
      </x:c>
      <x:c r="B126" s="93" t="n">
        <x:v>46045</x:v>
      </x:c>
      <x:c r="C126" s="94" t="str">
        <x:v>Google Ads</x:v>
      </x:c>
      <x:c r="D126" s="94" t="str">
        <x:v>美国</x:v>
      </x:c>
      <x:c r="E126" s="94" t="str">
        <x:v>购物广告</x:v>
      </x:c>
      <x:c r="F126" s="95" t="n">
        <x:v>45</x:v>
      </x:c>
      <x:c r="G126" s="95" t="n">
        <x:v>40</x:v>
      </x:c>
      <x:c r="H126" s="95" t="n">
        <x:v>27</x:v>
      </x:c>
      <x:c r="I126" s="95" t="n">
        <x:v>23</x:v>
      </x:c>
      <x:c r="J126" s="95" t="n">
        <x:v>10</x:v>
      </x:c>
      <x:c r="K126" s="95" t="n">
        <x:v>3</x:v>
      </x:c>
      <x:c r="L126" s="95" t="n">
        <x:v>1</x:v>
      </x:c>
      <x:c r="M126" s="96" t="n">
        <x:f>IFERROR(G126/F126,0)</x:f>
        <x:v>0.8888888888888888</x:v>
      </x:c>
      <x:c r="N126" s="96" t="n">
        <x:f>IFERROR(H126/G126,0)</x:f>
        <x:v>0.675</x:v>
      </x:c>
      <x:c r="O126" s="96" t="n">
        <x:f>IFERROR(I126/H126,0)</x:f>
        <x:v>0.8518518518518519</x:v>
      </x:c>
      <x:c r="P126" s="96" t="n">
        <x:f>IFERROR(J126/I126,0)</x:f>
        <x:v>0.43478260869565216</x:v>
      </x:c>
      <x:c r="Q126" s="96" t="n">
        <x:f>IFERROR(L126/J126,0)</x:f>
        <x:v>0.1</x:v>
      </x:c>
      <x:c r="R126" s="96" t="n">
        <x:f>IFERROR(L126/F126,0)</x:f>
        <x:v>0.022222222222222223</x:v>
      </x:c>
      <x:c r="S126" s="95" t="n">
        <x:v>112</x:v>
      </x:c>
      <x:c r="T126" s="94" t="str">
        <x:v>末次点击7天</x:v>
      </x:c>
    </x:row>
    <x:row r="127">
      <x:c r="A127" s="92" t="str">
        <x:v>PROC-0126</x:v>
      </x:c>
      <x:c r="B127" s="93" t="n">
        <x:v>46045</x:v>
      </x:c>
      <x:c r="C127" s="94" t="str">
        <x:v>Microsoft Ads</x:v>
      </x:c>
      <x:c r="D127" s="94" t="str">
        <x:v>美国</x:v>
      </x:c>
      <x:c r="E127" s="94" t="str">
        <x:v>通用搜索</x:v>
      </x:c>
      <x:c r="F127" s="95" t="n">
        <x:v>49</x:v>
      </x:c>
      <x:c r="G127" s="95" t="n">
        <x:v>45</x:v>
      </x:c>
      <x:c r="H127" s="95" t="n">
        <x:v>28</x:v>
      </x:c>
      <x:c r="I127" s="95" t="n">
        <x:v>24</x:v>
      </x:c>
      <x:c r="J127" s="95" t="n">
        <x:v>10</x:v>
      </x:c>
      <x:c r="K127" s="95" t="n">
        <x:v>3</x:v>
      </x:c>
      <x:c r="L127" s="95" t="n">
        <x:v>1</x:v>
      </x:c>
      <x:c r="M127" s="96" t="n">
        <x:f>IFERROR(G127/F127,0)</x:f>
        <x:v>0.9183673469387755</x:v>
      </x:c>
      <x:c r="N127" s="96" t="n">
        <x:f>IFERROR(H127/G127,0)</x:f>
        <x:v>0.6222222222222222</x:v>
      </x:c>
      <x:c r="O127" s="96" t="n">
        <x:f>IFERROR(I127/H127,0)</x:f>
        <x:v>0.8571428571428571</x:v>
      </x:c>
      <x:c r="P127" s="96" t="n">
        <x:f>IFERROR(J127/I127,0)</x:f>
        <x:v>0.4166666666666667</x:v>
      </x:c>
      <x:c r="Q127" s="96" t="n">
        <x:f>IFERROR(L127/J127,0)</x:f>
        <x:v>0.1</x:v>
      </x:c>
      <x:c r="R127" s="96" t="n">
        <x:f>IFERROR(L127/F127,0)</x:f>
        <x:v>0.02040816326530612</x:v>
      </x:c>
      <x:c r="S127" s="95" t="n">
        <x:v>43</x:v>
      </x:c>
      <x:c r="T127" s="94" t="str">
        <x:v>末次点击7天</x:v>
      </x:c>
    </x:row>
    <x:row r="128">
      <x:c r="A128" s="92" t="str">
        <x:v>PROC-0127</x:v>
      </x:c>
      <x:c r="B128" s="93" t="n">
        <x:v>46045</x:v>
      </x:c>
      <x:c r="C128" s="94" t="str">
        <x:v>Google Ads</x:v>
      </x:c>
      <x:c r="D128" s="94" t="str">
        <x:v>美国</x:v>
      </x:c>
      <x:c r="E128" s="94" t="str">
        <x:v>品牌搜索</x:v>
      </x:c>
      <x:c r="F128" s="95" t="n">
        <x:v>53</x:v>
      </x:c>
      <x:c r="G128" s="95" t="n">
        <x:v>49</x:v>
      </x:c>
      <x:c r="H128" s="95" t="n">
        <x:v>38</x:v>
      </x:c>
      <x:c r="I128" s="95" t="n">
        <x:v>30</x:v>
      </x:c>
      <x:c r="J128" s="95" t="n">
        <x:v>13</x:v>
      </x:c>
      <x:c r="K128" s="95" t="n">
        <x:v>3</x:v>
      </x:c>
      <x:c r="L128" s="95" t="n">
        <x:v>1</x:v>
      </x:c>
      <x:c r="M128" s="96" t="n">
        <x:f>IFERROR(G128/F128,0)</x:f>
        <x:v>0.9245283018867925</x:v>
      </x:c>
      <x:c r="N128" s="96" t="n">
        <x:f>IFERROR(H128/G128,0)</x:f>
        <x:v>0.7755102040816326</x:v>
      </x:c>
      <x:c r="O128" s="96" t="n">
        <x:f>IFERROR(I128/H128,0)</x:f>
        <x:v>0.7894736842105263</x:v>
      </x:c>
      <x:c r="P128" s="96" t="n">
        <x:f>IFERROR(J128/I128,0)</x:f>
        <x:v>0.43333333333333335</x:v>
      </x:c>
      <x:c r="Q128" s="96" t="n">
        <x:f>IFERROR(L128/J128,0)</x:f>
        <x:v>0.07692307692307693</x:v>
      </x:c>
      <x:c r="R128" s="96" t="n">
        <x:f>IFERROR(L128/F128,0)</x:f>
        <x:v>0.018867924528301886</x:v>
      </x:c>
      <x:c r="S128" s="95" t="n">
        <x:v>128</x:v>
      </x:c>
      <x:c r="T128" s="94" t="str">
        <x:v>末次点击7天</x:v>
      </x:c>
    </x:row>
    <x:row r="129">
      <x:c r="A129" s="92" t="str">
        <x:v>PROC-0128</x:v>
      </x:c>
      <x:c r="B129" s="93" t="n">
        <x:v>46045</x:v>
      </x:c>
      <x:c r="C129" s="94" t="str">
        <x:v>Google Ads</x:v>
      </x:c>
      <x:c r="D129" s="94" t="str">
        <x:v>德国</x:v>
      </x:c>
      <x:c r="E129" s="94" t="str">
        <x:v>品牌搜索</x:v>
      </x:c>
      <x:c r="F129" s="95" t="n">
        <x:v>34</x:v>
      </x:c>
      <x:c r="G129" s="95" t="n">
        <x:v>30</x:v>
      </x:c>
      <x:c r="H129" s="95" t="n">
        <x:v>20</x:v>
      </x:c>
      <x:c r="I129" s="95" t="n">
        <x:v>17</x:v>
      </x:c>
      <x:c r="J129" s="95" t="n">
        <x:v>8</x:v>
      </x:c>
      <x:c r="K129" s="95" t="n">
        <x:v>3</x:v>
      </x:c>
      <x:c r="L129" s="95" t="n">
        <x:v>1</x:v>
      </x:c>
      <x:c r="M129" s="96" t="n">
        <x:f>IFERROR(G129/F129,0)</x:f>
        <x:v>0.8823529411764706</x:v>
      </x:c>
      <x:c r="N129" s="96" t="n">
        <x:f>IFERROR(H129/G129,0)</x:f>
        <x:v>0.6666666666666666</x:v>
      </x:c>
      <x:c r="O129" s="96" t="n">
        <x:f>IFERROR(I129/H129,0)</x:f>
        <x:v>0.85</x:v>
      </x:c>
      <x:c r="P129" s="96" t="n">
        <x:f>IFERROR(J129/I129,0)</x:f>
        <x:v>0.47058823529411764</x:v>
      </x:c>
      <x:c r="Q129" s="96" t="n">
        <x:f>IFERROR(L129/J129,0)</x:f>
        <x:v>0.125</x:v>
      </x:c>
      <x:c r="R129" s="96" t="n">
        <x:f>IFERROR(L129/F129,0)</x:f>
        <x:v>0.029411764705882353</x:v>
      </x:c>
      <x:c r="S129" s="95" t="n">
        <x:v>101</x:v>
      </x:c>
      <x:c r="T129" s="94" t="str">
        <x:v>末次点击7天</x:v>
      </x:c>
    </x:row>
    <x:row r="130">
      <x:c r="A130" s="92" t="str">
        <x:v>PROC-0129</x:v>
      </x:c>
      <x:c r="B130" s="93" t="n">
        <x:v>46046</x:v>
      </x:c>
      <x:c r="C130" s="94" t="str">
        <x:v>Google Ads</x:v>
      </x:c>
      <x:c r="D130" s="94" t="str">
        <x:v>美国</x:v>
      </x:c>
      <x:c r="E130" s="94" t="str">
        <x:v>通用搜索</x:v>
      </x:c>
      <x:c r="F130" s="95" t="n">
        <x:v>45</x:v>
      </x:c>
      <x:c r="G130" s="95" t="n">
        <x:v>39</x:v>
      </x:c>
      <x:c r="H130" s="95" t="n">
        <x:v>28</x:v>
      </x:c>
      <x:c r="I130" s="95" t="n">
        <x:v>24</x:v>
      </x:c>
      <x:c r="J130" s="95" t="n">
        <x:v>10</x:v>
      </x:c>
      <x:c r="K130" s="95" t="n">
        <x:v>3</x:v>
      </x:c>
      <x:c r="L130" s="95" t="n">
        <x:v>1</x:v>
      </x:c>
      <x:c r="M130" s="96" t="n">
        <x:f>IFERROR(G130/F130,0)</x:f>
        <x:v>0.8666666666666667</x:v>
      </x:c>
      <x:c r="N130" s="96" t="n">
        <x:f>IFERROR(H130/G130,0)</x:f>
        <x:v>0.717948717948718</x:v>
      </x:c>
      <x:c r="O130" s="96" t="n">
        <x:f>IFERROR(I130/H130,0)</x:f>
        <x:v>0.8571428571428571</x:v>
      </x:c>
      <x:c r="P130" s="96" t="n">
        <x:f>IFERROR(J130/I130,0)</x:f>
        <x:v>0.4166666666666667</x:v>
      </x:c>
      <x:c r="Q130" s="96" t="n">
        <x:f>IFERROR(L130/J130,0)</x:f>
        <x:v>0.1</x:v>
      </x:c>
      <x:c r="R130" s="96" t="n">
        <x:f>IFERROR(L130/F130,0)</x:f>
        <x:v>0.022222222222222223</x:v>
      </x:c>
      <x:c r="S130" s="95" t="n">
        <x:v>123</x:v>
      </x:c>
      <x:c r="T130" s="94" t="str">
        <x:v>末次点击7天</x:v>
      </x:c>
    </x:row>
    <x:row r="131">
      <x:c r="A131" s="92" t="str">
        <x:v>PROC-0130</x:v>
      </x:c>
      <x:c r="B131" s="93" t="n">
        <x:v>46046</x:v>
      </x:c>
      <x:c r="C131" s="94" t="str">
        <x:v>Microsoft Ads</x:v>
      </x:c>
      <x:c r="D131" s="94" t="str">
        <x:v>日本</x:v>
      </x:c>
      <x:c r="E131" s="94" t="str">
        <x:v>购物广告</x:v>
      </x:c>
      <x:c r="F131" s="95" t="n">
        <x:v>63</x:v>
      </x:c>
      <x:c r="G131" s="95" t="n">
        <x:v>58</x:v>
      </x:c>
      <x:c r="H131" s="95" t="n">
        <x:v>42</x:v>
      </x:c>
      <x:c r="I131" s="95" t="n">
        <x:v>38</x:v>
      </x:c>
      <x:c r="J131" s="95" t="n">
        <x:v>19</x:v>
      </x:c>
      <x:c r="K131" s="95" t="n">
        <x:v>5</x:v>
      </x:c>
      <x:c r="L131" s="95" t="n">
        <x:v>2</x:v>
      </x:c>
      <x:c r="M131" s="96" t="n">
        <x:f>IFERROR(G131/F131,0)</x:f>
        <x:v>0.9206349206349206</x:v>
      </x:c>
      <x:c r="N131" s="96" t="n">
        <x:f>IFERROR(H131/G131,0)</x:f>
        <x:v>0.7241379310344828</x:v>
      </x:c>
      <x:c r="O131" s="96" t="n">
        <x:f>IFERROR(I131/H131,0)</x:f>
        <x:v>0.9047619047619048</x:v>
      </x:c>
      <x:c r="P131" s="96" t="n">
        <x:f>IFERROR(J131/I131,0)</x:f>
        <x:v>0.5</x:v>
      </x:c>
      <x:c r="Q131" s="96" t="n">
        <x:f>IFERROR(L131/J131,0)</x:f>
        <x:v>0.10526315789473684</x:v>
      </x:c>
      <x:c r="R131" s="96" t="n">
        <x:f>IFERROR(L131/F131,0)</x:f>
        <x:v>0.031746031746031744</x:v>
      </x:c>
      <x:c r="S131" s="95" t="n">
        <x:v>150</x:v>
      </x:c>
      <x:c r="T131" s="94" t="str">
        <x:v>末次点击7天</x:v>
      </x:c>
    </x:row>
    <x:row r="132">
      <x:c r="A132" s="92" t="str">
        <x:v>PROC-0131</x:v>
      </x:c>
      <x:c r="B132" s="93" t="n">
        <x:v>46046</x:v>
      </x:c>
      <x:c r="C132" s="94" t="str">
        <x:v>Google Ads</x:v>
      </x:c>
      <x:c r="D132" s="94" t="str">
        <x:v>德国</x:v>
      </x:c>
      <x:c r="E132" s="94" t="str">
        <x:v>竞品搜索</x:v>
      </x:c>
      <x:c r="F132" s="95" t="n">
        <x:v>22</x:v>
      </x:c>
      <x:c r="G132" s="95" t="n">
        <x:v>21</x:v>
      </x:c>
      <x:c r="H132" s="95" t="n">
        <x:v>15</x:v>
      </x:c>
      <x:c r="I132" s="95" t="n">
        <x:v>13</x:v>
      </x:c>
      <x:c r="J132" s="95" t="n">
        <x:v>5</x:v>
      </x:c>
      <x:c r="K132" s="95" t="n">
        <x:v>2</x:v>
      </x:c>
      <x:c r="L132" s="95" t="n">
        <x:v>0</x:v>
      </x:c>
      <x:c r="M132" s="96" t="n">
        <x:f>IFERROR(G132/F132,0)</x:f>
        <x:v>0.9545454545454546</x:v>
      </x:c>
      <x:c r="N132" s="96" t="n">
        <x:f>IFERROR(H132/G132,0)</x:f>
        <x:v>0.7142857142857143</x:v>
      </x:c>
      <x:c r="O132" s="96" t="n">
        <x:f>IFERROR(I132/H132,0)</x:f>
        <x:v>0.8666666666666667</x:v>
      </x:c>
      <x:c r="P132" s="96" t="n">
        <x:f>IFERROR(J132/I132,0)</x:f>
        <x:v>0.38461538461538464</x:v>
      </x:c>
      <x:c r="Q132" s="96" t="n">
        <x:f>IFERROR(L132/J132,0)</x:f>
        <x:v>0</x:v>
      </x:c>
      <x:c r="R132" s="96" t="n">
        <x:f>IFERROR(L132/F132,0)</x:f>
        <x:v>0</x:v>
      </x:c>
      <x:c r="S132" s="95" t="n">
        <x:v>44</x:v>
      </x:c>
      <x:c r="T132" s="94" t="str">
        <x:v>末次点击7天</x:v>
      </x:c>
    </x:row>
    <x:row r="133">
      <x:c r="A133" s="92" t="str">
        <x:v>PROC-0132</x:v>
      </x:c>
      <x:c r="B133" s="93" t="n">
        <x:v>46046</x:v>
      </x:c>
      <x:c r="C133" s="94" t="str">
        <x:v>Microsoft Ads</x:v>
      </x:c>
      <x:c r="D133" s="94" t="str">
        <x:v>英国</x:v>
      </x:c>
      <x:c r="E133" s="94" t="str">
        <x:v>通用搜索</x:v>
      </x:c>
      <x:c r="F133" s="95" t="n">
        <x:v>38</x:v>
      </x:c>
      <x:c r="G133" s="95" t="n">
        <x:v>35</x:v>
      </x:c>
      <x:c r="H133" s="95" t="n">
        <x:v>27</x:v>
      </x:c>
      <x:c r="I133" s="95" t="n">
        <x:v>23</x:v>
      </x:c>
      <x:c r="J133" s="95" t="n">
        <x:v>9</x:v>
      </x:c>
      <x:c r="K133" s="95" t="n">
        <x:v>3</x:v>
      </x:c>
      <x:c r="L133" s="95" t="n">
        <x:v>1</x:v>
      </x:c>
      <x:c r="M133" s="96" t="n">
        <x:f>IFERROR(G133/F133,0)</x:f>
        <x:v>0.9210526315789473</x:v>
      </x:c>
      <x:c r="N133" s="96" t="n">
        <x:f>IFERROR(H133/G133,0)</x:f>
        <x:v>0.7714285714285715</x:v>
      </x:c>
      <x:c r="O133" s="96" t="n">
        <x:f>IFERROR(I133/H133,0)</x:f>
        <x:v>0.8518518518518519</x:v>
      </x:c>
      <x:c r="P133" s="96" t="n">
        <x:f>IFERROR(J133/I133,0)</x:f>
        <x:v>0.391304347826087</x:v>
      </x:c>
      <x:c r="Q133" s="96" t="n">
        <x:f>IFERROR(L133/J133,0)</x:f>
        <x:v>0.1111111111111111</x:v>
      </x:c>
      <x:c r="R133" s="96" t="n">
        <x:f>IFERROR(L133/F133,0)</x:f>
        <x:v>0.02631578947368421</x:v>
      </x:c>
      <x:c r="S133" s="95" t="n">
        <x:v>97</x:v>
      </x:c>
      <x:c r="T133" s="94" t="str">
        <x:v>末次点击7天</x:v>
      </x:c>
    </x:row>
    <x:row r="134">
      <x:c r="A134" s="92" t="str">
        <x:v>PROC-0133</x:v>
      </x:c>
      <x:c r="B134" s="93" t="n">
        <x:v>46046</x:v>
      </x:c>
      <x:c r="C134" s="94" t="str">
        <x:v>Google Ads</x:v>
      </x:c>
      <x:c r="D134" s="94" t="str">
        <x:v>德国</x:v>
      </x:c>
      <x:c r="E134" s="94" t="str">
        <x:v>品牌搜索</x:v>
      </x:c>
      <x:c r="F134" s="95" t="n">
        <x:v>54</x:v>
      </x:c>
      <x:c r="G134" s="95" t="n">
        <x:v>48</x:v>
      </x:c>
      <x:c r="H134" s="95" t="n">
        <x:v>33</x:v>
      </x:c>
      <x:c r="I134" s="95" t="n">
        <x:v>29</x:v>
      </x:c>
      <x:c r="J134" s="95" t="n">
        <x:v>16</x:v>
      </x:c>
      <x:c r="K134" s="95" t="n">
        <x:v>4</x:v>
      </x:c>
      <x:c r="L134" s="95" t="n">
        <x:v>2</x:v>
      </x:c>
      <x:c r="M134" s="96" t="n">
        <x:f>IFERROR(G134/F134,0)</x:f>
        <x:v>0.8888888888888888</x:v>
      </x:c>
      <x:c r="N134" s="96" t="n">
        <x:f>IFERROR(H134/G134,0)</x:f>
        <x:v>0.6875</x:v>
      </x:c>
      <x:c r="O134" s="96" t="n">
        <x:f>IFERROR(I134/H134,0)</x:f>
        <x:v>0.8787878787878788</x:v>
      </x:c>
      <x:c r="P134" s="96" t="n">
        <x:f>IFERROR(J134/I134,0)</x:f>
        <x:v>0.5517241379310345</x:v>
      </x:c>
      <x:c r="Q134" s="96" t="n">
        <x:f>IFERROR(L134/J134,0)</x:f>
        <x:v>0.125</x:v>
      </x:c>
      <x:c r="R134" s="96" t="n">
        <x:f>IFERROR(L134/F134,0)</x:f>
        <x:v>0.037037037037037035</x:v>
      </x:c>
      <x:c r="S134" s="95" t="n">
        <x:v>101</x:v>
      </x:c>
      <x:c r="T134" s="94" t="str">
        <x:v>末次点击7天</x:v>
      </x:c>
    </x:row>
    <x:row r="135">
      <x:c r="A135" s="92" t="str">
        <x:v>PROC-0134</x:v>
      </x:c>
      <x:c r="B135" s="93" t="n">
        <x:v>46047</x:v>
      </x:c>
      <x:c r="C135" s="94" t="str">
        <x:v>Google Ads</x:v>
      </x:c>
      <x:c r="D135" s="94" t="str">
        <x:v>美国</x:v>
      </x:c>
      <x:c r="E135" s="94" t="str">
        <x:v>品牌搜索</x:v>
      </x:c>
      <x:c r="F135" s="95" t="n">
        <x:v>56</x:v>
      </x:c>
      <x:c r="G135" s="95" t="n">
        <x:v>53</x:v>
      </x:c>
      <x:c r="H135" s="95" t="n">
        <x:v>38</x:v>
      </x:c>
      <x:c r="I135" s="95" t="n">
        <x:v>32</x:v>
      </x:c>
      <x:c r="J135" s="95" t="n">
        <x:v>15</x:v>
      </x:c>
      <x:c r="K135" s="95" t="n">
        <x:v>3</x:v>
      </x:c>
      <x:c r="L135" s="95" t="n">
        <x:v>1</x:v>
      </x:c>
      <x:c r="M135" s="96" t="n">
        <x:f>IFERROR(G135/F135,0)</x:f>
        <x:v>0.9464285714285714</x:v>
      </x:c>
      <x:c r="N135" s="96" t="n">
        <x:f>IFERROR(H135/G135,0)</x:f>
        <x:v>0.7169811320754716</x:v>
      </x:c>
      <x:c r="O135" s="96" t="n">
        <x:f>IFERROR(I135/H135,0)</x:f>
        <x:v>0.8421052631578947</x:v>
      </x:c>
      <x:c r="P135" s="96" t="n">
        <x:f>IFERROR(J135/I135,0)</x:f>
        <x:v>0.46875</x:v>
      </x:c>
      <x:c r="Q135" s="96" t="n">
        <x:f>IFERROR(L135/J135,0)</x:f>
        <x:v>0.06666666666666667</x:v>
      </x:c>
      <x:c r="R135" s="96" t="n">
        <x:f>IFERROR(L135/F135,0)</x:f>
        <x:v>0.017857142857142856</x:v>
      </x:c>
      <x:c r="S135" s="95" t="n">
        <x:v>58</x:v>
      </x:c>
      <x:c r="T135" s="94" t="str">
        <x:v>末次点击7天</x:v>
      </x:c>
    </x:row>
    <x:row r="136">
      <x:c r="A136" s="92" t="str">
        <x:v>PROC-0135</x:v>
      </x:c>
      <x:c r="B136" s="93" t="n">
        <x:v>46047</x:v>
      </x:c>
      <x:c r="C136" s="94" t="str">
        <x:v>Google Ads</x:v>
      </x:c>
      <x:c r="D136" s="94" t="str">
        <x:v>美国</x:v>
      </x:c>
      <x:c r="E136" s="94" t="str">
        <x:v>品牌搜索</x:v>
      </x:c>
      <x:c r="F136" s="95" t="n">
        <x:v>48</x:v>
      </x:c>
      <x:c r="G136" s="95" t="n">
        <x:v>45</x:v>
      </x:c>
      <x:c r="H136" s="95" t="n">
        <x:v>35</x:v>
      </x:c>
      <x:c r="I136" s="95" t="n">
        <x:v>29</x:v>
      </x:c>
      <x:c r="J136" s="95" t="n">
        <x:v>14</x:v>
      </x:c>
      <x:c r="K136" s="95" t="n">
        <x:v>5</x:v>
      </x:c>
      <x:c r="L136" s="95" t="n">
        <x:v>1</x:v>
      </x:c>
      <x:c r="M136" s="96" t="n">
        <x:f>IFERROR(G136/F136,0)</x:f>
        <x:v>0.9375</x:v>
      </x:c>
      <x:c r="N136" s="96" t="n">
        <x:f>IFERROR(H136/G136,0)</x:f>
        <x:v>0.7777777777777778</x:v>
      </x:c>
      <x:c r="O136" s="96" t="n">
        <x:f>IFERROR(I136/H136,0)</x:f>
        <x:v>0.8285714285714286</x:v>
      </x:c>
      <x:c r="P136" s="96" t="n">
        <x:f>IFERROR(J136/I136,0)</x:f>
        <x:v>0.4827586206896552</x:v>
      </x:c>
      <x:c r="Q136" s="96" t="n">
        <x:f>IFERROR(L136/J136,0)</x:f>
        <x:v>0.07142857142857142</x:v>
      </x:c>
      <x:c r="R136" s="96" t="n">
        <x:f>IFERROR(L136/F136,0)</x:f>
        <x:v>0.020833333333333332</x:v>
      </x:c>
      <x:c r="S136" s="95" t="n">
        <x:v>104</x:v>
      </x:c>
      <x:c r="T136" s="94" t="str">
        <x:v>末次点击7天</x:v>
      </x:c>
    </x:row>
    <x:row r="137">
      <x:c r="A137" s="92" t="str">
        <x:v>PROC-0136</x:v>
      </x:c>
      <x:c r="B137" s="93" t="n">
        <x:v>46047</x:v>
      </x:c>
      <x:c r="C137" s="94" t="str">
        <x:v>Google Ads</x:v>
      </x:c>
      <x:c r="D137" s="94" t="str">
        <x:v>美国</x:v>
      </x:c>
      <x:c r="E137" s="94" t="str">
        <x:v>品牌搜索</x:v>
      </x:c>
      <x:c r="F137" s="95" t="n">
        <x:v>66</x:v>
      </x:c>
      <x:c r="G137" s="95" t="n">
        <x:v>63</x:v>
      </x:c>
      <x:c r="H137" s="95" t="n">
        <x:v>45</x:v>
      </x:c>
      <x:c r="I137" s="95" t="n">
        <x:v>36</x:v>
      </x:c>
      <x:c r="J137" s="95" t="n">
        <x:v>16</x:v>
      </x:c>
      <x:c r="K137" s="95" t="n">
        <x:v>5</x:v>
      </x:c>
      <x:c r="L137" s="95" t="n">
        <x:v>2</x:v>
      </x:c>
      <x:c r="M137" s="96" t="n">
        <x:f>IFERROR(G137/F137,0)</x:f>
        <x:v>0.9545454545454546</x:v>
      </x:c>
      <x:c r="N137" s="96" t="n">
        <x:f>IFERROR(H137/G137,0)</x:f>
        <x:v>0.7142857142857143</x:v>
      </x:c>
      <x:c r="O137" s="96" t="n">
        <x:f>IFERROR(I137/H137,0)</x:f>
        <x:v>0.8</x:v>
      </x:c>
      <x:c r="P137" s="96" t="n">
        <x:f>IFERROR(J137/I137,0)</x:f>
        <x:v>0.4444444444444444</x:v>
      </x:c>
      <x:c r="Q137" s="96" t="n">
        <x:f>IFERROR(L137/J137,0)</x:f>
        <x:v>0.125</x:v>
      </x:c>
      <x:c r="R137" s="96" t="n">
        <x:f>IFERROR(L137/F137,0)</x:f>
        <x:v>0.030303030303030304</x:v>
      </x:c>
      <x:c r="S137" s="95" t="n">
        <x:v>115</x:v>
      </x:c>
      <x:c r="T137" s="94" t="str">
        <x:v>末次点击7天</x:v>
      </x:c>
    </x:row>
    <x:row r="138">
      <x:c r="A138" s="92" t="str">
        <x:v>PROC-0137</x:v>
      </x:c>
      <x:c r="B138" s="93" t="n">
        <x:v>46047</x:v>
      </x:c>
      <x:c r="C138" s="94" t="str">
        <x:v>Google Ads</x:v>
      </x:c>
      <x:c r="D138" s="94" t="str">
        <x:v>德国</x:v>
      </x:c>
      <x:c r="E138" s="94" t="str">
        <x:v>通用搜索</x:v>
      </x:c>
      <x:c r="F138" s="95" t="n">
        <x:v>41</x:v>
      </x:c>
      <x:c r="G138" s="95" t="n">
        <x:v>37</x:v>
      </x:c>
      <x:c r="H138" s="95" t="n">
        <x:v>24</x:v>
      </x:c>
      <x:c r="I138" s="95" t="n">
        <x:v>20</x:v>
      </x:c>
      <x:c r="J138" s="95" t="n">
        <x:v>9</x:v>
      </x:c>
      <x:c r="K138" s="95" t="n">
        <x:v>2</x:v>
      </x:c>
      <x:c r="L138" s="95" t="n">
        <x:v>1</x:v>
      </x:c>
      <x:c r="M138" s="96" t="n">
        <x:f>IFERROR(G138/F138,0)</x:f>
        <x:v>0.9024390243902439</x:v>
      </x:c>
      <x:c r="N138" s="96" t="n">
        <x:f>IFERROR(H138/G138,0)</x:f>
        <x:v>0.6486486486486487</x:v>
      </x:c>
      <x:c r="O138" s="96" t="n">
        <x:f>IFERROR(I138/H138,0)</x:f>
        <x:v>0.8333333333333334</x:v>
      </x:c>
      <x:c r="P138" s="96" t="n">
        <x:f>IFERROR(J138/I138,0)</x:f>
        <x:v>0.45</x:v>
      </x:c>
      <x:c r="Q138" s="96" t="n">
        <x:f>IFERROR(L138/J138,0)</x:f>
        <x:v>0.1111111111111111</x:v>
      </x:c>
      <x:c r="R138" s="96" t="n">
        <x:f>IFERROR(L138/F138,0)</x:f>
        <x:v>0.024390243902439025</x:v>
      </x:c>
      <x:c r="S138" s="95" t="n">
        <x:v>73</x:v>
      </x:c>
      <x:c r="T138" s="94" t="str">
        <x:v>末次点击7天</x:v>
      </x:c>
    </x:row>
    <x:row r="139">
      <x:c r="A139" s="92" t="str">
        <x:v>PROC-0138</x:v>
      </x:c>
      <x:c r="B139" s="93" t="n">
        <x:v>46047</x:v>
      </x:c>
      <x:c r="C139" s="94" t="str">
        <x:v>Microsoft Ads</x:v>
      </x:c>
      <x:c r="D139" s="94" t="str">
        <x:v>英国</x:v>
      </x:c>
      <x:c r="E139" s="94" t="str">
        <x:v>购物广告</x:v>
      </x:c>
      <x:c r="F139" s="95" t="n">
        <x:v>72</x:v>
      </x:c>
      <x:c r="G139" s="95" t="n">
        <x:v>67</x:v>
      </x:c>
      <x:c r="H139" s="95" t="n">
        <x:v>53</x:v>
      </x:c>
      <x:c r="I139" s="95" t="n">
        <x:v>45</x:v>
      </x:c>
      <x:c r="J139" s="95" t="n">
        <x:v>19</x:v>
      </x:c>
      <x:c r="K139" s="95" t="n">
        <x:v>4</x:v>
      </x:c>
      <x:c r="L139" s="95" t="n">
        <x:v>2</x:v>
      </x:c>
      <x:c r="M139" s="96" t="n">
        <x:f>IFERROR(G139/F139,0)</x:f>
        <x:v>0.9305555555555556</x:v>
      </x:c>
      <x:c r="N139" s="96" t="n">
        <x:f>IFERROR(H139/G139,0)</x:f>
        <x:v>0.7910447761194029</x:v>
      </x:c>
      <x:c r="O139" s="96" t="n">
        <x:f>IFERROR(I139/H139,0)</x:f>
        <x:v>0.8490566037735849</x:v>
      </x:c>
      <x:c r="P139" s="96" t="n">
        <x:f>IFERROR(J139/I139,0)</x:f>
        <x:v>0.4222222222222222</x:v>
      </x:c>
      <x:c r="Q139" s="96" t="n">
        <x:f>IFERROR(L139/J139,0)</x:f>
        <x:v>0.10526315789473684</x:v>
      </x:c>
      <x:c r="R139" s="96" t="n">
        <x:f>IFERROR(L139/F139,0)</x:f>
        <x:v>0.027777777777777776</x:v>
      </x:c>
      <x:c r="S139" s="95" t="n">
        <x:v>115</x:v>
      </x:c>
      <x:c r="T139" s="94" t="str">
        <x:v>末次点击7天</x:v>
      </x:c>
    </x:row>
    <x:row r="140">
      <x:c r="A140" s="92" t="str">
        <x:v>PROC-0139</x:v>
      </x:c>
      <x:c r="B140" s="93" t="n">
        <x:v>46047</x:v>
      </x:c>
      <x:c r="C140" s="94" t="str">
        <x:v>Microsoft Ads</x:v>
      </x:c>
      <x:c r="D140" s="94" t="str">
        <x:v>德国</x:v>
      </x:c>
      <x:c r="E140" s="94" t="str">
        <x:v>竞品搜索</x:v>
      </x:c>
      <x:c r="F140" s="95" t="n">
        <x:v>28</x:v>
      </x:c>
      <x:c r="G140" s="95" t="n">
        <x:v>27</x:v>
      </x:c>
      <x:c r="H140" s="95" t="n">
        <x:v>18</x:v>
      </x:c>
      <x:c r="I140" s="95" t="n">
        <x:v>15</x:v>
      </x:c>
      <x:c r="J140" s="95" t="n">
        <x:v>6</x:v>
      </x:c>
      <x:c r="K140" s="95" t="n">
        <x:v>2</x:v>
      </x:c>
      <x:c r="L140" s="95" t="n">
        <x:v>0</x:v>
      </x:c>
      <x:c r="M140" s="96" t="n">
        <x:f>IFERROR(G140/F140,0)</x:f>
        <x:v>0.9642857142857143</x:v>
      </x:c>
      <x:c r="N140" s="96" t="n">
        <x:f>IFERROR(H140/G140,0)</x:f>
        <x:v>0.6666666666666666</x:v>
      </x:c>
      <x:c r="O140" s="96" t="n">
        <x:f>IFERROR(I140/H140,0)</x:f>
        <x:v>0.8333333333333334</x:v>
      </x:c>
      <x:c r="P140" s="96" t="n">
        <x:f>IFERROR(J140/I140,0)</x:f>
        <x:v>0.4</x:v>
      </x:c>
      <x:c r="Q140" s="96" t="n">
        <x:f>IFERROR(L140/J140,0)</x:f>
        <x:v>0</x:v>
      </x:c>
      <x:c r="R140" s="96" t="n">
        <x:f>IFERROR(L140/F140,0)</x:f>
        <x:v>0</x:v>
      </x:c>
      <x:c r="S140" s="95" t="n">
        <x:v>57</x:v>
      </x:c>
      <x:c r="T140" s="94" t="str">
        <x:v>末次点击7天</x:v>
      </x:c>
    </x:row>
    <x:row r="141">
      <x:c r="A141" s="92" t="str">
        <x:v>PROC-0140</x:v>
      </x:c>
      <x:c r="B141" s="93" t="n">
        <x:v>46048</x:v>
      </x:c>
      <x:c r="C141" s="94" t="str">
        <x:v>Microsoft Ads</x:v>
      </x:c>
      <x:c r="D141" s="94" t="str">
        <x:v>美国</x:v>
      </x:c>
      <x:c r="E141" s="94" t="str">
        <x:v>购物广告</x:v>
      </x:c>
      <x:c r="F141" s="95" t="n">
        <x:v>56</x:v>
      </x:c>
      <x:c r="G141" s="95" t="n">
        <x:v>53</x:v>
      </x:c>
      <x:c r="H141" s="95" t="n">
        <x:v>36</x:v>
      </x:c>
      <x:c r="I141" s="95" t="n">
        <x:v>32</x:v>
      </x:c>
      <x:c r="J141" s="95" t="n">
        <x:v>16</x:v>
      </x:c>
      <x:c r="K141" s="95" t="n">
        <x:v>5</x:v>
      </x:c>
      <x:c r="L141" s="95" t="n">
        <x:v>2</x:v>
      </x:c>
      <x:c r="M141" s="96" t="n">
        <x:f>IFERROR(G141/F141,0)</x:f>
        <x:v>0.9464285714285714</x:v>
      </x:c>
      <x:c r="N141" s="96" t="n">
        <x:f>IFERROR(H141/G141,0)</x:f>
        <x:v>0.6792452830188679</x:v>
      </x:c>
      <x:c r="O141" s="96" t="n">
        <x:f>IFERROR(I141/H141,0)</x:f>
        <x:v>0.8888888888888888</x:v>
      </x:c>
      <x:c r="P141" s="96" t="n">
        <x:f>IFERROR(J141/I141,0)</x:f>
        <x:v>0.5</x:v>
      </x:c>
      <x:c r="Q141" s="96" t="n">
        <x:f>IFERROR(L141/J141,0)</x:f>
        <x:v>0.125</x:v>
      </x:c>
      <x:c r="R141" s="96" t="n">
        <x:f>IFERROR(L141/F141,0)</x:f>
        <x:v>0.03571428571428571</x:v>
      </x:c>
      <x:c r="S141" s="95" t="n">
        <x:v>146</x:v>
      </x:c>
      <x:c r="T141" s="94" t="str">
        <x:v>末次点击7天</x:v>
      </x:c>
    </x:row>
    <x:row r="142">
      <x:c r="A142" s="92" t="str">
        <x:v>PROC-0141</x:v>
      </x:c>
      <x:c r="B142" s="93" t="n">
        <x:v>46048</x:v>
      </x:c>
      <x:c r="C142" s="94" t="str">
        <x:v>Microsoft Ads</x:v>
      </x:c>
      <x:c r="D142" s="94" t="str">
        <x:v>英国</x:v>
      </x:c>
      <x:c r="E142" s="94" t="str">
        <x:v>购物广告</x:v>
      </x:c>
      <x:c r="F142" s="95" t="n">
        <x:v>30</x:v>
      </x:c>
      <x:c r="G142" s="95" t="n">
        <x:v>27</x:v>
      </x:c>
      <x:c r="H142" s="95" t="n">
        <x:v>20</x:v>
      </x:c>
      <x:c r="I142" s="95" t="n">
        <x:v>18</x:v>
      </x:c>
      <x:c r="J142" s="95" t="n">
        <x:v>9</x:v>
      </x:c>
      <x:c r="K142" s="95" t="n">
        <x:v>3</x:v>
      </x:c>
      <x:c r="L142" s="95" t="n">
        <x:v>1</x:v>
      </x:c>
      <x:c r="M142" s="96" t="n">
        <x:f>IFERROR(G142/F142,0)</x:f>
        <x:v>0.9</x:v>
      </x:c>
      <x:c r="N142" s="96" t="n">
        <x:f>IFERROR(H142/G142,0)</x:f>
        <x:v>0.7407407407407407</x:v>
      </x:c>
      <x:c r="O142" s="96" t="n">
        <x:f>IFERROR(I142/H142,0)</x:f>
        <x:v>0.9</x:v>
      </x:c>
      <x:c r="P142" s="96" t="n">
        <x:f>IFERROR(J142/I142,0)</x:f>
        <x:v>0.5</x:v>
      </x:c>
      <x:c r="Q142" s="96" t="n">
        <x:f>IFERROR(L142/J142,0)</x:f>
        <x:v>0.1111111111111111</x:v>
      </x:c>
      <x:c r="R142" s="96" t="n">
        <x:f>IFERROR(L142/F142,0)</x:f>
        <x:v>0.03333333333333333</x:v>
      </x:c>
      <x:c r="S142" s="95" t="n">
        <x:v>79</x:v>
      </x:c>
      <x:c r="T142" s="94" t="str">
        <x:v>末次点击7天</x:v>
      </x:c>
    </x:row>
    <x:row r="143">
      <x:c r="A143" s="92" t="str">
        <x:v>PROC-0142</x:v>
      </x:c>
      <x:c r="B143" s="93" t="n">
        <x:v>46048</x:v>
      </x:c>
      <x:c r="C143" s="94" t="str">
        <x:v>Microsoft Ads</x:v>
      </x:c>
      <x:c r="D143" s="94" t="str">
        <x:v>美国</x:v>
      </x:c>
      <x:c r="E143" s="94" t="str">
        <x:v>通用搜索</x:v>
      </x:c>
      <x:c r="F143" s="95" t="n">
        <x:v>24</x:v>
      </x:c>
      <x:c r="G143" s="95" t="n">
        <x:v>21</x:v>
      </x:c>
      <x:c r="H143" s="95" t="n">
        <x:v>17</x:v>
      </x:c>
      <x:c r="I143" s="95" t="n">
        <x:v>14</x:v>
      </x:c>
      <x:c r="J143" s="95" t="n">
        <x:v>5</x:v>
      </x:c>
      <x:c r="K143" s="95" t="n">
        <x:v>2</x:v>
      </x:c>
      <x:c r="L143" s="95" t="n">
        <x:v>0</x:v>
      </x:c>
      <x:c r="M143" s="96" t="n">
        <x:f>IFERROR(G143/F143,0)</x:f>
        <x:v>0.875</x:v>
      </x:c>
      <x:c r="N143" s="96" t="n">
        <x:f>IFERROR(H143/G143,0)</x:f>
        <x:v>0.8095238095238095</x:v>
      </x:c>
      <x:c r="O143" s="96" t="n">
        <x:f>IFERROR(I143/H143,0)</x:f>
        <x:v>0.8235294117647058</x:v>
      </x:c>
      <x:c r="P143" s="96" t="n">
        <x:f>IFERROR(J143/I143,0)</x:f>
        <x:v>0.35714285714285715</x:v>
      </x:c>
      <x:c r="Q143" s="96" t="n">
        <x:f>IFERROR(L143/J143,0)</x:f>
        <x:v>0</x:v>
      </x:c>
      <x:c r="R143" s="96" t="n">
        <x:f>IFERROR(L143/F143,0)</x:f>
        <x:v>0</x:v>
      </x:c>
      <x:c r="S143" s="95" t="n">
        <x:v>111</x:v>
      </x:c>
      <x:c r="T143" s="94" t="str">
        <x:v>末次点击7天</x:v>
      </x:c>
    </x:row>
    <x:row r="144">
      <x:c r="A144" s="92" t="str">
        <x:v>PROC-0143</x:v>
      </x:c>
      <x:c r="B144" s="93" t="n">
        <x:v>46048</x:v>
      </x:c>
      <x:c r="C144" s="94" t="str">
        <x:v>Microsoft Ads</x:v>
      </x:c>
      <x:c r="D144" s="94" t="str">
        <x:v>德国</x:v>
      </x:c>
      <x:c r="E144" s="94" t="str">
        <x:v>品牌搜索</x:v>
      </x:c>
      <x:c r="F144" s="95" t="n">
        <x:v>78</x:v>
      </x:c>
      <x:c r="G144" s="95" t="n">
        <x:v>73</x:v>
      </x:c>
      <x:c r="H144" s="95" t="n">
        <x:v>46</x:v>
      </x:c>
      <x:c r="I144" s="95" t="n">
        <x:v>40</x:v>
      </x:c>
      <x:c r="J144" s="95" t="n">
        <x:v>21</x:v>
      </x:c>
      <x:c r="K144" s="95" t="n">
        <x:v>6</x:v>
      </x:c>
      <x:c r="L144" s="95" t="n">
        <x:v>2</x:v>
      </x:c>
      <x:c r="M144" s="96" t="n">
        <x:f>IFERROR(G144/F144,0)</x:f>
        <x:v>0.9358974358974359</x:v>
      </x:c>
      <x:c r="N144" s="96" t="n">
        <x:f>IFERROR(H144/G144,0)</x:f>
        <x:v>0.6301369863013698</x:v>
      </x:c>
      <x:c r="O144" s="96" t="n">
        <x:f>IFERROR(I144/H144,0)</x:f>
        <x:v>0.8695652173913043</x:v>
      </x:c>
      <x:c r="P144" s="96" t="n">
        <x:f>IFERROR(J144/I144,0)</x:f>
        <x:v>0.525</x:v>
      </x:c>
      <x:c r="Q144" s="96" t="n">
        <x:f>IFERROR(L144/J144,0)</x:f>
        <x:v>0.09523809523809523</x:v>
      </x:c>
      <x:c r="R144" s="96" t="n">
        <x:f>IFERROR(L144/F144,0)</x:f>
        <x:v>0.02564102564102564</x:v>
      </x:c>
      <x:c r="S144" s="95" t="n">
        <x:v>48</x:v>
      </x:c>
      <x:c r="T144" s="94" t="str">
        <x:v>末次点击7天</x:v>
      </x:c>
    </x:row>
    <x:row r="145">
      <x:c r="A145" s="92" t="str">
        <x:v>PROC-0144</x:v>
      </x:c>
      <x:c r="B145" s="93" t="n">
        <x:v>46048</x:v>
      </x:c>
      <x:c r="C145" s="94" t="str">
        <x:v>Google Ads</x:v>
      </x:c>
      <x:c r="D145" s="94" t="str">
        <x:v>英国</x:v>
      </x:c>
      <x:c r="E145" s="94" t="str">
        <x:v>竞品搜索</x:v>
      </x:c>
      <x:c r="F145" s="95" t="n">
        <x:v>33</x:v>
      </x:c>
      <x:c r="G145" s="95" t="n">
        <x:v>30</x:v>
      </x:c>
      <x:c r="H145" s="95" t="n">
        <x:v>19</x:v>
      </x:c>
      <x:c r="I145" s="95" t="n">
        <x:v>16</x:v>
      </x:c>
      <x:c r="J145" s="95" t="n">
        <x:v>7</x:v>
      </x:c>
      <x:c r="K145" s="95" t="n">
        <x:v>2</x:v>
      </x:c>
      <x:c r="L145" s="95" t="n">
        <x:v>0</x:v>
      </x:c>
      <x:c r="M145" s="96" t="n">
        <x:f>IFERROR(G145/F145,0)</x:f>
        <x:v>0.9090909090909091</x:v>
      </x:c>
      <x:c r="N145" s="96" t="n">
        <x:f>IFERROR(H145/G145,0)</x:f>
        <x:v>0.6333333333333333</x:v>
      </x:c>
      <x:c r="O145" s="96" t="n">
        <x:f>IFERROR(I145/H145,0)</x:f>
        <x:v>0.8421052631578947</x:v>
      </x:c>
      <x:c r="P145" s="96" t="n">
        <x:f>IFERROR(J145/I145,0)</x:f>
        <x:v>0.4375</x:v>
      </x:c>
      <x:c r="Q145" s="96" t="n">
        <x:f>IFERROR(L145/J145,0)</x:f>
        <x:v>0</x:v>
      </x:c>
      <x:c r="R145" s="96" t="n">
        <x:f>IFERROR(L145/F145,0)</x:f>
        <x:v>0</x:v>
      </x:c>
      <x:c r="S145" s="95" t="n">
        <x:v>54</x:v>
      </x:c>
      <x:c r="T145" s="94" t="str">
        <x:v>末次点击7天</x:v>
      </x:c>
    </x:row>
    <x:row r="146">
      <x:c r="A146" s="92" t="str">
        <x:v>PROC-0145</x:v>
      </x:c>
      <x:c r="B146" s="93" t="n">
        <x:v>46049</x:v>
      </x:c>
      <x:c r="C146" s="94" t="str">
        <x:v>Google Ads</x:v>
      </x:c>
      <x:c r="D146" s="94" t="str">
        <x:v>德国</x:v>
      </x:c>
      <x:c r="E146" s="94" t="str">
        <x:v>通用搜索</x:v>
      </x:c>
      <x:c r="F146" s="95" t="n">
        <x:v>27</x:v>
      </x:c>
      <x:c r="G146" s="95" t="n">
        <x:v>25</x:v>
      </x:c>
      <x:c r="H146" s="95" t="n">
        <x:v>19</x:v>
      </x:c>
      <x:c r="I146" s="95" t="n">
        <x:v>16</x:v>
      </x:c>
      <x:c r="J146" s="95" t="n">
        <x:v>6</x:v>
      </x:c>
      <x:c r="K146" s="95" t="n">
        <x:v>2</x:v>
      </x:c>
      <x:c r="L146" s="95" t="n">
        <x:v>0</x:v>
      </x:c>
      <x:c r="M146" s="96" t="n">
        <x:f>IFERROR(G146/F146,0)</x:f>
        <x:v>0.9259259259259259</x:v>
      </x:c>
      <x:c r="N146" s="96" t="n">
        <x:f>IFERROR(H146/G146,0)</x:f>
        <x:v>0.76</x:v>
      </x:c>
      <x:c r="O146" s="96" t="n">
        <x:f>IFERROR(I146/H146,0)</x:f>
        <x:v>0.8421052631578947</x:v>
      </x:c>
      <x:c r="P146" s="96" t="n">
        <x:f>IFERROR(J146/I146,0)</x:f>
        <x:v>0.375</x:v>
      </x:c>
      <x:c r="Q146" s="96" t="n">
        <x:f>IFERROR(L146/J146,0)</x:f>
        <x:v>0</x:v>
      </x:c>
      <x:c r="R146" s="96" t="n">
        <x:f>IFERROR(L146/F146,0)</x:f>
        <x:v>0</x:v>
      </x:c>
      <x:c r="S146" s="95" t="n">
        <x:v>109</x:v>
      </x:c>
      <x:c r="T146" s="94" t="str">
        <x:v>末次点击7天</x:v>
      </x:c>
    </x:row>
    <x:row r="147">
      <x:c r="A147" s="92" t="str">
        <x:v>PROC-0146</x:v>
      </x:c>
      <x:c r="B147" s="93" t="n">
        <x:v>46049</x:v>
      </x:c>
      <x:c r="C147" s="94" t="str">
        <x:v>Google Ads</x:v>
      </x:c>
      <x:c r="D147" s="94" t="str">
        <x:v>英国</x:v>
      </x:c>
      <x:c r="E147" s="94" t="str">
        <x:v>竞品搜索</x:v>
      </x:c>
      <x:c r="F147" s="95" t="n">
        <x:v>18</x:v>
      </x:c>
      <x:c r="G147" s="95" t="n">
        <x:v>16</x:v>
      </x:c>
      <x:c r="H147" s="95" t="n">
        <x:v>10</x:v>
      </x:c>
      <x:c r="I147" s="95" t="n">
        <x:v>9</x:v>
      </x:c>
      <x:c r="J147" s="95" t="n">
        <x:v>4</x:v>
      </x:c>
      <x:c r="K147" s="95" t="n">
        <x:v>1</x:v>
      </x:c>
      <x:c r="L147" s="95" t="n">
        <x:v>0</x:v>
      </x:c>
      <x:c r="M147" s="96" t="n">
        <x:f>IFERROR(G147/F147,0)</x:f>
        <x:v>0.8888888888888888</x:v>
      </x:c>
      <x:c r="N147" s="96" t="n">
        <x:f>IFERROR(H147/G147,0)</x:f>
        <x:v>0.625</x:v>
      </x:c>
      <x:c r="O147" s="96" t="n">
        <x:f>IFERROR(I147/H147,0)</x:f>
        <x:v>0.9</x:v>
      </x:c>
      <x:c r="P147" s="96" t="n">
        <x:f>IFERROR(J147/I147,0)</x:f>
        <x:v>0.4444444444444444</x:v>
      </x:c>
      <x:c r="Q147" s="96" t="n">
        <x:f>IFERROR(L147/J147,0)</x:f>
        <x:v>0</x:v>
      </x:c>
      <x:c r="R147" s="96" t="n">
        <x:f>IFERROR(L147/F147,0)</x:f>
        <x:v>0</x:v>
      </x:c>
      <x:c r="S147" s="95" t="n">
        <x:v>128</x:v>
      </x:c>
      <x:c r="T147" s="94" t="str">
        <x:v>末次点击7天</x:v>
      </x:c>
    </x:row>
    <x:row r="148">
      <x:c r="A148" s="92" t="str">
        <x:v>PROC-0147</x:v>
      </x:c>
      <x:c r="B148" s="93" t="n">
        <x:v>46049</x:v>
      </x:c>
      <x:c r="C148" s="94" t="str">
        <x:v>Google Ads</x:v>
      </x:c>
      <x:c r="D148" s="94" t="str">
        <x:v>英国</x:v>
      </x:c>
      <x:c r="E148" s="94" t="str">
        <x:v>购物广告</x:v>
      </x:c>
      <x:c r="F148" s="95" t="n">
        <x:v>58</x:v>
      </x:c>
      <x:c r="G148" s="95" t="n">
        <x:v>52</x:v>
      </x:c>
      <x:c r="H148" s="95" t="n">
        <x:v>36</x:v>
      </x:c>
      <x:c r="I148" s="95" t="n">
        <x:v>31</x:v>
      </x:c>
      <x:c r="J148" s="95" t="n">
        <x:v>13</x:v>
      </x:c>
      <x:c r="K148" s="95" t="n">
        <x:v>4</x:v>
      </x:c>
      <x:c r="L148" s="95" t="n">
        <x:v>1</x:v>
      </x:c>
      <x:c r="M148" s="96" t="n">
        <x:f>IFERROR(G148/F148,0)</x:f>
        <x:v>0.896551724137931</x:v>
      </x:c>
      <x:c r="N148" s="96" t="n">
        <x:f>IFERROR(H148/G148,0)</x:f>
        <x:v>0.6923076923076923</x:v>
      </x:c>
      <x:c r="O148" s="96" t="n">
        <x:f>IFERROR(I148/H148,0)</x:f>
        <x:v>0.8611111111111112</x:v>
      </x:c>
      <x:c r="P148" s="96" t="n">
        <x:f>IFERROR(J148/I148,0)</x:f>
        <x:v>0.41935483870967744</x:v>
      </x:c>
      <x:c r="Q148" s="96" t="n">
        <x:f>IFERROR(L148/J148,0)</x:f>
        <x:v>0.07692307692307693</x:v>
      </x:c>
      <x:c r="R148" s="96" t="n">
        <x:f>IFERROR(L148/F148,0)</x:f>
        <x:v>0.017241379310344827</x:v>
      </x:c>
      <x:c r="S148" s="95" t="n">
        <x:v>128</x:v>
      </x:c>
      <x:c r="T148" s="94" t="str">
        <x:v>末次点击7天</x:v>
      </x:c>
    </x:row>
    <x:row r="149">
      <x:c r="A149" s="92" t="str">
        <x:v>PROC-0148</x:v>
      </x:c>
      <x:c r="B149" s="93" t="n">
        <x:v>46049</x:v>
      </x:c>
      <x:c r="C149" s="94" t="str">
        <x:v>Google Ads</x:v>
      </x:c>
      <x:c r="D149" s="94" t="str">
        <x:v>德国</x:v>
      </x:c>
      <x:c r="E149" s="94" t="str">
        <x:v>购物广告</x:v>
      </x:c>
      <x:c r="F149" s="95" t="n">
        <x:v>31</x:v>
      </x:c>
      <x:c r="G149" s="95" t="n">
        <x:v>27</x:v>
      </x:c>
      <x:c r="H149" s="95" t="n">
        <x:v>20</x:v>
      </x:c>
      <x:c r="I149" s="95" t="n">
        <x:v>18</x:v>
      </x:c>
      <x:c r="J149" s="95" t="n">
        <x:v>8</x:v>
      </x:c>
      <x:c r="K149" s="95" t="n">
        <x:v>2</x:v>
      </x:c>
      <x:c r="L149" s="95" t="n">
        <x:v>1</x:v>
      </x:c>
      <x:c r="M149" s="96" t="n">
        <x:f>IFERROR(G149/F149,0)</x:f>
        <x:v>0.8709677419354839</x:v>
      </x:c>
      <x:c r="N149" s="96" t="n">
        <x:f>IFERROR(H149/G149,0)</x:f>
        <x:v>0.7407407407407407</x:v>
      </x:c>
      <x:c r="O149" s="96" t="n">
        <x:f>IFERROR(I149/H149,0)</x:f>
        <x:v>0.9</x:v>
      </x:c>
      <x:c r="P149" s="96" t="n">
        <x:f>IFERROR(J149/I149,0)</x:f>
        <x:v>0.4444444444444444</x:v>
      </x:c>
      <x:c r="Q149" s="96" t="n">
        <x:f>IFERROR(L149/J149,0)</x:f>
        <x:v>0.125</x:v>
      </x:c>
      <x:c r="R149" s="96" t="n">
        <x:f>IFERROR(L149/F149,0)</x:f>
        <x:v>0.03225806451612903</x:v>
      </x:c>
      <x:c r="S149" s="95" t="n">
        <x:v>86</x:v>
      </x:c>
      <x:c r="T149" s="94" t="str">
        <x:v>末次点击7天</x:v>
      </x:c>
    </x:row>
    <x:row r="150">
      <x:c r="A150" s="92" t="str">
        <x:v>PROC-0149</x:v>
      </x:c>
      <x:c r="B150" s="93" t="n">
        <x:v>46049</x:v>
      </x:c>
      <x:c r="C150" s="94" t="str">
        <x:v>Microsoft Ads</x:v>
      </x:c>
      <x:c r="D150" s="94" t="str">
        <x:v>日本</x:v>
      </x:c>
      <x:c r="E150" s="94" t="str">
        <x:v>竞品搜索</x:v>
      </x:c>
      <x:c r="F150" s="95" t="n">
        <x:v>16</x:v>
      </x:c>
      <x:c r="G150" s="95" t="n">
        <x:v>14</x:v>
      </x:c>
      <x:c r="H150" s="95" t="n">
        <x:v>10</x:v>
      </x:c>
      <x:c r="I150" s="95" t="n">
        <x:v>8</x:v>
      </x:c>
      <x:c r="J150" s="95" t="n">
        <x:v>3</x:v>
      </x:c>
      <x:c r="K150" s="95" t="n">
        <x:v>1</x:v>
      </x:c>
      <x:c r="L150" s="95" t="n">
        <x:v>0</x:v>
      </x:c>
      <x:c r="M150" s="96" t="n">
        <x:f>IFERROR(G150/F150,0)</x:f>
        <x:v>0.875</x:v>
      </x:c>
      <x:c r="N150" s="96" t="n">
        <x:f>IFERROR(H150/G150,0)</x:f>
        <x:v>0.7142857142857143</x:v>
      </x:c>
      <x:c r="O150" s="96" t="n">
        <x:f>IFERROR(I150/H150,0)</x:f>
        <x:v>0.8</x:v>
      </x:c>
      <x:c r="P150" s="96" t="n">
        <x:f>IFERROR(J150/I150,0)</x:f>
        <x:v>0.375</x:v>
      </x:c>
      <x:c r="Q150" s="96" t="n">
        <x:f>IFERROR(L150/J150,0)</x:f>
        <x:v>0</x:v>
      </x:c>
      <x:c r="R150" s="96" t="n">
        <x:f>IFERROR(L150/F150,0)</x:f>
        <x:v>0</x:v>
      </x:c>
      <x:c r="S150" s="95" t="n">
        <x:v>149</x:v>
      </x:c>
      <x:c r="T150" s="94" t="str">
        <x:v>末次点击7天</x:v>
      </x:c>
    </x:row>
    <x:row r="151">
      <x:c r="A151" s="92" t="str">
        <x:v>PROC-0150</x:v>
      </x:c>
      <x:c r="B151" s="93" t="n">
        <x:v>46049</x:v>
      </x:c>
      <x:c r="C151" s="94" t="str">
        <x:v>Google Ads</x:v>
      </x:c>
      <x:c r="D151" s="94" t="str">
        <x:v>美国</x:v>
      </x:c>
      <x:c r="E151" s="94" t="str">
        <x:v>品牌搜索</x:v>
      </x:c>
      <x:c r="F151" s="95" t="n">
        <x:v>83</x:v>
      </x:c>
      <x:c r="G151" s="95" t="n">
        <x:v>76</x:v>
      </x:c>
      <x:c r="H151" s="95" t="n">
        <x:v>53</x:v>
      </x:c>
      <x:c r="I151" s="95" t="n">
        <x:v>46</x:v>
      </x:c>
      <x:c r="J151" s="95" t="n">
        <x:v>24</x:v>
      </x:c>
      <x:c r="K151" s="95" t="n">
        <x:v>5</x:v>
      </x:c>
      <x:c r="L151" s="95" t="n">
        <x:v>3</x:v>
      </x:c>
      <x:c r="M151" s="96" t="n">
        <x:f>IFERROR(G151/F151,0)</x:f>
        <x:v>0.9156626506024096</x:v>
      </x:c>
      <x:c r="N151" s="96" t="n">
        <x:f>IFERROR(H151/G151,0)</x:f>
        <x:v>0.6973684210526315</x:v>
      </x:c>
      <x:c r="O151" s="96" t="n">
        <x:f>IFERROR(I151/H151,0)</x:f>
        <x:v>0.8679245283018868</x:v>
      </x:c>
      <x:c r="P151" s="96" t="n">
        <x:f>IFERROR(J151/I151,0)</x:f>
        <x:v>0.5217391304347826</x:v>
      </x:c>
      <x:c r="Q151" s="96" t="n">
        <x:f>IFERROR(L151/J151,0)</x:f>
        <x:v>0.125</x:v>
      </x:c>
      <x:c r="R151" s="96" t="n">
        <x:f>IFERROR(L151/F151,0)</x:f>
        <x:v>0.03614457831325301</x:v>
      </x:c>
      <x:c r="S151" s="95" t="n">
        <x:v>62</x:v>
      </x:c>
      <x:c r="T151" s="94" t="str">
        <x:v>末次点击7天</x:v>
      </x:c>
    </x:row>
    <x:row r="152">
      <x:c r="A152" s="92" t="str">
        <x:v>PROC-0151</x:v>
      </x:c>
      <x:c r="B152" s="93" t="n">
        <x:v>46050</x:v>
      </x:c>
      <x:c r="C152" s="94" t="str">
        <x:v>Microsoft Ads</x:v>
      </x:c>
      <x:c r="D152" s="94" t="str">
        <x:v>美国</x:v>
      </x:c>
      <x:c r="E152" s="94" t="str">
        <x:v>购物广告</x:v>
      </x:c>
      <x:c r="F152" s="95" t="n">
        <x:v>47</x:v>
      </x:c>
      <x:c r="G152" s="95" t="n">
        <x:v>42</x:v>
      </x:c>
      <x:c r="H152" s="95" t="n">
        <x:v>28</x:v>
      </x:c>
      <x:c r="I152" s="95" t="n">
        <x:v>25</x:v>
      </x:c>
      <x:c r="J152" s="95" t="n">
        <x:v>12</x:v>
      </x:c>
      <x:c r="K152" s="95" t="n">
        <x:v>4</x:v>
      </x:c>
      <x:c r="L152" s="95" t="n">
        <x:v>1</x:v>
      </x:c>
      <x:c r="M152" s="96" t="n">
        <x:f>IFERROR(G152/F152,0)</x:f>
        <x:v>0.8936170212765957</x:v>
      </x:c>
      <x:c r="N152" s="96" t="n">
        <x:f>IFERROR(H152/G152,0)</x:f>
        <x:v>0.6666666666666666</x:v>
      </x:c>
      <x:c r="O152" s="96" t="n">
        <x:f>IFERROR(I152/H152,0)</x:f>
        <x:v>0.8928571428571429</x:v>
      </x:c>
      <x:c r="P152" s="96" t="n">
        <x:f>IFERROR(J152/I152,0)</x:f>
        <x:v>0.48</x:v>
      </x:c>
      <x:c r="Q152" s="96" t="n">
        <x:f>IFERROR(L152/J152,0)</x:f>
        <x:v>0.08333333333333333</x:v>
      </x:c>
      <x:c r="R152" s="96" t="n">
        <x:f>IFERROR(L152/F152,0)</x:f>
        <x:v>0.02127659574468085</x:v>
      </x:c>
      <x:c r="S152" s="95" t="n">
        <x:v>127</x:v>
      </x:c>
      <x:c r="T152" s="94" t="str">
        <x:v>末次点击7天</x:v>
      </x:c>
    </x:row>
    <x:row r="153">
      <x:c r="A153" s="92" t="str">
        <x:v>PROC-0152</x:v>
      </x:c>
      <x:c r="B153" s="93" t="n">
        <x:v>46050</x:v>
      </x:c>
      <x:c r="C153" s="94" t="str">
        <x:v>Google Ads</x:v>
      </x:c>
      <x:c r="D153" s="94" t="str">
        <x:v>英国</x:v>
      </x:c>
      <x:c r="E153" s="94" t="str">
        <x:v>通用搜索</x:v>
      </x:c>
      <x:c r="F153" s="95" t="n">
        <x:v>48</x:v>
      </x:c>
      <x:c r="G153" s="95" t="n">
        <x:v>44</x:v>
      </x:c>
      <x:c r="H153" s="95" t="n">
        <x:v>35</x:v>
      </x:c>
      <x:c r="I153" s="95" t="n">
        <x:v>29</x:v>
      </x:c>
      <x:c r="J153" s="95" t="n">
        <x:v>12</x:v>
      </x:c>
      <x:c r="K153" s="95" t="n">
        <x:v>4</x:v>
      </x:c>
      <x:c r="L153" s="95" t="n">
        <x:v>1</x:v>
      </x:c>
      <x:c r="M153" s="96" t="n">
        <x:f>IFERROR(G153/F153,0)</x:f>
        <x:v>0.9166666666666666</x:v>
      </x:c>
      <x:c r="N153" s="96" t="n">
        <x:f>IFERROR(H153/G153,0)</x:f>
        <x:v>0.7954545454545454</x:v>
      </x:c>
      <x:c r="O153" s="96" t="n">
        <x:f>IFERROR(I153/H153,0)</x:f>
        <x:v>0.8285714285714286</x:v>
      </x:c>
      <x:c r="P153" s="96" t="n">
        <x:f>IFERROR(J153/I153,0)</x:f>
        <x:v>0.41379310344827586</x:v>
      </x:c>
      <x:c r="Q153" s="96" t="n">
        <x:f>IFERROR(L153/J153,0)</x:f>
        <x:v>0.08333333333333333</x:v>
      </x:c>
      <x:c r="R153" s="96" t="n">
        <x:f>IFERROR(L153/F153,0)</x:f>
        <x:v>0.020833333333333332</x:v>
      </x:c>
      <x:c r="S153" s="95" t="n">
        <x:v>107</x:v>
      </x:c>
      <x:c r="T153" s="94" t="str">
        <x:v>末次点击7天</x:v>
      </x:c>
    </x:row>
    <x:row r="154">
      <x:c r="A154" s="92" t="str">
        <x:v>PROC-0153</x:v>
      </x:c>
      <x:c r="B154" s="93" t="n">
        <x:v>46050</x:v>
      </x:c>
      <x:c r="C154" s="94" t="str">
        <x:v>Microsoft Ads</x:v>
      </x:c>
      <x:c r="D154" s="94" t="str">
        <x:v>德国</x:v>
      </x:c>
      <x:c r="E154" s="94" t="str">
        <x:v>通用搜索</x:v>
      </x:c>
      <x:c r="F154" s="95" t="n">
        <x:v>23</x:v>
      </x:c>
      <x:c r="G154" s="95" t="n">
        <x:v>21</x:v>
      </x:c>
      <x:c r="H154" s="95" t="n">
        <x:v>16</x:v>
      </x:c>
      <x:c r="I154" s="95" t="n">
        <x:v>13</x:v>
      </x:c>
      <x:c r="J154" s="95" t="n">
        <x:v>6</x:v>
      </x:c>
      <x:c r="K154" s="95" t="n">
        <x:v>2</x:v>
      </x:c>
      <x:c r="L154" s="95" t="n">
        <x:v>1</x:v>
      </x:c>
      <x:c r="M154" s="96" t="n">
        <x:f>IFERROR(G154/F154,0)</x:f>
        <x:v>0.9130434782608695</x:v>
      </x:c>
      <x:c r="N154" s="96" t="n">
        <x:f>IFERROR(H154/G154,0)</x:f>
        <x:v>0.7619047619047619</x:v>
      </x:c>
      <x:c r="O154" s="96" t="n">
        <x:f>IFERROR(I154/H154,0)</x:f>
        <x:v>0.8125</x:v>
      </x:c>
      <x:c r="P154" s="96" t="n">
        <x:f>IFERROR(J154/I154,0)</x:f>
        <x:v>0.46153846153846156</x:v>
      </x:c>
      <x:c r="Q154" s="96" t="n">
        <x:f>IFERROR(L154/J154,0)</x:f>
        <x:v>0.16666666666666666</x:v>
      </x:c>
      <x:c r="R154" s="96" t="n">
        <x:f>IFERROR(L154/F154,0)</x:f>
        <x:v>0.043478260869565216</x:v>
      </x:c>
      <x:c r="S154" s="95" t="n">
        <x:v>132</x:v>
      </x:c>
      <x:c r="T154" s="94" t="str">
        <x:v>末次点击7天</x:v>
      </x:c>
    </x:row>
    <x:row r="155">
      <x:c r="A155" s="92" t="str">
        <x:v>PROC-0154</x:v>
      </x:c>
      <x:c r="B155" s="93" t="n">
        <x:v>46050</x:v>
      </x:c>
      <x:c r="C155" s="94" t="str">
        <x:v>Google Ads</x:v>
      </x:c>
      <x:c r="D155" s="94" t="str">
        <x:v>德国</x:v>
      </x:c>
      <x:c r="E155" s="94" t="str">
        <x:v>品牌搜索</x:v>
      </x:c>
      <x:c r="F155" s="95" t="n">
        <x:v>56</x:v>
      </x:c>
      <x:c r="G155" s="95" t="n">
        <x:v>53</x:v>
      </x:c>
      <x:c r="H155" s="95" t="n">
        <x:v>40</x:v>
      </x:c>
      <x:c r="I155" s="95" t="n">
        <x:v>34</x:v>
      </x:c>
      <x:c r="J155" s="95" t="n">
        <x:v>17</x:v>
      </x:c>
      <x:c r="K155" s="95" t="n">
        <x:v>6</x:v>
      </x:c>
      <x:c r="L155" s="95" t="n">
        <x:v>1</x:v>
      </x:c>
      <x:c r="M155" s="96" t="n">
        <x:f>IFERROR(G155/F155,0)</x:f>
        <x:v>0.9464285714285714</x:v>
      </x:c>
      <x:c r="N155" s="96" t="n">
        <x:f>IFERROR(H155/G155,0)</x:f>
        <x:v>0.7547169811320755</x:v>
      </x:c>
      <x:c r="O155" s="96" t="n">
        <x:f>IFERROR(I155/H155,0)</x:f>
        <x:v>0.85</x:v>
      </x:c>
      <x:c r="P155" s="96" t="n">
        <x:f>IFERROR(J155/I155,0)</x:f>
        <x:v>0.5</x:v>
      </x:c>
      <x:c r="Q155" s="96" t="n">
        <x:f>IFERROR(L155/J155,0)</x:f>
        <x:v>0.058823529411764705</x:v>
      </x:c>
      <x:c r="R155" s="96" t="n">
        <x:f>IFERROR(L155/F155,0)</x:f>
        <x:v>0.017857142857142856</x:v>
      </x:c>
      <x:c r="S155" s="95" t="n">
        <x:v>93</x:v>
      </x:c>
      <x:c r="T155" s="94" t="str">
        <x:v>末次点击7天</x:v>
      </x:c>
    </x:row>
    <x:row r="156">
      <x:c r="A156" s="92" t="str">
        <x:v>PROC-0155</x:v>
      </x:c>
      <x:c r="B156" s="93" t="n">
        <x:v>46050</x:v>
      </x:c>
      <x:c r="C156" s="94" t="str">
        <x:v>Google Ads</x:v>
      </x:c>
      <x:c r="D156" s="94" t="str">
        <x:v>美国</x:v>
      </x:c>
      <x:c r="E156" s="94" t="str">
        <x:v>品牌搜索</x:v>
      </x:c>
      <x:c r="F156" s="95" t="n">
        <x:v>83</x:v>
      </x:c>
      <x:c r="G156" s="95" t="n">
        <x:v>77</x:v>
      </x:c>
      <x:c r="H156" s="95" t="n">
        <x:v>49</x:v>
      </x:c>
      <x:c r="I156" s="95" t="n">
        <x:v>41</x:v>
      </x:c>
      <x:c r="J156" s="95" t="n">
        <x:v>20</x:v>
      </x:c>
      <x:c r="K156" s="95" t="n">
        <x:v>5</x:v>
      </x:c>
      <x:c r="L156" s="95" t="n">
        <x:v>2</x:v>
      </x:c>
      <x:c r="M156" s="96" t="n">
        <x:f>IFERROR(G156/F156,0)</x:f>
        <x:v>0.927710843373494</x:v>
      </x:c>
      <x:c r="N156" s="96" t="n">
        <x:f>IFERROR(H156/G156,0)</x:f>
        <x:v>0.6363636363636364</x:v>
      </x:c>
      <x:c r="O156" s="96" t="n">
        <x:f>IFERROR(I156/H156,0)</x:f>
        <x:v>0.8367346938775511</x:v>
      </x:c>
      <x:c r="P156" s="96" t="n">
        <x:f>IFERROR(J156/I156,0)</x:f>
        <x:v>0.4878048780487805</x:v>
      </x:c>
      <x:c r="Q156" s="96" t="n">
        <x:f>IFERROR(L156/J156,0)</x:f>
        <x:v>0.1</x:v>
      </x:c>
      <x:c r="R156" s="96" t="n">
        <x:f>IFERROR(L156/F156,0)</x:f>
        <x:v>0.024096385542168676</x:v>
      </x:c>
      <x:c r="S156" s="95" t="n">
        <x:v>131</x:v>
      </x:c>
      <x:c r="T156" s="94" t="str">
        <x:v>末次点击7天</x:v>
      </x:c>
    </x:row>
    <x:row r="157">
      <x:c r="A157" s="92" t="str">
        <x:v>PROC-0156</x:v>
      </x:c>
      <x:c r="B157" s="93" t="n">
        <x:v>46051</x:v>
      </x:c>
      <x:c r="C157" s="94" t="str">
        <x:v>Microsoft Ads</x:v>
      </x:c>
      <x:c r="D157" s="94" t="str">
        <x:v>德国</x:v>
      </x:c>
      <x:c r="E157" s="94" t="str">
        <x:v>购物广告</x:v>
      </x:c>
      <x:c r="F157" s="95" t="n">
        <x:v>73</x:v>
      </x:c>
      <x:c r="G157" s="95" t="n">
        <x:v>68</x:v>
      </x:c>
      <x:c r="H157" s="95" t="n">
        <x:v>45</x:v>
      </x:c>
      <x:c r="I157" s="95" t="n">
        <x:v>38</x:v>
      </x:c>
      <x:c r="J157" s="95" t="n">
        <x:v>17</x:v>
      </x:c>
      <x:c r="K157" s="95" t="n">
        <x:v>4</x:v>
      </x:c>
      <x:c r="L157" s="95" t="n">
        <x:v>1</x:v>
      </x:c>
      <x:c r="M157" s="96" t="n">
        <x:f>IFERROR(G157/F157,0)</x:f>
        <x:v>0.9315068493150684</x:v>
      </x:c>
      <x:c r="N157" s="96" t="n">
        <x:f>IFERROR(H157/G157,0)</x:f>
        <x:v>0.6617647058823529</x:v>
      </x:c>
      <x:c r="O157" s="96" t="n">
        <x:f>IFERROR(I157/H157,0)</x:f>
        <x:v>0.8444444444444444</x:v>
      </x:c>
      <x:c r="P157" s="96" t="n">
        <x:f>IFERROR(J157/I157,0)</x:f>
        <x:v>0.4473684210526316</x:v>
      </x:c>
      <x:c r="Q157" s="96" t="n">
        <x:f>IFERROR(L157/J157,0)</x:f>
        <x:v>0.058823529411764705</x:v>
      </x:c>
      <x:c r="R157" s="96" t="n">
        <x:f>IFERROR(L157/F157,0)</x:f>
        <x:v>0.0136986301369863</x:v>
      </x:c>
      <x:c r="S157" s="95" t="n">
        <x:v>151</x:v>
      </x:c>
      <x:c r="T157" s="94" t="str">
        <x:v>末次点击7天</x:v>
      </x:c>
    </x:row>
    <x:row r="158">
      <x:c r="A158" s="92" t="str">
        <x:v>PROC-0157</x:v>
      </x:c>
      <x:c r="B158" s="93" t="n">
        <x:v>46051</x:v>
      </x:c>
      <x:c r="C158" s="94" t="str">
        <x:v>Google Ads</x:v>
      </x:c>
      <x:c r="D158" s="94" t="str">
        <x:v>英国</x:v>
      </x:c>
      <x:c r="E158" s="94" t="str">
        <x:v>购物广告</x:v>
      </x:c>
      <x:c r="F158" s="95" t="n">
        <x:v>37</x:v>
      </x:c>
      <x:c r="G158" s="95" t="n">
        <x:v>34</x:v>
      </x:c>
      <x:c r="H158" s="95" t="n">
        <x:v>27</x:v>
      </x:c>
      <x:c r="I158" s="95" t="n">
        <x:v>23</x:v>
      </x:c>
      <x:c r="J158" s="95" t="n">
        <x:v>12</x:v>
      </x:c>
      <x:c r="K158" s="95" t="n">
        <x:v>3</x:v>
      </x:c>
      <x:c r="L158" s="95" t="n">
        <x:v>1</x:v>
      </x:c>
      <x:c r="M158" s="96" t="n">
        <x:f>IFERROR(G158/F158,0)</x:f>
        <x:v>0.918918918918919</x:v>
      </x:c>
      <x:c r="N158" s="96" t="n">
        <x:f>IFERROR(H158/G158,0)</x:f>
        <x:v>0.7941176470588235</x:v>
      </x:c>
      <x:c r="O158" s="96" t="n">
        <x:f>IFERROR(I158/H158,0)</x:f>
        <x:v>0.8518518518518519</x:v>
      </x:c>
      <x:c r="P158" s="96" t="n">
        <x:f>IFERROR(J158/I158,0)</x:f>
        <x:v>0.5217391304347826</x:v>
      </x:c>
      <x:c r="Q158" s="96" t="n">
        <x:f>IFERROR(L158/J158,0)</x:f>
        <x:v>0.08333333333333333</x:v>
      </x:c>
      <x:c r="R158" s="96" t="n">
        <x:f>IFERROR(L158/F158,0)</x:f>
        <x:v>0.02702702702702703</x:v>
      </x:c>
      <x:c r="S158" s="95" t="n">
        <x:v>84</x:v>
      </x:c>
      <x:c r="T158" s="94" t="str">
        <x:v>末次点击7天</x:v>
      </x:c>
    </x:row>
    <x:row r="159">
      <x:c r="A159" s="92" t="str">
        <x:v>PROC-0158</x:v>
      </x:c>
      <x:c r="B159" s="93" t="n">
        <x:v>46051</x:v>
      </x:c>
      <x:c r="C159" s="94" t="str">
        <x:v>Microsoft Ads</x:v>
      </x:c>
      <x:c r="D159" s="94" t="str">
        <x:v>德国</x:v>
      </x:c>
      <x:c r="E159" s="94" t="str">
        <x:v>品牌搜索</x:v>
      </x:c>
      <x:c r="F159" s="95" t="n">
        <x:v>71</x:v>
      </x:c>
      <x:c r="G159" s="95" t="n">
        <x:v>63</x:v>
      </x:c>
      <x:c r="H159" s="95" t="n">
        <x:v>40</x:v>
      </x:c>
      <x:c r="I159" s="95" t="n">
        <x:v>33</x:v>
      </x:c>
      <x:c r="J159" s="95" t="n">
        <x:v>15</x:v>
      </x:c>
      <x:c r="K159" s="95" t="n">
        <x:v>5</x:v>
      </x:c>
      <x:c r="L159" s="95" t="n">
        <x:v>1</x:v>
      </x:c>
      <x:c r="M159" s="96" t="n">
        <x:f>IFERROR(G159/F159,0)</x:f>
        <x:v>0.8873239436619719</x:v>
      </x:c>
      <x:c r="N159" s="96" t="n">
        <x:f>IFERROR(H159/G159,0)</x:f>
        <x:v>0.6349206349206349</x:v>
      </x:c>
      <x:c r="O159" s="96" t="n">
        <x:f>IFERROR(I159/H159,0)</x:f>
        <x:v>0.825</x:v>
      </x:c>
      <x:c r="P159" s="96" t="n">
        <x:f>IFERROR(J159/I159,0)</x:f>
        <x:v>0.45454545454545453</x:v>
      </x:c>
      <x:c r="Q159" s="96" t="n">
        <x:f>IFERROR(L159/J159,0)</x:f>
        <x:v>0.06666666666666667</x:v>
      </x:c>
      <x:c r="R159" s="96" t="n">
        <x:f>IFERROR(L159/F159,0)</x:f>
        <x:v>0.014084507042253521</x:v>
      </x:c>
      <x:c r="S159" s="95" t="n">
        <x:v>85</x:v>
      </x:c>
      <x:c r="T159" s="94" t="str">
        <x:v>末次点击7天</x:v>
      </x:c>
    </x:row>
    <x:row r="160">
      <x:c r="A160" s="92" t="str">
        <x:v>PROC-0159</x:v>
      </x:c>
      <x:c r="B160" s="93" t="n">
        <x:v>46051</x:v>
      </x:c>
      <x:c r="C160" s="94" t="str">
        <x:v>Microsoft Ads</x:v>
      </x:c>
      <x:c r="D160" s="94" t="str">
        <x:v>英国</x:v>
      </x:c>
      <x:c r="E160" s="94" t="str">
        <x:v>通用搜索</x:v>
      </x:c>
      <x:c r="F160" s="95" t="n">
        <x:v>42</x:v>
      </x:c>
      <x:c r="G160" s="95" t="n">
        <x:v>39</x:v>
      </x:c>
      <x:c r="H160" s="95" t="n">
        <x:v>28</x:v>
      </x:c>
      <x:c r="I160" s="95" t="n">
        <x:v>23</x:v>
      </x:c>
      <x:c r="J160" s="95" t="n">
        <x:v>8</x:v>
      </x:c>
      <x:c r="K160" s="95" t="n">
        <x:v>2</x:v>
      </x:c>
      <x:c r="L160" s="95" t="n">
        <x:v>1</x:v>
      </x:c>
      <x:c r="M160" s="96" t="n">
        <x:f>IFERROR(G160/F160,0)</x:f>
        <x:v>0.9285714285714286</x:v>
      </x:c>
      <x:c r="N160" s="96" t="n">
        <x:f>IFERROR(H160/G160,0)</x:f>
        <x:v>0.717948717948718</x:v>
      </x:c>
      <x:c r="O160" s="96" t="n">
        <x:f>IFERROR(I160/H160,0)</x:f>
        <x:v>0.8214285714285714</x:v>
      </x:c>
      <x:c r="P160" s="96" t="n">
        <x:f>IFERROR(J160/I160,0)</x:f>
        <x:v>0.34782608695652173</x:v>
      </x:c>
      <x:c r="Q160" s="96" t="n">
        <x:f>IFERROR(L160/J160,0)</x:f>
        <x:v>0.125</x:v>
      </x:c>
      <x:c r="R160" s="96" t="n">
        <x:f>IFERROR(L160/F160,0)</x:f>
        <x:v>0.023809523809523808</x:v>
      </x:c>
      <x:c r="S160" s="95" t="n">
        <x:v>121</x:v>
      </x:c>
      <x:c r="T160" s="94" t="str">
        <x:v>末次点击7天</x:v>
      </x:c>
    </x:row>
    <x:row r="161">
      <x:c r="A161" s="92" t="str">
        <x:v>PROC-0160</x:v>
      </x:c>
      <x:c r="B161" s="93" t="n">
        <x:v>46051</x:v>
      </x:c>
      <x:c r="C161" s="94" t="str">
        <x:v>Microsoft Ads</x:v>
      </x:c>
      <x:c r="D161" s="94" t="str">
        <x:v>日本</x:v>
      </x:c>
      <x:c r="E161" s="94" t="str">
        <x:v>购物广告</x:v>
      </x:c>
      <x:c r="F161" s="95" t="n">
        <x:v>49</x:v>
      </x:c>
      <x:c r="G161" s="95" t="n">
        <x:v>45</x:v>
      </x:c>
      <x:c r="H161" s="95" t="n">
        <x:v>30</x:v>
      </x:c>
      <x:c r="I161" s="95" t="n">
        <x:v>28</x:v>
      </x:c>
      <x:c r="J161" s="95" t="n">
        <x:v>12</x:v>
      </x:c>
      <x:c r="K161" s="95" t="n">
        <x:v>3</x:v>
      </x:c>
      <x:c r="L161" s="95" t="n">
        <x:v>1</x:v>
      </x:c>
      <x:c r="M161" s="96" t="n">
        <x:f>IFERROR(G161/F161,0)</x:f>
        <x:v>0.9183673469387755</x:v>
      </x:c>
      <x:c r="N161" s="96" t="n">
        <x:f>IFERROR(H161/G161,0)</x:f>
        <x:v>0.6666666666666666</x:v>
      </x:c>
      <x:c r="O161" s="96" t="n">
        <x:f>IFERROR(I161/H161,0)</x:f>
        <x:v>0.9333333333333333</x:v>
      </x:c>
      <x:c r="P161" s="96" t="n">
        <x:f>IFERROR(J161/I161,0)</x:f>
        <x:v>0.42857142857142855</x:v>
      </x:c>
      <x:c r="Q161" s="96" t="n">
        <x:f>IFERROR(L161/J161,0)</x:f>
        <x:v>0.08333333333333333</x:v>
      </x:c>
      <x:c r="R161" s="96" t="n">
        <x:f>IFERROR(L161/F161,0)</x:f>
        <x:v>0.02040816326530612</x:v>
      </x:c>
      <x:c r="S161" s="95" t="n">
        <x:v>141</x:v>
      </x:c>
      <x:c r="T161" s="94" t="str">
        <x:v>末次点击7天</x:v>
      </x:c>
    </x:row>
    <x:row r="162">
      <x:c r="A162" s="92" t="str">
        <x:v>PROC-0161</x:v>
      </x:c>
      <x:c r="B162" s="93" t="n">
        <x:v>46051</x:v>
      </x:c>
      <x:c r="C162" s="94" t="str">
        <x:v>Google Ads</x:v>
      </x:c>
      <x:c r="D162" s="94" t="str">
        <x:v>美国</x:v>
      </x:c>
      <x:c r="E162" s="94" t="str">
        <x:v>通用搜索</x:v>
      </x:c>
      <x:c r="F162" s="95" t="n">
        <x:v>50</x:v>
      </x:c>
      <x:c r="G162" s="95" t="n">
        <x:v>45</x:v>
      </x:c>
      <x:c r="H162" s="95" t="n">
        <x:v>28</x:v>
      </x:c>
      <x:c r="I162" s="95" t="n">
        <x:v>23</x:v>
      </x:c>
      <x:c r="J162" s="95" t="n">
        <x:v>10</x:v>
      </x:c>
      <x:c r="K162" s="95" t="n">
        <x:v>3</x:v>
      </x:c>
      <x:c r="L162" s="95" t="n">
        <x:v>1</x:v>
      </x:c>
      <x:c r="M162" s="96" t="n">
        <x:f>IFERROR(G162/F162,0)</x:f>
        <x:v>0.9</x:v>
      </x:c>
      <x:c r="N162" s="96" t="n">
        <x:f>IFERROR(H162/G162,0)</x:f>
        <x:v>0.6222222222222222</x:v>
      </x:c>
      <x:c r="O162" s="96" t="n">
        <x:f>IFERROR(I162/H162,0)</x:f>
        <x:v>0.8214285714285714</x:v>
      </x:c>
      <x:c r="P162" s="96" t="n">
        <x:f>IFERROR(J162/I162,0)</x:f>
        <x:v>0.43478260869565216</x:v>
      </x:c>
      <x:c r="Q162" s="96" t="n">
        <x:f>IFERROR(L162/J162,0)</x:f>
        <x:v>0.1</x:v>
      </x:c>
      <x:c r="R162" s="96" t="n">
        <x:f>IFERROR(L162/F162,0)</x:f>
        <x:v>0.02</x:v>
      </x:c>
      <x:c r="S162" s="95" t="n">
        <x:v>126</x:v>
      </x:c>
      <x:c r="T162" s="94" t="str">
        <x:v>末次点击7天</x:v>
      </x:c>
    </x:row>
    <x:row r="163">
      <x:c r="A163" s="92" t="str">
        <x:v>PROC-0162</x:v>
      </x:c>
      <x:c r="B163" s="93" t="n">
        <x:v>46052</x:v>
      </x:c>
      <x:c r="C163" s="94" t="str">
        <x:v>Google Ads</x:v>
      </x:c>
      <x:c r="D163" s="94" t="str">
        <x:v>日本</x:v>
      </x:c>
      <x:c r="E163" s="94" t="str">
        <x:v>购物广告</x:v>
      </x:c>
      <x:c r="F163" s="95" t="n">
        <x:v>35</x:v>
      </x:c>
      <x:c r="G163" s="95" t="n">
        <x:v>31</x:v>
      </x:c>
      <x:c r="H163" s="95" t="n">
        <x:v>21</x:v>
      </x:c>
      <x:c r="I163" s="95" t="n">
        <x:v>18</x:v>
      </x:c>
      <x:c r="J163" s="95" t="n">
        <x:v>8</x:v>
      </x:c>
      <x:c r="K163" s="95" t="n">
        <x:v>2</x:v>
      </x:c>
      <x:c r="L163" s="95" t="n">
        <x:v>1</x:v>
      </x:c>
      <x:c r="M163" s="96" t="n">
        <x:f>IFERROR(G163/F163,0)</x:f>
        <x:v>0.8857142857142857</x:v>
      </x:c>
      <x:c r="N163" s="96" t="n">
        <x:f>IFERROR(H163/G163,0)</x:f>
        <x:v>0.6774193548387096</x:v>
      </x:c>
      <x:c r="O163" s="96" t="n">
        <x:f>IFERROR(I163/H163,0)</x:f>
        <x:v>0.8571428571428571</x:v>
      </x:c>
      <x:c r="P163" s="96" t="n">
        <x:f>IFERROR(J163/I163,0)</x:f>
        <x:v>0.4444444444444444</x:v>
      </x:c>
      <x:c r="Q163" s="96" t="n">
        <x:f>IFERROR(L163/J163,0)</x:f>
        <x:v>0.125</x:v>
      </x:c>
      <x:c r="R163" s="96" t="n">
        <x:f>IFERROR(L163/F163,0)</x:f>
        <x:v>0.02857142857142857</x:v>
      </x:c>
      <x:c r="S163" s="95" t="n">
        <x:v>136</x:v>
      </x:c>
      <x:c r="T163" s="94" t="str">
        <x:v>末次点击7天</x:v>
      </x:c>
    </x:row>
    <x:row r="164">
      <x:c r="A164" s="92" t="str">
        <x:v>PROC-0163</x:v>
      </x:c>
      <x:c r="B164" s="93" t="n">
        <x:v>46052</x:v>
      </x:c>
      <x:c r="C164" s="94" t="str">
        <x:v>Microsoft Ads</x:v>
      </x:c>
      <x:c r="D164" s="94" t="str">
        <x:v>日本</x:v>
      </x:c>
      <x:c r="E164" s="94" t="str">
        <x:v>购物广告</x:v>
      </x:c>
      <x:c r="F164" s="95" t="n">
        <x:v>48</x:v>
      </x:c>
      <x:c r="G164" s="95" t="n">
        <x:v>44</x:v>
      </x:c>
      <x:c r="H164" s="95" t="n">
        <x:v>29</x:v>
      </x:c>
      <x:c r="I164" s="95" t="n">
        <x:v>26</x:v>
      </x:c>
      <x:c r="J164" s="95" t="n">
        <x:v>13</x:v>
      </x:c>
      <x:c r="K164" s="95" t="n">
        <x:v>4</x:v>
      </x:c>
      <x:c r="L164" s="95" t="n">
        <x:v>1</x:v>
      </x:c>
      <x:c r="M164" s="96" t="n">
        <x:f>IFERROR(G164/F164,0)</x:f>
        <x:v>0.9166666666666666</x:v>
      </x:c>
      <x:c r="N164" s="96" t="n">
        <x:f>IFERROR(H164/G164,0)</x:f>
        <x:v>0.6590909090909091</x:v>
      </x:c>
      <x:c r="O164" s="96" t="n">
        <x:f>IFERROR(I164/H164,0)</x:f>
        <x:v>0.896551724137931</x:v>
      </x:c>
      <x:c r="P164" s="96" t="n">
        <x:f>IFERROR(J164/I164,0)</x:f>
        <x:v>0.5</x:v>
      </x:c>
      <x:c r="Q164" s="96" t="n">
        <x:f>IFERROR(L164/J164,0)</x:f>
        <x:v>0.07692307692307693</x:v>
      </x:c>
      <x:c r="R164" s="96" t="n">
        <x:f>IFERROR(L164/F164,0)</x:f>
        <x:v>0.020833333333333332</x:v>
      </x:c>
      <x:c r="S164" s="95" t="n">
        <x:v>100</x:v>
      </x:c>
      <x:c r="T164" s="94" t="str">
        <x:v>末次点击7天</x:v>
      </x:c>
    </x:row>
    <x:row r="165">
      <x:c r="A165" s="92" t="str">
        <x:v>PROC-0164</x:v>
      </x:c>
      <x:c r="B165" s="93" t="n">
        <x:v>46052</x:v>
      </x:c>
      <x:c r="C165" s="94" t="str">
        <x:v>Google Ads</x:v>
      </x:c>
      <x:c r="D165" s="94" t="str">
        <x:v>英国</x:v>
      </x:c>
      <x:c r="E165" s="94" t="str">
        <x:v>购物广告</x:v>
      </x:c>
      <x:c r="F165" s="95" t="n">
        <x:v>38</x:v>
      </x:c>
      <x:c r="G165" s="95" t="n">
        <x:v>35</x:v>
      </x:c>
      <x:c r="H165" s="95" t="n">
        <x:v>25</x:v>
      </x:c>
      <x:c r="I165" s="95" t="n">
        <x:v>22</x:v>
      </x:c>
      <x:c r="J165" s="95" t="n">
        <x:v>10</x:v>
      </x:c>
      <x:c r="K165" s="95" t="n">
        <x:v>2</x:v>
      </x:c>
      <x:c r="L165" s="95" t="n">
        <x:v>1</x:v>
      </x:c>
      <x:c r="M165" s="96" t="n">
        <x:f>IFERROR(G165/F165,0)</x:f>
        <x:v>0.9210526315789473</x:v>
      </x:c>
      <x:c r="N165" s="96" t="n">
        <x:f>IFERROR(H165/G165,0)</x:f>
        <x:v>0.7142857142857143</x:v>
      </x:c>
      <x:c r="O165" s="96" t="n">
        <x:f>IFERROR(I165/H165,0)</x:f>
        <x:v>0.88</x:v>
      </x:c>
      <x:c r="P165" s="96" t="n">
        <x:f>IFERROR(J165/I165,0)</x:f>
        <x:v>0.45454545454545453</x:v>
      </x:c>
      <x:c r="Q165" s="96" t="n">
        <x:f>IFERROR(L165/J165,0)</x:f>
        <x:v>0.1</x:v>
      </x:c>
      <x:c r="R165" s="96" t="n">
        <x:f>IFERROR(L165/F165,0)</x:f>
        <x:v>0.02631578947368421</x:v>
      </x:c>
      <x:c r="S165" s="95" t="n">
        <x:v>141</x:v>
      </x:c>
      <x:c r="T165" s="94" t="str">
        <x:v>末次点击7天</x:v>
      </x:c>
    </x:row>
    <x:row r="166">
      <x:c r="A166" s="92" t="str">
        <x:v>PROC-0165</x:v>
      </x:c>
      <x:c r="B166" s="93" t="n">
        <x:v>46052</x:v>
      </x:c>
      <x:c r="C166" s="94" t="str">
        <x:v>Microsoft Ads</x:v>
      </x:c>
      <x:c r="D166" s="94" t="str">
        <x:v>英国</x:v>
      </x:c>
      <x:c r="E166" s="94" t="str">
        <x:v>品牌搜索</x:v>
      </x:c>
      <x:c r="F166" s="95" t="n">
        <x:v>88</x:v>
      </x:c>
      <x:c r="G166" s="95" t="n">
        <x:v>81</x:v>
      </x:c>
      <x:c r="H166" s="95" t="n">
        <x:v>59</x:v>
      </x:c>
      <x:c r="I166" s="95" t="n">
        <x:v>48</x:v>
      </x:c>
      <x:c r="J166" s="95" t="n">
        <x:v>25</x:v>
      </x:c>
      <x:c r="K166" s="95" t="n">
        <x:v>6</x:v>
      </x:c>
      <x:c r="L166" s="95" t="n">
        <x:v>3</x:v>
      </x:c>
      <x:c r="M166" s="96" t="n">
        <x:f>IFERROR(G166/F166,0)</x:f>
        <x:v>0.9204545454545454</x:v>
      </x:c>
      <x:c r="N166" s="96" t="n">
        <x:f>IFERROR(H166/G166,0)</x:f>
        <x:v>0.7283950617283951</x:v>
      </x:c>
      <x:c r="O166" s="96" t="n">
        <x:f>IFERROR(I166/H166,0)</x:f>
        <x:v>0.8135593220338984</x:v>
      </x:c>
      <x:c r="P166" s="96" t="n">
        <x:f>IFERROR(J166/I166,0)</x:f>
        <x:v>0.5208333333333334</x:v>
      </x:c>
      <x:c r="Q166" s="96" t="n">
        <x:f>IFERROR(L166/J166,0)</x:f>
        <x:v>0.12</x:v>
      </x:c>
      <x:c r="R166" s="96" t="n">
        <x:f>IFERROR(L166/F166,0)</x:f>
        <x:v>0.03409090909090909</x:v>
      </x:c>
      <x:c r="S166" s="95" t="n">
        <x:v>72</x:v>
      </x:c>
      <x:c r="T166" s="94" t="str">
        <x:v>末次点击7天</x:v>
      </x:c>
    </x:row>
    <x:row r="167">
      <x:c r="A167" s="92" t="str">
        <x:v>PROC-0166</x:v>
      </x:c>
      <x:c r="B167" s="93" t="n">
        <x:v>46052</x:v>
      </x:c>
      <x:c r="C167" s="94" t="str">
        <x:v>Microsoft Ads</x:v>
      </x:c>
      <x:c r="D167" s="94" t="str">
        <x:v>美国</x:v>
      </x:c>
      <x:c r="E167" s="94" t="str">
        <x:v>竞品搜索</x:v>
      </x:c>
      <x:c r="F167" s="95" t="n">
        <x:v>23</x:v>
      </x:c>
      <x:c r="G167" s="95" t="n">
        <x:v>20</x:v>
      </x:c>
      <x:c r="H167" s="95" t="n">
        <x:v>15</x:v>
      </x:c>
      <x:c r="I167" s="95" t="n">
        <x:v>12</x:v>
      </x:c>
      <x:c r="J167" s="95" t="n">
        <x:v>5</x:v>
      </x:c>
      <x:c r="K167" s="95" t="n">
        <x:v>1</x:v>
      </x:c>
      <x:c r="L167" s="95" t="n">
        <x:v>0</x:v>
      </x:c>
      <x:c r="M167" s="96" t="n">
        <x:f>IFERROR(G167/F167,0)</x:f>
        <x:v>0.8695652173913043</x:v>
      </x:c>
      <x:c r="N167" s="96" t="n">
        <x:f>IFERROR(H167/G167,0)</x:f>
        <x:v>0.75</x:v>
      </x:c>
      <x:c r="O167" s="96" t="n">
        <x:f>IFERROR(I167/H167,0)</x:f>
        <x:v>0.8</x:v>
      </x:c>
      <x:c r="P167" s="96" t="n">
        <x:f>IFERROR(J167/I167,0)</x:f>
        <x:v>0.4166666666666667</x:v>
      </x:c>
      <x:c r="Q167" s="96" t="n">
        <x:f>IFERROR(L167/J167,0)</x:f>
        <x:v>0</x:v>
      </x:c>
      <x:c r="R167" s="96" t="n">
        <x:f>IFERROR(L167/F167,0)</x:f>
        <x:v>0</x:v>
      </x:c>
      <x:c r="S167" s="95" t="n">
        <x:v>131</x:v>
      </x:c>
      <x:c r="T167" s="94" t="str">
        <x:v>末次点击7天</x:v>
      </x:c>
    </x:row>
    <x:row r="168">
      <x:c r="A168" s="92" t="str">
        <x:v>PROC-0167</x:v>
      </x:c>
      <x:c r="B168" s="93" t="n">
        <x:v>46053</x:v>
      </x:c>
      <x:c r="C168" s="94" t="str">
        <x:v>Google Ads</x:v>
      </x:c>
      <x:c r="D168" s="94" t="str">
        <x:v>德国</x:v>
      </x:c>
      <x:c r="E168" s="94" t="str">
        <x:v>品牌搜索</x:v>
      </x:c>
      <x:c r="F168" s="95" t="n">
        <x:v>42</x:v>
      </x:c>
      <x:c r="G168" s="95" t="n">
        <x:v>39</x:v>
      </x:c>
      <x:c r="H168" s="95" t="n">
        <x:v>28</x:v>
      </x:c>
      <x:c r="I168" s="95" t="n">
        <x:v>22</x:v>
      </x:c>
      <x:c r="J168" s="95" t="n">
        <x:v>11</x:v>
      </x:c>
      <x:c r="K168" s="95" t="n">
        <x:v>3</x:v>
      </x:c>
      <x:c r="L168" s="95" t="n">
        <x:v>1</x:v>
      </x:c>
      <x:c r="M168" s="96" t="n">
        <x:f>IFERROR(G168/F168,0)</x:f>
        <x:v>0.9285714285714286</x:v>
      </x:c>
      <x:c r="N168" s="96" t="n">
        <x:f>IFERROR(H168/G168,0)</x:f>
        <x:v>0.717948717948718</x:v>
      </x:c>
      <x:c r="O168" s="96" t="n">
        <x:f>IFERROR(I168/H168,0)</x:f>
        <x:v>0.7857142857142857</x:v>
      </x:c>
      <x:c r="P168" s="96" t="n">
        <x:f>IFERROR(J168/I168,0)</x:f>
        <x:v>0.5</x:v>
      </x:c>
      <x:c r="Q168" s="96" t="n">
        <x:f>IFERROR(L168/J168,0)</x:f>
        <x:v>0.09090909090909091</x:v>
      </x:c>
      <x:c r="R168" s="96" t="n">
        <x:f>IFERROR(L168/F168,0)</x:f>
        <x:v>0.023809523809523808</x:v>
      </x:c>
      <x:c r="S168" s="95" t="n">
        <x:v>65</x:v>
      </x:c>
      <x:c r="T168" s="94" t="str">
        <x:v>末次点击7天</x:v>
      </x:c>
    </x:row>
    <x:row r="169">
      <x:c r="A169" s="92" t="str">
        <x:v>PROC-0168</x:v>
      </x:c>
      <x:c r="B169" s="93" t="n">
        <x:v>46053</x:v>
      </x:c>
      <x:c r="C169" s="94" t="str">
        <x:v>Google Ads</x:v>
      </x:c>
      <x:c r="D169" s="94" t="str">
        <x:v>美国</x:v>
      </x:c>
      <x:c r="E169" s="94" t="str">
        <x:v>通用搜索</x:v>
      </x:c>
      <x:c r="F169" s="95" t="n">
        <x:v>45</x:v>
      </x:c>
      <x:c r="G169" s="95" t="n">
        <x:v>42</x:v>
      </x:c>
      <x:c r="H169" s="95" t="n">
        <x:v>28</x:v>
      </x:c>
      <x:c r="I169" s="95" t="n">
        <x:v>24</x:v>
      </x:c>
      <x:c r="J169" s="95" t="n">
        <x:v>9</x:v>
      </x:c>
      <x:c r="K169" s="95" t="n">
        <x:v>3</x:v>
      </x:c>
      <x:c r="L169" s="95" t="n">
        <x:v>1</x:v>
      </x:c>
      <x:c r="M169" s="96" t="n">
        <x:f>IFERROR(G169/F169,0)</x:f>
        <x:v>0.9333333333333333</x:v>
      </x:c>
      <x:c r="N169" s="96" t="n">
        <x:f>IFERROR(H169/G169,0)</x:f>
        <x:v>0.6666666666666666</x:v>
      </x:c>
      <x:c r="O169" s="96" t="n">
        <x:f>IFERROR(I169/H169,0)</x:f>
        <x:v>0.8571428571428571</x:v>
      </x:c>
      <x:c r="P169" s="96" t="n">
        <x:f>IFERROR(J169/I169,0)</x:f>
        <x:v>0.375</x:v>
      </x:c>
      <x:c r="Q169" s="96" t="n">
        <x:f>IFERROR(L169/J169,0)</x:f>
        <x:v>0.1111111111111111</x:v>
      </x:c>
      <x:c r="R169" s="96" t="n">
        <x:f>IFERROR(L169/F169,0)</x:f>
        <x:v>0.022222222222222223</x:v>
      </x:c>
      <x:c r="S169" s="95" t="n">
        <x:v>71</x:v>
      </x:c>
      <x:c r="T169" s="94" t="str">
        <x:v>末次点击7天</x:v>
      </x:c>
    </x:row>
    <x:row r="170">
      <x:c r="A170" s="92" t="str">
        <x:v>PROC-0169</x:v>
      </x:c>
      <x:c r="B170" s="93" t="n">
        <x:v>46053</x:v>
      </x:c>
      <x:c r="C170" s="94" t="str">
        <x:v>Google Ads</x:v>
      </x:c>
      <x:c r="D170" s="94" t="str">
        <x:v>德国</x:v>
      </x:c>
      <x:c r="E170" s="94" t="str">
        <x:v>品牌搜索</x:v>
      </x:c>
      <x:c r="F170" s="95" t="n">
        <x:v>44</x:v>
      </x:c>
      <x:c r="G170" s="95" t="n">
        <x:v>39</x:v>
      </x:c>
      <x:c r="H170" s="95" t="n">
        <x:v>27</x:v>
      </x:c>
      <x:c r="I170" s="95" t="n">
        <x:v>23</x:v>
      </x:c>
      <x:c r="J170" s="95" t="n">
        <x:v>11</x:v>
      </x:c>
      <x:c r="K170" s="95" t="n">
        <x:v>4</x:v>
      </x:c>
      <x:c r="L170" s="95" t="n">
        <x:v>1</x:v>
      </x:c>
      <x:c r="M170" s="96" t="n">
        <x:f>IFERROR(G170/F170,0)</x:f>
        <x:v>0.8863636363636364</x:v>
      </x:c>
      <x:c r="N170" s="96" t="n">
        <x:f>IFERROR(H170/G170,0)</x:f>
        <x:v>0.6923076923076923</x:v>
      </x:c>
      <x:c r="O170" s="96" t="n">
        <x:f>IFERROR(I170/H170,0)</x:f>
        <x:v>0.8518518518518519</x:v>
      </x:c>
      <x:c r="P170" s="96" t="n">
        <x:f>IFERROR(J170/I170,0)</x:f>
        <x:v>0.4782608695652174</x:v>
      </x:c>
      <x:c r="Q170" s="96" t="n">
        <x:f>IFERROR(L170/J170,0)</x:f>
        <x:v>0.09090909090909091</x:v>
      </x:c>
      <x:c r="R170" s="96" t="n">
        <x:f>IFERROR(L170/F170,0)</x:f>
        <x:v>0.022727272727272728</x:v>
      </x:c>
      <x:c r="S170" s="95" t="n">
        <x:v>142</x:v>
      </x:c>
      <x:c r="T170" s="94" t="str">
        <x:v>末次点击7天</x:v>
      </x:c>
    </x:row>
    <x:row r="171">
      <x:c r="A171" s="92" t="str">
        <x:v>PROC-0170</x:v>
      </x:c>
      <x:c r="B171" s="93" t="n">
        <x:v>46053</x:v>
      </x:c>
      <x:c r="C171" s="94" t="str">
        <x:v>Google Ads</x:v>
      </x:c>
      <x:c r="D171" s="94" t="str">
        <x:v>英国</x:v>
      </x:c>
      <x:c r="E171" s="94" t="str">
        <x:v>购物广告</x:v>
      </x:c>
      <x:c r="F171" s="95" t="n">
        <x:v>58</x:v>
      </x:c>
      <x:c r="G171" s="95" t="n">
        <x:v>53</x:v>
      </x:c>
      <x:c r="H171" s="95" t="n">
        <x:v>35</x:v>
      </x:c>
      <x:c r="I171" s="95" t="n">
        <x:v>31</x:v>
      </x:c>
      <x:c r="J171" s="95" t="n">
        <x:v>15</x:v>
      </x:c>
      <x:c r="K171" s="95" t="n">
        <x:v>3</x:v>
      </x:c>
      <x:c r="L171" s="95" t="n">
        <x:v>1</x:v>
      </x:c>
      <x:c r="M171" s="96" t="n">
        <x:f>IFERROR(G171/F171,0)</x:f>
        <x:v>0.9137931034482759</x:v>
      </x:c>
      <x:c r="N171" s="96" t="n">
        <x:f>IFERROR(H171/G171,0)</x:f>
        <x:v>0.660377358490566</x:v>
      </x:c>
      <x:c r="O171" s="96" t="n">
        <x:f>IFERROR(I171/H171,0)</x:f>
        <x:v>0.8857142857142857</x:v>
      </x:c>
      <x:c r="P171" s="96" t="n">
        <x:f>IFERROR(J171/I171,0)</x:f>
        <x:v>0.4838709677419355</x:v>
      </x:c>
      <x:c r="Q171" s="96" t="n">
        <x:f>IFERROR(L171/J171,0)</x:f>
        <x:v>0.06666666666666667</x:v>
      </x:c>
      <x:c r="R171" s="96" t="n">
        <x:f>IFERROR(L171/F171,0)</x:f>
        <x:v>0.017241379310344827</x:v>
      </x:c>
      <x:c r="S171" s="95" t="n">
        <x:v>149</x:v>
      </x:c>
      <x:c r="T171" s="94" t="str">
        <x:v>末次点击7天</x:v>
      </x:c>
    </x:row>
    <x:row r="172">
      <x:c r="A172" s="92" t="str">
        <x:v>PROC-0171</x:v>
      </x:c>
      <x:c r="B172" s="93" t="n">
        <x:v>46053</x:v>
      </x:c>
      <x:c r="C172" s="94" t="str">
        <x:v>Google Ads</x:v>
      </x:c>
      <x:c r="D172" s="94" t="str">
        <x:v>美国</x:v>
      </x:c>
      <x:c r="E172" s="94" t="str">
        <x:v>购物广告</x:v>
      </x:c>
      <x:c r="F172" s="95" t="n">
        <x:v>54</x:v>
      </x:c>
      <x:c r="G172" s="95" t="n">
        <x:v>48</x:v>
      </x:c>
      <x:c r="H172" s="95" t="n">
        <x:v>36</x:v>
      </x:c>
      <x:c r="I172" s="95" t="n">
        <x:v>33</x:v>
      </x:c>
      <x:c r="J172" s="95" t="n">
        <x:v>14</x:v>
      </x:c>
      <x:c r="K172" s="95" t="n">
        <x:v>4</x:v>
      </x:c>
      <x:c r="L172" s="95" t="n">
        <x:v>1</x:v>
      </x:c>
      <x:c r="M172" s="96" t="n">
        <x:f>IFERROR(G172/F172,0)</x:f>
        <x:v>0.8888888888888888</x:v>
      </x:c>
      <x:c r="N172" s="96" t="n">
        <x:f>IFERROR(H172/G172,0)</x:f>
        <x:v>0.75</x:v>
      </x:c>
      <x:c r="O172" s="96" t="n">
        <x:f>IFERROR(I172/H172,0)</x:f>
        <x:v>0.9166666666666666</x:v>
      </x:c>
      <x:c r="P172" s="96" t="n">
        <x:f>IFERROR(J172/I172,0)</x:f>
        <x:v>0.42424242424242425</x:v>
      </x:c>
      <x:c r="Q172" s="96" t="n">
        <x:f>IFERROR(L172/J172,0)</x:f>
        <x:v>0.07142857142857142</x:v>
      </x:c>
      <x:c r="R172" s="96" t="n">
        <x:f>IFERROR(L172/F172,0)</x:f>
        <x:v>0.018518518518518517</x:v>
      </x:c>
      <x:c r="S172" s="95" t="n">
        <x:v>96</x:v>
      </x:c>
      <x:c r="T172" s="94" t="str">
        <x:v>末次点击7天</x:v>
      </x:c>
    </x:row>
    <x:row r="173">
      <x:c r="A173" s="92" t="str">
        <x:v>PROC-0172</x:v>
      </x:c>
      <x:c r="B173" s="93" t="n">
        <x:v>46053</x:v>
      </x:c>
      <x:c r="C173" s="94" t="str">
        <x:v>Google Ads</x:v>
      </x:c>
      <x:c r="D173" s="94" t="str">
        <x:v>英国</x:v>
      </x:c>
      <x:c r="E173" s="94" t="str">
        <x:v>通用搜索</x:v>
      </x:c>
      <x:c r="F173" s="95" t="n">
        <x:v>42</x:v>
      </x:c>
      <x:c r="G173" s="95" t="n">
        <x:v>38</x:v>
      </x:c>
      <x:c r="H173" s="95" t="n">
        <x:v>27</x:v>
      </x:c>
      <x:c r="I173" s="95" t="n">
        <x:v>23</x:v>
      </x:c>
      <x:c r="J173" s="95" t="n">
        <x:v>10</x:v>
      </x:c>
      <x:c r="K173" s="95" t="n">
        <x:v>3</x:v>
      </x:c>
      <x:c r="L173" s="95" t="n">
        <x:v>1</x:v>
      </x:c>
      <x:c r="M173" s="96" t="n">
        <x:f>IFERROR(G173/F173,0)</x:f>
        <x:v>0.9047619047619048</x:v>
      </x:c>
      <x:c r="N173" s="96" t="n">
        <x:f>IFERROR(H173/G173,0)</x:f>
        <x:v>0.7105263157894737</x:v>
      </x:c>
      <x:c r="O173" s="96" t="n">
        <x:f>IFERROR(I173/H173,0)</x:f>
        <x:v>0.8518518518518519</x:v>
      </x:c>
      <x:c r="P173" s="96" t="n">
        <x:f>IFERROR(J173/I173,0)</x:f>
        <x:v>0.43478260869565216</x:v>
      </x:c>
      <x:c r="Q173" s="96" t="n">
        <x:f>IFERROR(L173/J173,0)</x:f>
        <x:v>0.1</x:v>
      </x:c>
      <x:c r="R173" s="96" t="n">
        <x:f>IFERROR(L173/F173,0)</x:f>
        <x:v>0.023809523809523808</x:v>
      </x:c>
      <x:c r="S173" s="95" t="n">
        <x:v>155</x:v>
      </x:c>
      <x:c r="T173" s="94" t="str">
        <x:v>末次点击7天</x:v>
      </x:c>
    </x:row>
    <x:row r="174">
      <x:c r="A174" s="92" t="str">
        <x:v>PROC-0173</x:v>
      </x:c>
      <x:c r="B174" s="93" t="n">
        <x:v>46054</x:v>
      </x:c>
      <x:c r="C174" s="94" t="str">
        <x:v>Microsoft Ads</x:v>
      </x:c>
      <x:c r="D174" s="94" t="str">
        <x:v>德国</x:v>
      </x:c>
      <x:c r="E174" s="94" t="str">
        <x:v>竞品搜索</x:v>
      </x:c>
      <x:c r="F174" s="95" t="n">
        <x:v>35</x:v>
      </x:c>
      <x:c r="G174" s="95" t="n">
        <x:v>32</x:v>
      </x:c>
      <x:c r="H174" s="95" t="n">
        <x:v>21</x:v>
      </x:c>
      <x:c r="I174" s="95" t="n">
        <x:v>17</x:v>
      </x:c>
      <x:c r="J174" s="95" t="n">
        <x:v>8</x:v>
      </x:c>
      <x:c r="K174" s="95" t="n">
        <x:v>3</x:v>
      </x:c>
      <x:c r="L174" s="95" t="n">
        <x:v>1</x:v>
      </x:c>
      <x:c r="M174" s="96" t="n">
        <x:f>IFERROR(G174/F174,0)</x:f>
        <x:v>0.9142857142857143</x:v>
      </x:c>
      <x:c r="N174" s="96" t="n">
        <x:f>IFERROR(H174/G174,0)</x:f>
        <x:v>0.65625</x:v>
      </x:c>
      <x:c r="O174" s="96" t="n">
        <x:f>IFERROR(I174/H174,0)</x:f>
        <x:v>0.8095238095238095</x:v>
      </x:c>
      <x:c r="P174" s="96" t="n">
        <x:f>IFERROR(J174/I174,0)</x:f>
        <x:v>0.47058823529411764</x:v>
      </x:c>
      <x:c r="Q174" s="96" t="n">
        <x:f>IFERROR(L174/J174,0)</x:f>
        <x:v>0.125</x:v>
      </x:c>
      <x:c r="R174" s="96" t="n">
        <x:f>IFERROR(L174/F174,0)</x:f>
        <x:v>0.02857142857142857</x:v>
      </x:c>
      <x:c r="S174" s="95" t="n">
        <x:v>148</x:v>
      </x:c>
      <x:c r="T174" s="94" t="str">
        <x:v>末次点击7天</x:v>
      </x:c>
    </x:row>
    <x:row r="175">
      <x:c r="A175" s="92" t="str">
        <x:v>PROC-0174</x:v>
      </x:c>
      <x:c r="B175" s="93" t="n">
        <x:v>46054</x:v>
      </x:c>
      <x:c r="C175" s="94" t="str">
        <x:v>Google Ads</x:v>
      </x:c>
      <x:c r="D175" s="94" t="str">
        <x:v>英国</x:v>
      </x:c>
      <x:c r="E175" s="94" t="str">
        <x:v>竞品搜索</x:v>
      </x:c>
      <x:c r="F175" s="95" t="n">
        <x:v>36</x:v>
      </x:c>
      <x:c r="G175" s="95" t="n">
        <x:v>32</x:v>
      </x:c>
      <x:c r="H175" s="95" t="n">
        <x:v>23</x:v>
      </x:c>
      <x:c r="I175" s="95" t="n">
        <x:v>20</x:v>
      </x:c>
      <x:c r="J175" s="95" t="n">
        <x:v>9</x:v>
      </x:c>
      <x:c r="K175" s="95" t="n">
        <x:v>2</x:v>
      </x:c>
      <x:c r="L175" s="95" t="n">
        <x:v>1</x:v>
      </x:c>
      <x:c r="M175" s="96" t="n">
        <x:f>IFERROR(G175/F175,0)</x:f>
        <x:v>0.8888888888888888</x:v>
      </x:c>
      <x:c r="N175" s="96" t="n">
        <x:f>IFERROR(H175/G175,0)</x:f>
        <x:v>0.71875</x:v>
      </x:c>
      <x:c r="O175" s="96" t="n">
        <x:f>IFERROR(I175/H175,0)</x:f>
        <x:v>0.8695652173913043</x:v>
      </x:c>
      <x:c r="P175" s="96" t="n">
        <x:f>IFERROR(J175/I175,0)</x:f>
        <x:v>0.45</x:v>
      </x:c>
      <x:c r="Q175" s="96" t="n">
        <x:f>IFERROR(L175/J175,0)</x:f>
        <x:v>0.1111111111111111</x:v>
      </x:c>
      <x:c r="R175" s="96" t="n">
        <x:f>IFERROR(L175/F175,0)</x:f>
        <x:v>0.027777777777777776</x:v>
      </x:c>
      <x:c r="S175" s="95" t="n">
        <x:v>87</x:v>
      </x:c>
      <x:c r="T175" s="94" t="str">
        <x:v>末次点击7天</x:v>
      </x:c>
    </x:row>
    <x:row r="176">
      <x:c r="A176" s="92" t="str">
        <x:v>PROC-0175</x:v>
      </x:c>
      <x:c r="B176" s="93" t="n">
        <x:v>46054</x:v>
      </x:c>
      <x:c r="C176" s="94" t="str">
        <x:v>Google Ads</x:v>
      </x:c>
      <x:c r="D176" s="94" t="str">
        <x:v>美国</x:v>
      </x:c>
      <x:c r="E176" s="94" t="str">
        <x:v>通用搜索</x:v>
      </x:c>
      <x:c r="F176" s="95" t="n">
        <x:v>34</x:v>
      </x:c>
      <x:c r="G176" s="95" t="n">
        <x:v>31</x:v>
      </x:c>
      <x:c r="H176" s="95" t="n">
        <x:v>23</x:v>
      </x:c>
      <x:c r="I176" s="95" t="n">
        <x:v>18</x:v>
      </x:c>
      <x:c r="J176" s="95" t="n">
        <x:v>7</x:v>
      </x:c>
      <x:c r="K176" s="95" t="n">
        <x:v>2</x:v>
      </x:c>
      <x:c r="L176" s="95" t="n">
        <x:v>1</x:v>
      </x:c>
      <x:c r="M176" s="96" t="n">
        <x:f>IFERROR(G176/F176,0)</x:f>
        <x:v>0.9117647058823529</x:v>
      </x:c>
      <x:c r="N176" s="96" t="n">
        <x:f>IFERROR(H176/G176,0)</x:f>
        <x:v>0.7419354838709677</x:v>
      </x:c>
      <x:c r="O176" s="96" t="n">
        <x:f>IFERROR(I176/H176,0)</x:f>
        <x:v>0.782608695652174</x:v>
      </x:c>
      <x:c r="P176" s="96" t="n">
        <x:f>IFERROR(J176/I176,0)</x:f>
        <x:v>0.3888888888888889</x:v>
      </x:c>
      <x:c r="Q176" s="96" t="n">
        <x:f>IFERROR(L176/J176,0)</x:f>
        <x:v>0.14285714285714285</x:v>
      </x:c>
      <x:c r="R176" s="96" t="n">
        <x:f>IFERROR(L176/F176,0)</x:f>
        <x:v>0.029411764705882353</x:v>
      </x:c>
      <x:c r="S176" s="95" t="n">
        <x:v>62</x:v>
      </x:c>
      <x:c r="T176" s="94" t="str">
        <x:v>末次点击7天</x:v>
      </x:c>
    </x:row>
    <x:row r="177">
      <x:c r="A177" s="92" t="str">
        <x:v>PROC-0176</x:v>
      </x:c>
      <x:c r="B177" s="93" t="n">
        <x:v>46054</x:v>
      </x:c>
      <x:c r="C177" s="94" t="str">
        <x:v>Google Ads</x:v>
      </x:c>
      <x:c r="D177" s="94" t="str">
        <x:v>美国</x:v>
      </x:c>
      <x:c r="E177" s="94" t="str">
        <x:v>通用搜索</x:v>
      </x:c>
      <x:c r="F177" s="95" t="n">
        <x:v>41</x:v>
      </x:c>
      <x:c r="G177" s="95" t="n">
        <x:v>37</x:v>
      </x:c>
      <x:c r="H177" s="95" t="n">
        <x:v>27</x:v>
      </x:c>
      <x:c r="I177" s="95" t="n">
        <x:v>22</x:v>
      </x:c>
      <x:c r="J177" s="95" t="n">
        <x:v>8</x:v>
      </x:c>
      <x:c r="K177" s="95" t="n">
        <x:v>2</x:v>
      </x:c>
      <x:c r="L177" s="95" t="n">
        <x:v>1</x:v>
      </x:c>
      <x:c r="M177" s="96" t="n">
        <x:f>IFERROR(G177/F177,0)</x:f>
        <x:v>0.9024390243902439</x:v>
      </x:c>
      <x:c r="N177" s="96" t="n">
        <x:f>IFERROR(H177/G177,0)</x:f>
        <x:v>0.7297297297297297</x:v>
      </x:c>
      <x:c r="O177" s="96" t="n">
        <x:f>IFERROR(I177/H177,0)</x:f>
        <x:v>0.8148148148148148</x:v>
      </x:c>
      <x:c r="P177" s="96" t="n">
        <x:f>IFERROR(J177/I177,0)</x:f>
        <x:v>0.36363636363636365</x:v>
      </x:c>
      <x:c r="Q177" s="96" t="n">
        <x:f>IFERROR(L177/J177,0)</x:f>
        <x:v>0.125</x:v>
      </x:c>
      <x:c r="R177" s="96" t="n">
        <x:f>IFERROR(L177/F177,0)</x:f>
        <x:v>0.024390243902439025</x:v>
      </x:c>
      <x:c r="S177" s="95" t="n">
        <x:v>112</x:v>
      </x:c>
      <x:c r="T177" s="94" t="str">
        <x:v>末次点击7天</x:v>
      </x:c>
    </x:row>
    <x:row r="178">
      <x:c r="A178" s="92" t="str">
        <x:v>PROC-0177</x:v>
      </x:c>
      <x:c r="B178" s="93" t="n">
        <x:v>46054</x:v>
      </x:c>
      <x:c r="C178" s="94" t="str">
        <x:v>Google Ads</x:v>
      </x:c>
      <x:c r="D178" s="94" t="str">
        <x:v>德国</x:v>
      </x:c>
      <x:c r="E178" s="94" t="str">
        <x:v>通用搜索</x:v>
      </x:c>
      <x:c r="F178" s="95" t="n">
        <x:v>26</x:v>
      </x:c>
      <x:c r="G178" s="95" t="n">
        <x:v>24</x:v>
      </x:c>
      <x:c r="H178" s="95" t="n">
        <x:v>16</x:v>
      </x:c>
      <x:c r="I178" s="95" t="n">
        <x:v>13</x:v>
      </x:c>
      <x:c r="J178" s="95" t="n">
        <x:v>6</x:v>
      </x:c>
      <x:c r="K178" s="95" t="n">
        <x:v>1</x:v>
      </x:c>
      <x:c r="L178" s="95" t="n">
        <x:v>1</x:v>
      </x:c>
      <x:c r="M178" s="96" t="n">
        <x:f>IFERROR(G178/F178,0)</x:f>
        <x:v>0.9230769230769231</x:v>
      </x:c>
      <x:c r="N178" s="96" t="n">
        <x:f>IFERROR(H178/G178,0)</x:f>
        <x:v>0.6666666666666666</x:v>
      </x:c>
      <x:c r="O178" s="96" t="n">
        <x:f>IFERROR(I178/H178,0)</x:f>
        <x:v>0.8125</x:v>
      </x:c>
      <x:c r="P178" s="96" t="n">
        <x:f>IFERROR(J178/I178,0)</x:f>
        <x:v>0.46153846153846156</x:v>
      </x:c>
      <x:c r="Q178" s="96" t="n">
        <x:f>IFERROR(L178/J178,0)</x:f>
        <x:v>0.16666666666666666</x:v>
      </x:c>
      <x:c r="R178" s="96" t="n">
        <x:f>IFERROR(L178/F178,0)</x:f>
        <x:v>0.038461538461538464</x:v>
      </x:c>
      <x:c r="S178" s="95" t="n">
        <x:v>113</x:v>
      </x:c>
      <x:c r="T178" s="94" t="str">
        <x:v>末次点击7天</x:v>
      </x:c>
    </x:row>
    <x:row r="179">
      <x:c r="A179" s="92" t="str">
        <x:v>PROC-0178</x:v>
      </x:c>
      <x:c r="B179" s="93" t="n">
        <x:v>46055</x:v>
      </x:c>
      <x:c r="C179" s="94" t="str">
        <x:v>Microsoft Ads</x:v>
      </x:c>
      <x:c r="D179" s="94" t="str">
        <x:v>美国</x:v>
      </x:c>
      <x:c r="E179" s="94" t="str">
        <x:v>通用搜索</x:v>
      </x:c>
      <x:c r="F179" s="95" t="n">
        <x:v>43</x:v>
      </x:c>
      <x:c r="G179" s="95" t="n">
        <x:v>38</x:v>
      </x:c>
      <x:c r="H179" s="95" t="n">
        <x:v>25</x:v>
      </x:c>
      <x:c r="I179" s="95" t="n">
        <x:v>21</x:v>
      </x:c>
      <x:c r="J179" s="95" t="n">
        <x:v>8</x:v>
      </x:c>
      <x:c r="K179" s="95" t="n">
        <x:v>2</x:v>
      </x:c>
      <x:c r="L179" s="95" t="n">
        <x:v>1</x:v>
      </x:c>
      <x:c r="M179" s="96" t="n">
        <x:f>IFERROR(G179/F179,0)</x:f>
        <x:v>0.8837209302325582</x:v>
      </x:c>
      <x:c r="N179" s="96" t="n">
        <x:f>IFERROR(H179/G179,0)</x:f>
        <x:v>0.6578947368421053</x:v>
      </x:c>
      <x:c r="O179" s="96" t="n">
        <x:f>IFERROR(I179/H179,0)</x:f>
        <x:v>0.84</x:v>
      </x:c>
      <x:c r="P179" s="96" t="n">
        <x:f>IFERROR(J179/I179,0)</x:f>
        <x:v>0.38095238095238093</x:v>
      </x:c>
      <x:c r="Q179" s="96" t="n">
        <x:f>IFERROR(L179/J179,0)</x:f>
        <x:v>0.125</x:v>
      </x:c>
      <x:c r="R179" s="96" t="n">
        <x:f>IFERROR(L179/F179,0)</x:f>
        <x:v>0.023255813953488372</x:v>
      </x:c>
      <x:c r="S179" s="95" t="n">
        <x:v>132</x:v>
      </x:c>
      <x:c r="T179" s="94" t="str">
        <x:v>末次点击7天</x:v>
      </x:c>
    </x:row>
    <x:row r="180">
      <x:c r="A180" s="92" t="str">
        <x:v>PROC-0179</x:v>
      </x:c>
      <x:c r="B180" s="93" t="n">
        <x:v>46055</x:v>
      </x:c>
      <x:c r="C180" s="94" t="str">
        <x:v>Google Ads</x:v>
      </x:c>
      <x:c r="D180" s="94" t="str">
        <x:v>美国</x:v>
      </x:c>
      <x:c r="E180" s="94" t="str">
        <x:v>竞品搜索</x:v>
      </x:c>
      <x:c r="F180" s="95" t="n">
        <x:v>19</x:v>
      </x:c>
      <x:c r="G180" s="95" t="n">
        <x:v>17</x:v>
      </x:c>
      <x:c r="H180" s="95" t="n">
        <x:v>13</x:v>
      </x:c>
      <x:c r="I180" s="95" t="n">
        <x:v>11</x:v>
      </x:c>
      <x:c r="J180" s="95" t="n">
        <x:v>5</x:v>
      </x:c>
      <x:c r="K180" s="95" t="n">
        <x:v>1</x:v>
      </x:c>
      <x:c r="L180" s="95" t="n">
        <x:v>0</x:v>
      </x:c>
      <x:c r="M180" s="96" t="n">
        <x:f>IFERROR(G180/F180,0)</x:f>
        <x:v>0.8947368421052632</x:v>
      </x:c>
      <x:c r="N180" s="96" t="n">
        <x:f>IFERROR(H180/G180,0)</x:f>
        <x:v>0.7647058823529411</x:v>
      </x:c>
      <x:c r="O180" s="96" t="n">
        <x:f>IFERROR(I180/H180,0)</x:f>
        <x:v>0.8461538461538461</x:v>
      </x:c>
      <x:c r="P180" s="96" t="n">
        <x:f>IFERROR(J180/I180,0)</x:f>
        <x:v>0.45454545454545453</x:v>
      </x:c>
      <x:c r="Q180" s="96" t="n">
        <x:f>IFERROR(L180/J180,0)</x:f>
        <x:v>0</x:v>
      </x:c>
      <x:c r="R180" s="96" t="n">
        <x:f>IFERROR(L180/F180,0)</x:f>
        <x:v>0</x:v>
      </x:c>
      <x:c r="S180" s="95" t="n">
        <x:v>67</x:v>
      </x:c>
      <x:c r="T180" s="94" t="str">
        <x:v>末次点击7天</x:v>
      </x:c>
    </x:row>
    <x:row r="181">
      <x:c r="A181" s="92" t="str">
        <x:v>PROC-0180</x:v>
      </x:c>
      <x:c r="B181" s="93" t="n">
        <x:v>46055</x:v>
      </x:c>
      <x:c r="C181" s="94" t="str">
        <x:v>Google Ads</x:v>
      </x:c>
      <x:c r="D181" s="94" t="str">
        <x:v>美国</x:v>
      </x:c>
      <x:c r="E181" s="94" t="str">
        <x:v>通用搜索</x:v>
      </x:c>
      <x:c r="F181" s="95" t="n">
        <x:v>31</x:v>
      </x:c>
      <x:c r="G181" s="95" t="n">
        <x:v>29</x:v>
      </x:c>
      <x:c r="H181" s="95" t="n">
        <x:v>21</x:v>
      </x:c>
      <x:c r="I181" s="95" t="n">
        <x:v>18</x:v>
      </x:c>
      <x:c r="J181" s="95" t="n">
        <x:v>8</x:v>
      </x:c>
      <x:c r="K181" s="95" t="n">
        <x:v>2</x:v>
      </x:c>
      <x:c r="L181" s="95" t="n">
        <x:v>1</x:v>
      </x:c>
      <x:c r="M181" s="96" t="n">
        <x:f>IFERROR(G181/F181,0)</x:f>
        <x:v>0.9354838709677419</x:v>
      </x:c>
      <x:c r="N181" s="96" t="n">
        <x:f>IFERROR(H181/G181,0)</x:f>
        <x:v>0.7241379310344828</x:v>
      </x:c>
      <x:c r="O181" s="96" t="n">
        <x:f>IFERROR(I181/H181,0)</x:f>
        <x:v>0.8571428571428571</x:v>
      </x:c>
      <x:c r="P181" s="96" t="n">
        <x:f>IFERROR(J181/I181,0)</x:f>
        <x:v>0.4444444444444444</x:v>
      </x:c>
      <x:c r="Q181" s="96" t="n">
        <x:f>IFERROR(L181/J181,0)</x:f>
        <x:v>0.125</x:v>
      </x:c>
      <x:c r="R181" s="96" t="n">
        <x:f>IFERROR(L181/F181,0)</x:f>
        <x:v>0.03225806451612903</x:v>
      </x:c>
      <x:c r="S181" s="95" t="n">
        <x:v>60</x:v>
      </x:c>
      <x:c r="T181" s="94" t="str">
        <x:v>末次点击7天</x:v>
      </x:c>
    </x:row>
    <x:row r="182">
      <x:c r="A182" s="92" t="str">
        <x:v>PROC-0181</x:v>
      </x:c>
      <x:c r="B182" s="93" t="n">
        <x:v>46055</x:v>
      </x:c>
      <x:c r="C182" s="94" t="str">
        <x:v>Microsoft Ads</x:v>
      </x:c>
      <x:c r="D182" s="94" t="str">
        <x:v>美国</x:v>
      </x:c>
      <x:c r="E182" s="94" t="str">
        <x:v>购物广告</x:v>
      </x:c>
      <x:c r="F182" s="95" t="n">
        <x:v>42</x:v>
      </x:c>
      <x:c r="G182" s="95" t="n">
        <x:v>38</x:v>
      </x:c>
      <x:c r="H182" s="95" t="n">
        <x:v>28</x:v>
      </x:c>
      <x:c r="I182" s="95" t="n">
        <x:v>25</x:v>
      </x:c>
      <x:c r="J182" s="95" t="n">
        <x:v>10</x:v>
      </x:c>
      <x:c r="K182" s="95" t="n">
        <x:v>3</x:v>
      </x:c>
      <x:c r="L182" s="95" t="n">
        <x:v>1</x:v>
      </x:c>
      <x:c r="M182" s="96" t="n">
        <x:f>IFERROR(G182/F182,0)</x:f>
        <x:v>0.9047619047619048</x:v>
      </x:c>
      <x:c r="N182" s="96" t="n">
        <x:f>IFERROR(H182/G182,0)</x:f>
        <x:v>0.7368421052631579</x:v>
      </x:c>
      <x:c r="O182" s="96" t="n">
        <x:f>IFERROR(I182/H182,0)</x:f>
        <x:v>0.8928571428571429</x:v>
      </x:c>
      <x:c r="P182" s="96" t="n">
        <x:f>IFERROR(J182/I182,0)</x:f>
        <x:v>0.4</x:v>
      </x:c>
      <x:c r="Q182" s="96" t="n">
        <x:f>IFERROR(L182/J182,0)</x:f>
        <x:v>0.1</x:v>
      </x:c>
      <x:c r="R182" s="96" t="n">
        <x:f>IFERROR(L182/F182,0)</x:f>
        <x:v>0.023809523809523808</x:v>
      </x:c>
      <x:c r="S182" s="95" t="n">
        <x:v>101</x:v>
      </x:c>
      <x:c r="T182" s="94" t="str">
        <x:v>末次点击7天</x:v>
      </x:c>
    </x:row>
    <x:row r="183">
      <x:c r="A183" s="92" t="str">
        <x:v>PROC-0182</x:v>
      </x:c>
      <x:c r="B183" s="93" t="n">
        <x:v>46055</x:v>
      </x:c>
      <x:c r="C183" s="94" t="str">
        <x:v>Microsoft Ads</x:v>
      </x:c>
      <x:c r="D183" s="94" t="str">
        <x:v>英国</x:v>
      </x:c>
      <x:c r="E183" s="94" t="str">
        <x:v>品牌搜索</x:v>
      </x:c>
      <x:c r="F183" s="95" t="n">
        <x:v>62</x:v>
      </x:c>
      <x:c r="G183" s="95" t="n">
        <x:v>59</x:v>
      </x:c>
      <x:c r="H183" s="95" t="n">
        <x:v>43</x:v>
      </x:c>
      <x:c r="I183" s="95" t="n">
        <x:v>35</x:v>
      </x:c>
      <x:c r="J183" s="95" t="n">
        <x:v>17</x:v>
      </x:c>
      <x:c r="K183" s="95" t="n">
        <x:v>4</x:v>
      </x:c>
      <x:c r="L183" s="95" t="n">
        <x:v>2</x:v>
      </x:c>
      <x:c r="M183" s="96" t="n">
        <x:f>IFERROR(G183/F183,0)</x:f>
        <x:v>0.9516129032258065</x:v>
      </x:c>
      <x:c r="N183" s="96" t="n">
        <x:f>IFERROR(H183/G183,0)</x:f>
        <x:v>0.7288135593220338</x:v>
      </x:c>
      <x:c r="O183" s="96" t="n">
        <x:f>IFERROR(I183/H183,0)</x:f>
        <x:v>0.813953488372093</x:v>
      </x:c>
      <x:c r="P183" s="96" t="n">
        <x:f>IFERROR(J183/I183,0)</x:f>
        <x:v>0.4857142857142857</x:v>
      </x:c>
      <x:c r="Q183" s="96" t="n">
        <x:f>IFERROR(L183/J183,0)</x:f>
        <x:v>0.11764705882352941</x:v>
      </x:c>
      <x:c r="R183" s="96" t="n">
        <x:f>IFERROR(L183/F183,0)</x:f>
        <x:v>0.03225806451612903</x:v>
      </x:c>
      <x:c r="S183" s="95" t="n">
        <x:v>97</x:v>
      </x:c>
      <x:c r="T183" s="94" t="str">
        <x:v>末次点击7天</x:v>
      </x:c>
    </x:row>
    <x:row r="184">
      <x:c r="A184" s="92" t="str">
        <x:v>PROC-0183</x:v>
      </x:c>
      <x:c r="B184" s="93" t="n">
        <x:v>46055</x:v>
      </x:c>
      <x:c r="C184" s="94" t="str">
        <x:v>Google Ads</x:v>
      </x:c>
      <x:c r="D184" s="94" t="str">
        <x:v>英国</x:v>
      </x:c>
      <x:c r="E184" s="94" t="str">
        <x:v>购物广告</x:v>
      </x:c>
      <x:c r="F184" s="95" t="n">
        <x:v>50</x:v>
      </x:c>
      <x:c r="G184" s="95" t="n">
        <x:v>47</x:v>
      </x:c>
      <x:c r="H184" s="95" t="n">
        <x:v>34</x:v>
      </x:c>
      <x:c r="I184" s="95" t="n">
        <x:v>29</x:v>
      </x:c>
      <x:c r="J184" s="95" t="n">
        <x:v>15</x:v>
      </x:c>
      <x:c r="K184" s="95" t="n">
        <x:v>5</x:v>
      </x:c>
      <x:c r="L184" s="95" t="n">
        <x:v>1</x:v>
      </x:c>
      <x:c r="M184" s="96" t="n">
        <x:f>IFERROR(G184/F184,0)</x:f>
        <x:v>0.94</x:v>
      </x:c>
      <x:c r="N184" s="96" t="n">
        <x:f>IFERROR(H184/G184,0)</x:f>
        <x:v>0.723404255319149</x:v>
      </x:c>
      <x:c r="O184" s="96" t="n">
        <x:f>IFERROR(I184/H184,0)</x:f>
        <x:v>0.8529411764705882</x:v>
      </x:c>
      <x:c r="P184" s="96" t="n">
        <x:f>IFERROR(J184/I184,0)</x:f>
        <x:v>0.5172413793103449</x:v>
      </x:c>
      <x:c r="Q184" s="96" t="n">
        <x:f>IFERROR(L184/J184,0)</x:f>
        <x:v>0.06666666666666667</x:v>
      </x:c>
      <x:c r="R184" s="96" t="n">
        <x:f>IFERROR(L184/F184,0)</x:f>
        <x:v>0.02</x:v>
      </x:c>
      <x:c r="S184" s="95" t="n">
        <x:v>73</x:v>
      </x:c>
      <x:c r="T184" s="94" t="str">
        <x:v>末次点击7天</x:v>
      </x:c>
    </x:row>
    <x:row r="185">
      <x:c r="A185" s="92" t="str">
        <x:v>PROC-0184</x:v>
      </x:c>
      <x:c r="B185" s="93" t="n">
        <x:v>46056</x:v>
      </x:c>
      <x:c r="C185" s="94" t="str">
        <x:v>Microsoft Ads</x:v>
      </x:c>
      <x:c r="D185" s="94" t="str">
        <x:v>日本</x:v>
      </x:c>
      <x:c r="E185" s="94" t="str">
        <x:v>竞品搜索</x:v>
      </x:c>
      <x:c r="F185" s="95" t="n">
        <x:v>19</x:v>
      </x:c>
      <x:c r="G185" s="95" t="n">
        <x:v>18</x:v>
      </x:c>
      <x:c r="H185" s="95" t="n">
        <x:v>14</x:v>
      </x:c>
      <x:c r="I185" s="95" t="n">
        <x:v>12</x:v>
      </x:c>
      <x:c r="J185" s="95" t="n">
        <x:v>4</x:v>
      </x:c>
      <x:c r="K185" s="95" t="n">
        <x:v>1</x:v>
      </x:c>
      <x:c r="L185" s="95" t="n">
        <x:v>0</x:v>
      </x:c>
      <x:c r="M185" s="96" t="n">
        <x:f>IFERROR(G185/F185,0)</x:f>
        <x:v>0.9473684210526315</x:v>
      </x:c>
      <x:c r="N185" s="96" t="n">
        <x:f>IFERROR(H185/G185,0)</x:f>
        <x:v>0.7777777777777778</x:v>
      </x:c>
      <x:c r="O185" s="96" t="n">
        <x:f>IFERROR(I185/H185,0)</x:f>
        <x:v>0.8571428571428571</x:v>
      </x:c>
      <x:c r="P185" s="96" t="n">
        <x:f>IFERROR(J185/I185,0)</x:f>
        <x:v>0.3333333333333333</x:v>
      </x:c>
      <x:c r="Q185" s="96" t="n">
        <x:f>IFERROR(L185/J185,0)</x:f>
        <x:v>0</x:v>
      </x:c>
      <x:c r="R185" s="96" t="n">
        <x:f>IFERROR(L185/F185,0)</x:f>
        <x:v>0</x:v>
      </x:c>
      <x:c r="S185" s="95" t="n">
        <x:v>116</x:v>
      </x:c>
      <x:c r="T185" s="94" t="str">
        <x:v>末次点击7天</x:v>
      </x:c>
    </x:row>
    <x:row r="186">
      <x:c r="A186" s="92" t="str">
        <x:v>PROC-0185</x:v>
      </x:c>
      <x:c r="B186" s="93" t="n">
        <x:v>46056</x:v>
      </x:c>
      <x:c r="C186" s="94" t="str">
        <x:v>Google Ads</x:v>
      </x:c>
      <x:c r="D186" s="94" t="str">
        <x:v>美国</x:v>
      </x:c>
      <x:c r="E186" s="94" t="str">
        <x:v>购物广告</x:v>
      </x:c>
      <x:c r="F186" s="95" t="n">
        <x:v>32</x:v>
      </x:c>
      <x:c r="G186" s="95" t="n">
        <x:v>29</x:v>
      </x:c>
      <x:c r="H186" s="95" t="n">
        <x:v>21</x:v>
      </x:c>
      <x:c r="I186" s="95" t="n">
        <x:v>18</x:v>
      </x:c>
      <x:c r="J186" s="95" t="n">
        <x:v>9</x:v>
      </x:c>
      <x:c r="K186" s="95" t="n">
        <x:v>2</x:v>
      </x:c>
      <x:c r="L186" s="95" t="n">
        <x:v>1</x:v>
      </x:c>
      <x:c r="M186" s="96" t="n">
        <x:f>IFERROR(G186/F186,0)</x:f>
        <x:v>0.90625</x:v>
      </x:c>
      <x:c r="N186" s="96" t="n">
        <x:f>IFERROR(H186/G186,0)</x:f>
        <x:v>0.7241379310344828</x:v>
      </x:c>
      <x:c r="O186" s="96" t="n">
        <x:f>IFERROR(I186/H186,0)</x:f>
        <x:v>0.8571428571428571</x:v>
      </x:c>
      <x:c r="P186" s="96" t="n">
        <x:f>IFERROR(J186/I186,0)</x:f>
        <x:v>0.5</x:v>
      </x:c>
      <x:c r="Q186" s="96" t="n">
        <x:f>IFERROR(L186/J186,0)</x:f>
        <x:v>0.1111111111111111</x:v>
      </x:c>
      <x:c r="R186" s="96" t="n">
        <x:f>IFERROR(L186/F186,0)</x:f>
        <x:v>0.03125</x:v>
      </x:c>
      <x:c r="S186" s="95" t="n">
        <x:v>94</x:v>
      </x:c>
      <x:c r="T186" s="94" t="str">
        <x:v>末次点击7天</x:v>
      </x:c>
    </x:row>
    <x:row r="187">
      <x:c r="A187" s="92" t="str">
        <x:v>PROC-0186</x:v>
      </x:c>
      <x:c r="B187" s="93" t="n">
        <x:v>46056</x:v>
      </x:c>
      <x:c r="C187" s="94" t="str">
        <x:v>Google Ads</x:v>
      </x:c>
      <x:c r="D187" s="94" t="str">
        <x:v>德国</x:v>
      </x:c>
      <x:c r="E187" s="94" t="str">
        <x:v>购物广告</x:v>
      </x:c>
      <x:c r="F187" s="95" t="n">
        <x:v>44</x:v>
      </x:c>
      <x:c r="G187" s="95" t="n">
        <x:v>41</x:v>
      </x:c>
      <x:c r="H187" s="95" t="n">
        <x:v>30</x:v>
      </x:c>
      <x:c r="I187" s="95" t="n">
        <x:v>27</x:v>
      </x:c>
      <x:c r="J187" s="95" t="n">
        <x:v>13</x:v>
      </x:c>
      <x:c r="K187" s="95" t="n">
        <x:v>4</x:v>
      </x:c>
      <x:c r="L187" s="95" t="n">
        <x:v>1</x:v>
      </x:c>
      <x:c r="M187" s="96" t="n">
        <x:f>IFERROR(G187/F187,0)</x:f>
        <x:v>0.9318181818181818</x:v>
      </x:c>
      <x:c r="N187" s="96" t="n">
        <x:f>IFERROR(H187/G187,0)</x:f>
        <x:v>0.7317073170731707</x:v>
      </x:c>
      <x:c r="O187" s="96" t="n">
        <x:f>IFERROR(I187/H187,0)</x:f>
        <x:v>0.9</x:v>
      </x:c>
      <x:c r="P187" s="96" t="n">
        <x:f>IFERROR(J187/I187,0)</x:f>
        <x:v>0.48148148148148145</x:v>
      </x:c>
      <x:c r="Q187" s="96" t="n">
        <x:f>IFERROR(L187/J187,0)</x:f>
        <x:v>0.07692307692307693</x:v>
      </x:c>
      <x:c r="R187" s="96" t="n">
        <x:f>IFERROR(L187/F187,0)</x:f>
        <x:v>0.022727272727272728</x:v>
      </x:c>
      <x:c r="S187" s="95" t="n">
        <x:v>74</x:v>
      </x:c>
      <x:c r="T187" s="94" t="str">
        <x:v>末次点击7天</x:v>
      </x:c>
    </x:row>
    <x:row r="188">
      <x:c r="A188" s="92" t="str">
        <x:v>PROC-0187</x:v>
      </x:c>
      <x:c r="B188" s="93" t="n">
        <x:v>46056</x:v>
      </x:c>
      <x:c r="C188" s="94" t="str">
        <x:v>Google Ads</x:v>
      </x:c>
      <x:c r="D188" s="94" t="str">
        <x:v>美国</x:v>
      </x:c>
      <x:c r="E188" s="94" t="str">
        <x:v>购物广告</x:v>
      </x:c>
      <x:c r="F188" s="95" t="n">
        <x:v>76</x:v>
      </x:c>
      <x:c r="G188" s="95" t="n">
        <x:v>67</x:v>
      </x:c>
      <x:c r="H188" s="95" t="n">
        <x:v>49</x:v>
      </x:c>
      <x:c r="I188" s="95" t="n">
        <x:v>43</x:v>
      </x:c>
      <x:c r="J188" s="95" t="n">
        <x:v>19</x:v>
      </x:c>
      <x:c r="K188" s="95" t="n">
        <x:v>5</x:v>
      </x:c>
      <x:c r="L188" s="95" t="n">
        <x:v>1</x:v>
      </x:c>
      <x:c r="M188" s="96" t="n">
        <x:f>IFERROR(G188/F188,0)</x:f>
        <x:v>0.881578947368421</x:v>
      </x:c>
      <x:c r="N188" s="96" t="n">
        <x:f>IFERROR(H188/G188,0)</x:f>
        <x:v>0.7313432835820896</x:v>
      </x:c>
      <x:c r="O188" s="96" t="n">
        <x:f>IFERROR(I188/H188,0)</x:f>
        <x:v>0.8775510204081632</x:v>
      </x:c>
      <x:c r="P188" s="96" t="n">
        <x:f>IFERROR(J188/I188,0)</x:f>
        <x:v>0.4418604651162791</x:v>
      </x:c>
      <x:c r="Q188" s="96" t="n">
        <x:f>IFERROR(L188/J188,0)</x:f>
        <x:v>0.05263157894736842</x:v>
      </x:c>
      <x:c r="R188" s="96" t="n">
        <x:f>IFERROR(L188/F188,0)</x:f>
        <x:v>0.013157894736842105</x:v>
      </x:c>
      <x:c r="S188" s="95" t="n">
        <x:v>153</x:v>
      </x:c>
      <x:c r="T188" s="94" t="str">
        <x:v>末次点击7天</x:v>
      </x:c>
    </x:row>
    <x:row r="189">
      <x:c r="A189" s="92" t="str">
        <x:v>PROC-0188</x:v>
      </x:c>
      <x:c r="B189" s="93" t="n">
        <x:v>46056</x:v>
      </x:c>
      <x:c r="C189" s="94" t="str">
        <x:v>Google Ads</x:v>
      </x:c>
      <x:c r="D189" s="94" t="str">
        <x:v>美国</x:v>
      </x:c>
      <x:c r="E189" s="94" t="str">
        <x:v>购物广告</x:v>
      </x:c>
      <x:c r="F189" s="95" t="n">
        <x:v>37</x:v>
      </x:c>
      <x:c r="G189" s="95" t="n">
        <x:v>35</x:v>
      </x:c>
      <x:c r="H189" s="95" t="n">
        <x:v>23</x:v>
      </x:c>
      <x:c r="I189" s="95" t="n">
        <x:v>20</x:v>
      </x:c>
      <x:c r="J189" s="95" t="n">
        <x:v>9</x:v>
      </x:c>
      <x:c r="K189" s="95" t="n">
        <x:v>3</x:v>
      </x:c>
      <x:c r="L189" s="95" t="n">
        <x:v>1</x:v>
      </x:c>
      <x:c r="M189" s="96" t="n">
        <x:f>IFERROR(G189/F189,0)</x:f>
        <x:v>0.9459459459459459</x:v>
      </x:c>
      <x:c r="N189" s="96" t="n">
        <x:f>IFERROR(H189/G189,0)</x:f>
        <x:v>0.6571428571428571</x:v>
      </x:c>
      <x:c r="O189" s="96" t="n">
        <x:f>IFERROR(I189/H189,0)</x:f>
        <x:v>0.8695652173913043</x:v>
      </x:c>
      <x:c r="P189" s="96" t="n">
        <x:f>IFERROR(J189/I189,0)</x:f>
        <x:v>0.45</x:v>
      </x:c>
      <x:c r="Q189" s="96" t="n">
        <x:f>IFERROR(L189/J189,0)</x:f>
        <x:v>0.1111111111111111</x:v>
      </x:c>
      <x:c r="R189" s="96" t="n">
        <x:f>IFERROR(L189/F189,0)</x:f>
        <x:v>0.02702702702702703</x:v>
      </x:c>
      <x:c r="S189" s="95" t="n">
        <x:v>65</x:v>
      </x:c>
      <x:c r="T189" s="94" t="str">
        <x:v>末次点击7天</x:v>
      </x:c>
    </x:row>
    <x:row r="190">
      <x:c r="A190" s="92" t="str">
        <x:v>PROC-0189</x:v>
      </x:c>
      <x:c r="B190" s="93" t="n">
        <x:v>46057</x:v>
      </x:c>
      <x:c r="C190" s="94" t="str">
        <x:v>Microsoft Ads</x:v>
      </x:c>
      <x:c r="D190" s="94" t="str">
        <x:v>美国</x:v>
      </x:c>
      <x:c r="E190" s="94" t="str">
        <x:v>购物广告</x:v>
      </x:c>
      <x:c r="F190" s="95" t="n">
        <x:v>62</x:v>
      </x:c>
      <x:c r="G190" s="95" t="n">
        <x:v>60</x:v>
      </x:c>
      <x:c r="H190" s="95" t="n">
        <x:v>41</x:v>
      </x:c>
      <x:c r="I190" s="95" t="n">
        <x:v>37</x:v>
      </x:c>
      <x:c r="J190" s="95" t="n">
        <x:v>19</x:v>
      </x:c>
      <x:c r="K190" s="95" t="n">
        <x:v>6</x:v>
      </x:c>
      <x:c r="L190" s="95" t="n">
        <x:v>2</x:v>
      </x:c>
      <x:c r="M190" s="96" t="n">
        <x:f>IFERROR(G190/F190,0)</x:f>
        <x:v>0.967741935483871</x:v>
      </x:c>
      <x:c r="N190" s="96" t="n">
        <x:f>IFERROR(H190/G190,0)</x:f>
        <x:v>0.6833333333333333</x:v>
      </x:c>
      <x:c r="O190" s="96" t="n">
        <x:f>IFERROR(I190/H190,0)</x:f>
        <x:v>0.9024390243902439</x:v>
      </x:c>
      <x:c r="P190" s="96" t="n">
        <x:f>IFERROR(J190/I190,0)</x:f>
        <x:v>0.5135135135135135</x:v>
      </x:c>
      <x:c r="Q190" s="96" t="n">
        <x:f>IFERROR(L190/J190,0)</x:f>
        <x:v>0.10526315789473684</x:v>
      </x:c>
      <x:c r="R190" s="96" t="n">
        <x:f>IFERROR(L190/F190,0)</x:f>
        <x:v>0.03225806451612903</x:v>
      </x:c>
      <x:c r="S190" s="95" t="n">
        <x:v>62</x:v>
      </x:c>
      <x:c r="T190" s="94" t="str">
        <x:v>末次点击7天</x:v>
      </x:c>
    </x:row>
    <x:row r="191">
      <x:c r="A191" s="92" t="str">
        <x:v>PROC-0190</x:v>
      </x:c>
      <x:c r="B191" s="93" t="n">
        <x:v>46057</x:v>
      </x:c>
      <x:c r="C191" s="94" t="str">
        <x:v>Microsoft Ads</x:v>
      </x:c>
      <x:c r="D191" s="94" t="str">
        <x:v>美国</x:v>
      </x:c>
      <x:c r="E191" s="94" t="str">
        <x:v>购物广告</x:v>
      </x:c>
      <x:c r="F191" s="95" t="n">
        <x:v>31</x:v>
      </x:c>
      <x:c r="G191" s="95" t="n">
        <x:v>28</x:v>
      </x:c>
      <x:c r="H191" s="95" t="n">
        <x:v>20</x:v>
      </x:c>
      <x:c r="I191" s="95" t="n">
        <x:v>18</x:v>
      </x:c>
      <x:c r="J191" s="95" t="n">
        <x:v>7</x:v>
      </x:c>
      <x:c r="K191" s="95" t="n">
        <x:v>2</x:v>
      </x:c>
      <x:c r="L191" s="95" t="n">
        <x:v>1</x:v>
      </x:c>
      <x:c r="M191" s="96" t="n">
        <x:f>IFERROR(G191/F191,0)</x:f>
        <x:v>0.9032258064516129</x:v>
      </x:c>
      <x:c r="N191" s="96" t="n">
        <x:f>IFERROR(H191/G191,0)</x:f>
        <x:v>0.7142857142857143</x:v>
      </x:c>
      <x:c r="O191" s="96" t="n">
        <x:f>IFERROR(I191/H191,0)</x:f>
        <x:v>0.9</x:v>
      </x:c>
      <x:c r="P191" s="96" t="n">
        <x:f>IFERROR(J191/I191,0)</x:f>
        <x:v>0.3888888888888889</x:v>
      </x:c>
      <x:c r="Q191" s="96" t="n">
        <x:f>IFERROR(L191/J191,0)</x:f>
        <x:v>0.14285714285714285</x:v>
      </x:c>
      <x:c r="R191" s="96" t="n">
        <x:f>IFERROR(L191/F191,0)</x:f>
        <x:v>0.03225806451612903</x:v>
      </x:c>
      <x:c r="S191" s="95" t="n">
        <x:v>143</x:v>
      </x:c>
      <x:c r="T191" s="94" t="str">
        <x:v>末次点击7天</x:v>
      </x:c>
    </x:row>
    <x:row r="192">
      <x:c r="A192" s="92" t="str">
        <x:v>PROC-0191</x:v>
      </x:c>
      <x:c r="B192" s="93" t="n">
        <x:v>46057</x:v>
      </x:c>
      <x:c r="C192" s="94" t="str">
        <x:v>Microsoft Ads</x:v>
      </x:c>
      <x:c r="D192" s="94" t="str">
        <x:v>日本</x:v>
      </x:c>
      <x:c r="E192" s="94" t="str">
        <x:v>通用搜索</x:v>
      </x:c>
      <x:c r="F192" s="95" t="n">
        <x:v>43</x:v>
      </x:c>
      <x:c r="G192" s="95" t="n">
        <x:v>39</x:v>
      </x:c>
      <x:c r="H192" s="95" t="n">
        <x:v>28</x:v>
      </x:c>
      <x:c r="I192" s="95" t="n">
        <x:v>24</x:v>
      </x:c>
      <x:c r="J192" s="95" t="n">
        <x:v>11</x:v>
      </x:c>
      <x:c r="K192" s="95" t="n">
        <x:v>3</x:v>
      </x:c>
      <x:c r="L192" s="95" t="n">
        <x:v>1</x:v>
      </x:c>
      <x:c r="M192" s="96" t="n">
        <x:f>IFERROR(G192/F192,0)</x:f>
        <x:v>0.9069767441860465</x:v>
      </x:c>
      <x:c r="N192" s="96" t="n">
        <x:f>IFERROR(H192/G192,0)</x:f>
        <x:v>0.717948717948718</x:v>
      </x:c>
      <x:c r="O192" s="96" t="n">
        <x:f>IFERROR(I192/H192,0)</x:f>
        <x:v>0.8571428571428571</x:v>
      </x:c>
      <x:c r="P192" s="96" t="n">
        <x:f>IFERROR(J192/I192,0)</x:f>
        <x:v>0.4583333333333333</x:v>
      </x:c>
      <x:c r="Q192" s="96" t="n">
        <x:f>IFERROR(L192/J192,0)</x:f>
        <x:v>0.09090909090909091</x:v>
      </x:c>
      <x:c r="R192" s="96" t="n">
        <x:f>IFERROR(L192/F192,0)</x:f>
        <x:v>0.023255813953488372</x:v>
      </x:c>
      <x:c r="S192" s="95" t="n">
        <x:v>52</x:v>
      </x:c>
      <x:c r="T192" s="94" t="str">
        <x:v>末次点击7天</x:v>
      </x:c>
    </x:row>
    <x:row r="193">
      <x:c r="A193" s="92" t="str">
        <x:v>PROC-0192</x:v>
      </x:c>
      <x:c r="B193" s="93" t="n">
        <x:v>46057</x:v>
      </x:c>
      <x:c r="C193" s="94" t="str">
        <x:v>Google Ads</x:v>
      </x:c>
      <x:c r="D193" s="94" t="str">
        <x:v>英国</x:v>
      </x:c>
      <x:c r="E193" s="94" t="str">
        <x:v>购物广告</x:v>
      </x:c>
      <x:c r="F193" s="95" t="n">
        <x:v>49</x:v>
      </x:c>
      <x:c r="G193" s="95" t="n">
        <x:v>44</x:v>
      </x:c>
      <x:c r="H193" s="95" t="n">
        <x:v>33</x:v>
      </x:c>
      <x:c r="I193" s="95" t="n">
        <x:v>29</x:v>
      </x:c>
      <x:c r="J193" s="95" t="n">
        <x:v>12</x:v>
      </x:c>
      <x:c r="K193" s="95" t="n">
        <x:v>3</x:v>
      </x:c>
      <x:c r="L193" s="95" t="n">
        <x:v>1</x:v>
      </x:c>
      <x:c r="M193" s="96" t="n">
        <x:f>IFERROR(G193/F193,0)</x:f>
        <x:v>0.8979591836734694</x:v>
      </x:c>
      <x:c r="N193" s="96" t="n">
        <x:f>IFERROR(H193/G193,0)</x:f>
        <x:v>0.75</x:v>
      </x:c>
      <x:c r="O193" s="96" t="n">
        <x:f>IFERROR(I193/H193,0)</x:f>
        <x:v>0.8787878787878788</x:v>
      </x:c>
      <x:c r="P193" s="96" t="n">
        <x:f>IFERROR(J193/I193,0)</x:f>
        <x:v>0.41379310344827586</x:v>
      </x:c>
      <x:c r="Q193" s="96" t="n">
        <x:f>IFERROR(L193/J193,0)</x:f>
        <x:v>0.08333333333333333</x:v>
      </x:c>
      <x:c r="R193" s="96" t="n">
        <x:f>IFERROR(L193/F193,0)</x:f>
        <x:v>0.02040816326530612</x:v>
      </x:c>
      <x:c r="S193" s="95" t="n">
        <x:v>86</x:v>
      </x:c>
      <x:c r="T193" s="94" t="str">
        <x:v>末次点击7天</x:v>
      </x:c>
    </x:row>
    <x:row r="194">
      <x:c r="A194" s="92" t="str">
        <x:v>PROC-0193</x:v>
      </x:c>
      <x:c r="B194" s="93" t="n">
        <x:v>46057</x:v>
      </x:c>
      <x:c r="C194" s="94" t="str">
        <x:v>Google Ads</x:v>
      </x:c>
      <x:c r="D194" s="94" t="str">
        <x:v>英国</x:v>
      </x:c>
      <x:c r="E194" s="94" t="str">
        <x:v>品牌搜索</x:v>
      </x:c>
      <x:c r="F194" s="95" t="n">
        <x:v>82</x:v>
      </x:c>
      <x:c r="G194" s="95" t="n">
        <x:v>75</x:v>
      </x:c>
      <x:c r="H194" s="95" t="n">
        <x:v>51</x:v>
      </x:c>
      <x:c r="I194" s="95" t="n">
        <x:v>40</x:v>
      </x:c>
      <x:c r="J194" s="95" t="n">
        <x:v>20</x:v>
      </x:c>
      <x:c r="K194" s="95" t="n">
        <x:v>5</x:v>
      </x:c>
      <x:c r="L194" s="95" t="n">
        <x:v>2</x:v>
      </x:c>
      <x:c r="M194" s="96" t="n">
        <x:f>IFERROR(G194/F194,0)</x:f>
        <x:v>0.9146341463414634</x:v>
      </x:c>
      <x:c r="N194" s="96" t="n">
        <x:f>IFERROR(H194/G194,0)</x:f>
        <x:v>0.68</x:v>
      </x:c>
      <x:c r="O194" s="96" t="n">
        <x:f>IFERROR(I194/H194,0)</x:f>
        <x:v>0.7843137254901961</x:v>
      </x:c>
      <x:c r="P194" s="96" t="n">
        <x:f>IFERROR(J194/I194,0)</x:f>
        <x:v>0.5</x:v>
      </x:c>
      <x:c r="Q194" s="96" t="n">
        <x:f>IFERROR(L194/J194,0)</x:f>
        <x:v>0.1</x:v>
      </x:c>
      <x:c r="R194" s="96" t="n">
        <x:f>IFERROR(L194/F194,0)</x:f>
        <x:v>0.024390243902439025</x:v>
      </x:c>
      <x:c r="S194" s="95" t="n">
        <x:v>83</x:v>
      </x:c>
      <x:c r="T194" s="94" t="str">
        <x:v>末次点击7天</x:v>
      </x:c>
    </x:row>
    <x:row r="195">
      <x:c r="A195" s="92" t="str">
        <x:v>PROC-0194</x:v>
      </x:c>
      <x:c r="B195" s="93" t="n">
        <x:v>46057</x:v>
      </x:c>
      <x:c r="C195" s="94" t="str">
        <x:v>Google Ads</x:v>
      </x:c>
      <x:c r="D195" s="94" t="str">
        <x:v>美国</x:v>
      </x:c>
      <x:c r="E195" s="94" t="str">
        <x:v>通用搜索</x:v>
      </x:c>
      <x:c r="F195" s="95" t="n">
        <x:v>48</x:v>
      </x:c>
      <x:c r="G195" s="95" t="n">
        <x:v>42</x:v>
      </x:c>
      <x:c r="H195" s="95" t="n">
        <x:v>28</x:v>
      </x:c>
      <x:c r="I195" s="95" t="n">
        <x:v>23</x:v>
      </x:c>
      <x:c r="J195" s="95" t="n">
        <x:v>10</x:v>
      </x:c>
      <x:c r="K195" s="95" t="n">
        <x:v>3</x:v>
      </x:c>
      <x:c r="L195" s="95" t="n">
        <x:v>1</x:v>
      </x:c>
      <x:c r="M195" s="96" t="n">
        <x:f>IFERROR(G195/F195,0)</x:f>
        <x:v>0.875</x:v>
      </x:c>
      <x:c r="N195" s="96" t="n">
        <x:f>IFERROR(H195/G195,0)</x:f>
        <x:v>0.6666666666666666</x:v>
      </x:c>
      <x:c r="O195" s="96" t="n">
        <x:f>IFERROR(I195/H195,0)</x:f>
        <x:v>0.8214285714285714</x:v>
      </x:c>
      <x:c r="P195" s="96" t="n">
        <x:f>IFERROR(J195/I195,0)</x:f>
        <x:v>0.43478260869565216</x:v>
      </x:c>
      <x:c r="Q195" s="96" t="n">
        <x:f>IFERROR(L195/J195,0)</x:f>
        <x:v>0.1</x:v>
      </x:c>
      <x:c r="R195" s="96" t="n">
        <x:f>IFERROR(L195/F195,0)</x:f>
        <x:v>0.020833333333333332</x:v>
      </x:c>
      <x:c r="S195" s="95" t="n">
        <x:v>114</x:v>
      </x:c>
      <x:c r="T195" s="94" t="str">
        <x:v>末次点击7天</x:v>
      </x:c>
    </x:row>
    <x:row r="196">
      <x:c r="A196" s="92" t="str">
        <x:v>PROC-0195</x:v>
      </x:c>
      <x:c r="B196" s="93" t="n">
        <x:v>46058</x:v>
      </x:c>
      <x:c r="C196" s="94" t="str">
        <x:v>Google Ads</x:v>
      </x:c>
      <x:c r="D196" s="94" t="str">
        <x:v>日本</x:v>
      </x:c>
      <x:c r="E196" s="94" t="str">
        <x:v>购物广告</x:v>
      </x:c>
      <x:c r="F196" s="95" t="n">
        <x:v>72</x:v>
      </x:c>
      <x:c r="G196" s="95" t="n">
        <x:v>64</x:v>
      </x:c>
      <x:c r="H196" s="95" t="n">
        <x:v>43</x:v>
      </x:c>
      <x:c r="I196" s="95" t="n">
        <x:v>39</x:v>
      </x:c>
      <x:c r="J196" s="95" t="n">
        <x:v>16</x:v>
      </x:c>
      <x:c r="K196" s="95" t="n">
        <x:v>5</x:v>
      </x:c>
      <x:c r="L196" s="95" t="n">
        <x:v>1</x:v>
      </x:c>
      <x:c r="M196" s="96" t="n">
        <x:f>IFERROR(G196/F196,0)</x:f>
        <x:v>0.8888888888888888</x:v>
      </x:c>
      <x:c r="N196" s="96" t="n">
        <x:f>IFERROR(H196/G196,0)</x:f>
        <x:v>0.671875</x:v>
      </x:c>
      <x:c r="O196" s="96" t="n">
        <x:f>IFERROR(I196/H196,0)</x:f>
        <x:v>0.9069767441860465</x:v>
      </x:c>
      <x:c r="P196" s="96" t="n">
        <x:f>IFERROR(J196/I196,0)</x:f>
        <x:v>0.41025641025641024</x:v>
      </x:c>
      <x:c r="Q196" s="96" t="n">
        <x:f>IFERROR(L196/J196,0)</x:f>
        <x:v>0.0625</x:v>
      </x:c>
      <x:c r="R196" s="96" t="n">
        <x:f>IFERROR(L196/F196,0)</x:f>
        <x:v>0.013888888888888888</x:v>
      </x:c>
      <x:c r="S196" s="95" t="n">
        <x:v>138</x:v>
      </x:c>
      <x:c r="T196" s="94" t="str">
        <x:v>末次点击7天</x:v>
      </x:c>
    </x:row>
    <x:row r="197">
      <x:c r="A197" s="92" t="str">
        <x:v>PROC-0196</x:v>
      </x:c>
      <x:c r="B197" s="93" t="n">
        <x:v>46058</x:v>
      </x:c>
      <x:c r="C197" s="94" t="str">
        <x:v>Google Ads</x:v>
      </x:c>
      <x:c r="D197" s="94" t="str">
        <x:v>德国</x:v>
      </x:c>
      <x:c r="E197" s="94" t="str">
        <x:v>购物广告</x:v>
      </x:c>
      <x:c r="F197" s="95" t="n">
        <x:v>65</x:v>
      </x:c>
      <x:c r="G197" s="95" t="n">
        <x:v>57</x:v>
      </x:c>
      <x:c r="H197" s="95" t="n">
        <x:v>39</x:v>
      </x:c>
      <x:c r="I197" s="95" t="n">
        <x:v>35</x:v>
      </x:c>
      <x:c r="J197" s="95" t="n">
        <x:v>17</x:v>
      </x:c>
      <x:c r="K197" s="95" t="n">
        <x:v>4</x:v>
      </x:c>
      <x:c r="L197" s="95" t="n">
        <x:v>2</x:v>
      </x:c>
      <x:c r="M197" s="96" t="n">
        <x:f>IFERROR(G197/F197,0)</x:f>
        <x:v>0.8769230769230769</x:v>
      </x:c>
      <x:c r="N197" s="96" t="n">
        <x:f>IFERROR(H197/G197,0)</x:f>
        <x:v>0.6842105263157895</x:v>
      </x:c>
      <x:c r="O197" s="96" t="n">
        <x:f>IFERROR(I197/H197,0)</x:f>
        <x:v>0.8974358974358975</x:v>
      </x:c>
      <x:c r="P197" s="96" t="n">
        <x:f>IFERROR(J197/I197,0)</x:f>
        <x:v>0.4857142857142857</x:v>
      </x:c>
      <x:c r="Q197" s="96" t="n">
        <x:f>IFERROR(L197/J197,0)</x:f>
        <x:v>0.11764705882352941</x:v>
      </x:c>
      <x:c r="R197" s="96" t="n">
        <x:f>IFERROR(L197/F197,0)</x:f>
        <x:v>0.03076923076923077</x:v>
      </x:c>
      <x:c r="S197" s="95" t="n">
        <x:v>92</x:v>
      </x:c>
      <x:c r="T197" s="94" t="str">
        <x:v>末次点击7天</x:v>
      </x:c>
    </x:row>
    <x:row r="198">
      <x:c r="A198" s="92" t="str">
        <x:v>PROC-0197</x:v>
      </x:c>
      <x:c r="B198" s="93" t="n">
        <x:v>46058</x:v>
      </x:c>
      <x:c r="C198" s="94" t="str">
        <x:v>Google Ads</x:v>
      </x:c>
      <x:c r="D198" s="94" t="str">
        <x:v>美国</x:v>
      </x:c>
      <x:c r="E198" s="94" t="str">
        <x:v>通用搜索</x:v>
      </x:c>
      <x:c r="F198" s="95" t="n">
        <x:v>25</x:v>
      </x:c>
      <x:c r="G198" s="95" t="n">
        <x:v>24</x:v>
      </x:c>
      <x:c r="H198" s="95" t="n">
        <x:v>17</x:v>
      </x:c>
      <x:c r="I198" s="95" t="n">
        <x:v>14</x:v>
      </x:c>
      <x:c r="J198" s="95" t="n">
        <x:v>6</x:v>
      </x:c>
      <x:c r="K198" s="95" t="n">
        <x:v>2</x:v>
      </x:c>
      <x:c r="L198" s="95" t="n">
        <x:v>1</x:v>
      </x:c>
      <x:c r="M198" s="96" t="n">
        <x:f>IFERROR(G198/F198,0)</x:f>
        <x:v>0.96</x:v>
      </x:c>
      <x:c r="N198" s="96" t="n">
        <x:f>IFERROR(H198/G198,0)</x:f>
        <x:v>0.7083333333333334</x:v>
      </x:c>
      <x:c r="O198" s="96" t="n">
        <x:f>IFERROR(I198/H198,0)</x:f>
        <x:v>0.8235294117647058</x:v>
      </x:c>
      <x:c r="P198" s="96" t="n">
        <x:f>IFERROR(J198/I198,0)</x:f>
        <x:v>0.42857142857142855</x:v>
      </x:c>
      <x:c r="Q198" s="96" t="n">
        <x:f>IFERROR(L198/J198,0)</x:f>
        <x:v>0.16666666666666666</x:v>
      </x:c>
      <x:c r="R198" s="96" t="n">
        <x:f>IFERROR(L198/F198,0)</x:f>
        <x:v>0.04</x:v>
      </x:c>
      <x:c r="S198" s="95" t="n">
        <x:v>94</x:v>
      </x:c>
      <x:c r="T198" s="94" t="str">
        <x:v>末次点击7天</x:v>
      </x:c>
    </x:row>
    <x:row r="199">
      <x:c r="A199" s="92" t="str">
        <x:v>PROC-0198</x:v>
      </x:c>
      <x:c r="B199" s="93" t="n">
        <x:v>46058</x:v>
      </x:c>
      <x:c r="C199" s="94" t="str">
        <x:v>Google Ads</x:v>
      </x:c>
      <x:c r="D199" s="94" t="str">
        <x:v>德国</x:v>
      </x:c>
      <x:c r="E199" s="94" t="str">
        <x:v>通用搜索</x:v>
      </x:c>
      <x:c r="F199" s="95" t="n">
        <x:v>41</x:v>
      </x:c>
      <x:c r="G199" s="95" t="n">
        <x:v>37</x:v>
      </x:c>
      <x:c r="H199" s="95" t="n">
        <x:v>26</x:v>
      </x:c>
      <x:c r="I199" s="95" t="n">
        <x:v>21</x:v>
      </x:c>
      <x:c r="J199" s="95" t="n">
        <x:v>9</x:v>
      </x:c>
      <x:c r="K199" s="95" t="n">
        <x:v>2</x:v>
      </x:c>
      <x:c r="L199" s="95" t="n">
        <x:v>1</x:v>
      </x:c>
      <x:c r="M199" s="96" t="n">
        <x:f>IFERROR(G199/F199,0)</x:f>
        <x:v>0.9024390243902439</x:v>
      </x:c>
      <x:c r="N199" s="96" t="n">
        <x:f>IFERROR(H199/G199,0)</x:f>
        <x:v>0.7027027027027027</x:v>
      </x:c>
      <x:c r="O199" s="96" t="n">
        <x:f>IFERROR(I199/H199,0)</x:f>
        <x:v>0.8076923076923077</x:v>
      </x:c>
      <x:c r="P199" s="96" t="n">
        <x:f>IFERROR(J199/I199,0)</x:f>
        <x:v>0.42857142857142855</x:v>
      </x:c>
      <x:c r="Q199" s="96" t="n">
        <x:f>IFERROR(L199/J199,0)</x:f>
        <x:v>0.1111111111111111</x:v>
      </x:c>
      <x:c r="R199" s="96" t="n">
        <x:f>IFERROR(L199/F199,0)</x:f>
        <x:v>0.024390243902439025</x:v>
      </x:c>
      <x:c r="S199" s="95" t="n">
        <x:v>155</x:v>
      </x:c>
      <x:c r="T199" s="94" t="str">
        <x:v>末次点击7天</x:v>
      </x:c>
    </x:row>
    <x:row r="200">
      <x:c r="A200" s="92" t="str">
        <x:v>PROC-0199</x:v>
      </x:c>
      <x:c r="B200" s="93" t="n">
        <x:v>46058</x:v>
      </x:c>
      <x:c r="C200" s="94" t="str">
        <x:v>Microsoft Ads</x:v>
      </x:c>
      <x:c r="D200" s="94" t="str">
        <x:v>美国</x:v>
      </x:c>
      <x:c r="E200" s="94" t="str">
        <x:v>购物广告</x:v>
      </x:c>
      <x:c r="F200" s="95" t="n">
        <x:v>60</x:v>
      </x:c>
      <x:c r="G200" s="95" t="n">
        <x:v>55</x:v>
      </x:c>
      <x:c r="H200" s="95" t="n">
        <x:v>37</x:v>
      </x:c>
      <x:c r="I200" s="95" t="n">
        <x:v>32</x:v>
      </x:c>
      <x:c r="J200" s="95" t="n">
        <x:v>15</x:v>
      </x:c>
      <x:c r="K200" s="95" t="n">
        <x:v>4</x:v>
      </x:c>
      <x:c r="L200" s="95" t="n">
        <x:v>1</x:v>
      </x:c>
      <x:c r="M200" s="96" t="n">
        <x:f>IFERROR(G200/F200,0)</x:f>
        <x:v>0.9166666666666666</x:v>
      </x:c>
      <x:c r="N200" s="96" t="n">
        <x:f>IFERROR(H200/G200,0)</x:f>
        <x:v>0.6727272727272727</x:v>
      </x:c>
      <x:c r="O200" s="96" t="n">
        <x:f>IFERROR(I200/H200,0)</x:f>
        <x:v>0.8648648648648649</x:v>
      </x:c>
      <x:c r="P200" s="96" t="n">
        <x:f>IFERROR(J200/I200,0)</x:f>
        <x:v>0.46875</x:v>
      </x:c>
      <x:c r="Q200" s="96" t="n">
        <x:f>IFERROR(L200/J200,0)</x:f>
        <x:v>0.06666666666666667</x:v>
      </x:c>
      <x:c r="R200" s="96" t="n">
        <x:f>IFERROR(L200/F200,0)</x:f>
        <x:v>0.016666666666666666</x:v>
      </x:c>
      <x:c r="S200" s="95" t="n">
        <x:v>64</x:v>
      </x:c>
      <x:c r="T200" s="94" t="str">
        <x:v>末次点击7天</x:v>
      </x:c>
    </x:row>
    <x:row r="201">
      <x:c r="A201" s="92" t="str">
        <x:v>PROC-0200</x:v>
      </x:c>
      <x:c r="B201" s="93" t="n">
        <x:v>46059</x:v>
      </x:c>
      <x:c r="C201" s="94" t="str">
        <x:v>Microsoft Ads</x:v>
      </x:c>
      <x:c r="D201" s="94" t="str">
        <x:v>日本</x:v>
      </x:c>
      <x:c r="E201" s="94" t="str">
        <x:v>购物广告</x:v>
      </x:c>
      <x:c r="F201" s="95" t="n">
        <x:v>57</x:v>
      </x:c>
      <x:c r="G201" s="95" t="n">
        <x:v>55</x:v>
      </x:c>
      <x:c r="H201" s="95" t="n">
        <x:v>42</x:v>
      </x:c>
      <x:c r="I201" s="95" t="n">
        <x:v>38</x:v>
      </x:c>
      <x:c r="J201" s="95" t="n">
        <x:v>17</x:v>
      </x:c>
      <x:c r="K201" s="95" t="n">
        <x:v>4</x:v>
      </x:c>
      <x:c r="L201" s="95" t="n">
        <x:v>1</x:v>
      </x:c>
      <x:c r="M201" s="96" t="n">
        <x:f>IFERROR(G201/F201,0)</x:f>
        <x:v>0.9649122807017544</x:v>
      </x:c>
      <x:c r="N201" s="96" t="n">
        <x:f>IFERROR(H201/G201,0)</x:f>
        <x:v>0.7636363636363637</x:v>
      </x:c>
      <x:c r="O201" s="96" t="n">
        <x:f>IFERROR(I201/H201,0)</x:f>
        <x:v>0.9047619047619048</x:v>
      </x:c>
      <x:c r="P201" s="96" t="n">
        <x:f>IFERROR(J201/I201,0)</x:f>
        <x:v>0.4473684210526316</x:v>
      </x:c>
      <x:c r="Q201" s="96" t="n">
        <x:f>IFERROR(L201/J201,0)</x:f>
        <x:v>0.058823529411764705</x:v>
      </x:c>
      <x:c r="R201" s="96" t="n">
        <x:f>IFERROR(L201/F201,0)</x:f>
        <x:v>0.017543859649122806</x:v>
      </x:c>
      <x:c r="S201" s="95" t="n">
        <x:v>50</x:v>
      </x:c>
      <x:c r="T201" s="94" t="str">
        <x:v>末次点击7天</x:v>
      </x:c>
    </x:row>
    <x:row r="202">
      <x:c r="A202" s="92" t="str">
        <x:v>PROC-0201</x:v>
      </x:c>
      <x:c r="B202" s="93" t="n">
        <x:v>46059</x:v>
      </x:c>
      <x:c r="C202" s="94" t="str">
        <x:v>Microsoft Ads</x:v>
      </x:c>
      <x:c r="D202" s="94" t="str">
        <x:v>美国</x:v>
      </x:c>
      <x:c r="E202" s="94" t="str">
        <x:v>竞品搜索</x:v>
      </x:c>
      <x:c r="F202" s="95" t="n">
        <x:v>32</x:v>
      </x:c>
      <x:c r="G202" s="95" t="n">
        <x:v>29</x:v>
      </x:c>
      <x:c r="H202" s="95" t="n">
        <x:v>21</x:v>
      </x:c>
      <x:c r="I202" s="95" t="n">
        <x:v>17</x:v>
      </x:c>
      <x:c r="J202" s="95" t="n">
        <x:v>8</x:v>
      </x:c>
      <x:c r="K202" s="95" t="n">
        <x:v>3</x:v>
      </x:c>
      <x:c r="L202" s="95" t="n">
        <x:v>1</x:v>
      </x:c>
      <x:c r="M202" s="96" t="n">
        <x:f>IFERROR(G202/F202,0)</x:f>
        <x:v>0.90625</x:v>
      </x:c>
      <x:c r="N202" s="96" t="n">
        <x:f>IFERROR(H202/G202,0)</x:f>
        <x:v>0.7241379310344828</x:v>
      </x:c>
      <x:c r="O202" s="96" t="n">
        <x:f>IFERROR(I202/H202,0)</x:f>
        <x:v>0.8095238095238095</x:v>
      </x:c>
      <x:c r="P202" s="96" t="n">
        <x:f>IFERROR(J202/I202,0)</x:f>
        <x:v>0.47058823529411764</x:v>
      </x:c>
      <x:c r="Q202" s="96" t="n">
        <x:f>IFERROR(L202/J202,0)</x:f>
        <x:v>0.125</x:v>
      </x:c>
      <x:c r="R202" s="96" t="n">
        <x:f>IFERROR(L202/F202,0)</x:f>
        <x:v>0.03125</x:v>
      </x:c>
      <x:c r="S202" s="95" t="n">
        <x:v>90</x:v>
      </x:c>
      <x:c r="T202" s="94" t="str">
        <x:v>末次点击7天</x:v>
      </x:c>
    </x:row>
    <x:row r="203">
      <x:c r="A203" s="92" t="str">
        <x:v>PROC-0202</x:v>
      </x:c>
      <x:c r="B203" s="93" t="n">
        <x:v>46059</x:v>
      </x:c>
      <x:c r="C203" s="94" t="str">
        <x:v>Microsoft Ads</x:v>
      </x:c>
      <x:c r="D203" s="94" t="str">
        <x:v>日本</x:v>
      </x:c>
      <x:c r="E203" s="94" t="str">
        <x:v>竞品搜索</x:v>
      </x:c>
      <x:c r="F203" s="95" t="n">
        <x:v>34</x:v>
      </x:c>
      <x:c r="G203" s="95" t="n">
        <x:v>30</x:v>
      </x:c>
      <x:c r="H203" s="95" t="n">
        <x:v>24</x:v>
      </x:c>
      <x:c r="I203" s="95" t="n">
        <x:v>20</x:v>
      </x:c>
      <x:c r="J203" s="95" t="n">
        <x:v>8</x:v>
      </x:c>
      <x:c r="K203" s="95" t="n">
        <x:v>3</x:v>
      </x:c>
      <x:c r="L203" s="95" t="n">
        <x:v>1</x:v>
      </x:c>
      <x:c r="M203" s="96" t="n">
        <x:f>IFERROR(G203/F203,0)</x:f>
        <x:v>0.8823529411764706</x:v>
      </x:c>
      <x:c r="N203" s="96" t="n">
        <x:f>IFERROR(H203/G203,0)</x:f>
        <x:v>0.8</x:v>
      </x:c>
      <x:c r="O203" s="96" t="n">
        <x:f>IFERROR(I203/H203,0)</x:f>
        <x:v>0.8333333333333334</x:v>
      </x:c>
      <x:c r="P203" s="96" t="n">
        <x:f>IFERROR(J203/I203,0)</x:f>
        <x:v>0.4</x:v>
      </x:c>
      <x:c r="Q203" s="96" t="n">
        <x:f>IFERROR(L203/J203,0)</x:f>
        <x:v>0.125</x:v>
      </x:c>
      <x:c r="R203" s="96" t="n">
        <x:f>IFERROR(L203/F203,0)</x:f>
        <x:v>0.029411764705882353</x:v>
      </x:c>
      <x:c r="S203" s="95" t="n">
        <x:v>92</x:v>
      </x:c>
      <x:c r="T203" s="94" t="str">
        <x:v>末次点击7天</x:v>
      </x:c>
    </x:row>
    <x:row r="204">
      <x:c r="A204" s="92" t="str">
        <x:v>PROC-0203</x:v>
      </x:c>
      <x:c r="B204" s="93" t="n">
        <x:v>46059</x:v>
      </x:c>
      <x:c r="C204" s="94" t="str">
        <x:v>Google Ads</x:v>
      </x:c>
      <x:c r="D204" s="94" t="str">
        <x:v>日本</x:v>
      </x:c>
      <x:c r="E204" s="94" t="str">
        <x:v>购物广告</x:v>
      </x:c>
      <x:c r="F204" s="95" t="n">
        <x:v>43</x:v>
      </x:c>
      <x:c r="G204" s="95" t="n">
        <x:v>38</x:v>
      </x:c>
      <x:c r="H204" s="95" t="n">
        <x:v>25</x:v>
      </x:c>
      <x:c r="I204" s="95" t="n">
        <x:v>21</x:v>
      </x:c>
      <x:c r="J204" s="95" t="n">
        <x:v>9</x:v>
      </x:c>
      <x:c r="K204" s="95" t="n">
        <x:v>3</x:v>
      </x:c>
      <x:c r="L204" s="95" t="n">
        <x:v>1</x:v>
      </x:c>
      <x:c r="M204" s="96" t="n">
        <x:f>IFERROR(G204/F204,0)</x:f>
        <x:v>0.8837209302325582</x:v>
      </x:c>
      <x:c r="N204" s="96" t="n">
        <x:f>IFERROR(H204/G204,0)</x:f>
        <x:v>0.6578947368421053</x:v>
      </x:c>
      <x:c r="O204" s="96" t="n">
        <x:f>IFERROR(I204/H204,0)</x:f>
        <x:v>0.84</x:v>
      </x:c>
      <x:c r="P204" s="96" t="n">
        <x:f>IFERROR(J204/I204,0)</x:f>
        <x:v>0.42857142857142855</x:v>
      </x:c>
      <x:c r="Q204" s="96" t="n">
        <x:f>IFERROR(L204/J204,0)</x:f>
        <x:v>0.1111111111111111</x:v>
      </x:c>
      <x:c r="R204" s="96" t="n">
        <x:f>IFERROR(L204/F204,0)</x:f>
        <x:v>0.023255813953488372</x:v>
      </x:c>
      <x:c r="S204" s="95" t="n">
        <x:v>50</x:v>
      </x:c>
      <x:c r="T204" s="94" t="str">
        <x:v>末次点击7天</x:v>
      </x:c>
    </x:row>
    <x:row r="205">
      <x:c r="A205" s="92" t="str">
        <x:v>PROC-0204</x:v>
      </x:c>
      <x:c r="B205" s="93" t="n">
        <x:v>46059</x:v>
      </x:c>
      <x:c r="C205" s="94" t="str">
        <x:v>Google Ads</x:v>
      </x:c>
      <x:c r="D205" s="94" t="str">
        <x:v>美国</x:v>
      </x:c>
      <x:c r="E205" s="94" t="str">
        <x:v>通用搜索</x:v>
      </x:c>
      <x:c r="F205" s="95" t="n">
        <x:v>48</x:v>
      </x:c>
      <x:c r="G205" s="95" t="n">
        <x:v>44</x:v>
      </x:c>
      <x:c r="H205" s="95" t="n">
        <x:v>34</x:v>
      </x:c>
      <x:c r="I205" s="95" t="n">
        <x:v>29</x:v>
      </x:c>
      <x:c r="J205" s="95" t="n">
        <x:v>12</x:v>
      </x:c>
      <x:c r="K205" s="95" t="n">
        <x:v>4</x:v>
      </x:c>
      <x:c r="L205" s="95" t="n">
        <x:v>1</x:v>
      </x:c>
      <x:c r="M205" s="96" t="n">
        <x:f>IFERROR(G205/F205,0)</x:f>
        <x:v>0.9166666666666666</x:v>
      </x:c>
      <x:c r="N205" s="96" t="n">
        <x:f>IFERROR(H205/G205,0)</x:f>
        <x:v>0.7727272727272727</x:v>
      </x:c>
      <x:c r="O205" s="96" t="n">
        <x:f>IFERROR(I205/H205,0)</x:f>
        <x:v>0.8529411764705882</x:v>
      </x:c>
      <x:c r="P205" s="96" t="n">
        <x:f>IFERROR(J205/I205,0)</x:f>
        <x:v>0.41379310344827586</x:v>
      </x:c>
      <x:c r="Q205" s="96" t="n">
        <x:f>IFERROR(L205/J205,0)</x:f>
        <x:v>0.08333333333333333</x:v>
      </x:c>
      <x:c r="R205" s="96" t="n">
        <x:f>IFERROR(L205/F205,0)</x:f>
        <x:v>0.020833333333333332</x:v>
      </x:c>
      <x:c r="S205" s="95" t="n">
        <x:v>56</x:v>
      </x:c>
      <x:c r="T205" s="94" t="str">
        <x:v>末次点击7天</x:v>
      </x:c>
    </x:row>
    <x:row r="206">
      <x:c r="A206" s="92" t="str">
        <x:v>PROC-0205</x:v>
      </x:c>
      <x:c r="B206" s="93" t="n">
        <x:v>46059</x:v>
      </x:c>
      <x:c r="C206" s="94" t="str">
        <x:v>Google Ads</x:v>
      </x:c>
      <x:c r="D206" s="94" t="str">
        <x:v>美国</x:v>
      </x:c>
      <x:c r="E206" s="94" t="str">
        <x:v>购物广告</x:v>
      </x:c>
      <x:c r="F206" s="95" t="n">
        <x:v>49</x:v>
      </x:c>
      <x:c r="G206" s="95" t="n">
        <x:v>46</x:v>
      </x:c>
      <x:c r="H206" s="95" t="n">
        <x:v>33</x:v>
      </x:c>
      <x:c r="I206" s="95" t="n">
        <x:v>29</x:v>
      </x:c>
      <x:c r="J206" s="95" t="n">
        <x:v>14</x:v>
      </x:c>
      <x:c r="K206" s="95" t="n">
        <x:v>3</x:v>
      </x:c>
      <x:c r="L206" s="95" t="n">
        <x:v>1</x:v>
      </x:c>
      <x:c r="M206" s="96" t="n">
        <x:f>IFERROR(G206/F206,0)</x:f>
        <x:v>0.9387755102040817</x:v>
      </x:c>
      <x:c r="N206" s="96" t="n">
        <x:f>IFERROR(H206/G206,0)</x:f>
        <x:v>0.717391304347826</x:v>
      </x:c>
      <x:c r="O206" s="96" t="n">
        <x:f>IFERROR(I206/H206,0)</x:f>
        <x:v>0.8787878787878788</x:v>
      </x:c>
      <x:c r="P206" s="96" t="n">
        <x:f>IFERROR(J206/I206,0)</x:f>
        <x:v>0.4827586206896552</x:v>
      </x:c>
      <x:c r="Q206" s="96" t="n">
        <x:f>IFERROR(L206/J206,0)</x:f>
        <x:v>0.07142857142857142</x:v>
      </x:c>
      <x:c r="R206" s="96" t="n">
        <x:f>IFERROR(L206/F206,0)</x:f>
        <x:v>0.02040816326530612</x:v>
      </x:c>
      <x:c r="S206" s="95" t="n">
        <x:v>93</x:v>
      </x:c>
      <x:c r="T206" s="94" t="str">
        <x:v>末次点击7天</x:v>
      </x:c>
    </x:row>
    <x:row r="207">
      <x:c r="A207" s="92" t="str">
        <x:v>PROC-0206</x:v>
      </x:c>
      <x:c r="B207" s="93" t="n">
        <x:v>46060</x:v>
      </x:c>
      <x:c r="C207" s="94" t="str">
        <x:v>Microsoft Ads</x:v>
      </x:c>
      <x:c r="D207" s="94" t="str">
        <x:v>德国</x:v>
      </x:c>
      <x:c r="E207" s="94" t="str">
        <x:v>购物广告</x:v>
      </x:c>
      <x:c r="F207" s="95" t="n">
        <x:v>77</x:v>
      </x:c>
      <x:c r="G207" s="95" t="n">
        <x:v>68</x:v>
      </x:c>
      <x:c r="H207" s="95" t="n">
        <x:v>50</x:v>
      </x:c>
      <x:c r="I207" s="95" t="n">
        <x:v>43</x:v>
      </x:c>
      <x:c r="J207" s="95" t="n">
        <x:v>20</x:v>
      </x:c>
      <x:c r="K207" s="95" t="n">
        <x:v>6</x:v>
      </x:c>
      <x:c r="L207" s="95" t="n">
        <x:v>2</x:v>
      </x:c>
      <x:c r="M207" s="96" t="n">
        <x:f>IFERROR(G207/F207,0)</x:f>
        <x:v>0.8831168831168831</x:v>
      </x:c>
      <x:c r="N207" s="96" t="n">
        <x:f>IFERROR(H207/G207,0)</x:f>
        <x:v>0.7352941176470589</x:v>
      </x:c>
      <x:c r="O207" s="96" t="n">
        <x:f>IFERROR(I207/H207,0)</x:f>
        <x:v>0.86</x:v>
      </x:c>
      <x:c r="P207" s="96" t="n">
        <x:f>IFERROR(J207/I207,0)</x:f>
        <x:v>0.46511627906976744</x:v>
      </x:c>
      <x:c r="Q207" s="96" t="n">
        <x:f>IFERROR(L207/J207,0)</x:f>
        <x:v>0.1</x:v>
      </x:c>
      <x:c r="R207" s="96" t="n">
        <x:f>IFERROR(L207/F207,0)</x:f>
        <x:v>0.025974025974025976</x:v>
      </x:c>
      <x:c r="S207" s="95" t="n">
        <x:v>144</x:v>
      </x:c>
      <x:c r="T207" s="94" t="str">
        <x:v>末次点击7天</x:v>
      </x:c>
    </x:row>
    <x:row r="208">
      <x:c r="A208" s="92" t="str">
        <x:v>PROC-0207</x:v>
      </x:c>
      <x:c r="B208" s="93" t="n">
        <x:v>46060</x:v>
      </x:c>
      <x:c r="C208" s="94" t="str">
        <x:v>Google Ads</x:v>
      </x:c>
      <x:c r="D208" s="94" t="str">
        <x:v>美国</x:v>
      </x:c>
      <x:c r="E208" s="94" t="str">
        <x:v>竞品搜索</x:v>
      </x:c>
      <x:c r="F208" s="95" t="n">
        <x:v>23</x:v>
      </x:c>
      <x:c r="G208" s="95" t="n">
        <x:v>21</x:v>
      </x:c>
      <x:c r="H208" s="95" t="n">
        <x:v>15</x:v>
      </x:c>
      <x:c r="I208" s="95" t="n">
        <x:v>13</x:v>
      </x:c>
      <x:c r="J208" s="95" t="n">
        <x:v>6</x:v>
      </x:c>
      <x:c r="K208" s="95" t="n">
        <x:v>1</x:v>
      </x:c>
      <x:c r="L208" s="95" t="n">
        <x:v>0</x:v>
      </x:c>
      <x:c r="M208" s="96" t="n">
        <x:f>IFERROR(G208/F208,0)</x:f>
        <x:v>0.9130434782608695</x:v>
      </x:c>
      <x:c r="N208" s="96" t="n">
        <x:f>IFERROR(H208/G208,0)</x:f>
        <x:v>0.7142857142857143</x:v>
      </x:c>
      <x:c r="O208" s="96" t="n">
        <x:f>IFERROR(I208/H208,0)</x:f>
        <x:v>0.8666666666666667</x:v>
      </x:c>
      <x:c r="P208" s="96" t="n">
        <x:f>IFERROR(J208/I208,0)</x:f>
        <x:v>0.46153846153846156</x:v>
      </x:c>
      <x:c r="Q208" s="96" t="n">
        <x:f>IFERROR(L208/J208,0)</x:f>
        <x:v>0</x:v>
      </x:c>
      <x:c r="R208" s="96" t="n">
        <x:f>IFERROR(L208/F208,0)</x:f>
        <x:v>0</x:v>
      </x:c>
      <x:c r="S208" s="95" t="n">
        <x:v>64</x:v>
      </x:c>
      <x:c r="T208" s="94" t="str">
        <x:v>末次点击7天</x:v>
      </x:c>
    </x:row>
    <x:row r="209">
      <x:c r="A209" s="92" t="str">
        <x:v>PROC-0208</x:v>
      </x:c>
      <x:c r="B209" s="93" t="n">
        <x:v>46060</x:v>
      </x:c>
      <x:c r="C209" s="94" t="str">
        <x:v>Google Ads</x:v>
      </x:c>
      <x:c r="D209" s="94" t="str">
        <x:v>德国</x:v>
      </x:c>
      <x:c r="E209" s="94" t="str">
        <x:v>通用搜索</x:v>
      </x:c>
      <x:c r="F209" s="95" t="n">
        <x:v>40</x:v>
      </x:c>
      <x:c r="G209" s="95" t="n">
        <x:v>36</x:v>
      </x:c>
      <x:c r="H209" s="95" t="n">
        <x:v>27</x:v>
      </x:c>
      <x:c r="I209" s="95" t="n">
        <x:v>23</x:v>
      </x:c>
      <x:c r="J209" s="95" t="n">
        <x:v>9</x:v>
      </x:c>
      <x:c r="K209" s="95" t="n">
        <x:v>3</x:v>
      </x:c>
      <x:c r="L209" s="95" t="n">
        <x:v>1</x:v>
      </x:c>
      <x:c r="M209" s="96" t="n">
        <x:f>IFERROR(G209/F209,0)</x:f>
        <x:v>0.9</x:v>
      </x:c>
      <x:c r="N209" s="96" t="n">
        <x:f>IFERROR(H209/G209,0)</x:f>
        <x:v>0.75</x:v>
      </x:c>
      <x:c r="O209" s="96" t="n">
        <x:f>IFERROR(I209/H209,0)</x:f>
        <x:v>0.8518518518518519</x:v>
      </x:c>
      <x:c r="P209" s="96" t="n">
        <x:f>IFERROR(J209/I209,0)</x:f>
        <x:v>0.391304347826087</x:v>
      </x:c>
      <x:c r="Q209" s="96" t="n">
        <x:f>IFERROR(L209/J209,0)</x:f>
        <x:v>0.1111111111111111</x:v>
      </x:c>
      <x:c r="R209" s="96" t="n">
        <x:f>IFERROR(L209/F209,0)</x:f>
        <x:v>0.025</x:v>
      </x:c>
      <x:c r="S209" s="95" t="n">
        <x:v>127</x:v>
      </x:c>
      <x:c r="T209" s="94" t="str">
        <x:v>末次点击7天</x:v>
      </x:c>
    </x:row>
    <x:row r="210">
      <x:c r="A210" s="92" t="str">
        <x:v>PROC-0209</x:v>
      </x:c>
      <x:c r="B210" s="93" t="n">
        <x:v>46060</x:v>
      </x:c>
      <x:c r="C210" s="94" t="str">
        <x:v>Google Ads</x:v>
      </x:c>
      <x:c r="D210" s="94" t="str">
        <x:v>英国</x:v>
      </x:c>
      <x:c r="E210" s="94" t="str">
        <x:v>通用搜索</x:v>
      </x:c>
      <x:c r="F210" s="95" t="n">
        <x:v>28</x:v>
      </x:c>
      <x:c r="G210" s="95" t="n">
        <x:v>25</x:v>
      </x:c>
      <x:c r="H210" s="95" t="n">
        <x:v>18</x:v>
      </x:c>
      <x:c r="I210" s="95" t="n">
        <x:v>15</x:v>
      </x:c>
      <x:c r="J210" s="95" t="n">
        <x:v>6</x:v>
      </x:c>
      <x:c r="K210" s="95" t="n">
        <x:v>2</x:v>
      </x:c>
      <x:c r="L210" s="95" t="n">
        <x:v>0</x:v>
      </x:c>
      <x:c r="M210" s="96" t="n">
        <x:f>IFERROR(G210/F210,0)</x:f>
        <x:v>0.8928571428571429</x:v>
      </x:c>
      <x:c r="N210" s="96" t="n">
        <x:f>IFERROR(H210/G210,0)</x:f>
        <x:v>0.72</x:v>
      </x:c>
      <x:c r="O210" s="96" t="n">
        <x:f>IFERROR(I210/H210,0)</x:f>
        <x:v>0.8333333333333334</x:v>
      </x:c>
      <x:c r="P210" s="96" t="n">
        <x:f>IFERROR(J210/I210,0)</x:f>
        <x:v>0.4</x:v>
      </x:c>
      <x:c r="Q210" s="96" t="n">
        <x:f>IFERROR(L210/J210,0)</x:f>
        <x:v>0</x:v>
      </x:c>
      <x:c r="R210" s="96" t="n">
        <x:f>IFERROR(L210/F210,0)</x:f>
        <x:v>0</x:v>
      </x:c>
      <x:c r="S210" s="95" t="n">
        <x:v>143</x:v>
      </x:c>
      <x:c r="T210" s="94" t="str">
        <x:v>末次点击7天</x:v>
      </x:c>
    </x:row>
    <x:row r="211">
      <x:c r="A211" s="92" t="str">
        <x:v>PROC-0210</x:v>
      </x:c>
      <x:c r="B211" s="93" t="n">
        <x:v>46060</x:v>
      </x:c>
      <x:c r="C211" s="94" t="str">
        <x:v>Google Ads</x:v>
      </x:c>
      <x:c r="D211" s="94" t="str">
        <x:v>美国</x:v>
      </x:c>
      <x:c r="E211" s="94" t="str">
        <x:v>品牌搜索</x:v>
      </x:c>
      <x:c r="F211" s="95" t="n">
        <x:v>78</x:v>
      </x:c>
      <x:c r="G211" s="95" t="n">
        <x:v>70</x:v>
      </x:c>
      <x:c r="H211" s="95" t="n">
        <x:v>48</x:v>
      </x:c>
      <x:c r="I211" s="95" t="n">
        <x:v>38</x:v>
      </x:c>
      <x:c r="J211" s="95" t="n">
        <x:v>19</x:v>
      </x:c>
      <x:c r="K211" s="95" t="n">
        <x:v>6</x:v>
      </x:c>
      <x:c r="L211" s="95" t="n">
        <x:v>2</x:v>
      </x:c>
      <x:c r="M211" s="96" t="n">
        <x:f>IFERROR(G211/F211,0)</x:f>
        <x:v>0.8974358974358975</x:v>
      </x:c>
      <x:c r="N211" s="96" t="n">
        <x:f>IFERROR(H211/G211,0)</x:f>
        <x:v>0.6857142857142857</x:v>
      </x:c>
      <x:c r="O211" s="96" t="n">
        <x:f>IFERROR(I211/H211,0)</x:f>
        <x:v>0.7916666666666666</x:v>
      </x:c>
      <x:c r="P211" s="96" t="n">
        <x:f>IFERROR(J211/I211,0)</x:f>
        <x:v>0.5</x:v>
      </x:c>
      <x:c r="Q211" s="96" t="n">
        <x:f>IFERROR(L211/J211,0)</x:f>
        <x:v>0.10526315789473684</x:v>
      </x:c>
      <x:c r="R211" s="96" t="n">
        <x:f>IFERROR(L211/F211,0)</x:f>
        <x:v>0.02564102564102564</x:v>
      </x:c>
      <x:c r="S211" s="95" t="n">
        <x:v>77</x:v>
      </x:c>
      <x:c r="T211" s="94" t="str">
        <x:v>末次点击7天</x:v>
      </x:c>
    </x:row>
    <x:row r="212">
      <x:c r="A212" s="92" t="str">
        <x:v>PROC-0211</x:v>
      </x:c>
      <x:c r="B212" s="93" t="n">
        <x:v>46061</x:v>
      </x:c>
      <x:c r="C212" s="94" t="str">
        <x:v>Microsoft Ads</x:v>
      </x:c>
      <x:c r="D212" s="94" t="str">
        <x:v>美国</x:v>
      </x:c>
      <x:c r="E212" s="94" t="str">
        <x:v>通用搜索</x:v>
      </x:c>
      <x:c r="F212" s="95" t="n">
        <x:v>32</x:v>
      </x:c>
      <x:c r="G212" s="95" t="n">
        <x:v>28</x:v>
      </x:c>
      <x:c r="H212" s="95" t="n">
        <x:v>18</x:v>
      </x:c>
      <x:c r="I212" s="95" t="n">
        <x:v>15</x:v>
      </x:c>
      <x:c r="J212" s="95" t="n">
        <x:v>5</x:v>
      </x:c>
      <x:c r="K212" s="95" t="n">
        <x:v>1</x:v>
      </x:c>
      <x:c r="L212" s="95" t="n">
        <x:v>0</x:v>
      </x:c>
      <x:c r="M212" s="96" t="n">
        <x:f>IFERROR(G212/F212,0)</x:f>
        <x:v>0.875</x:v>
      </x:c>
      <x:c r="N212" s="96" t="n">
        <x:f>IFERROR(H212/G212,0)</x:f>
        <x:v>0.6428571428571429</x:v>
      </x:c>
      <x:c r="O212" s="96" t="n">
        <x:f>IFERROR(I212/H212,0)</x:f>
        <x:v>0.8333333333333334</x:v>
      </x:c>
      <x:c r="P212" s="96" t="n">
        <x:f>IFERROR(J212/I212,0)</x:f>
        <x:v>0.3333333333333333</x:v>
      </x:c>
      <x:c r="Q212" s="96" t="n">
        <x:f>IFERROR(L212/J212,0)</x:f>
        <x:v>0</x:v>
      </x:c>
      <x:c r="R212" s="96" t="n">
        <x:f>IFERROR(L212/F212,0)</x:f>
        <x:v>0</x:v>
      </x:c>
      <x:c r="S212" s="95" t="n">
        <x:v>100</x:v>
      </x:c>
      <x:c r="T212" s="94" t="str">
        <x:v>末次点击7天</x:v>
      </x:c>
    </x:row>
    <x:row r="213">
      <x:c r="A213" s="92" t="str">
        <x:v>PROC-0212</x:v>
      </x:c>
      <x:c r="B213" s="93" t="n">
        <x:v>46061</x:v>
      </x:c>
      <x:c r="C213" s="94" t="str">
        <x:v>Google Ads</x:v>
      </x:c>
      <x:c r="D213" s="94" t="str">
        <x:v>德国</x:v>
      </x:c>
      <x:c r="E213" s="94" t="str">
        <x:v>购物广告</x:v>
      </x:c>
      <x:c r="F213" s="95" t="n">
        <x:v>37</x:v>
      </x:c>
      <x:c r="G213" s="95" t="n">
        <x:v>33</x:v>
      </x:c>
      <x:c r="H213" s="95" t="n">
        <x:v>26</x:v>
      </x:c>
      <x:c r="I213" s="95" t="n">
        <x:v>24</x:v>
      </x:c>
      <x:c r="J213" s="95" t="n">
        <x:v>12</x:v>
      </x:c>
      <x:c r="K213" s="95" t="n">
        <x:v>3</x:v>
      </x:c>
      <x:c r="L213" s="95" t="n">
        <x:v>1</x:v>
      </x:c>
      <x:c r="M213" s="96" t="n">
        <x:f>IFERROR(G213/F213,0)</x:f>
        <x:v>0.8918918918918919</x:v>
      </x:c>
      <x:c r="N213" s="96" t="n">
        <x:f>IFERROR(H213/G213,0)</x:f>
        <x:v>0.7878787878787878</x:v>
      </x:c>
      <x:c r="O213" s="96" t="n">
        <x:f>IFERROR(I213/H213,0)</x:f>
        <x:v>0.9230769230769231</x:v>
      </x:c>
      <x:c r="P213" s="96" t="n">
        <x:f>IFERROR(J213/I213,0)</x:f>
        <x:v>0.5</x:v>
      </x:c>
      <x:c r="Q213" s="96" t="n">
        <x:f>IFERROR(L213/J213,0)</x:f>
        <x:v>0.08333333333333333</x:v>
      </x:c>
      <x:c r="R213" s="96" t="n">
        <x:f>IFERROR(L213/F213,0)</x:f>
        <x:v>0.02702702702702703</x:v>
      </x:c>
      <x:c r="S213" s="95" t="n">
        <x:v>153</x:v>
      </x:c>
      <x:c r="T213" s="94" t="str">
        <x:v>末次点击7天</x:v>
      </x:c>
    </x:row>
    <x:row r="214">
      <x:c r="A214" s="92" t="str">
        <x:v>PROC-0213</x:v>
      </x:c>
      <x:c r="B214" s="93" t="n">
        <x:v>46061</x:v>
      </x:c>
      <x:c r="C214" s="94" t="str">
        <x:v>Google Ads</x:v>
      </x:c>
      <x:c r="D214" s="94" t="str">
        <x:v>英国</x:v>
      </x:c>
      <x:c r="E214" s="94" t="str">
        <x:v>通用搜索</x:v>
      </x:c>
      <x:c r="F214" s="95" t="n">
        <x:v>29</x:v>
      </x:c>
      <x:c r="G214" s="95" t="n">
        <x:v>27</x:v>
      </x:c>
      <x:c r="H214" s="95" t="n">
        <x:v>19</x:v>
      </x:c>
      <x:c r="I214" s="95" t="n">
        <x:v>16</x:v>
      </x:c>
      <x:c r="J214" s="95" t="n">
        <x:v>6</x:v>
      </x:c>
      <x:c r="K214" s="95" t="n">
        <x:v>2</x:v>
      </x:c>
      <x:c r="L214" s="95" t="n">
        <x:v>1</x:v>
      </x:c>
      <x:c r="M214" s="96" t="n">
        <x:f>IFERROR(G214/F214,0)</x:f>
        <x:v>0.9310344827586207</x:v>
      </x:c>
      <x:c r="N214" s="96" t="n">
        <x:f>IFERROR(H214/G214,0)</x:f>
        <x:v>0.7037037037037037</x:v>
      </x:c>
      <x:c r="O214" s="96" t="n">
        <x:f>IFERROR(I214/H214,0)</x:f>
        <x:v>0.8421052631578947</x:v>
      </x:c>
      <x:c r="P214" s="96" t="n">
        <x:f>IFERROR(J214/I214,0)</x:f>
        <x:v>0.375</x:v>
      </x:c>
      <x:c r="Q214" s="96" t="n">
        <x:f>IFERROR(L214/J214,0)</x:f>
        <x:v>0.16666666666666666</x:v>
      </x:c>
      <x:c r="R214" s="96" t="n">
        <x:f>IFERROR(L214/F214,0)</x:f>
        <x:v>0.034482758620689655</x:v>
      </x:c>
      <x:c r="S214" s="95" t="n">
        <x:v>108</x:v>
      </x:c>
      <x:c r="T214" s="94" t="str">
        <x:v>末次点击7天</x:v>
      </x:c>
    </x:row>
    <x:row r="215">
      <x:c r="A215" s="92" t="str">
        <x:v>PROC-0214</x:v>
      </x:c>
      <x:c r="B215" s="93" t="n">
        <x:v>46061</x:v>
      </x:c>
      <x:c r="C215" s="94" t="str">
        <x:v>Google Ads</x:v>
      </x:c>
      <x:c r="D215" s="94" t="str">
        <x:v>美国</x:v>
      </x:c>
      <x:c r="E215" s="94" t="str">
        <x:v>通用搜索</x:v>
      </x:c>
      <x:c r="F215" s="95" t="n">
        <x:v>33</x:v>
      </x:c>
      <x:c r="G215" s="95" t="n">
        <x:v>29</x:v>
      </x:c>
      <x:c r="H215" s="95" t="n">
        <x:v>19</x:v>
      </x:c>
      <x:c r="I215" s="95" t="n">
        <x:v>16</x:v>
      </x:c>
      <x:c r="J215" s="95" t="n">
        <x:v>7</x:v>
      </x:c>
      <x:c r="K215" s="95" t="n">
        <x:v>2</x:v>
      </x:c>
      <x:c r="L215" s="95" t="n">
        <x:v>1</x:v>
      </x:c>
      <x:c r="M215" s="96" t="n">
        <x:f>IFERROR(G215/F215,0)</x:f>
        <x:v>0.8787878787878788</x:v>
      </x:c>
      <x:c r="N215" s="96" t="n">
        <x:f>IFERROR(H215/G215,0)</x:f>
        <x:v>0.6551724137931034</x:v>
      </x:c>
      <x:c r="O215" s="96" t="n">
        <x:f>IFERROR(I215/H215,0)</x:f>
        <x:v>0.8421052631578947</x:v>
      </x:c>
      <x:c r="P215" s="96" t="n">
        <x:f>IFERROR(J215/I215,0)</x:f>
        <x:v>0.4375</x:v>
      </x:c>
      <x:c r="Q215" s="96" t="n">
        <x:f>IFERROR(L215/J215,0)</x:f>
        <x:v>0.14285714285714285</x:v>
      </x:c>
      <x:c r="R215" s="96" t="n">
        <x:f>IFERROR(L215/F215,0)</x:f>
        <x:v>0.030303030303030304</x:v>
      </x:c>
      <x:c r="S215" s="95" t="n">
        <x:v>111</x:v>
      </x:c>
      <x:c r="T215" s="94" t="str">
        <x:v>末次点击7天</x:v>
      </x:c>
    </x:row>
    <x:row r="216">
      <x:c r="A216" s="92" t="str">
        <x:v>PROC-0215</x:v>
      </x:c>
      <x:c r="B216" s="93" t="n">
        <x:v>46061</x:v>
      </x:c>
      <x:c r="C216" s="94" t="str">
        <x:v>Microsoft Ads</x:v>
      </x:c>
      <x:c r="D216" s="94" t="str">
        <x:v>英国</x:v>
      </x:c>
      <x:c r="E216" s="94" t="str">
        <x:v>通用搜索</x:v>
      </x:c>
      <x:c r="F216" s="95" t="n">
        <x:v>36</x:v>
      </x:c>
      <x:c r="G216" s="95" t="n">
        <x:v>33</x:v>
      </x:c>
      <x:c r="H216" s="95" t="n">
        <x:v>21</x:v>
      </x:c>
      <x:c r="I216" s="95" t="n">
        <x:v>17</x:v>
      </x:c>
      <x:c r="J216" s="95" t="n">
        <x:v>6</x:v>
      </x:c>
      <x:c r="K216" s="95" t="n">
        <x:v>2</x:v>
      </x:c>
      <x:c r="L216" s="95" t="n">
        <x:v>1</x:v>
      </x:c>
      <x:c r="M216" s="96" t="n">
        <x:f>IFERROR(G216/F216,0)</x:f>
        <x:v>0.9166666666666666</x:v>
      </x:c>
      <x:c r="N216" s="96" t="n">
        <x:f>IFERROR(H216/G216,0)</x:f>
        <x:v>0.6363636363636364</x:v>
      </x:c>
      <x:c r="O216" s="96" t="n">
        <x:f>IFERROR(I216/H216,0)</x:f>
        <x:v>0.8095238095238095</x:v>
      </x:c>
      <x:c r="P216" s="96" t="n">
        <x:f>IFERROR(J216/I216,0)</x:f>
        <x:v>0.35294117647058826</x:v>
      </x:c>
      <x:c r="Q216" s="96" t="n">
        <x:f>IFERROR(L216/J216,0)</x:f>
        <x:v>0.16666666666666666</x:v>
      </x:c>
      <x:c r="R216" s="96" t="n">
        <x:f>IFERROR(L216/F216,0)</x:f>
        <x:v>0.027777777777777776</x:v>
      </x:c>
      <x:c r="S216" s="95" t="n">
        <x:v>83</x:v>
      </x:c>
      <x:c r="T216" s="94" t="str">
        <x:v>末次点击7天</x:v>
      </x:c>
    </x:row>
    <x:row r="217">
      <x:c r="A217" s="92" t="str">
        <x:v>PROC-0216</x:v>
      </x:c>
      <x:c r="B217" s="93" t="n">
        <x:v>46061</x:v>
      </x:c>
      <x:c r="C217" s="94" t="str">
        <x:v>Microsoft Ads</x:v>
      </x:c>
      <x:c r="D217" s="94" t="str">
        <x:v>美国</x:v>
      </x:c>
      <x:c r="E217" s="94" t="str">
        <x:v>竞品搜索</x:v>
      </x:c>
      <x:c r="F217" s="95" t="n">
        <x:v>35</x:v>
      </x:c>
      <x:c r="G217" s="95" t="n">
        <x:v>31</x:v>
      </x:c>
      <x:c r="H217" s="95" t="n">
        <x:v>22</x:v>
      </x:c>
      <x:c r="I217" s="95" t="n">
        <x:v>18</x:v>
      </x:c>
      <x:c r="J217" s="95" t="n">
        <x:v>6</x:v>
      </x:c>
      <x:c r="K217" s="95" t="n">
        <x:v>1</x:v>
      </x:c>
      <x:c r="L217" s="95" t="n">
        <x:v>1</x:v>
      </x:c>
      <x:c r="M217" s="96" t="n">
        <x:f>IFERROR(G217/F217,0)</x:f>
        <x:v>0.8857142857142857</x:v>
      </x:c>
      <x:c r="N217" s="96" t="n">
        <x:f>IFERROR(H217/G217,0)</x:f>
        <x:v>0.7096774193548387</x:v>
      </x:c>
      <x:c r="O217" s="96" t="n">
        <x:f>IFERROR(I217/H217,0)</x:f>
        <x:v>0.8181818181818182</x:v>
      </x:c>
      <x:c r="P217" s="96" t="n">
        <x:f>IFERROR(J217/I217,0)</x:f>
        <x:v>0.3333333333333333</x:v>
      </x:c>
      <x:c r="Q217" s="96" t="n">
        <x:f>IFERROR(L217/J217,0)</x:f>
        <x:v>0.16666666666666666</x:v>
      </x:c>
      <x:c r="R217" s="96" t="n">
        <x:f>IFERROR(L217/F217,0)</x:f>
        <x:v>0.02857142857142857</x:v>
      </x:c>
      <x:c r="S217" s="95" t="n">
        <x:v>115</x:v>
      </x:c>
      <x:c r="T217" s="94" t="str">
        <x:v>末次点击7天</x:v>
      </x:c>
    </x:row>
    <x:row r="218">
      <x:c r="A218" s="92" t="str">
        <x:v>PROC-0217</x:v>
      </x:c>
      <x:c r="B218" s="93" t="n">
        <x:v>46062</x:v>
      </x:c>
      <x:c r="C218" s="94" t="str">
        <x:v>Microsoft Ads</x:v>
      </x:c>
      <x:c r="D218" s="94" t="str">
        <x:v>日本</x:v>
      </x:c>
      <x:c r="E218" s="94" t="str">
        <x:v>品牌搜索</x:v>
      </x:c>
      <x:c r="F218" s="95" t="n">
        <x:v>70</x:v>
      </x:c>
      <x:c r="G218" s="95" t="n">
        <x:v>68</x:v>
      </x:c>
      <x:c r="H218" s="95" t="n">
        <x:v>47</x:v>
      </x:c>
      <x:c r="I218" s="95" t="n">
        <x:v>40</x:v>
      </x:c>
      <x:c r="J218" s="95" t="n">
        <x:v>20</x:v>
      </x:c>
      <x:c r="K218" s="95" t="n">
        <x:v>7</x:v>
      </x:c>
      <x:c r="L218" s="95" t="n">
        <x:v>2</x:v>
      </x:c>
      <x:c r="M218" s="96" t="n">
        <x:f>IFERROR(G218/F218,0)</x:f>
        <x:v>0.9714285714285714</x:v>
      </x:c>
      <x:c r="N218" s="96" t="n">
        <x:f>IFERROR(H218/G218,0)</x:f>
        <x:v>0.6911764705882353</x:v>
      </x:c>
      <x:c r="O218" s="96" t="n">
        <x:f>IFERROR(I218/H218,0)</x:f>
        <x:v>0.851063829787234</x:v>
      </x:c>
      <x:c r="P218" s="96" t="n">
        <x:f>IFERROR(J218/I218,0)</x:f>
        <x:v>0.5</x:v>
      </x:c>
      <x:c r="Q218" s="96" t="n">
        <x:f>IFERROR(L218/J218,0)</x:f>
        <x:v>0.1</x:v>
      </x:c>
      <x:c r="R218" s="96" t="n">
        <x:f>IFERROR(L218/F218,0)</x:f>
        <x:v>0.02857142857142857</x:v>
      </x:c>
      <x:c r="S218" s="95" t="n">
        <x:v>129</x:v>
      </x:c>
      <x:c r="T218" s="94" t="str">
        <x:v>末次点击7天</x:v>
      </x:c>
    </x:row>
    <x:row r="219">
      <x:c r="A219" s="92" t="str">
        <x:v>PROC-0218</x:v>
      </x:c>
      <x:c r="B219" s="93" t="n">
        <x:v>46062</x:v>
      </x:c>
      <x:c r="C219" s="94" t="str">
        <x:v>Google Ads</x:v>
      </x:c>
      <x:c r="D219" s="94" t="str">
        <x:v>英国</x:v>
      </x:c>
      <x:c r="E219" s="94" t="str">
        <x:v>品牌搜索</x:v>
      </x:c>
      <x:c r="F219" s="95" t="n">
        <x:v>35</x:v>
      </x:c>
      <x:c r="G219" s="95" t="n">
        <x:v>32</x:v>
      </x:c>
      <x:c r="H219" s="95" t="n">
        <x:v>22</x:v>
      </x:c>
      <x:c r="I219" s="95" t="n">
        <x:v>19</x:v>
      </x:c>
      <x:c r="J219" s="95" t="n">
        <x:v>9</x:v>
      </x:c>
      <x:c r="K219" s="95" t="n">
        <x:v>2</x:v>
      </x:c>
      <x:c r="L219" s="95" t="n">
        <x:v>1</x:v>
      </x:c>
      <x:c r="M219" s="96" t="n">
        <x:f>IFERROR(G219/F219,0)</x:f>
        <x:v>0.9142857142857143</x:v>
      </x:c>
      <x:c r="N219" s="96" t="n">
        <x:f>IFERROR(H219/G219,0)</x:f>
        <x:v>0.6875</x:v>
      </x:c>
      <x:c r="O219" s="96" t="n">
        <x:f>IFERROR(I219/H219,0)</x:f>
        <x:v>0.8636363636363636</x:v>
      </x:c>
      <x:c r="P219" s="96" t="n">
        <x:f>IFERROR(J219/I219,0)</x:f>
        <x:v>0.47368421052631576</x:v>
      </x:c>
      <x:c r="Q219" s="96" t="n">
        <x:f>IFERROR(L219/J219,0)</x:f>
        <x:v>0.1111111111111111</x:v>
      </x:c>
      <x:c r="R219" s="96" t="n">
        <x:f>IFERROR(L219/F219,0)</x:f>
        <x:v>0.02857142857142857</x:v>
      </x:c>
      <x:c r="S219" s="95" t="n">
        <x:v>88</x:v>
      </x:c>
      <x:c r="T219" s="94" t="str">
        <x:v>末次点击7天</x:v>
      </x:c>
    </x:row>
    <x:row r="220">
      <x:c r="A220" s="92" t="str">
        <x:v>PROC-0219</x:v>
      </x:c>
      <x:c r="B220" s="93" t="n">
        <x:v>46062</x:v>
      </x:c>
      <x:c r="C220" s="94" t="str">
        <x:v>Google Ads</x:v>
      </x:c>
      <x:c r="D220" s="94" t="str">
        <x:v>美国</x:v>
      </x:c>
      <x:c r="E220" s="94" t="str">
        <x:v>购物广告</x:v>
      </x:c>
      <x:c r="F220" s="95" t="n">
        <x:v>60</x:v>
      </x:c>
      <x:c r="G220" s="95" t="n">
        <x:v>55</x:v>
      </x:c>
      <x:c r="H220" s="95" t="n">
        <x:v>39</x:v>
      </x:c>
      <x:c r="I220" s="95" t="n">
        <x:v>35</x:v>
      </x:c>
      <x:c r="J220" s="95" t="n">
        <x:v>14</x:v>
      </x:c>
      <x:c r="K220" s="95" t="n">
        <x:v>4</x:v>
      </x:c>
      <x:c r="L220" s="95" t="n">
        <x:v>1</x:v>
      </x:c>
      <x:c r="M220" s="96" t="n">
        <x:f>IFERROR(G220/F220,0)</x:f>
        <x:v>0.9166666666666666</x:v>
      </x:c>
      <x:c r="N220" s="96" t="n">
        <x:f>IFERROR(H220/G220,0)</x:f>
        <x:v>0.7090909090909091</x:v>
      </x:c>
      <x:c r="O220" s="96" t="n">
        <x:f>IFERROR(I220/H220,0)</x:f>
        <x:v>0.8974358974358975</x:v>
      </x:c>
      <x:c r="P220" s="96" t="n">
        <x:f>IFERROR(J220/I220,0)</x:f>
        <x:v>0.4</x:v>
      </x:c>
      <x:c r="Q220" s="96" t="n">
        <x:f>IFERROR(L220/J220,0)</x:f>
        <x:v>0.07142857142857142</x:v>
      </x:c>
      <x:c r="R220" s="96" t="n">
        <x:f>IFERROR(L220/F220,0)</x:f>
        <x:v>0.016666666666666666</x:v>
      </x:c>
      <x:c r="S220" s="95" t="n">
        <x:v>102</x:v>
      </x:c>
      <x:c r="T220" s="94" t="str">
        <x:v>末次点击7天</x:v>
      </x:c>
    </x:row>
    <x:row r="221">
      <x:c r="A221" s="92" t="str">
        <x:v>PROC-0220</x:v>
      </x:c>
      <x:c r="B221" s="93" t="n">
        <x:v>46062</x:v>
      </x:c>
      <x:c r="C221" s="94" t="str">
        <x:v>Google Ads</x:v>
      </x:c>
      <x:c r="D221" s="94" t="str">
        <x:v>美国</x:v>
      </x:c>
      <x:c r="E221" s="94" t="str">
        <x:v>品牌搜索</x:v>
      </x:c>
      <x:c r="F221" s="95" t="n">
        <x:v>48</x:v>
      </x:c>
      <x:c r="G221" s="95" t="n">
        <x:v>45</x:v>
      </x:c>
      <x:c r="H221" s="95" t="n">
        <x:v>31</x:v>
      </x:c>
      <x:c r="I221" s="95" t="n">
        <x:v>25</x:v>
      </x:c>
      <x:c r="J221" s="95" t="n">
        <x:v>12</x:v>
      </x:c>
      <x:c r="K221" s="95" t="n">
        <x:v>4</x:v>
      </x:c>
      <x:c r="L221" s="95" t="n">
        <x:v>1</x:v>
      </x:c>
      <x:c r="M221" s="96" t="n">
        <x:f>IFERROR(G221/F221,0)</x:f>
        <x:v>0.9375</x:v>
      </x:c>
      <x:c r="N221" s="96" t="n">
        <x:f>IFERROR(H221/G221,0)</x:f>
        <x:v>0.6888888888888889</x:v>
      </x:c>
      <x:c r="O221" s="96" t="n">
        <x:f>IFERROR(I221/H221,0)</x:f>
        <x:v>0.8064516129032258</x:v>
      </x:c>
      <x:c r="P221" s="96" t="n">
        <x:f>IFERROR(J221/I221,0)</x:f>
        <x:v>0.48</x:v>
      </x:c>
      <x:c r="Q221" s="96" t="n">
        <x:f>IFERROR(L221/J221,0)</x:f>
        <x:v>0.08333333333333333</x:v>
      </x:c>
      <x:c r="R221" s="96" t="n">
        <x:f>IFERROR(L221/F221,0)</x:f>
        <x:v>0.020833333333333332</x:v>
      </x:c>
      <x:c r="S221" s="95" t="n">
        <x:v>93</x:v>
      </x:c>
      <x:c r="T221" s="94" t="str">
        <x:v>末次点击7天</x:v>
      </x:c>
    </x:row>
    <x:row r="222">
      <x:c r="A222" s="92" t="str">
        <x:v>PROC-0221</x:v>
      </x:c>
      <x:c r="B222" s="93" t="n">
        <x:v>46062</x:v>
      </x:c>
      <x:c r="C222" s="94" t="str">
        <x:v>Google Ads</x:v>
      </x:c>
      <x:c r="D222" s="94" t="str">
        <x:v>德国</x:v>
      </x:c>
      <x:c r="E222" s="94" t="str">
        <x:v>竞品搜索</x:v>
      </x:c>
      <x:c r="F222" s="95" t="n">
        <x:v>31</x:v>
      </x:c>
      <x:c r="G222" s="95" t="n">
        <x:v>29</x:v>
      </x:c>
      <x:c r="H222" s="95" t="n">
        <x:v>19</x:v>
      </x:c>
      <x:c r="I222" s="95" t="n">
        <x:v>16</x:v>
      </x:c>
      <x:c r="J222" s="95" t="n">
        <x:v>7</x:v>
      </x:c>
      <x:c r="K222" s="95" t="n">
        <x:v>2</x:v>
      </x:c>
      <x:c r="L222" s="95" t="n">
        <x:v>1</x:v>
      </x:c>
      <x:c r="M222" s="96" t="n">
        <x:f>IFERROR(G222/F222,0)</x:f>
        <x:v>0.9354838709677419</x:v>
      </x:c>
      <x:c r="N222" s="96" t="n">
        <x:f>IFERROR(H222/G222,0)</x:f>
        <x:v>0.6551724137931034</x:v>
      </x:c>
      <x:c r="O222" s="96" t="n">
        <x:f>IFERROR(I222/H222,0)</x:f>
        <x:v>0.8421052631578947</x:v>
      </x:c>
      <x:c r="P222" s="96" t="n">
        <x:f>IFERROR(J222/I222,0)</x:f>
        <x:v>0.4375</x:v>
      </x:c>
      <x:c r="Q222" s="96" t="n">
        <x:f>IFERROR(L222/J222,0)</x:f>
        <x:v>0.14285714285714285</x:v>
      </x:c>
      <x:c r="R222" s="96" t="n">
        <x:f>IFERROR(L222/F222,0)</x:f>
        <x:v>0.03225806451612903</x:v>
      </x:c>
      <x:c r="S222" s="95" t="n">
        <x:v>117</x:v>
      </x:c>
      <x:c r="T222" s="94" t="str">
        <x:v>末次点击7天</x:v>
      </x:c>
    </x:row>
    <x:row r="223">
      <x:c r="A223" s="92" t="str">
        <x:v>PROC-0222</x:v>
      </x:c>
      <x:c r="B223" s="93" t="n">
        <x:v>46063</x:v>
      </x:c>
      <x:c r="C223" s="94" t="str">
        <x:v>Google Ads</x:v>
      </x:c>
      <x:c r="D223" s="94" t="str">
        <x:v>英国</x:v>
      </x:c>
      <x:c r="E223" s="94" t="str">
        <x:v>通用搜索</x:v>
      </x:c>
      <x:c r="F223" s="95" t="n">
        <x:v>41</x:v>
      </x:c>
      <x:c r="G223" s="95" t="n">
        <x:v>37</x:v>
      </x:c>
      <x:c r="H223" s="95" t="n">
        <x:v>27</x:v>
      </x:c>
      <x:c r="I223" s="95" t="n">
        <x:v>22</x:v>
      </x:c>
      <x:c r="J223" s="95" t="n">
        <x:v>9</x:v>
      </x:c>
      <x:c r="K223" s="95" t="n">
        <x:v>3</x:v>
      </x:c>
      <x:c r="L223" s="95" t="n">
        <x:v>1</x:v>
      </x:c>
      <x:c r="M223" s="96" t="n">
        <x:f>IFERROR(G223/F223,0)</x:f>
        <x:v>0.9024390243902439</x:v>
      </x:c>
      <x:c r="N223" s="96" t="n">
        <x:f>IFERROR(H223/G223,0)</x:f>
        <x:v>0.7297297297297297</x:v>
      </x:c>
      <x:c r="O223" s="96" t="n">
        <x:f>IFERROR(I223/H223,0)</x:f>
        <x:v>0.8148148148148148</x:v>
      </x:c>
      <x:c r="P223" s="96" t="n">
        <x:f>IFERROR(J223/I223,0)</x:f>
        <x:v>0.4090909090909091</x:v>
      </x:c>
      <x:c r="Q223" s="96" t="n">
        <x:f>IFERROR(L223/J223,0)</x:f>
        <x:v>0.1111111111111111</x:v>
      </x:c>
      <x:c r="R223" s="96" t="n">
        <x:f>IFERROR(L223/F223,0)</x:f>
        <x:v>0.024390243902439025</x:v>
      </x:c>
      <x:c r="S223" s="95" t="n">
        <x:v>86</x:v>
      </x:c>
      <x:c r="T223" s="94" t="str">
        <x:v>末次点击7天</x:v>
      </x:c>
    </x:row>
    <x:row r="224">
      <x:c r="A224" s="92" t="str">
        <x:v>PROC-0223</x:v>
      </x:c>
      <x:c r="B224" s="93" t="n">
        <x:v>46063</x:v>
      </x:c>
      <x:c r="C224" s="94" t="str">
        <x:v>Microsoft Ads</x:v>
      </x:c>
      <x:c r="D224" s="94" t="str">
        <x:v>美国</x:v>
      </x:c>
      <x:c r="E224" s="94" t="str">
        <x:v>购物广告</x:v>
      </x:c>
      <x:c r="F224" s="95" t="n">
        <x:v>42</x:v>
      </x:c>
      <x:c r="G224" s="95" t="n">
        <x:v>38</x:v>
      </x:c>
      <x:c r="H224" s="95" t="n">
        <x:v>27</x:v>
      </x:c>
      <x:c r="I224" s="95" t="n">
        <x:v>25</x:v>
      </x:c>
      <x:c r="J224" s="95" t="n">
        <x:v>11</x:v>
      </x:c>
      <x:c r="K224" s="95" t="n">
        <x:v>4</x:v>
      </x:c>
      <x:c r="L224" s="95" t="n">
        <x:v>1</x:v>
      </x:c>
      <x:c r="M224" s="96" t="n">
        <x:f>IFERROR(G224/F224,0)</x:f>
        <x:v>0.9047619047619048</x:v>
      </x:c>
      <x:c r="N224" s="96" t="n">
        <x:f>IFERROR(H224/G224,0)</x:f>
        <x:v>0.7105263157894737</x:v>
      </x:c>
      <x:c r="O224" s="96" t="n">
        <x:f>IFERROR(I224/H224,0)</x:f>
        <x:v>0.9259259259259259</x:v>
      </x:c>
      <x:c r="P224" s="96" t="n">
        <x:f>IFERROR(J224/I224,0)</x:f>
        <x:v>0.44</x:v>
      </x:c>
      <x:c r="Q224" s="96" t="n">
        <x:f>IFERROR(L224/J224,0)</x:f>
        <x:v>0.09090909090909091</x:v>
      </x:c>
      <x:c r="R224" s="96" t="n">
        <x:f>IFERROR(L224/F224,0)</x:f>
        <x:v>0.023809523809523808</x:v>
      </x:c>
      <x:c r="S224" s="95" t="n">
        <x:v>79</x:v>
      </x:c>
      <x:c r="T224" s="94" t="str">
        <x:v>末次点击7天</x:v>
      </x:c>
    </x:row>
    <x:row r="225">
      <x:c r="A225" s="92" t="str">
        <x:v>PROC-0224</x:v>
      </x:c>
      <x:c r="B225" s="93" t="n">
        <x:v>46063</x:v>
      </x:c>
      <x:c r="C225" s="94" t="str">
        <x:v>Google Ads</x:v>
      </x:c>
      <x:c r="D225" s="94" t="str">
        <x:v>美国</x:v>
      </x:c>
      <x:c r="E225" s="94" t="str">
        <x:v>购物广告</x:v>
      </x:c>
      <x:c r="F225" s="95" t="n">
        <x:v>75</x:v>
      </x:c>
      <x:c r="G225" s="95" t="n">
        <x:v>67</x:v>
      </x:c>
      <x:c r="H225" s="95" t="n">
        <x:v>50</x:v>
      </x:c>
      <x:c r="I225" s="95" t="n">
        <x:v>43</x:v>
      </x:c>
      <x:c r="J225" s="95" t="n">
        <x:v>18</x:v>
      </x:c>
      <x:c r="K225" s="95" t="n">
        <x:v>4</x:v>
      </x:c>
      <x:c r="L225" s="95" t="n">
        <x:v>1</x:v>
      </x:c>
      <x:c r="M225" s="96" t="n">
        <x:f>IFERROR(G225/F225,0)</x:f>
        <x:v>0.8933333333333333</x:v>
      </x:c>
      <x:c r="N225" s="96" t="n">
        <x:f>IFERROR(H225/G225,0)</x:f>
        <x:v>0.746268656716418</x:v>
      </x:c>
      <x:c r="O225" s="96" t="n">
        <x:f>IFERROR(I225/H225,0)</x:f>
        <x:v>0.86</x:v>
      </x:c>
      <x:c r="P225" s="96" t="n">
        <x:f>IFERROR(J225/I225,0)</x:f>
        <x:v>0.4186046511627907</x:v>
      </x:c>
      <x:c r="Q225" s="96" t="n">
        <x:f>IFERROR(L225/J225,0)</x:f>
        <x:v>0.05555555555555555</x:v>
      </x:c>
      <x:c r="R225" s="96" t="n">
        <x:f>IFERROR(L225/F225,0)</x:f>
        <x:v>0.013333333333333334</x:v>
      </x:c>
      <x:c r="S225" s="95" t="n">
        <x:v>114</x:v>
      </x:c>
      <x:c r="T225" s="94" t="str">
        <x:v>末次点击7天</x:v>
      </x:c>
    </x:row>
    <x:row r="226">
      <x:c r="A226" s="92" t="str">
        <x:v>PROC-0225</x:v>
      </x:c>
      <x:c r="B226" s="93" t="n">
        <x:v>46063</x:v>
      </x:c>
      <x:c r="C226" s="94" t="str">
        <x:v>Microsoft Ads</x:v>
      </x:c>
      <x:c r="D226" s="94" t="str">
        <x:v>美国</x:v>
      </x:c>
      <x:c r="E226" s="94" t="str">
        <x:v>品牌搜索</x:v>
      </x:c>
      <x:c r="F226" s="95" t="n">
        <x:v>71</x:v>
      </x:c>
      <x:c r="G226" s="95" t="n">
        <x:v>66</x:v>
      </x:c>
      <x:c r="H226" s="95" t="n">
        <x:v>45</x:v>
      </x:c>
      <x:c r="I226" s="95" t="n">
        <x:v>38</x:v>
      </x:c>
      <x:c r="J226" s="95" t="n">
        <x:v>20</x:v>
      </x:c>
      <x:c r="K226" s="95" t="n">
        <x:v>5</x:v>
      </x:c>
      <x:c r="L226" s="95" t="n">
        <x:v>2</x:v>
      </x:c>
      <x:c r="M226" s="96" t="n">
        <x:f>IFERROR(G226/F226,0)</x:f>
        <x:v>0.9295774647887324</x:v>
      </x:c>
      <x:c r="N226" s="96" t="n">
        <x:f>IFERROR(H226/G226,0)</x:f>
        <x:v>0.6818181818181818</x:v>
      </x:c>
      <x:c r="O226" s="96" t="n">
        <x:f>IFERROR(I226/H226,0)</x:f>
        <x:v>0.8444444444444444</x:v>
      </x:c>
      <x:c r="P226" s="96" t="n">
        <x:f>IFERROR(J226/I226,0)</x:f>
        <x:v>0.5263157894736842</x:v>
      </x:c>
      <x:c r="Q226" s="96" t="n">
        <x:f>IFERROR(L226/J226,0)</x:f>
        <x:v>0.1</x:v>
      </x:c>
      <x:c r="R226" s="96" t="n">
        <x:f>IFERROR(L226/F226,0)</x:f>
        <x:v>0.028169014084507043</x:v>
      </x:c>
      <x:c r="S226" s="95" t="n">
        <x:v>65</x:v>
      </x:c>
      <x:c r="T226" s="94" t="str">
        <x:v>末次点击7天</x:v>
      </x:c>
    </x:row>
    <x:row r="227">
      <x:c r="A227" s="92" t="str">
        <x:v>PROC-0226</x:v>
      </x:c>
      <x:c r="B227" s="93" t="n">
        <x:v>46063</x:v>
      </x:c>
      <x:c r="C227" s="94" t="str">
        <x:v>Google Ads</x:v>
      </x:c>
      <x:c r="D227" s="94" t="str">
        <x:v>英国</x:v>
      </x:c>
      <x:c r="E227" s="94" t="str">
        <x:v>购物广告</x:v>
      </x:c>
      <x:c r="F227" s="95" t="n">
        <x:v>33</x:v>
      </x:c>
      <x:c r="G227" s="95" t="n">
        <x:v>29</x:v>
      </x:c>
      <x:c r="H227" s="95" t="n">
        <x:v>21</x:v>
      </x:c>
      <x:c r="I227" s="95" t="n">
        <x:v>18</x:v>
      </x:c>
      <x:c r="J227" s="95" t="n">
        <x:v>9</x:v>
      </x:c>
      <x:c r="K227" s="95" t="n">
        <x:v>3</x:v>
      </x:c>
      <x:c r="L227" s="95" t="n">
        <x:v>1</x:v>
      </x:c>
      <x:c r="M227" s="96" t="n">
        <x:f>IFERROR(G227/F227,0)</x:f>
        <x:v>0.8787878787878788</x:v>
      </x:c>
      <x:c r="N227" s="96" t="n">
        <x:f>IFERROR(H227/G227,0)</x:f>
        <x:v>0.7241379310344828</x:v>
      </x:c>
      <x:c r="O227" s="96" t="n">
        <x:f>IFERROR(I227/H227,0)</x:f>
        <x:v>0.8571428571428571</x:v>
      </x:c>
      <x:c r="P227" s="96" t="n">
        <x:f>IFERROR(J227/I227,0)</x:f>
        <x:v>0.5</x:v>
      </x:c>
      <x:c r="Q227" s="96" t="n">
        <x:f>IFERROR(L227/J227,0)</x:f>
        <x:v>0.1111111111111111</x:v>
      </x:c>
      <x:c r="R227" s="96" t="n">
        <x:f>IFERROR(L227/F227,0)</x:f>
        <x:v>0.030303030303030304</x:v>
      </x:c>
      <x:c r="S227" s="95" t="n">
        <x:v>125</x:v>
      </x:c>
      <x:c r="T227" s="94" t="str">
        <x:v>末次点击7天</x:v>
      </x:c>
    </x:row>
    <x:row r="228">
      <x:c r="A228" s="92" t="str">
        <x:v>PROC-0227</x:v>
      </x:c>
      <x:c r="B228" s="93" t="n">
        <x:v>46063</x:v>
      </x:c>
      <x:c r="C228" s="94" t="str">
        <x:v>Microsoft Ads</x:v>
      </x:c>
      <x:c r="D228" s="94" t="str">
        <x:v>德国</x:v>
      </x:c>
      <x:c r="E228" s="94" t="str">
        <x:v>竞品搜索</x:v>
      </x:c>
      <x:c r="F228" s="95" t="n">
        <x:v>33</x:v>
      </x:c>
      <x:c r="G228" s="95" t="n">
        <x:v>29</x:v>
      </x:c>
      <x:c r="H228" s="95" t="n">
        <x:v>21</x:v>
      </x:c>
      <x:c r="I228" s="95" t="n">
        <x:v>18</x:v>
      </x:c>
      <x:c r="J228" s="95" t="n">
        <x:v>7</x:v>
      </x:c>
      <x:c r="K228" s="95" t="n">
        <x:v>2</x:v>
      </x:c>
      <x:c r="L228" s="95" t="n">
        <x:v>1</x:v>
      </x:c>
      <x:c r="M228" s="96" t="n">
        <x:f>IFERROR(G228/F228,0)</x:f>
        <x:v>0.8787878787878788</x:v>
      </x:c>
      <x:c r="N228" s="96" t="n">
        <x:f>IFERROR(H228/G228,0)</x:f>
        <x:v>0.7241379310344828</x:v>
      </x:c>
      <x:c r="O228" s="96" t="n">
        <x:f>IFERROR(I228/H228,0)</x:f>
        <x:v>0.8571428571428571</x:v>
      </x:c>
      <x:c r="P228" s="96" t="n">
        <x:f>IFERROR(J228/I228,0)</x:f>
        <x:v>0.3888888888888889</x:v>
      </x:c>
      <x:c r="Q228" s="96" t="n">
        <x:f>IFERROR(L228/J228,0)</x:f>
        <x:v>0.14285714285714285</x:v>
      </x:c>
      <x:c r="R228" s="96" t="n">
        <x:f>IFERROR(L228/F228,0)</x:f>
        <x:v>0.030303030303030304</x:v>
      </x:c>
      <x:c r="S228" s="95" t="n">
        <x:v>53</x:v>
      </x:c>
      <x:c r="T228" s="94" t="str">
        <x:v>末次点击7天</x:v>
      </x:c>
    </x:row>
    <x:row r="229">
      <x:c r="A229" s="92" t="str">
        <x:v>PROC-0228</x:v>
      </x:c>
      <x:c r="B229" s="93" t="n">
        <x:v>46064</x:v>
      </x:c>
      <x:c r="C229" s="94" t="str">
        <x:v>Microsoft Ads</x:v>
      </x:c>
      <x:c r="D229" s="94" t="str">
        <x:v>美国</x:v>
      </x:c>
      <x:c r="E229" s="94" t="str">
        <x:v>通用搜索</x:v>
      </x:c>
      <x:c r="F229" s="95" t="n">
        <x:v>53</x:v>
      </x:c>
      <x:c r="G229" s="95" t="n">
        <x:v>49</x:v>
      </x:c>
      <x:c r="H229" s="95" t="n">
        <x:v>31</x:v>
      </x:c>
      <x:c r="I229" s="95" t="n">
        <x:v>26</x:v>
      </x:c>
      <x:c r="J229" s="95" t="n">
        <x:v>10</x:v>
      </x:c>
      <x:c r="K229" s="95" t="n">
        <x:v>3</x:v>
      </x:c>
      <x:c r="L229" s="95" t="n">
        <x:v>1</x:v>
      </x:c>
      <x:c r="M229" s="96" t="n">
        <x:f>IFERROR(G229/F229,0)</x:f>
        <x:v>0.9245283018867925</x:v>
      </x:c>
      <x:c r="N229" s="96" t="n">
        <x:f>IFERROR(H229/G229,0)</x:f>
        <x:v>0.6326530612244898</x:v>
      </x:c>
      <x:c r="O229" s="96" t="n">
        <x:f>IFERROR(I229/H229,0)</x:f>
        <x:v>0.8387096774193549</x:v>
      </x:c>
      <x:c r="P229" s="96" t="n">
        <x:f>IFERROR(J229/I229,0)</x:f>
        <x:v>0.38461538461538464</x:v>
      </x:c>
      <x:c r="Q229" s="96" t="n">
        <x:f>IFERROR(L229/J229,0)</x:f>
        <x:v>0.1</x:v>
      </x:c>
      <x:c r="R229" s="96" t="n">
        <x:f>IFERROR(L229/F229,0)</x:f>
        <x:v>0.018867924528301886</x:v>
      </x:c>
      <x:c r="S229" s="95" t="n">
        <x:v>105</x:v>
      </x:c>
      <x:c r="T229" s="94" t="str">
        <x:v>末次点击7天</x:v>
      </x:c>
    </x:row>
    <x:row r="230">
      <x:c r="A230" s="92" t="str">
        <x:v>PROC-0229</x:v>
      </x:c>
      <x:c r="B230" s="93" t="n">
        <x:v>46064</x:v>
      </x:c>
      <x:c r="C230" s="94" t="str">
        <x:v>Microsoft Ads</x:v>
      </x:c>
      <x:c r="D230" s="94" t="str">
        <x:v>英国</x:v>
      </x:c>
      <x:c r="E230" s="94" t="str">
        <x:v>购物广告</x:v>
      </x:c>
      <x:c r="F230" s="95" t="n">
        <x:v>65</x:v>
      </x:c>
      <x:c r="G230" s="95" t="n">
        <x:v>58</x:v>
      </x:c>
      <x:c r="H230" s="95" t="n">
        <x:v>36</x:v>
      </x:c>
      <x:c r="I230" s="95" t="n">
        <x:v>31</x:v>
      </x:c>
      <x:c r="J230" s="95" t="n">
        <x:v>16</x:v>
      </x:c>
      <x:c r="K230" s="95" t="n">
        <x:v>4</x:v>
      </x:c>
      <x:c r="L230" s="95" t="n">
        <x:v>1</x:v>
      </x:c>
      <x:c r="M230" s="96" t="n">
        <x:f>IFERROR(G230/F230,0)</x:f>
        <x:v>0.8923076923076924</x:v>
      </x:c>
      <x:c r="N230" s="96" t="n">
        <x:f>IFERROR(H230/G230,0)</x:f>
        <x:v>0.6206896551724138</x:v>
      </x:c>
      <x:c r="O230" s="96" t="n">
        <x:f>IFERROR(I230/H230,0)</x:f>
        <x:v>0.8611111111111112</x:v>
      </x:c>
      <x:c r="P230" s="96" t="n">
        <x:f>IFERROR(J230/I230,0)</x:f>
        <x:v>0.5161290322580645</x:v>
      </x:c>
      <x:c r="Q230" s="96" t="n">
        <x:f>IFERROR(L230/J230,0)</x:f>
        <x:v>0.0625</x:v>
      </x:c>
      <x:c r="R230" s="96" t="n">
        <x:f>IFERROR(L230/F230,0)</x:f>
        <x:v>0.015384615384615385</x:v>
      </x:c>
      <x:c r="S230" s="95" t="n">
        <x:v>78</x:v>
      </x:c>
      <x:c r="T230" s="94" t="str">
        <x:v>末次点击7天</x:v>
      </x:c>
    </x:row>
    <x:row r="231">
      <x:c r="A231" s="92" t="str">
        <x:v>PROC-0230</x:v>
      </x:c>
      <x:c r="B231" s="93" t="n">
        <x:v>46064</x:v>
      </x:c>
      <x:c r="C231" s="94" t="str">
        <x:v>Google Ads</x:v>
      </x:c>
      <x:c r="D231" s="94" t="str">
        <x:v>美国</x:v>
      </x:c>
      <x:c r="E231" s="94" t="str">
        <x:v>竞品搜索</x:v>
      </x:c>
      <x:c r="F231" s="95" t="n">
        <x:v>44</x:v>
      </x:c>
      <x:c r="G231" s="95" t="n">
        <x:v>39</x:v>
      </x:c>
      <x:c r="H231" s="95" t="n">
        <x:v>26</x:v>
      </x:c>
      <x:c r="I231" s="95" t="n">
        <x:v>22</x:v>
      </x:c>
      <x:c r="J231" s="95" t="n">
        <x:v>8</x:v>
      </x:c>
      <x:c r="K231" s="95" t="n">
        <x:v>2</x:v>
      </x:c>
      <x:c r="L231" s="95" t="n">
        <x:v>1</x:v>
      </x:c>
      <x:c r="M231" s="96" t="n">
        <x:f>IFERROR(G231/F231,0)</x:f>
        <x:v>0.8863636363636364</x:v>
      </x:c>
      <x:c r="N231" s="96" t="n">
        <x:f>IFERROR(H231/G231,0)</x:f>
        <x:v>0.6666666666666666</x:v>
      </x:c>
      <x:c r="O231" s="96" t="n">
        <x:f>IFERROR(I231/H231,0)</x:f>
        <x:v>0.8461538461538461</x:v>
      </x:c>
      <x:c r="P231" s="96" t="n">
        <x:f>IFERROR(J231/I231,0)</x:f>
        <x:v>0.36363636363636365</x:v>
      </x:c>
      <x:c r="Q231" s="96" t="n">
        <x:f>IFERROR(L231/J231,0)</x:f>
        <x:v>0.125</x:v>
      </x:c>
      <x:c r="R231" s="96" t="n">
        <x:f>IFERROR(L231/F231,0)</x:f>
        <x:v>0.022727272727272728</x:v>
      </x:c>
      <x:c r="S231" s="95" t="n">
        <x:v>84</x:v>
      </x:c>
      <x:c r="T231" s="94" t="str">
        <x:v>末次点击7天</x:v>
      </x:c>
    </x:row>
    <x:row r="232">
      <x:c r="A232" s="92" t="str">
        <x:v>PROC-0231</x:v>
      </x:c>
      <x:c r="B232" s="93" t="n">
        <x:v>46064</x:v>
      </x:c>
      <x:c r="C232" s="94" t="str">
        <x:v>Microsoft Ads</x:v>
      </x:c>
      <x:c r="D232" s="94" t="str">
        <x:v>德国</x:v>
      </x:c>
      <x:c r="E232" s="94" t="str">
        <x:v>竞品搜索</x:v>
      </x:c>
      <x:c r="F232" s="95" t="n">
        <x:v>34</x:v>
      </x:c>
      <x:c r="G232" s="95" t="n">
        <x:v>30</x:v>
      </x:c>
      <x:c r="H232" s="95" t="n">
        <x:v>20</x:v>
      </x:c>
      <x:c r="I232" s="95" t="n">
        <x:v>16</x:v>
      </x:c>
      <x:c r="J232" s="95" t="n">
        <x:v>6</x:v>
      </x:c>
      <x:c r="K232" s="95" t="n">
        <x:v>2</x:v>
      </x:c>
      <x:c r="L232" s="95" t="n">
        <x:v>0</x:v>
      </x:c>
      <x:c r="M232" s="96" t="n">
        <x:f>IFERROR(G232/F232,0)</x:f>
        <x:v>0.8823529411764706</x:v>
      </x:c>
      <x:c r="N232" s="96" t="n">
        <x:f>IFERROR(H232/G232,0)</x:f>
        <x:v>0.6666666666666666</x:v>
      </x:c>
      <x:c r="O232" s="96" t="n">
        <x:f>IFERROR(I232/H232,0)</x:f>
        <x:v>0.8</x:v>
      </x:c>
      <x:c r="P232" s="96" t="n">
        <x:f>IFERROR(J232/I232,0)</x:f>
        <x:v>0.375</x:v>
      </x:c>
      <x:c r="Q232" s="96" t="n">
        <x:f>IFERROR(L232/J232,0)</x:f>
        <x:v>0</x:v>
      </x:c>
      <x:c r="R232" s="96" t="n">
        <x:f>IFERROR(L232/F232,0)</x:f>
        <x:v>0</x:v>
      </x:c>
      <x:c r="S232" s="95" t="n">
        <x:v>112</x:v>
      </x:c>
      <x:c r="T232" s="94" t="str">
        <x:v>末次点击7天</x:v>
      </x:c>
    </x:row>
    <x:row r="233">
      <x:c r="A233" s="92" t="str">
        <x:v>PROC-0232</x:v>
      </x:c>
      <x:c r="B233" s="93" t="n">
        <x:v>46064</x:v>
      </x:c>
      <x:c r="C233" s="94" t="str">
        <x:v>Google Ads</x:v>
      </x:c>
      <x:c r="D233" s="94" t="str">
        <x:v>美国</x:v>
      </x:c>
      <x:c r="E233" s="94" t="str">
        <x:v>通用搜索</x:v>
      </x:c>
      <x:c r="F233" s="95" t="n">
        <x:v>47</x:v>
      </x:c>
      <x:c r="G233" s="95" t="n">
        <x:v>44</x:v>
      </x:c>
      <x:c r="H233" s="95" t="n">
        <x:v>27</x:v>
      </x:c>
      <x:c r="I233" s="95" t="n">
        <x:v>22</x:v>
      </x:c>
      <x:c r="J233" s="95" t="n">
        <x:v>10</x:v>
      </x:c>
      <x:c r="K233" s="95" t="n">
        <x:v>2</x:v>
      </x:c>
      <x:c r="L233" s="95" t="n">
        <x:v>1</x:v>
      </x:c>
      <x:c r="M233" s="96" t="n">
        <x:f>IFERROR(G233/F233,0)</x:f>
        <x:v>0.9361702127659575</x:v>
      </x:c>
      <x:c r="N233" s="96" t="n">
        <x:f>IFERROR(H233/G233,0)</x:f>
        <x:v>0.6136363636363636</x:v>
      </x:c>
      <x:c r="O233" s="96" t="n">
        <x:f>IFERROR(I233/H233,0)</x:f>
        <x:v>0.8148148148148148</x:v>
      </x:c>
      <x:c r="P233" s="96" t="n">
        <x:f>IFERROR(J233/I233,0)</x:f>
        <x:v>0.45454545454545453</x:v>
      </x:c>
      <x:c r="Q233" s="96" t="n">
        <x:f>IFERROR(L233/J233,0)</x:f>
        <x:v>0.1</x:v>
      </x:c>
      <x:c r="R233" s="96" t="n">
        <x:f>IFERROR(L233/F233,0)</x:f>
        <x:v>0.02127659574468085</x:v>
      </x:c>
      <x:c r="S233" s="95" t="n">
        <x:v>80</x:v>
      </x:c>
      <x:c r="T233" s="94" t="str">
        <x:v>末次点击7天</x:v>
      </x:c>
    </x:row>
    <x:row r="234">
      <x:c r="A234" s="92" t="str">
        <x:v>PROC-0233</x:v>
      </x:c>
      <x:c r="B234" s="93" t="n">
        <x:v>46064</x:v>
      </x:c>
      <x:c r="C234" s="94" t="str">
        <x:v>Microsoft Ads</x:v>
      </x:c>
      <x:c r="D234" s="94" t="str">
        <x:v>英国</x:v>
      </x:c>
      <x:c r="E234" s="94" t="str">
        <x:v>品牌搜索</x:v>
      </x:c>
      <x:c r="F234" s="95" t="n">
        <x:v>79</x:v>
      </x:c>
      <x:c r="G234" s="95" t="n">
        <x:v>75</x:v>
      </x:c>
      <x:c r="H234" s="95" t="n">
        <x:v>51</x:v>
      </x:c>
      <x:c r="I234" s="95" t="n">
        <x:v>44</x:v>
      </x:c>
      <x:c r="J234" s="95" t="n">
        <x:v>23</x:v>
      </x:c>
      <x:c r="K234" s="95" t="n">
        <x:v>8</x:v>
      </x:c>
      <x:c r="L234" s="95" t="n">
        <x:v>2</x:v>
      </x:c>
      <x:c r="M234" s="96" t="n">
        <x:f>IFERROR(G234/F234,0)</x:f>
        <x:v>0.9493670886075949</x:v>
      </x:c>
      <x:c r="N234" s="96" t="n">
        <x:f>IFERROR(H234/G234,0)</x:f>
        <x:v>0.68</x:v>
      </x:c>
      <x:c r="O234" s="96" t="n">
        <x:f>IFERROR(I234/H234,0)</x:f>
        <x:v>0.8627450980392157</x:v>
      </x:c>
      <x:c r="P234" s="96" t="n">
        <x:f>IFERROR(J234/I234,0)</x:f>
        <x:v>0.5227272727272727</x:v>
      </x:c>
      <x:c r="Q234" s="96" t="n">
        <x:f>IFERROR(L234/J234,0)</x:f>
        <x:v>0.08695652173913043</x:v>
      </x:c>
      <x:c r="R234" s="96" t="n">
        <x:f>IFERROR(L234/F234,0)</x:f>
        <x:v>0.02531645569620253</x:v>
      </x:c>
      <x:c r="S234" s="95" t="n">
        <x:v>123</x:v>
      </x:c>
      <x:c r="T234" s="94" t="str">
        <x:v>末次点击7天</x:v>
      </x:c>
    </x:row>
    <x:row r="235">
      <x:c r="A235" s="92" t="str">
        <x:v>PROC-0234</x:v>
      </x:c>
      <x:c r="B235" s="93" t="n">
        <x:v>46065</x:v>
      </x:c>
      <x:c r="C235" s="94" t="str">
        <x:v>Google Ads</x:v>
      </x:c>
      <x:c r="D235" s="94" t="str">
        <x:v>英国</x:v>
      </x:c>
      <x:c r="E235" s="94" t="str">
        <x:v>购物广告</x:v>
      </x:c>
      <x:c r="F235" s="95" t="n">
        <x:v>37</x:v>
      </x:c>
      <x:c r="G235" s="95" t="n">
        <x:v>33</x:v>
      </x:c>
      <x:c r="H235" s="95" t="n">
        <x:v>24</x:v>
      </x:c>
      <x:c r="I235" s="95" t="n">
        <x:v>21</x:v>
      </x:c>
      <x:c r="J235" s="95" t="n">
        <x:v>9</x:v>
      </x:c>
      <x:c r="K235" s="95" t="n">
        <x:v>3</x:v>
      </x:c>
      <x:c r="L235" s="95" t="n">
        <x:v>1</x:v>
      </x:c>
      <x:c r="M235" s="96" t="n">
        <x:f>IFERROR(G235/F235,0)</x:f>
        <x:v>0.8918918918918919</x:v>
      </x:c>
      <x:c r="N235" s="96" t="n">
        <x:f>IFERROR(H235/G235,0)</x:f>
        <x:v>0.7272727272727273</x:v>
      </x:c>
      <x:c r="O235" s="96" t="n">
        <x:f>IFERROR(I235/H235,0)</x:f>
        <x:v>0.875</x:v>
      </x:c>
      <x:c r="P235" s="96" t="n">
        <x:f>IFERROR(J235/I235,0)</x:f>
        <x:v>0.42857142857142855</x:v>
      </x:c>
      <x:c r="Q235" s="96" t="n">
        <x:f>IFERROR(L235/J235,0)</x:f>
        <x:v>0.1111111111111111</x:v>
      </x:c>
      <x:c r="R235" s="96" t="n">
        <x:f>IFERROR(L235/F235,0)</x:f>
        <x:v>0.02702702702702703</x:v>
      </x:c>
      <x:c r="S235" s="95" t="n">
        <x:v>144</x:v>
      </x:c>
      <x:c r="T235" s="94" t="str">
        <x:v>末次点击7天</x:v>
      </x:c>
    </x:row>
    <x:row r="236">
      <x:c r="A236" s="92" t="str">
        <x:v>PROC-0235</x:v>
      </x:c>
      <x:c r="B236" s="93" t="n">
        <x:v>46065</x:v>
      </x:c>
      <x:c r="C236" s="94" t="str">
        <x:v>Google Ads</x:v>
      </x:c>
      <x:c r="D236" s="94" t="str">
        <x:v>美国</x:v>
      </x:c>
      <x:c r="E236" s="94" t="str">
        <x:v>购物广告</x:v>
      </x:c>
      <x:c r="F236" s="95" t="n">
        <x:v>47</x:v>
      </x:c>
      <x:c r="G236" s="95" t="n">
        <x:v>42</x:v>
      </x:c>
      <x:c r="H236" s="95" t="n">
        <x:v>29</x:v>
      </x:c>
      <x:c r="I236" s="95" t="n">
        <x:v>27</x:v>
      </x:c>
      <x:c r="J236" s="95" t="n">
        <x:v>11</x:v>
      </x:c>
      <x:c r="K236" s="95" t="n">
        <x:v>3</x:v>
      </x:c>
      <x:c r="L236" s="95" t="n">
        <x:v>1</x:v>
      </x:c>
      <x:c r="M236" s="96" t="n">
        <x:f>IFERROR(G236/F236,0)</x:f>
        <x:v>0.8936170212765957</x:v>
      </x:c>
      <x:c r="N236" s="96" t="n">
        <x:f>IFERROR(H236/G236,0)</x:f>
        <x:v>0.6904761904761905</x:v>
      </x:c>
      <x:c r="O236" s="96" t="n">
        <x:f>IFERROR(I236/H236,0)</x:f>
        <x:v>0.9310344827586207</x:v>
      </x:c>
      <x:c r="P236" s="96" t="n">
        <x:f>IFERROR(J236/I236,0)</x:f>
        <x:v>0.4074074074074074</x:v>
      </x:c>
      <x:c r="Q236" s="96" t="n">
        <x:f>IFERROR(L236/J236,0)</x:f>
        <x:v>0.09090909090909091</x:v>
      </x:c>
      <x:c r="R236" s="96" t="n">
        <x:f>IFERROR(L236/F236,0)</x:f>
        <x:v>0.02127659574468085</x:v>
      </x:c>
      <x:c r="S236" s="95" t="n">
        <x:v>43</x:v>
      </x:c>
      <x:c r="T236" s="94" t="str">
        <x:v>末次点击7天</x:v>
      </x:c>
    </x:row>
    <x:row r="237">
      <x:c r="A237" s="92" t="str">
        <x:v>PROC-0236</x:v>
      </x:c>
      <x:c r="B237" s="93" t="n">
        <x:v>46065</x:v>
      </x:c>
      <x:c r="C237" s="94" t="str">
        <x:v>Google Ads</x:v>
      </x:c>
      <x:c r="D237" s="94" t="str">
        <x:v>德国</x:v>
      </x:c>
      <x:c r="E237" s="94" t="str">
        <x:v>品牌搜索</x:v>
      </x:c>
      <x:c r="F237" s="95" t="n">
        <x:v>71</x:v>
      </x:c>
      <x:c r="G237" s="95" t="n">
        <x:v>65</x:v>
      </x:c>
      <x:c r="H237" s="95" t="n">
        <x:v>48</x:v>
      </x:c>
      <x:c r="I237" s="95" t="n">
        <x:v>41</x:v>
      </x:c>
      <x:c r="J237" s="95" t="n">
        <x:v>18</x:v>
      </x:c>
      <x:c r="K237" s="95" t="n">
        <x:v>4</x:v>
      </x:c>
      <x:c r="L237" s="95" t="n">
        <x:v>2</x:v>
      </x:c>
      <x:c r="M237" s="96" t="n">
        <x:f>IFERROR(G237/F237,0)</x:f>
        <x:v>0.9154929577464789</x:v>
      </x:c>
      <x:c r="N237" s="96" t="n">
        <x:f>IFERROR(H237/G237,0)</x:f>
        <x:v>0.7384615384615385</x:v>
      </x:c>
      <x:c r="O237" s="96" t="n">
        <x:f>IFERROR(I237/H237,0)</x:f>
        <x:v>0.8541666666666666</x:v>
      </x:c>
      <x:c r="P237" s="96" t="n">
        <x:f>IFERROR(J237/I237,0)</x:f>
        <x:v>0.43902439024390244</x:v>
      </x:c>
      <x:c r="Q237" s="96" t="n">
        <x:f>IFERROR(L237/J237,0)</x:f>
        <x:v>0.1111111111111111</x:v>
      </x:c>
      <x:c r="R237" s="96" t="n">
        <x:f>IFERROR(L237/F237,0)</x:f>
        <x:v>0.028169014084507043</x:v>
      </x:c>
      <x:c r="S237" s="95" t="n">
        <x:v>54</x:v>
      </x:c>
      <x:c r="T237" s="94" t="str">
        <x:v>末次点击7天</x:v>
      </x:c>
    </x:row>
    <x:row r="238">
      <x:c r="A238" s="92" t="str">
        <x:v>PROC-0237</x:v>
      </x:c>
      <x:c r="B238" s="93" t="n">
        <x:v>46065</x:v>
      </x:c>
      <x:c r="C238" s="94" t="str">
        <x:v>Google Ads</x:v>
      </x:c>
      <x:c r="D238" s="94" t="str">
        <x:v>德国</x:v>
      </x:c>
      <x:c r="E238" s="94" t="str">
        <x:v>竞品搜索</x:v>
      </x:c>
      <x:c r="F238" s="95" t="n">
        <x:v>21</x:v>
      </x:c>
      <x:c r="G238" s="95" t="n">
        <x:v>19</x:v>
      </x:c>
      <x:c r="H238" s="95" t="n">
        <x:v>13</x:v>
      </x:c>
      <x:c r="I238" s="95" t="n">
        <x:v>11</x:v>
      </x:c>
      <x:c r="J238" s="95" t="n">
        <x:v>4</x:v>
      </x:c>
      <x:c r="K238" s="95" t="n">
        <x:v>1</x:v>
      </x:c>
      <x:c r="L238" s="95" t="n">
        <x:v>0</x:v>
      </x:c>
      <x:c r="M238" s="96" t="n">
        <x:f>IFERROR(G238/F238,0)</x:f>
        <x:v>0.9047619047619048</x:v>
      </x:c>
      <x:c r="N238" s="96" t="n">
        <x:f>IFERROR(H238/G238,0)</x:f>
        <x:v>0.6842105263157895</x:v>
      </x:c>
      <x:c r="O238" s="96" t="n">
        <x:f>IFERROR(I238/H238,0)</x:f>
        <x:v>0.8461538461538461</x:v>
      </x:c>
      <x:c r="P238" s="96" t="n">
        <x:f>IFERROR(J238/I238,0)</x:f>
        <x:v>0.36363636363636365</x:v>
      </x:c>
      <x:c r="Q238" s="96" t="n">
        <x:f>IFERROR(L238/J238,0)</x:f>
        <x:v>0</x:v>
      </x:c>
      <x:c r="R238" s="96" t="n">
        <x:f>IFERROR(L238/F238,0)</x:f>
        <x:v>0</x:v>
      </x:c>
      <x:c r="S238" s="95" t="n">
        <x:v>53</x:v>
      </x:c>
      <x:c r="T238" s="94" t="str">
        <x:v>末次点击7天</x:v>
      </x:c>
    </x:row>
    <x:row r="239">
      <x:c r="A239" s="92" t="str">
        <x:v>PROC-0238</x:v>
      </x:c>
      <x:c r="B239" s="93" t="n">
        <x:v>46065</x:v>
      </x:c>
      <x:c r="C239" s="94" t="str">
        <x:v>Google Ads</x:v>
      </x:c>
      <x:c r="D239" s="94" t="str">
        <x:v>德国</x:v>
      </x:c>
      <x:c r="E239" s="94" t="str">
        <x:v>购物广告</x:v>
      </x:c>
      <x:c r="F239" s="95" t="n">
        <x:v>60</x:v>
      </x:c>
      <x:c r="G239" s="95" t="n">
        <x:v>57</x:v>
      </x:c>
      <x:c r="H239" s="95" t="n">
        <x:v>44</x:v>
      </x:c>
      <x:c r="I239" s="95" t="n">
        <x:v>40</x:v>
      </x:c>
      <x:c r="J239" s="95" t="n">
        <x:v>17</x:v>
      </x:c>
      <x:c r="K239" s="95" t="n">
        <x:v>5</x:v>
      </x:c>
      <x:c r="L239" s="95" t="n">
        <x:v>2</x:v>
      </x:c>
      <x:c r="M239" s="96" t="n">
        <x:f>IFERROR(G239/F239,0)</x:f>
        <x:v>0.95</x:v>
      </x:c>
      <x:c r="N239" s="96" t="n">
        <x:f>IFERROR(H239/G239,0)</x:f>
        <x:v>0.7719298245614035</x:v>
      </x:c>
      <x:c r="O239" s="96" t="n">
        <x:f>IFERROR(I239/H239,0)</x:f>
        <x:v>0.9090909090909091</x:v>
      </x:c>
      <x:c r="P239" s="96" t="n">
        <x:f>IFERROR(J239/I239,0)</x:f>
        <x:v>0.425</x:v>
      </x:c>
      <x:c r="Q239" s="96" t="n">
        <x:f>IFERROR(L239/J239,0)</x:f>
        <x:v>0.11764705882352941</x:v>
      </x:c>
      <x:c r="R239" s="96" t="n">
        <x:f>IFERROR(L239/F239,0)</x:f>
        <x:v>0.03333333333333333</x:v>
      </x:c>
      <x:c r="S239" s="95" t="n">
        <x:v>127</x:v>
      </x:c>
      <x:c r="T239" s="94" t="str">
        <x:v>末次点击7天</x:v>
      </x:c>
    </x:row>
    <x:row r="240">
      <x:c r="A240" s="92" t="str">
        <x:v>PROC-0239</x:v>
      </x:c>
      <x:c r="B240" s="93" t="n">
        <x:v>46066</x:v>
      </x:c>
      <x:c r="C240" s="94" t="str">
        <x:v>Google Ads</x:v>
      </x:c>
      <x:c r="D240" s="94" t="str">
        <x:v>英国</x:v>
      </x:c>
      <x:c r="E240" s="94" t="str">
        <x:v>通用搜索</x:v>
      </x:c>
      <x:c r="F240" s="95" t="n">
        <x:v>36</x:v>
      </x:c>
      <x:c r="G240" s="95" t="n">
        <x:v>32</x:v>
      </x:c>
      <x:c r="H240" s="95" t="n">
        <x:v>23</x:v>
      </x:c>
      <x:c r="I240" s="95" t="n">
        <x:v>20</x:v>
      </x:c>
      <x:c r="J240" s="95" t="n">
        <x:v>8</x:v>
      </x:c>
      <x:c r="K240" s="95" t="n">
        <x:v>3</x:v>
      </x:c>
      <x:c r="L240" s="95" t="n">
        <x:v>1</x:v>
      </x:c>
      <x:c r="M240" s="96" t="n">
        <x:f>IFERROR(G240/F240,0)</x:f>
        <x:v>0.8888888888888888</x:v>
      </x:c>
      <x:c r="N240" s="96" t="n">
        <x:f>IFERROR(H240/G240,0)</x:f>
        <x:v>0.71875</x:v>
      </x:c>
      <x:c r="O240" s="96" t="n">
        <x:f>IFERROR(I240/H240,0)</x:f>
        <x:v>0.8695652173913043</x:v>
      </x:c>
      <x:c r="P240" s="96" t="n">
        <x:f>IFERROR(J240/I240,0)</x:f>
        <x:v>0.4</x:v>
      </x:c>
      <x:c r="Q240" s="96" t="n">
        <x:f>IFERROR(L240/J240,0)</x:f>
        <x:v>0.125</x:v>
      </x:c>
      <x:c r="R240" s="96" t="n">
        <x:f>IFERROR(L240/F240,0)</x:f>
        <x:v>0.027777777777777776</x:v>
      </x:c>
      <x:c r="S240" s="95" t="n">
        <x:v>105</x:v>
      </x:c>
      <x:c r="T240" s="94" t="str">
        <x:v>末次点击7天</x:v>
      </x:c>
    </x:row>
    <x:row r="241">
      <x:c r="A241" s="92" t="str">
        <x:v>PROC-0240</x:v>
      </x:c>
      <x:c r="B241" s="93" t="n">
        <x:v>46066</x:v>
      </x:c>
      <x:c r="C241" s="94" t="str">
        <x:v>Google Ads</x:v>
      </x:c>
      <x:c r="D241" s="94" t="str">
        <x:v>美国</x:v>
      </x:c>
      <x:c r="E241" s="94" t="str">
        <x:v>购物广告</x:v>
      </x:c>
      <x:c r="F241" s="95" t="n">
        <x:v>74</x:v>
      </x:c>
      <x:c r="G241" s="95" t="n">
        <x:v>68</x:v>
      </x:c>
      <x:c r="H241" s="95" t="n">
        <x:v>52</x:v>
      </x:c>
      <x:c r="I241" s="95" t="n">
        <x:v>46</x:v>
      </x:c>
      <x:c r="J241" s="95" t="n">
        <x:v>19</x:v>
      </x:c>
      <x:c r="K241" s="95" t="n">
        <x:v>4</x:v>
      </x:c>
      <x:c r="L241" s="95" t="n">
        <x:v>2</x:v>
      </x:c>
      <x:c r="M241" s="96" t="n">
        <x:f>IFERROR(G241/F241,0)</x:f>
        <x:v>0.918918918918919</x:v>
      </x:c>
      <x:c r="N241" s="96" t="n">
        <x:f>IFERROR(H241/G241,0)</x:f>
        <x:v>0.7647058823529411</x:v>
      </x:c>
      <x:c r="O241" s="96" t="n">
        <x:f>IFERROR(I241/H241,0)</x:f>
        <x:v>0.8846153846153846</x:v>
      </x:c>
      <x:c r="P241" s="96" t="n">
        <x:f>IFERROR(J241/I241,0)</x:f>
        <x:v>0.41304347826086957</x:v>
      </x:c>
      <x:c r="Q241" s="96" t="n">
        <x:f>IFERROR(L241/J241,0)</x:f>
        <x:v>0.10526315789473684</x:v>
      </x:c>
      <x:c r="R241" s="96" t="n">
        <x:f>IFERROR(L241/F241,0)</x:f>
        <x:v>0.02702702702702703</x:v>
      </x:c>
      <x:c r="S241" s="95" t="n">
        <x:v>145</x:v>
      </x:c>
      <x:c r="T241" s="94" t="str">
        <x:v>末次点击7天</x:v>
      </x:c>
    </x:row>
    <x:row r="242">
      <x:c r="A242" s="92" t="str">
        <x:v>PROC-0241</x:v>
      </x:c>
      <x:c r="B242" s="93" t="n">
        <x:v>46066</x:v>
      </x:c>
      <x:c r="C242" s="94" t="str">
        <x:v>Google Ads</x:v>
      </x:c>
      <x:c r="D242" s="94" t="str">
        <x:v>美国</x:v>
      </x:c>
      <x:c r="E242" s="94" t="str">
        <x:v>购物广告</x:v>
      </x:c>
      <x:c r="F242" s="95" t="n">
        <x:v>39</x:v>
      </x:c>
      <x:c r="G242" s="95" t="n">
        <x:v>35</x:v>
      </x:c>
      <x:c r="H242" s="95" t="n">
        <x:v>26</x:v>
      </x:c>
      <x:c r="I242" s="95" t="n">
        <x:v>22</x:v>
      </x:c>
      <x:c r="J242" s="95" t="n">
        <x:v>9</x:v>
      </x:c>
      <x:c r="K242" s="95" t="n">
        <x:v>3</x:v>
      </x:c>
      <x:c r="L242" s="95" t="n">
        <x:v>1</x:v>
      </x:c>
      <x:c r="M242" s="96" t="n">
        <x:f>IFERROR(G242/F242,0)</x:f>
        <x:v>0.8974358974358975</x:v>
      </x:c>
      <x:c r="N242" s="96" t="n">
        <x:f>IFERROR(H242/G242,0)</x:f>
        <x:v>0.7428571428571429</x:v>
      </x:c>
      <x:c r="O242" s="96" t="n">
        <x:f>IFERROR(I242/H242,0)</x:f>
        <x:v>0.8461538461538461</x:v>
      </x:c>
      <x:c r="P242" s="96" t="n">
        <x:f>IFERROR(J242/I242,0)</x:f>
        <x:v>0.4090909090909091</x:v>
      </x:c>
      <x:c r="Q242" s="96" t="n">
        <x:f>IFERROR(L242/J242,0)</x:f>
        <x:v>0.1111111111111111</x:v>
      </x:c>
      <x:c r="R242" s="96" t="n">
        <x:f>IFERROR(L242/F242,0)</x:f>
        <x:v>0.02564102564102564</x:v>
      </x:c>
      <x:c r="S242" s="95" t="n">
        <x:v>121</x:v>
      </x:c>
      <x:c r="T242" s="94" t="str">
        <x:v>末次点击7天</x:v>
      </x:c>
    </x:row>
    <x:row r="243">
      <x:c r="A243" s="92" t="str">
        <x:v>PROC-0242</x:v>
      </x:c>
      <x:c r="B243" s="93" t="n">
        <x:v>46066</x:v>
      </x:c>
      <x:c r="C243" s="94" t="str">
        <x:v>Microsoft Ads</x:v>
      </x:c>
      <x:c r="D243" s="94" t="str">
        <x:v>美国</x:v>
      </x:c>
      <x:c r="E243" s="94" t="str">
        <x:v>购物广告</x:v>
      </x:c>
      <x:c r="F243" s="95" t="n">
        <x:v>41</x:v>
      </x:c>
      <x:c r="G243" s="95" t="n">
        <x:v>37</x:v>
      </x:c>
      <x:c r="H243" s="95" t="n">
        <x:v>26</x:v>
      </x:c>
      <x:c r="I243" s="95" t="n">
        <x:v>23</x:v>
      </x:c>
      <x:c r="J243" s="95" t="n">
        <x:v>10</x:v>
      </x:c>
      <x:c r="K243" s="95" t="n">
        <x:v>3</x:v>
      </x:c>
      <x:c r="L243" s="95" t="n">
        <x:v>1</x:v>
      </x:c>
      <x:c r="M243" s="96" t="n">
        <x:f>IFERROR(G243/F243,0)</x:f>
        <x:v>0.9024390243902439</x:v>
      </x:c>
      <x:c r="N243" s="96" t="n">
        <x:f>IFERROR(H243/G243,0)</x:f>
        <x:v>0.7027027027027027</x:v>
      </x:c>
      <x:c r="O243" s="96" t="n">
        <x:f>IFERROR(I243/H243,0)</x:f>
        <x:v>0.8846153846153846</x:v>
      </x:c>
      <x:c r="P243" s="96" t="n">
        <x:f>IFERROR(J243/I243,0)</x:f>
        <x:v>0.43478260869565216</x:v>
      </x:c>
      <x:c r="Q243" s="96" t="n">
        <x:f>IFERROR(L243/J243,0)</x:f>
        <x:v>0.1</x:v>
      </x:c>
      <x:c r="R243" s="96" t="n">
        <x:f>IFERROR(L243/F243,0)</x:f>
        <x:v>0.024390243902439025</x:v>
      </x:c>
      <x:c r="S243" s="95" t="n">
        <x:v>144</x:v>
      </x:c>
      <x:c r="T243" s="94" t="str">
        <x:v>末次点击7天</x:v>
      </x:c>
    </x:row>
    <x:row r="244">
      <x:c r="A244" s="92" t="str">
        <x:v>PROC-0243</x:v>
      </x:c>
      <x:c r="B244" s="93" t="n">
        <x:v>46066</x:v>
      </x:c>
      <x:c r="C244" s="94" t="str">
        <x:v>Google Ads</x:v>
      </x:c>
      <x:c r="D244" s="94" t="str">
        <x:v>美国</x:v>
      </x:c>
      <x:c r="E244" s="94" t="str">
        <x:v>竞品搜索</x:v>
      </x:c>
      <x:c r="F244" s="95" t="n">
        <x:v>32</x:v>
      </x:c>
      <x:c r="G244" s="95" t="n">
        <x:v>29</x:v>
      </x:c>
      <x:c r="H244" s="95" t="n">
        <x:v>19</x:v>
      </x:c>
      <x:c r="I244" s="95" t="n">
        <x:v>16</x:v>
      </x:c>
      <x:c r="J244" s="95" t="n">
        <x:v>7</x:v>
      </x:c>
      <x:c r="K244" s="95" t="n">
        <x:v>2</x:v>
      </x:c>
      <x:c r="L244" s="95" t="n">
        <x:v>1</x:v>
      </x:c>
      <x:c r="M244" s="96" t="n">
        <x:f>IFERROR(G244/F244,0)</x:f>
        <x:v>0.90625</x:v>
      </x:c>
      <x:c r="N244" s="96" t="n">
        <x:f>IFERROR(H244/G244,0)</x:f>
        <x:v>0.6551724137931034</x:v>
      </x:c>
      <x:c r="O244" s="96" t="n">
        <x:f>IFERROR(I244/H244,0)</x:f>
        <x:v>0.8421052631578947</x:v>
      </x:c>
      <x:c r="P244" s="96" t="n">
        <x:f>IFERROR(J244/I244,0)</x:f>
        <x:v>0.4375</x:v>
      </x:c>
      <x:c r="Q244" s="96" t="n">
        <x:f>IFERROR(L244/J244,0)</x:f>
        <x:v>0.14285714285714285</x:v>
      </x:c>
      <x:c r="R244" s="96" t="n">
        <x:f>IFERROR(L244/F244,0)</x:f>
        <x:v>0.03125</x:v>
      </x:c>
      <x:c r="S244" s="95" t="n">
        <x:v>79</x:v>
      </x:c>
      <x:c r="T244" s="94" t="str">
        <x:v>末次点击7天</x:v>
      </x:c>
    </x:row>
    <x:row r="245">
      <x:c r="A245" s="92" t="str">
        <x:v>PROC-0244</x:v>
      </x:c>
      <x:c r="B245" s="93" t="n">
        <x:v>46066</x:v>
      </x:c>
      <x:c r="C245" s="94" t="str">
        <x:v>Microsoft Ads</x:v>
      </x:c>
      <x:c r="D245" s="94" t="str">
        <x:v>英国</x:v>
      </x:c>
      <x:c r="E245" s="94" t="str">
        <x:v>通用搜索</x:v>
      </x:c>
      <x:c r="F245" s="95" t="n">
        <x:v>46</x:v>
      </x:c>
      <x:c r="G245" s="95" t="n">
        <x:v>41</x:v>
      </x:c>
      <x:c r="H245" s="95" t="n">
        <x:v>29</x:v>
      </x:c>
      <x:c r="I245" s="95" t="n">
        <x:v>25</x:v>
      </x:c>
      <x:c r="J245" s="95" t="n">
        <x:v>10</x:v>
      </x:c>
      <x:c r="K245" s="95" t="n">
        <x:v>3</x:v>
      </x:c>
      <x:c r="L245" s="95" t="n">
        <x:v>1</x:v>
      </x:c>
      <x:c r="M245" s="96" t="n">
        <x:f>IFERROR(G245/F245,0)</x:f>
        <x:v>0.8913043478260869</x:v>
      </x:c>
      <x:c r="N245" s="96" t="n">
        <x:f>IFERROR(H245/G245,0)</x:f>
        <x:v>0.7073170731707317</x:v>
      </x:c>
      <x:c r="O245" s="96" t="n">
        <x:f>IFERROR(I245/H245,0)</x:f>
        <x:v>0.8620689655172413</x:v>
      </x:c>
      <x:c r="P245" s="96" t="n">
        <x:f>IFERROR(J245/I245,0)</x:f>
        <x:v>0.4</x:v>
      </x:c>
      <x:c r="Q245" s="96" t="n">
        <x:f>IFERROR(L245/J245,0)</x:f>
        <x:v>0.1</x:v>
      </x:c>
      <x:c r="R245" s="96" t="n">
        <x:f>IFERROR(L245/F245,0)</x:f>
        <x:v>0.021739130434782608</x:v>
      </x:c>
      <x:c r="S245" s="95" t="n">
        <x:v>127</x:v>
      </x:c>
      <x:c r="T245" s="94" t="str">
        <x:v>末次点击7天</x:v>
      </x:c>
    </x:row>
    <x:row r="246">
      <x:c r="A246" s="92" t="str">
        <x:v>PROC-0245</x:v>
      </x:c>
      <x:c r="B246" s="93" t="n">
        <x:v>46067</x:v>
      </x:c>
      <x:c r="C246" s="94" t="str">
        <x:v>Google Ads</x:v>
      </x:c>
      <x:c r="D246" s="94" t="str">
        <x:v>英国</x:v>
      </x:c>
      <x:c r="E246" s="94" t="str">
        <x:v>通用搜索</x:v>
      </x:c>
      <x:c r="F246" s="95" t="n">
        <x:v>51</x:v>
      </x:c>
      <x:c r="G246" s="95" t="n">
        <x:v>49</x:v>
      </x:c>
      <x:c r="H246" s="95" t="n">
        <x:v>32</x:v>
      </x:c>
      <x:c r="I246" s="95" t="n">
        <x:v>26</x:v>
      </x:c>
      <x:c r="J246" s="95" t="n">
        <x:v>10</x:v>
      </x:c>
      <x:c r="K246" s="95" t="n">
        <x:v>3</x:v>
      </x:c>
      <x:c r="L246" s="95" t="n">
        <x:v>1</x:v>
      </x:c>
      <x:c r="M246" s="96" t="n">
        <x:f>IFERROR(G246/F246,0)</x:f>
        <x:v>0.9607843137254902</x:v>
      </x:c>
      <x:c r="N246" s="96" t="n">
        <x:f>IFERROR(H246/G246,0)</x:f>
        <x:v>0.6530612244897959</x:v>
      </x:c>
      <x:c r="O246" s="96" t="n">
        <x:f>IFERROR(I246/H246,0)</x:f>
        <x:v>0.8125</x:v>
      </x:c>
      <x:c r="P246" s="96" t="n">
        <x:f>IFERROR(J246/I246,0)</x:f>
        <x:v>0.38461538461538464</x:v>
      </x:c>
      <x:c r="Q246" s="96" t="n">
        <x:f>IFERROR(L246/J246,0)</x:f>
        <x:v>0.1</x:v>
      </x:c>
      <x:c r="R246" s="96" t="n">
        <x:f>IFERROR(L246/F246,0)</x:f>
        <x:v>0.0196078431372549</x:v>
      </x:c>
      <x:c r="S246" s="95" t="n">
        <x:v>84</x:v>
      </x:c>
      <x:c r="T246" s="94" t="str">
        <x:v>末次点击7天</x:v>
      </x:c>
    </x:row>
    <x:row r="247">
      <x:c r="A247" s="92" t="str">
        <x:v>PROC-0246</x:v>
      </x:c>
      <x:c r="B247" s="93" t="n">
        <x:v>46067</x:v>
      </x:c>
      <x:c r="C247" s="94" t="str">
        <x:v>Google Ads</x:v>
      </x:c>
      <x:c r="D247" s="94" t="str">
        <x:v>美国</x:v>
      </x:c>
      <x:c r="E247" s="94" t="str">
        <x:v>品牌搜索</x:v>
      </x:c>
      <x:c r="F247" s="95" t="n">
        <x:v>81</x:v>
      </x:c>
      <x:c r="G247" s="95" t="n">
        <x:v>73</x:v>
      </x:c>
      <x:c r="H247" s="95" t="n">
        <x:v>52</x:v>
      </x:c>
      <x:c r="I247" s="95" t="n">
        <x:v>41</x:v>
      </x:c>
      <x:c r="J247" s="95" t="n">
        <x:v>19</x:v>
      </x:c>
      <x:c r="K247" s="95" t="n">
        <x:v>5</x:v>
      </x:c>
      <x:c r="L247" s="95" t="n">
        <x:v>2</x:v>
      </x:c>
      <x:c r="M247" s="96" t="n">
        <x:f>IFERROR(G247/F247,0)</x:f>
        <x:v>0.9012345679012346</x:v>
      </x:c>
      <x:c r="N247" s="96" t="n">
        <x:f>IFERROR(H247/G247,0)</x:f>
        <x:v>0.7123287671232876</x:v>
      </x:c>
      <x:c r="O247" s="96" t="n">
        <x:f>IFERROR(I247/H247,0)</x:f>
        <x:v>0.7884615384615384</x:v>
      </x:c>
      <x:c r="P247" s="96" t="n">
        <x:f>IFERROR(J247/I247,0)</x:f>
        <x:v>0.4634146341463415</x:v>
      </x:c>
      <x:c r="Q247" s="96" t="n">
        <x:f>IFERROR(L247/J247,0)</x:f>
        <x:v>0.10526315789473684</x:v>
      </x:c>
      <x:c r="R247" s="96" t="n">
        <x:f>IFERROR(L247/F247,0)</x:f>
        <x:v>0.024691358024691357</x:v>
      </x:c>
      <x:c r="S247" s="95" t="n">
        <x:v>111</x:v>
      </x:c>
      <x:c r="T247" s="94" t="str">
        <x:v>末次点击7天</x:v>
      </x:c>
    </x:row>
    <x:row r="248">
      <x:c r="A248" s="92" t="str">
        <x:v>PROC-0247</x:v>
      </x:c>
      <x:c r="B248" s="93" t="n">
        <x:v>46067</x:v>
      </x:c>
      <x:c r="C248" s="94" t="str">
        <x:v>Microsoft Ads</x:v>
      </x:c>
      <x:c r="D248" s="94" t="str">
        <x:v>美国</x:v>
      </x:c>
      <x:c r="E248" s="94" t="str">
        <x:v>品牌搜索</x:v>
      </x:c>
      <x:c r="F248" s="95" t="n">
        <x:v>68</x:v>
      </x:c>
      <x:c r="G248" s="95" t="n">
        <x:v>63</x:v>
      </x:c>
      <x:c r="H248" s="95" t="n">
        <x:v>46</x:v>
      </x:c>
      <x:c r="I248" s="95" t="n">
        <x:v>36</x:v>
      </x:c>
      <x:c r="J248" s="95" t="n">
        <x:v>17</x:v>
      </x:c>
      <x:c r="K248" s="95" t="n">
        <x:v>6</x:v>
      </x:c>
      <x:c r="L248" s="95" t="n">
        <x:v>2</x:v>
      </x:c>
      <x:c r="M248" s="96" t="n">
        <x:f>IFERROR(G248/F248,0)</x:f>
        <x:v>0.9264705882352942</x:v>
      </x:c>
      <x:c r="N248" s="96" t="n">
        <x:f>IFERROR(H248/G248,0)</x:f>
        <x:v>0.7301587301587301</x:v>
      </x:c>
      <x:c r="O248" s="96" t="n">
        <x:f>IFERROR(I248/H248,0)</x:f>
        <x:v>0.782608695652174</x:v>
      </x:c>
      <x:c r="P248" s="96" t="n">
        <x:f>IFERROR(J248/I248,0)</x:f>
        <x:v>0.4722222222222222</x:v>
      </x:c>
      <x:c r="Q248" s="96" t="n">
        <x:f>IFERROR(L248/J248,0)</x:f>
        <x:v>0.11764705882352941</x:v>
      </x:c>
      <x:c r="R248" s="96" t="n">
        <x:f>IFERROR(L248/F248,0)</x:f>
        <x:v>0.029411764705882353</x:v>
      </x:c>
      <x:c r="S248" s="95" t="n">
        <x:v>139</x:v>
      </x:c>
      <x:c r="T248" s="94" t="str">
        <x:v>末次点击7天</x:v>
      </x:c>
    </x:row>
    <x:row r="249">
      <x:c r="A249" s="92" t="str">
        <x:v>PROC-0248</x:v>
      </x:c>
      <x:c r="B249" s="93" t="n">
        <x:v>46067</x:v>
      </x:c>
      <x:c r="C249" s="94" t="str">
        <x:v>Google Ads</x:v>
      </x:c>
      <x:c r="D249" s="94" t="str">
        <x:v>德国</x:v>
      </x:c>
      <x:c r="E249" s="94" t="str">
        <x:v>通用搜索</x:v>
      </x:c>
      <x:c r="F249" s="95" t="n">
        <x:v>34</x:v>
      </x:c>
      <x:c r="G249" s="95" t="n">
        <x:v>32</x:v>
      </x:c>
      <x:c r="H249" s="95" t="n">
        <x:v>22</x:v>
      </x:c>
      <x:c r="I249" s="95" t="n">
        <x:v>19</x:v>
      </x:c>
      <x:c r="J249" s="95" t="n">
        <x:v>9</x:v>
      </x:c>
      <x:c r="K249" s="95" t="n">
        <x:v>2</x:v>
      </x:c>
      <x:c r="L249" s="95" t="n">
        <x:v>1</x:v>
      </x:c>
      <x:c r="M249" s="96" t="n">
        <x:f>IFERROR(G249/F249,0)</x:f>
        <x:v>0.9411764705882353</x:v>
      </x:c>
      <x:c r="N249" s="96" t="n">
        <x:f>IFERROR(H249/G249,0)</x:f>
        <x:v>0.6875</x:v>
      </x:c>
      <x:c r="O249" s="96" t="n">
        <x:f>IFERROR(I249/H249,0)</x:f>
        <x:v>0.8636363636363636</x:v>
      </x:c>
      <x:c r="P249" s="96" t="n">
        <x:f>IFERROR(J249/I249,0)</x:f>
        <x:v>0.47368421052631576</x:v>
      </x:c>
      <x:c r="Q249" s="96" t="n">
        <x:f>IFERROR(L249/J249,0)</x:f>
        <x:v>0.1111111111111111</x:v>
      </x:c>
      <x:c r="R249" s="96" t="n">
        <x:f>IFERROR(L249/F249,0)</x:f>
        <x:v>0.029411764705882353</x:v>
      </x:c>
      <x:c r="S249" s="95" t="n">
        <x:v>46</x:v>
      </x:c>
      <x:c r="T249" s="94" t="str">
        <x:v>末次点击7天</x:v>
      </x:c>
    </x:row>
    <x:row r="250">
      <x:c r="A250" s="92" t="str">
        <x:v>PROC-0249</x:v>
      </x:c>
      <x:c r="B250" s="93" t="n">
        <x:v>46067</x:v>
      </x:c>
      <x:c r="C250" s="94" t="str">
        <x:v>Microsoft Ads</x:v>
      </x:c>
      <x:c r="D250" s="94" t="str">
        <x:v>德国</x:v>
      </x:c>
      <x:c r="E250" s="94" t="str">
        <x:v>品牌搜索</x:v>
      </x:c>
      <x:c r="F250" s="95" t="n">
        <x:v>75</x:v>
      </x:c>
      <x:c r="G250" s="95" t="n">
        <x:v>69</x:v>
      </x:c>
      <x:c r="H250" s="95" t="n">
        <x:v>45</x:v>
      </x:c>
      <x:c r="I250" s="95" t="n">
        <x:v>36</x:v>
      </x:c>
      <x:c r="J250" s="95" t="n">
        <x:v>18</x:v>
      </x:c>
      <x:c r="K250" s="95" t="n">
        <x:v>6</x:v>
      </x:c>
      <x:c r="L250" s="95" t="n">
        <x:v>2</x:v>
      </x:c>
      <x:c r="M250" s="96" t="n">
        <x:f>IFERROR(G250/F250,0)</x:f>
        <x:v>0.92</x:v>
      </x:c>
      <x:c r="N250" s="96" t="n">
        <x:f>IFERROR(H250/G250,0)</x:f>
        <x:v>0.6521739130434783</x:v>
      </x:c>
      <x:c r="O250" s="96" t="n">
        <x:f>IFERROR(I250/H250,0)</x:f>
        <x:v>0.8</x:v>
      </x:c>
      <x:c r="P250" s="96" t="n">
        <x:f>IFERROR(J250/I250,0)</x:f>
        <x:v>0.5</x:v>
      </x:c>
      <x:c r="Q250" s="96" t="n">
        <x:f>IFERROR(L250/J250,0)</x:f>
        <x:v>0.1111111111111111</x:v>
      </x:c>
      <x:c r="R250" s="96" t="n">
        <x:f>IFERROR(L250/F250,0)</x:f>
        <x:v>0.02666666666666667</x:v>
      </x:c>
      <x:c r="S250" s="95" t="n">
        <x:v>76</x:v>
      </x:c>
      <x:c r="T250" s="94" t="str">
        <x:v>末次点击7天</x:v>
      </x:c>
    </x:row>
    <x:row r="251">
      <x:c r="A251" s="92" t="str">
        <x:v>PROC-0250</x:v>
      </x:c>
      <x:c r="B251" s="93" t="n">
        <x:v>46068</x:v>
      </x:c>
      <x:c r="C251" s="94" t="str">
        <x:v>Google Ads</x:v>
      </x:c>
      <x:c r="D251" s="94" t="str">
        <x:v>美国</x:v>
      </x:c>
      <x:c r="E251" s="94" t="str">
        <x:v>购物广告</x:v>
      </x:c>
      <x:c r="F251" s="95" t="n">
        <x:v>60</x:v>
      </x:c>
      <x:c r="G251" s="95" t="n">
        <x:v>54</x:v>
      </x:c>
      <x:c r="H251" s="95" t="n">
        <x:v>37</x:v>
      </x:c>
      <x:c r="I251" s="95" t="n">
        <x:v>33</x:v>
      </x:c>
      <x:c r="J251" s="95" t="n">
        <x:v>14</x:v>
      </x:c>
      <x:c r="K251" s="95" t="n">
        <x:v>4</x:v>
      </x:c>
      <x:c r="L251" s="95" t="n">
        <x:v>1</x:v>
      </x:c>
      <x:c r="M251" s="96" t="n">
        <x:f>IFERROR(G251/F251,0)</x:f>
        <x:v>0.9</x:v>
      </x:c>
      <x:c r="N251" s="96" t="n">
        <x:f>IFERROR(H251/G251,0)</x:f>
        <x:v>0.6851851851851852</x:v>
      </x:c>
      <x:c r="O251" s="96" t="n">
        <x:f>IFERROR(I251/H251,0)</x:f>
        <x:v>0.8918918918918919</x:v>
      </x:c>
      <x:c r="P251" s="96" t="n">
        <x:f>IFERROR(J251/I251,0)</x:f>
        <x:v>0.42424242424242425</x:v>
      </x:c>
      <x:c r="Q251" s="96" t="n">
        <x:f>IFERROR(L251/J251,0)</x:f>
        <x:v>0.07142857142857142</x:v>
      </x:c>
      <x:c r="R251" s="96" t="n">
        <x:f>IFERROR(L251/F251,0)</x:f>
        <x:v>0.016666666666666666</x:v>
      </x:c>
      <x:c r="S251" s="95" t="n">
        <x:v>133</x:v>
      </x:c>
      <x:c r="T251" s="94" t="str">
        <x:v>末次点击7天</x:v>
      </x:c>
    </x:row>
    <x:row r="252">
      <x:c r="A252" s="92" t="str">
        <x:v>PROC-0251</x:v>
      </x:c>
      <x:c r="B252" s="93" t="n">
        <x:v>46068</x:v>
      </x:c>
      <x:c r="C252" s="94" t="str">
        <x:v>Google Ads</x:v>
      </x:c>
      <x:c r="D252" s="94" t="str">
        <x:v>日本</x:v>
      </x:c>
      <x:c r="E252" s="94" t="str">
        <x:v>通用搜索</x:v>
      </x:c>
      <x:c r="F252" s="95" t="n">
        <x:v>40</x:v>
      </x:c>
      <x:c r="G252" s="95" t="n">
        <x:v>38</x:v>
      </x:c>
      <x:c r="H252" s="95" t="n">
        <x:v>24</x:v>
      </x:c>
      <x:c r="I252" s="95" t="n">
        <x:v>20</x:v>
      </x:c>
      <x:c r="J252" s="95" t="n">
        <x:v>8</x:v>
      </x:c>
      <x:c r="K252" s="95" t="n">
        <x:v>2</x:v>
      </x:c>
      <x:c r="L252" s="95" t="n">
        <x:v>1</x:v>
      </x:c>
      <x:c r="M252" s="96" t="n">
        <x:f>IFERROR(G252/F252,0)</x:f>
        <x:v>0.95</x:v>
      </x:c>
      <x:c r="N252" s="96" t="n">
        <x:f>IFERROR(H252/G252,0)</x:f>
        <x:v>0.631578947368421</x:v>
      </x:c>
      <x:c r="O252" s="96" t="n">
        <x:f>IFERROR(I252/H252,0)</x:f>
        <x:v>0.8333333333333334</x:v>
      </x:c>
      <x:c r="P252" s="96" t="n">
        <x:f>IFERROR(J252/I252,0)</x:f>
        <x:v>0.4</x:v>
      </x:c>
      <x:c r="Q252" s="96" t="n">
        <x:f>IFERROR(L252/J252,0)</x:f>
        <x:v>0.125</x:v>
      </x:c>
      <x:c r="R252" s="96" t="n">
        <x:f>IFERROR(L252/F252,0)</x:f>
        <x:v>0.025</x:v>
      </x:c>
      <x:c r="S252" s="95" t="n">
        <x:v>121</x:v>
      </x:c>
      <x:c r="T252" s="94" t="str">
        <x:v>末次点击7天</x:v>
      </x:c>
    </x:row>
    <x:row r="253">
      <x:c r="A253" s="92" t="str">
        <x:v>PROC-0252</x:v>
      </x:c>
      <x:c r="B253" s="93" t="n">
        <x:v>46068</x:v>
      </x:c>
      <x:c r="C253" s="94" t="str">
        <x:v>Google Ads</x:v>
      </x:c>
      <x:c r="D253" s="94" t="str">
        <x:v>英国</x:v>
      </x:c>
      <x:c r="E253" s="94" t="str">
        <x:v>通用搜索</x:v>
      </x:c>
      <x:c r="F253" s="95" t="n">
        <x:v>56</x:v>
      </x:c>
      <x:c r="G253" s="95" t="n">
        <x:v>51</x:v>
      </x:c>
      <x:c r="H253" s="95" t="n">
        <x:v>37</x:v>
      </x:c>
      <x:c r="I253" s="95" t="n">
        <x:v>32</x:v>
      </x:c>
      <x:c r="J253" s="95" t="n">
        <x:v>13</x:v>
      </x:c>
      <x:c r="K253" s="95" t="n">
        <x:v>3</x:v>
      </x:c>
      <x:c r="L253" s="95" t="n">
        <x:v>1</x:v>
      </x:c>
      <x:c r="M253" s="96" t="n">
        <x:f>IFERROR(G253/F253,0)</x:f>
        <x:v>0.9107142857142857</x:v>
      </x:c>
      <x:c r="N253" s="96" t="n">
        <x:f>IFERROR(H253/G253,0)</x:f>
        <x:v>0.7254901960784313</x:v>
      </x:c>
      <x:c r="O253" s="96" t="n">
        <x:f>IFERROR(I253/H253,0)</x:f>
        <x:v>0.8648648648648649</x:v>
      </x:c>
      <x:c r="P253" s="96" t="n">
        <x:f>IFERROR(J253/I253,0)</x:f>
        <x:v>0.40625</x:v>
      </x:c>
      <x:c r="Q253" s="96" t="n">
        <x:f>IFERROR(L253/J253,0)</x:f>
        <x:v>0.07692307692307693</x:v>
      </x:c>
      <x:c r="R253" s="96" t="n">
        <x:f>IFERROR(L253/F253,0)</x:f>
        <x:v>0.017857142857142856</x:v>
      </x:c>
      <x:c r="S253" s="95" t="n">
        <x:v>67</x:v>
      </x:c>
      <x:c r="T253" s="94" t="str">
        <x:v>末次点击7天</x:v>
      </x:c>
    </x:row>
    <x:row r="254">
      <x:c r="A254" s="92" t="str">
        <x:v>PROC-0253</x:v>
      </x:c>
      <x:c r="B254" s="93" t="n">
        <x:v>46068</x:v>
      </x:c>
      <x:c r="C254" s="94" t="str">
        <x:v>Google Ads</x:v>
      </x:c>
      <x:c r="D254" s="94" t="str">
        <x:v>德国</x:v>
      </x:c>
      <x:c r="E254" s="94" t="str">
        <x:v>通用搜索</x:v>
      </x:c>
      <x:c r="F254" s="95" t="n">
        <x:v>53</x:v>
      </x:c>
      <x:c r="G254" s="95" t="n">
        <x:v>51</x:v>
      </x:c>
      <x:c r="H254" s="95" t="n">
        <x:v>37</x:v>
      </x:c>
      <x:c r="I254" s="95" t="n">
        <x:v>32</x:v>
      </x:c>
      <x:c r="J254" s="95" t="n">
        <x:v>13</x:v>
      </x:c>
      <x:c r="K254" s="95" t="n">
        <x:v>4</x:v>
      </x:c>
      <x:c r="L254" s="95" t="n">
        <x:v>1</x:v>
      </x:c>
      <x:c r="M254" s="96" t="n">
        <x:f>IFERROR(G254/F254,0)</x:f>
        <x:v>0.9622641509433962</x:v>
      </x:c>
      <x:c r="N254" s="96" t="n">
        <x:f>IFERROR(H254/G254,0)</x:f>
        <x:v>0.7254901960784313</x:v>
      </x:c>
      <x:c r="O254" s="96" t="n">
        <x:f>IFERROR(I254/H254,0)</x:f>
        <x:v>0.8648648648648649</x:v>
      </x:c>
      <x:c r="P254" s="96" t="n">
        <x:f>IFERROR(J254/I254,0)</x:f>
        <x:v>0.40625</x:v>
      </x:c>
      <x:c r="Q254" s="96" t="n">
        <x:f>IFERROR(L254/J254,0)</x:f>
        <x:v>0.07692307692307693</x:v>
      </x:c>
      <x:c r="R254" s="96" t="n">
        <x:f>IFERROR(L254/F254,0)</x:f>
        <x:v>0.018867924528301886</x:v>
      </x:c>
      <x:c r="S254" s="95" t="n">
        <x:v>148</x:v>
      </x:c>
      <x:c r="T254" s="94" t="str">
        <x:v>末次点击7天</x:v>
      </x:c>
    </x:row>
    <x:row r="255">
      <x:c r="A255" s="92" t="str">
        <x:v>PROC-0254</x:v>
      </x:c>
      <x:c r="B255" s="93" t="n">
        <x:v>46068</x:v>
      </x:c>
      <x:c r="C255" s="94" t="str">
        <x:v>Microsoft Ads</x:v>
      </x:c>
      <x:c r="D255" s="94" t="str">
        <x:v>日本</x:v>
      </x:c>
      <x:c r="E255" s="94" t="str">
        <x:v>通用搜索</x:v>
      </x:c>
      <x:c r="F255" s="95" t="n">
        <x:v>44</x:v>
      </x:c>
      <x:c r="G255" s="95" t="n">
        <x:v>41</x:v>
      </x:c>
      <x:c r="H255" s="95" t="n">
        <x:v>31</x:v>
      </x:c>
      <x:c r="I255" s="95" t="n">
        <x:v>25</x:v>
      </x:c>
      <x:c r="J255" s="95" t="n">
        <x:v>11</x:v>
      </x:c>
      <x:c r="K255" s="95" t="n">
        <x:v>3</x:v>
      </x:c>
      <x:c r="L255" s="95" t="n">
        <x:v>1</x:v>
      </x:c>
      <x:c r="M255" s="96" t="n">
        <x:f>IFERROR(G255/F255,0)</x:f>
        <x:v>0.9318181818181818</x:v>
      </x:c>
      <x:c r="N255" s="96" t="n">
        <x:f>IFERROR(H255/G255,0)</x:f>
        <x:v>0.7560975609756098</x:v>
      </x:c>
      <x:c r="O255" s="96" t="n">
        <x:f>IFERROR(I255/H255,0)</x:f>
        <x:v>0.8064516129032258</x:v>
      </x:c>
      <x:c r="P255" s="96" t="n">
        <x:f>IFERROR(J255/I255,0)</x:f>
        <x:v>0.44</x:v>
      </x:c>
      <x:c r="Q255" s="96" t="n">
        <x:f>IFERROR(L255/J255,0)</x:f>
        <x:v>0.09090909090909091</x:v>
      </x:c>
      <x:c r="R255" s="96" t="n">
        <x:f>IFERROR(L255/F255,0)</x:f>
        <x:v>0.022727272727272728</x:v>
      </x:c>
      <x:c r="S255" s="95" t="n">
        <x:v>103</x:v>
      </x:c>
      <x:c r="T255" s="94" t="str">
        <x:v>末次点击7天</x:v>
      </x:c>
    </x:row>
    <x:row r="256">
      <x:c r="A256" s="92" t="str">
        <x:v>PROC-0255</x:v>
      </x:c>
      <x:c r="B256" s="93" t="n">
        <x:v>46068</x:v>
      </x:c>
      <x:c r="C256" s="94" t="str">
        <x:v>Google Ads</x:v>
      </x:c>
      <x:c r="D256" s="94" t="str">
        <x:v>德国</x:v>
      </x:c>
      <x:c r="E256" s="94" t="str">
        <x:v>竞品搜索</x:v>
      </x:c>
      <x:c r="F256" s="95" t="n">
        <x:v>23</x:v>
      </x:c>
      <x:c r="G256" s="95" t="n">
        <x:v>21</x:v>
      </x:c>
      <x:c r="H256" s="95" t="n">
        <x:v>14</x:v>
      </x:c>
      <x:c r="I256" s="95" t="n">
        <x:v>12</x:v>
      </x:c>
      <x:c r="J256" s="95" t="n">
        <x:v>5</x:v>
      </x:c>
      <x:c r="K256" s="95" t="n">
        <x:v>1</x:v>
      </x:c>
      <x:c r="L256" s="95" t="n">
        <x:v>0</x:v>
      </x:c>
      <x:c r="M256" s="96" t="n">
        <x:f>IFERROR(G256/F256,0)</x:f>
        <x:v>0.9130434782608695</x:v>
      </x:c>
      <x:c r="N256" s="96" t="n">
        <x:f>IFERROR(H256/G256,0)</x:f>
        <x:v>0.6666666666666666</x:v>
      </x:c>
      <x:c r="O256" s="96" t="n">
        <x:f>IFERROR(I256/H256,0)</x:f>
        <x:v>0.8571428571428571</x:v>
      </x:c>
      <x:c r="P256" s="96" t="n">
        <x:f>IFERROR(J256/I256,0)</x:f>
        <x:v>0.4166666666666667</x:v>
      </x:c>
      <x:c r="Q256" s="96" t="n">
        <x:f>IFERROR(L256/J256,0)</x:f>
        <x:v>0</x:v>
      </x:c>
      <x:c r="R256" s="96" t="n">
        <x:f>IFERROR(L256/F256,0)</x:f>
        <x:v>0</x:v>
      </x:c>
      <x:c r="S256" s="95" t="n">
        <x:v>63</x:v>
      </x:c>
      <x:c r="T256" s="94" t="str">
        <x:v>末次点击7天</x:v>
      </x:c>
    </x:row>
    <x:row r="257">
      <x:c r="A257" s="92" t="str">
        <x:v>PROC-0256</x:v>
      </x:c>
      <x:c r="B257" s="93" t="n">
        <x:v>46069</x:v>
      </x:c>
      <x:c r="C257" s="94" t="str">
        <x:v>Microsoft Ads</x:v>
      </x:c>
      <x:c r="D257" s="94" t="str">
        <x:v>美国</x:v>
      </x:c>
      <x:c r="E257" s="94" t="str">
        <x:v>购物广告</x:v>
      </x:c>
      <x:c r="F257" s="95" t="n">
        <x:v>35</x:v>
      </x:c>
      <x:c r="G257" s="95" t="n">
        <x:v>33</x:v>
      </x:c>
      <x:c r="H257" s="95" t="n">
        <x:v>24</x:v>
      </x:c>
      <x:c r="I257" s="95" t="n">
        <x:v>20</x:v>
      </x:c>
      <x:c r="J257" s="95" t="n">
        <x:v>10</x:v>
      </x:c>
      <x:c r="K257" s="95" t="n">
        <x:v>2</x:v>
      </x:c>
      <x:c r="L257" s="95" t="n">
        <x:v>1</x:v>
      </x:c>
      <x:c r="M257" s="96" t="n">
        <x:f>IFERROR(G257/F257,0)</x:f>
        <x:v>0.9428571428571428</x:v>
      </x:c>
      <x:c r="N257" s="96" t="n">
        <x:f>IFERROR(H257/G257,0)</x:f>
        <x:v>0.7272727272727273</x:v>
      </x:c>
      <x:c r="O257" s="96" t="n">
        <x:f>IFERROR(I257/H257,0)</x:f>
        <x:v>0.8333333333333334</x:v>
      </x:c>
      <x:c r="P257" s="96" t="n">
        <x:f>IFERROR(J257/I257,0)</x:f>
        <x:v>0.5</x:v>
      </x:c>
      <x:c r="Q257" s="96" t="n">
        <x:f>IFERROR(L257/J257,0)</x:f>
        <x:v>0.1</x:v>
      </x:c>
      <x:c r="R257" s="96" t="n">
        <x:f>IFERROR(L257/F257,0)</x:f>
        <x:v>0.02857142857142857</x:v>
      </x:c>
      <x:c r="S257" s="95" t="n">
        <x:v>145</x:v>
      </x:c>
      <x:c r="T257" s="94" t="str">
        <x:v>末次点击7天</x:v>
      </x:c>
    </x:row>
    <x:row r="258">
      <x:c r="A258" s="92" t="str">
        <x:v>PROC-0257</x:v>
      </x:c>
      <x:c r="B258" s="93" t="n">
        <x:v>46069</x:v>
      </x:c>
      <x:c r="C258" s="94" t="str">
        <x:v>Google Ads</x:v>
      </x:c>
      <x:c r="D258" s="94" t="str">
        <x:v>英国</x:v>
      </x:c>
      <x:c r="E258" s="94" t="str">
        <x:v>品牌搜索</x:v>
      </x:c>
      <x:c r="F258" s="95" t="n">
        <x:v>45</x:v>
      </x:c>
      <x:c r="G258" s="95" t="n">
        <x:v>40</x:v>
      </x:c>
      <x:c r="H258" s="95" t="n">
        <x:v>27</x:v>
      </x:c>
      <x:c r="I258" s="95" t="n">
        <x:v>22</x:v>
      </x:c>
      <x:c r="J258" s="95" t="n">
        <x:v>10</x:v>
      </x:c>
      <x:c r="K258" s="95" t="n">
        <x:v>2</x:v>
      </x:c>
      <x:c r="L258" s="95" t="n">
        <x:v>1</x:v>
      </x:c>
      <x:c r="M258" s="96" t="n">
        <x:f>IFERROR(G258/F258,0)</x:f>
        <x:v>0.8888888888888888</x:v>
      </x:c>
      <x:c r="N258" s="96" t="n">
        <x:f>IFERROR(H258/G258,0)</x:f>
        <x:v>0.675</x:v>
      </x:c>
      <x:c r="O258" s="96" t="n">
        <x:f>IFERROR(I258/H258,0)</x:f>
        <x:v>0.8148148148148148</x:v>
      </x:c>
      <x:c r="P258" s="96" t="n">
        <x:f>IFERROR(J258/I258,0)</x:f>
        <x:v>0.45454545454545453</x:v>
      </x:c>
      <x:c r="Q258" s="96" t="n">
        <x:f>IFERROR(L258/J258,0)</x:f>
        <x:v>0.1</x:v>
      </x:c>
      <x:c r="R258" s="96" t="n">
        <x:f>IFERROR(L258/F258,0)</x:f>
        <x:v>0.022222222222222223</x:v>
      </x:c>
      <x:c r="S258" s="95" t="n">
        <x:v>64</x:v>
      </x:c>
      <x:c r="T258" s="94" t="str">
        <x:v>末次点击7天</x:v>
      </x:c>
    </x:row>
    <x:row r="259">
      <x:c r="A259" s="92" t="str">
        <x:v>PROC-0258</x:v>
      </x:c>
      <x:c r="B259" s="93" t="n">
        <x:v>46069</x:v>
      </x:c>
      <x:c r="C259" s="94" t="str">
        <x:v>Microsoft Ads</x:v>
      </x:c>
      <x:c r="D259" s="94" t="str">
        <x:v>德国</x:v>
      </x:c>
      <x:c r="E259" s="94" t="str">
        <x:v>通用搜索</x:v>
      </x:c>
      <x:c r="F259" s="95" t="n">
        <x:v>33</x:v>
      </x:c>
      <x:c r="G259" s="95" t="n">
        <x:v>31</x:v>
      </x:c>
      <x:c r="H259" s="95" t="n">
        <x:v>21</x:v>
      </x:c>
      <x:c r="I259" s="95" t="n">
        <x:v>18</x:v>
      </x:c>
      <x:c r="J259" s="95" t="n">
        <x:v>8</x:v>
      </x:c>
      <x:c r="K259" s="95" t="n">
        <x:v>2</x:v>
      </x:c>
      <x:c r="L259" s="95" t="n">
        <x:v>1</x:v>
      </x:c>
      <x:c r="M259" s="96" t="n">
        <x:f>IFERROR(G259/F259,0)</x:f>
        <x:v>0.9393939393939394</x:v>
      </x:c>
      <x:c r="N259" s="96" t="n">
        <x:f>IFERROR(H259/G259,0)</x:f>
        <x:v>0.6774193548387096</x:v>
      </x:c>
      <x:c r="O259" s="96" t="n">
        <x:f>IFERROR(I259/H259,0)</x:f>
        <x:v>0.8571428571428571</x:v>
      </x:c>
      <x:c r="P259" s="96" t="n">
        <x:f>IFERROR(J259/I259,0)</x:f>
        <x:v>0.4444444444444444</x:v>
      </x:c>
      <x:c r="Q259" s="96" t="n">
        <x:f>IFERROR(L259/J259,0)</x:f>
        <x:v>0.125</x:v>
      </x:c>
      <x:c r="R259" s="96" t="n">
        <x:f>IFERROR(L259/F259,0)</x:f>
        <x:v>0.030303030303030304</x:v>
      </x:c>
      <x:c r="S259" s="95" t="n">
        <x:v>123</x:v>
      </x:c>
      <x:c r="T259" s="94" t="str">
        <x:v>末次点击7天</x:v>
      </x:c>
    </x:row>
    <x:row r="260">
      <x:c r="A260" s="92" t="str">
        <x:v>PROC-0259</x:v>
      </x:c>
      <x:c r="B260" s="93" t="n">
        <x:v>46069</x:v>
      </x:c>
      <x:c r="C260" s="94" t="str">
        <x:v>Google Ads</x:v>
      </x:c>
      <x:c r="D260" s="94" t="str">
        <x:v>日本</x:v>
      </x:c>
      <x:c r="E260" s="94" t="str">
        <x:v>通用搜索</x:v>
      </x:c>
      <x:c r="F260" s="95" t="n">
        <x:v>33</x:v>
      </x:c>
      <x:c r="G260" s="95" t="n">
        <x:v>30</x:v>
      </x:c>
      <x:c r="H260" s="95" t="n">
        <x:v>20</x:v>
      </x:c>
      <x:c r="I260" s="95" t="n">
        <x:v>17</x:v>
      </x:c>
      <x:c r="J260" s="95" t="n">
        <x:v>6</x:v>
      </x:c>
      <x:c r="K260" s="95" t="n">
        <x:v>2</x:v>
      </x:c>
      <x:c r="L260" s="95" t="n">
        <x:v>1</x:v>
      </x:c>
      <x:c r="M260" s="96" t="n">
        <x:f>IFERROR(G260/F260,0)</x:f>
        <x:v>0.9090909090909091</x:v>
      </x:c>
      <x:c r="N260" s="96" t="n">
        <x:f>IFERROR(H260/G260,0)</x:f>
        <x:v>0.6666666666666666</x:v>
      </x:c>
      <x:c r="O260" s="96" t="n">
        <x:f>IFERROR(I260/H260,0)</x:f>
        <x:v>0.85</x:v>
      </x:c>
      <x:c r="P260" s="96" t="n">
        <x:f>IFERROR(J260/I260,0)</x:f>
        <x:v>0.35294117647058826</x:v>
      </x:c>
      <x:c r="Q260" s="96" t="n">
        <x:f>IFERROR(L260/J260,0)</x:f>
        <x:v>0.16666666666666666</x:v>
      </x:c>
      <x:c r="R260" s="96" t="n">
        <x:f>IFERROR(L260/F260,0)</x:f>
        <x:v>0.030303030303030304</x:v>
      </x:c>
      <x:c r="S260" s="95" t="n">
        <x:v>128</x:v>
      </x:c>
      <x:c r="T260" s="94" t="str">
        <x:v>末次点击7天</x:v>
      </x:c>
    </x:row>
    <x:row r="261">
      <x:c r="A261" s="92" t="str">
        <x:v>PROC-0260</x:v>
      </x:c>
      <x:c r="B261" s="93" t="n">
        <x:v>46069</x:v>
      </x:c>
      <x:c r="C261" s="94" t="str">
        <x:v>Microsoft Ads</x:v>
      </x:c>
      <x:c r="D261" s="94" t="str">
        <x:v>德国</x:v>
      </x:c>
      <x:c r="E261" s="94" t="str">
        <x:v>购物广告</x:v>
      </x:c>
      <x:c r="F261" s="95" t="n">
        <x:v>52</x:v>
      </x:c>
      <x:c r="G261" s="95" t="n">
        <x:v>47</x:v>
      </x:c>
      <x:c r="H261" s="95" t="n">
        <x:v>36</x:v>
      </x:c>
      <x:c r="I261" s="95" t="n">
        <x:v>30</x:v>
      </x:c>
      <x:c r="J261" s="95" t="n">
        <x:v>15</x:v>
      </x:c>
      <x:c r="K261" s="95" t="n">
        <x:v>5</x:v>
      </x:c>
      <x:c r="L261" s="95" t="n">
        <x:v>1</x:v>
      </x:c>
      <x:c r="M261" s="96" t="n">
        <x:f>IFERROR(G261/F261,0)</x:f>
        <x:v>0.9038461538461539</x:v>
      </x:c>
      <x:c r="N261" s="96" t="n">
        <x:f>IFERROR(H261/G261,0)</x:f>
        <x:v>0.7659574468085106</x:v>
      </x:c>
      <x:c r="O261" s="96" t="n">
        <x:f>IFERROR(I261/H261,0)</x:f>
        <x:v>0.8333333333333334</x:v>
      </x:c>
      <x:c r="P261" s="96" t="n">
        <x:f>IFERROR(J261/I261,0)</x:f>
        <x:v>0.5</x:v>
      </x:c>
      <x:c r="Q261" s="96" t="n">
        <x:f>IFERROR(L261/J261,0)</x:f>
        <x:v>0.06666666666666667</x:v>
      </x:c>
      <x:c r="R261" s="96" t="n">
        <x:f>IFERROR(L261/F261,0)</x:f>
        <x:v>0.019230769230769232</x:v>
      </x:c>
      <x:c r="S261" s="95" t="n">
        <x:v>114</x:v>
      </x:c>
      <x:c r="T261" s="94" t="str">
        <x:v>末次点击7天</x:v>
      </x:c>
    </x:row>
    <x:row r="262">
      <x:c r="A262" s="92" t="str">
        <x:v>PROC-0261</x:v>
      </x:c>
      <x:c r="B262" s="93" t="n">
        <x:v>46070</x:v>
      </x:c>
      <x:c r="C262" s="94" t="str">
        <x:v>Google Ads</x:v>
      </x:c>
      <x:c r="D262" s="94" t="str">
        <x:v>美国</x:v>
      </x:c>
      <x:c r="E262" s="94" t="str">
        <x:v>品牌搜索</x:v>
      </x:c>
      <x:c r="F262" s="95" t="n">
        <x:v>52</x:v>
      </x:c>
      <x:c r="G262" s="95" t="n">
        <x:v>46</x:v>
      </x:c>
      <x:c r="H262" s="95" t="n">
        <x:v>29</x:v>
      </x:c>
      <x:c r="I262" s="95" t="n">
        <x:v>23</x:v>
      </x:c>
      <x:c r="J262" s="95" t="n">
        <x:v>12</x:v>
      </x:c>
      <x:c r="K262" s="95" t="n">
        <x:v>4</x:v>
      </x:c>
      <x:c r="L262" s="95" t="n">
        <x:v>1</x:v>
      </x:c>
      <x:c r="M262" s="96" t="n">
        <x:f>IFERROR(G262/F262,0)</x:f>
        <x:v>0.8846153846153846</x:v>
      </x:c>
      <x:c r="N262" s="96" t="n">
        <x:f>IFERROR(H262/G262,0)</x:f>
        <x:v>0.6304347826086957</x:v>
      </x:c>
      <x:c r="O262" s="96" t="n">
        <x:f>IFERROR(I262/H262,0)</x:f>
        <x:v>0.7931034482758621</x:v>
      </x:c>
      <x:c r="P262" s="96" t="n">
        <x:f>IFERROR(J262/I262,0)</x:f>
        <x:v>0.5217391304347826</x:v>
      </x:c>
      <x:c r="Q262" s="96" t="n">
        <x:f>IFERROR(L262/J262,0)</x:f>
        <x:v>0.08333333333333333</x:v>
      </x:c>
      <x:c r="R262" s="96" t="n">
        <x:f>IFERROR(L262/F262,0)</x:f>
        <x:v>0.019230769230769232</x:v>
      </x:c>
      <x:c r="S262" s="95" t="n">
        <x:v>94</x:v>
      </x:c>
      <x:c r="T262" s="94" t="str">
        <x:v>末次点击7天</x:v>
      </x:c>
    </x:row>
    <x:row r="263">
      <x:c r="A263" s="92" t="str">
        <x:v>PROC-0262</x:v>
      </x:c>
      <x:c r="B263" s="93" t="n">
        <x:v>46070</x:v>
      </x:c>
      <x:c r="C263" s="94" t="str">
        <x:v>Google Ads</x:v>
      </x:c>
      <x:c r="D263" s="94" t="str">
        <x:v>德国</x:v>
      </x:c>
      <x:c r="E263" s="94" t="str">
        <x:v>品牌搜索</x:v>
      </x:c>
      <x:c r="F263" s="95" t="n">
        <x:v>65</x:v>
      </x:c>
      <x:c r="G263" s="95" t="n">
        <x:v>59</x:v>
      </x:c>
      <x:c r="H263" s="95" t="n">
        <x:v>41</x:v>
      </x:c>
      <x:c r="I263" s="95" t="n">
        <x:v>33</x:v>
      </x:c>
      <x:c r="J263" s="95" t="n">
        <x:v>14</x:v>
      </x:c>
      <x:c r="K263" s="95" t="n">
        <x:v>3</x:v>
      </x:c>
      <x:c r="L263" s="95" t="n">
        <x:v>1</x:v>
      </x:c>
      <x:c r="M263" s="96" t="n">
        <x:f>IFERROR(G263/F263,0)</x:f>
        <x:v>0.9076923076923077</x:v>
      </x:c>
      <x:c r="N263" s="96" t="n">
        <x:f>IFERROR(H263/G263,0)</x:f>
        <x:v>0.6949152542372882</x:v>
      </x:c>
      <x:c r="O263" s="96" t="n">
        <x:f>IFERROR(I263/H263,0)</x:f>
        <x:v>0.8048780487804879</x:v>
      </x:c>
      <x:c r="P263" s="96" t="n">
        <x:f>IFERROR(J263/I263,0)</x:f>
        <x:v>0.42424242424242425</x:v>
      </x:c>
      <x:c r="Q263" s="96" t="n">
        <x:f>IFERROR(L263/J263,0)</x:f>
        <x:v>0.07142857142857142</x:v>
      </x:c>
      <x:c r="R263" s="96" t="n">
        <x:f>IFERROR(L263/F263,0)</x:f>
        <x:v>0.015384615384615385</x:v>
      </x:c>
      <x:c r="S263" s="95" t="n">
        <x:v>151</x:v>
      </x:c>
      <x:c r="T263" s="94" t="str">
        <x:v>末次点击7天</x:v>
      </x:c>
    </x:row>
    <x:row r="264">
      <x:c r="A264" s="92" t="str">
        <x:v>PROC-0263</x:v>
      </x:c>
      <x:c r="B264" s="93" t="n">
        <x:v>46070</x:v>
      </x:c>
      <x:c r="C264" s="94" t="str">
        <x:v>Microsoft Ads</x:v>
      </x:c>
      <x:c r="D264" s="94" t="str">
        <x:v>日本</x:v>
      </x:c>
      <x:c r="E264" s="94" t="str">
        <x:v>通用搜索</x:v>
      </x:c>
      <x:c r="F264" s="95" t="n">
        <x:v>53</x:v>
      </x:c>
      <x:c r="G264" s="95" t="n">
        <x:v>49</x:v>
      </x:c>
      <x:c r="H264" s="95" t="n">
        <x:v>39</x:v>
      </x:c>
      <x:c r="I264" s="95" t="n">
        <x:v>34</x:v>
      </x:c>
      <x:c r="J264" s="95" t="n">
        <x:v>13</x:v>
      </x:c>
      <x:c r="K264" s="95" t="n">
        <x:v>4</x:v>
      </x:c>
      <x:c r="L264" s="95" t="n">
        <x:v>1</x:v>
      </x:c>
      <x:c r="M264" s="96" t="n">
        <x:f>IFERROR(G264/F264,0)</x:f>
        <x:v>0.9245283018867925</x:v>
      </x:c>
      <x:c r="N264" s="96" t="n">
        <x:f>IFERROR(H264/G264,0)</x:f>
        <x:v>0.7959183673469388</x:v>
      </x:c>
      <x:c r="O264" s="96" t="n">
        <x:f>IFERROR(I264/H264,0)</x:f>
        <x:v>0.8717948717948718</x:v>
      </x:c>
      <x:c r="P264" s="96" t="n">
        <x:f>IFERROR(J264/I264,0)</x:f>
        <x:v>0.38235294117647056</x:v>
      </x:c>
      <x:c r="Q264" s="96" t="n">
        <x:f>IFERROR(L264/J264,0)</x:f>
        <x:v>0.07692307692307693</x:v>
      </x:c>
      <x:c r="R264" s="96" t="n">
        <x:f>IFERROR(L264/F264,0)</x:f>
        <x:v>0.018867924528301886</x:v>
      </x:c>
      <x:c r="S264" s="95" t="n">
        <x:v>97</x:v>
      </x:c>
      <x:c r="T264" s="94" t="str">
        <x:v>末次点击7天</x:v>
      </x:c>
    </x:row>
    <x:row r="265">
      <x:c r="A265" s="92" t="str">
        <x:v>PROC-0264</x:v>
      </x:c>
      <x:c r="B265" s="93" t="n">
        <x:v>46070</x:v>
      </x:c>
      <x:c r="C265" s="94" t="str">
        <x:v>Google Ads</x:v>
      </x:c>
      <x:c r="D265" s="94" t="str">
        <x:v>英国</x:v>
      </x:c>
      <x:c r="E265" s="94" t="str">
        <x:v>通用搜索</x:v>
      </x:c>
      <x:c r="F265" s="95" t="n">
        <x:v>37</x:v>
      </x:c>
      <x:c r="G265" s="95" t="n">
        <x:v>34</x:v>
      </x:c>
      <x:c r="H265" s="95" t="n">
        <x:v>24</x:v>
      </x:c>
      <x:c r="I265" s="95" t="n">
        <x:v>20</x:v>
      </x:c>
      <x:c r="J265" s="95" t="n">
        <x:v>8</x:v>
      </x:c>
      <x:c r="K265" s="95" t="n">
        <x:v>3</x:v>
      </x:c>
      <x:c r="L265" s="95" t="n">
        <x:v>1</x:v>
      </x:c>
      <x:c r="M265" s="96" t="n">
        <x:f>IFERROR(G265/F265,0)</x:f>
        <x:v>0.918918918918919</x:v>
      </x:c>
      <x:c r="N265" s="96" t="n">
        <x:f>IFERROR(H265/G265,0)</x:f>
        <x:v>0.7058823529411765</x:v>
      </x:c>
      <x:c r="O265" s="96" t="n">
        <x:f>IFERROR(I265/H265,0)</x:f>
        <x:v>0.8333333333333334</x:v>
      </x:c>
      <x:c r="P265" s="96" t="n">
        <x:f>IFERROR(J265/I265,0)</x:f>
        <x:v>0.4</x:v>
      </x:c>
      <x:c r="Q265" s="96" t="n">
        <x:f>IFERROR(L265/J265,0)</x:f>
        <x:v>0.125</x:v>
      </x:c>
      <x:c r="R265" s="96" t="n">
        <x:f>IFERROR(L265/F265,0)</x:f>
        <x:v>0.02702702702702703</x:v>
      </x:c>
      <x:c r="S265" s="95" t="n">
        <x:v>81</x:v>
      </x:c>
      <x:c r="T265" s="94" t="str">
        <x:v>末次点击7天</x:v>
      </x:c>
    </x:row>
    <x:row r="266">
      <x:c r="A266" s="92" t="str">
        <x:v>PROC-0265</x:v>
      </x:c>
      <x:c r="B266" s="93" t="n">
        <x:v>46070</x:v>
      </x:c>
      <x:c r="C266" s="94" t="str">
        <x:v>Microsoft Ads</x:v>
      </x:c>
      <x:c r="D266" s="94" t="str">
        <x:v>英国</x:v>
      </x:c>
      <x:c r="E266" s="94" t="str">
        <x:v>通用搜索</x:v>
      </x:c>
      <x:c r="F266" s="95" t="n">
        <x:v>38</x:v>
      </x:c>
      <x:c r="G266" s="95" t="n">
        <x:v>36</x:v>
      </x:c>
      <x:c r="H266" s="95" t="n">
        <x:v>25</x:v>
      </x:c>
      <x:c r="I266" s="95" t="n">
        <x:v>20</x:v>
      </x:c>
      <x:c r="J266" s="95" t="n">
        <x:v>7</x:v>
      </x:c>
      <x:c r="K266" s="95" t="n">
        <x:v>2</x:v>
      </x:c>
      <x:c r="L266" s="95" t="n">
        <x:v>1</x:v>
      </x:c>
      <x:c r="M266" s="96" t="n">
        <x:f>IFERROR(G266/F266,0)</x:f>
        <x:v>0.9473684210526315</x:v>
      </x:c>
      <x:c r="N266" s="96" t="n">
        <x:f>IFERROR(H266/G266,0)</x:f>
        <x:v>0.6944444444444444</x:v>
      </x:c>
      <x:c r="O266" s="96" t="n">
        <x:f>IFERROR(I266/H266,0)</x:f>
        <x:v>0.8</x:v>
      </x:c>
      <x:c r="P266" s="96" t="n">
        <x:f>IFERROR(J266/I266,0)</x:f>
        <x:v>0.35</x:v>
      </x:c>
      <x:c r="Q266" s="96" t="n">
        <x:f>IFERROR(L266/J266,0)</x:f>
        <x:v>0.14285714285714285</x:v>
      </x:c>
      <x:c r="R266" s="96" t="n">
        <x:f>IFERROR(L266/F266,0)</x:f>
        <x:v>0.02631578947368421</x:v>
      </x:c>
      <x:c r="S266" s="95" t="n">
        <x:v>57</x:v>
      </x:c>
      <x:c r="T266" s="94" t="str">
        <x:v>末次点击7天</x:v>
      </x:c>
    </x:row>
    <x:row r="267">
      <x:c r="A267" s="92" t="str">
        <x:v>PROC-0266</x:v>
      </x:c>
      <x:c r="B267" s="93" t="n">
        <x:v>46070</x:v>
      </x:c>
      <x:c r="C267" s="94" t="str">
        <x:v>Microsoft Ads</x:v>
      </x:c>
      <x:c r="D267" s="94" t="str">
        <x:v>德国</x:v>
      </x:c>
      <x:c r="E267" s="94" t="str">
        <x:v>购物广告</x:v>
      </x:c>
      <x:c r="F267" s="95" t="n">
        <x:v>60</x:v>
      </x:c>
      <x:c r="G267" s="95" t="n">
        <x:v>55</x:v>
      </x:c>
      <x:c r="H267" s="95" t="n">
        <x:v>39</x:v>
      </x:c>
      <x:c r="I267" s="95" t="n">
        <x:v>35</x:v>
      </x:c>
      <x:c r="J267" s="95" t="n">
        <x:v>15</x:v>
      </x:c>
      <x:c r="K267" s="95" t="n">
        <x:v>5</x:v>
      </x:c>
      <x:c r="L267" s="95" t="n">
        <x:v>1</x:v>
      </x:c>
      <x:c r="M267" s="96" t="n">
        <x:f>IFERROR(G267/F267,0)</x:f>
        <x:v>0.9166666666666666</x:v>
      </x:c>
      <x:c r="N267" s="96" t="n">
        <x:f>IFERROR(H267/G267,0)</x:f>
        <x:v>0.7090909090909091</x:v>
      </x:c>
      <x:c r="O267" s="96" t="n">
        <x:f>IFERROR(I267/H267,0)</x:f>
        <x:v>0.8974358974358975</x:v>
      </x:c>
      <x:c r="P267" s="96" t="n">
        <x:f>IFERROR(J267/I267,0)</x:f>
        <x:v>0.42857142857142855</x:v>
      </x:c>
      <x:c r="Q267" s="96" t="n">
        <x:f>IFERROR(L267/J267,0)</x:f>
        <x:v>0.06666666666666667</x:v>
      </x:c>
      <x:c r="R267" s="96" t="n">
        <x:f>IFERROR(L267/F267,0)</x:f>
        <x:v>0.016666666666666666</x:v>
      </x:c>
      <x:c r="S267" s="95" t="n">
        <x:v>46</x:v>
      </x:c>
      <x:c r="T267" s="94" t="str">
        <x:v>末次点击7天</x:v>
      </x:c>
    </x:row>
    <x:row r="268">
      <x:c r="A268" s="92" t="str">
        <x:v>PROC-0267</x:v>
      </x:c>
      <x:c r="B268" s="93" t="n">
        <x:v>46071</x:v>
      </x:c>
      <x:c r="C268" s="94" t="str">
        <x:v>Google Ads</x:v>
      </x:c>
      <x:c r="D268" s="94" t="str">
        <x:v>美国</x:v>
      </x:c>
      <x:c r="E268" s="94" t="str">
        <x:v>竞品搜索</x:v>
      </x:c>
      <x:c r="F268" s="95" t="n">
        <x:v>19</x:v>
      </x:c>
      <x:c r="G268" s="95" t="n">
        <x:v>17</x:v>
      </x:c>
      <x:c r="H268" s="95" t="n">
        <x:v>12</x:v>
      </x:c>
      <x:c r="I268" s="95" t="n">
        <x:v>10</x:v>
      </x:c>
      <x:c r="J268" s="95" t="n">
        <x:v>5</x:v>
      </x:c>
      <x:c r="K268" s="95" t="n">
        <x:v>2</x:v>
      </x:c>
      <x:c r="L268" s="95" t="n">
        <x:v>0</x:v>
      </x:c>
      <x:c r="M268" s="96" t="n">
        <x:f>IFERROR(G268/F268,0)</x:f>
        <x:v>0.8947368421052632</x:v>
      </x:c>
      <x:c r="N268" s="96" t="n">
        <x:f>IFERROR(H268/G268,0)</x:f>
        <x:v>0.7058823529411765</x:v>
      </x:c>
      <x:c r="O268" s="96" t="n">
        <x:f>IFERROR(I268/H268,0)</x:f>
        <x:v>0.8333333333333334</x:v>
      </x:c>
      <x:c r="P268" s="96" t="n">
        <x:f>IFERROR(J268/I268,0)</x:f>
        <x:v>0.5</x:v>
      </x:c>
      <x:c r="Q268" s="96" t="n">
        <x:f>IFERROR(L268/J268,0)</x:f>
        <x:v>0</x:v>
      </x:c>
      <x:c r="R268" s="96" t="n">
        <x:f>IFERROR(L268/F268,0)</x:f>
        <x:v>0</x:v>
      </x:c>
      <x:c r="S268" s="95" t="n">
        <x:v>131</x:v>
      </x:c>
      <x:c r="T268" s="94" t="str">
        <x:v>末次点击7天</x:v>
      </x:c>
    </x:row>
    <x:row r="269">
      <x:c r="A269" s="92" t="str">
        <x:v>PROC-0268</x:v>
      </x:c>
      <x:c r="B269" s="93" t="n">
        <x:v>46071</x:v>
      </x:c>
      <x:c r="C269" s="94" t="str">
        <x:v>Microsoft Ads</x:v>
      </x:c>
      <x:c r="D269" s="94" t="str">
        <x:v>美国</x:v>
      </x:c>
      <x:c r="E269" s="94" t="str">
        <x:v>品牌搜索</x:v>
      </x:c>
      <x:c r="F269" s="95" t="n">
        <x:v>52</x:v>
      </x:c>
      <x:c r="G269" s="95" t="n">
        <x:v>47</x:v>
      </x:c>
      <x:c r="H269" s="95" t="n">
        <x:v>32</x:v>
      </x:c>
      <x:c r="I269" s="95" t="n">
        <x:v>27</x:v>
      </x:c>
      <x:c r="J269" s="95" t="n">
        <x:v>14</x:v>
      </x:c>
      <x:c r="K269" s="95" t="n">
        <x:v>5</x:v>
      </x:c>
      <x:c r="L269" s="95" t="n">
        <x:v>1</x:v>
      </x:c>
      <x:c r="M269" s="96" t="n">
        <x:f>IFERROR(G269/F269,0)</x:f>
        <x:v>0.9038461538461539</x:v>
      </x:c>
      <x:c r="N269" s="96" t="n">
        <x:f>IFERROR(H269/G269,0)</x:f>
        <x:v>0.6808510638297872</x:v>
      </x:c>
      <x:c r="O269" s="96" t="n">
        <x:f>IFERROR(I269/H269,0)</x:f>
        <x:v>0.84375</x:v>
      </x:c>
      <x:c r="P269" s="96" t="n">
        <x:f>IFERROR(J269/I269,0)</x:f>
        <x:v>0.5185185185185185</x:v>
      </x:c>
      <x:c r="Q269" s="96" t="n">
        <x:f>IFERROR(L269/J269,0)</x:f>
        <x:v>0.07142857142857142</x:v>
      </x:c>
      <x:c r="R269" s="96" t="n">
        <x:f>IFERROR(L269/F269,0)</x:f>
        <x:v>0.019230769230769232</x:v>
      </x:c>
      <x:c r="S269" s="95" t="n">
        <x:v>130</x:v>
      </x:c>
      <x:c r="T269" s="94" t="str">
        <x:v>末次点击7天</x:v>
      </x:c>
    </x:row>
    <x:row r="270">
      <x:c r="A270" s="92" t="str">
        <x:v>PROC-0269</x:v>
      </x:c>
      <x:c r="B270" s="93" t="n">
        <x:v>46071</x:v>
      </x:c>
      <x:c r="C270" s="94" t="str">
        <x:v>Google Ads</x:v>
      </x:c>
      <x:c r="D270" s="94" t="str">
        <x:v>美国</x:v>
      </x:c>
      <x:c r="E270" s="94" t="str">
        <x:v>通用搜索</x:v>
      </x:c>
      <x:c r="F270" s="95" t="n">
        <x:v>34</x:v>
      </x:c>
      <x:c r="G270" s="95" t="n">
        <x:v>30</x:v>
      </x:c>
      <x:c r="H270" s="95" t="n">
        <x:v>19</x:v>
      </x:c>
      <x:c r="I270" s="95" t="n">
        <x:v>16</x:v>
      </x:c>
      <x:c r="J270" s="95" t="n">
        <x:v>7</x:v>
      </x:c>
      <x:c r="K270" s="95" t="n">
        <x:v>2</x:v>
      </x:c>
      <x:c r="L270" s="95" t="n">
        <x:v>1</x:v>
      </x:c>
      <x:c r="M270" s="96" t="n">
        <x:f>IFERROR(G270/F270,0)</x:f>
        <x:v>0.8823529411764706</x:v>
      </x:c>
      <x:c r="N270" s="96" t="n">
        <x:f>IFERROR(H270/G270,0)</x:f>
        <x:v>0.6333333333333333</x:v>
      </x:c>
      <x:c r="O270" s="96" t="n">
        <x:f>IFERROR(I270/H270,0)</x:f>
        <x:v>0.8421052631578947</x:v>
      </x:c>
      <x:c r="P270" s="96" t="n">
        <x:f>IFERROR(J270/I270,0)</x:f>
        <x:v>0.4375</x:v>
      </x:c>
      <x:c r="Q270" s="96" t="n">
        <x:f>IFERROR(L270/J270,0)</x:f>
        <x:v>0.14285714285714285</x:v>
      </x:c>
      <x:c r="R270" s="96" t="n">
        <x:f>IFERROR(L270/F270,0)</x:f>
        <x:v>0.029411764705882353</x:v>
      </x:c>
      <x:c r="S270" s="95" t="n">
        <x:v>139</x:v>
      </x:c>
      <x:c r="T270" s="94" t="str">
        <x:v>末次点击7天</x:v>
      </x:c>
    </x:row>
    <x:row r="271">
      <x:c r="A271" s="92" t="str">
        <x:v>PROC-0270</x:v>
      </x:c>
      <x:c r="B271" s="93" t="n">
        <x:v>46071</x:v>
      </x:c>
      <x:c r="C271" s="94" t="str">
        <x:v>Google Ads</x:v>
      </x:c>
      <x:c r="D271" s="94" t="str">
        <x:v>德国</x:v>
      </x:c>
      <x:c r="E271" s="94" t="str">
        <x:v>购物广告</x:v>
      </x:c>
      <x:c r="F271" s="95" t="n">
        <x:v>42</x:v>
      </x:c>
      <x:c r="G271" s="95" t="n">
        <x:v>40</x:v>
      </x:c>
      <x:c r="H271" s="95" t="n">
        <x:v>25</x:v>
      </x:c>
      <x:c r="I271" s="95" t="n">
        <x:v>23</x:v>
      </x:c>
      <x:c r="J271" s="95" t="n">
        <x:v>11</x:v>
      </x:c>
      <x:c r="K271" s="95" t="n">
        <x:v>3</x:v>
      </x:c>
      <x:c r="L271" s="95" t="n">
        <x:v>1</x:v>
      </x:c>
      <x:c r="M271" s="96" t="n">
        <x:f>IFERROR(G271/F271,0)</x:f>
        <x:v>0.9523809523809523</x:v>
      </x:c>
      <x:c r="N271" s="96" t="n">
        <x:f>IFERROR(H271/G271,0)</x:f>
        <x:v>0.625</x:v>
      </x:c>
      <x:c r="O271" s="96" t="n">
        <x:f>IFERROR(I271/H271,0)</x:f>
        <x:v>0.92</x:v>
      </x:c>
      <x:c r="P271" s="96" t="n">
        <x:f>IFERROR(J271/I271,0)</x:f>
        <x:v>0.4782608695652174</x:v>
      </x:c>
      <x:c r="Q271" s="96" t="n">
        <x:f>IFERROR(L271/J271,0)</x:f>
        <x:v>0.09090909090909091</x:v>
      </x:c>
      <x:c r="R271" s="96" t="n">
        <x:f>IFERROR(L271/F271,0)</x:f>
        <x:v>0.023809523809523808</x:v>
      </x:c>
      <x:c r="S271" s="95" t="n">
        <x:v>150</x:v>
      </x:c>
      <x:c r="T271" s="94" t="str">
        <x:v>末次点击7天</x:v>
      </x:c>
    </x:row>
    <x:row r="272">
      <x:c r="A272" s="92" t="str">
        <x:v>PROC-0271</x:v>
      </x:c>
      <x:c r="B272" s="93" t="n">
        <x:v>46071</x:v>
      </x:c>
      <x:c r="C272" s="94" t="str">
        <x:v>Google Ads</x:v>
      </x:c>
      <x:c r="D272" s="94" t="str">
        <x:v>美国</x:v>
      </x:c>
      <x:c r="E272" s="94" t="str">
        <x:v>品牌搜索</x:v>
      </x:c>
      <x:c r="F272" s="95" t="n">
        <x:v>62</x:v>
      </x:c>
      <x:c r="G272" s="95" t="n">
        <x:v>55</x:v>
      </x:c>
      <x:c r="H272" s="95" t="n">
        <x:v>42</x:v>
      </x:c>
      <x:c r="I272" s="95" t="n">
        <x:v>33</x:v>
      </x:c>
      <x:c r="J272" s="95" t="n">
        <x:v>17</x:v>
      </x:c>
      <x:c r="K272" s="95" t="n">
        <x:v>6</x:v>
      </x:c>
      <x:c r="L272" s="95" t="n">
        <x:v>2</x:v>
      </x:c>
      <x:c r="M272" s="96" t="n">
        <x:f>IFERROR(G272/F272,0)</x:f>
        <x:v>0.8870967741935484</x:v>
      </x:c>
      <x:c r="N272" s="96" t="n">
        <x:f>IFERROR(H272/G272,0)</x:f>
        <x:v>0.7636363636363637</x:v>
      </x:c>
      <x:c r="O272" s="96" t="n">
        <x:f>IFERROR(I272/H272,0)</x:f>
        <x:v>0.7857142857142857</x:v>
      </x:c>
      <x:c r="P272" s="96" t="n">
        <x:f>IFERROR(J272/I272,0)</x:f>
        <x:v>0.5151515151515151</x:v>
      </x:c>
      <x:c r="Q272" s="96" t="n">
        <x:f>IFERROR(L272/J272,0)</x:f>
        <x:v>0.11764705882352941</x:v>
      </x:c>
      <x:c r="R272" s="96" t="n">
        <x:f>IFERROR(L272/F272,0)</x:f>
        <x:v>0.03225806451612903</x:v>
      </x:c>
      <x:c r="S272" s="95" t="n">
        <x:v>113</x:v>
      </x:c>
      <x:c r="T272" s="94" t="str">
        <x:v>末次点击7天</x:v>
      </x:c>
    </x:row>
    <x:row r="273">
      <x:c r="A273" s="92" t="str">
        <x:v>PROC-0272</x:v>
      </x:c>
      <x:c r="B273" s="93" t="n">
        <x:v>46072</x:v>
      </x:c>
      <x:c r="C273" s="94" t="str">
        <x:v>Google Ads</x:v>
      </x:c>
      <x:c r="D273" s="94" t="str">
        <x:v>美国</x:v>
      </x:c>
      <x:c r="E273" s="94" t="str">
        <x:v>购物广告</x:v>
      </x:c>
      <x:c r="F273" s="95" t="n">
        <x:v>77</x:v>
      </x:c>
      <x:c r="G273" s="95" t="n">
        <x:v>73</x:v>
      </x:c>
      <x:c r="H273" s="95" t="n">
        <x:v>53</x:v>
      </x:c>
      <x:c r="I273" s="95" t="n">
        <x:v>46</x:v>
      </x:c>
      <x:c r="J273" s="95" t="n">
        <x:v>21</x:v>
      </x:c>
      <x:c r="K273" s="95" t="n">
        <x:v>7</x:v>
      </x:c>
      <x:c r="L273" s="95" t="n">
        <x:v>2</x:v>
      </x:c>
      <x:c r="M273" s="96" t="n">
        <x:f>IFERROR(G273/F273,0)</x:f>
        <x:v>0.948051948051948</x:v>
      </x:c>
      <x:c r="N273" s="96" t="n">
        <x:f>IFERROR(H273/G273,0)</x:f>
        <x:v>0.726027397260274</x:v>
      </x:c>
      <x:c r="O273" s="96" t="n">
        <x:f>IFERROR(I273/H273,0)</x:f>
        <x:v>0.8679245283018868</x:v>
      </x:c>
      <x:c r="P273" s="96" t="n">
        <x:f>IFERROR(J273/I273,0)</x:f>
        <x:v>0.45652173913043476</x:v>
      </x:c>
      <x:c r="Q273" s="96" t="n">
        <x:f>IFERROR(L273/J273,0)</x:f>
        <x:v>0.09523809523809523</x:v>
      </x:c>
      <x:c r="R273" s="96" t="n">
        <x:f>IFERROR(L273/F273,0)</x:f>
        <x:v>0.025974025974025976</x:v>
      </x:c>
      <x:c r="S273" s="95" t="n">
        <x:v>119</x:v>
      </x:c>
      <x:c r="T273" s="94" t="str">
        <x:v>末次点击7天</x:v>
      </x:c>
    </x:row>
    <x:row r="274">
      <x:c r="A274" s="92" t="str">
        <x:v>PROC-0273</x:v>
      </x:c>
      <x:c r="B274" s="93" t="n">
        <x:v>46072</x:v>
      </x:c>
      <x:c r="C274" s="94" t="str">
        <x:v>Microsoft Ads</x:v>
      </x:c>
      <x:c r="D274" s="94" t="str">
        <x:v>德国</x:v>
      </x:c>
      <x:c r="E274" s="94" t="str">
        <x:v>购物广告</x:v>
      </x:c>
      <x:c r="F274" s="95" t="n">
        <x:v>33</x:v>
      </x:c>
      <x:c r="G274" s="95" t="n">
        <x:v>31</x:v>
      </x:c>
      <x:c r="H274" s="95" t="n">
        <x:v>20</x:v>
      </x:c>
      <x:c r="I274" s="95" t="n">
        <x:v>18</x:v>
      </x:c>
      <x:c r="J274" s="95" t="n">
        <x:v>9</x:v>
      </x:c>
      <x:c r="K274" s="95" t="n">
        <x:v>2</x:v>
      </x:c>
      <x:c r="L274" s="95" t="n">
        <x:v>1</x:v>
      </x:c>
      <x:c r="M274" s="96" t="n">
        <x:f>IFERROR(G274/F274,0)</x:f>
        <x:v>0.9393939393939394</x:v>
      </x:c>
      <x:c r="N274" s="96" t="n">
        <x:f>IFERROR(H274/G274,0)</x:f>
        <x:v>0.6451612903225806</x:v>
      </x:c>
      <x:c r="O274" s="96" t="n">
        <x:f>IFERROR(I274/H274,0)</x:f>
        <x:v>0.9</x:v>
      </x:c>
      <x:c r="P274" s="96" t="n">
        <x:f>IFERROR(J274/I274,0)</x:f>
        <x:v>0.5</x:v>
      </x:c>
      <x:c r="Q274" s="96" t="n">
        <x:f>IFERROR(L274/J274,0)</x:f>
        <x:v>0.1111111111111111</x:v>
      </x:c>
      <x:c r="R274" s="96" t="n">
        <x:f>IFERROR(L274/F274,0)</x:f>
        <x:v>0.030303030303030304</x:v>
      </x:c>
      <x:c r="S274" s="95" t="n">
        <x:v>72</x:v>
      </x:c>
      <x:c r="T274" s="94" t="str">
        <x:v>末次点击7天</x:v>
      </x:c>
    </x:row>
    <x:row r="275">
      <x:c r="A275" s="92" t="str">
        <x:v>PROC-0274</x:v>
      </x:c>
      <x:c r="B275" s="93" t="n">
        <x:v>46072</x:v>
      </x:c>
      <x:c r="C275" s="94" t="str">
        <x:v>Google Ads</x:v>
      </x:c>
      <x:c r="D275" s="94" t="str">
        <x:v>美国</x:v>
      </x:c>
      <x:c r="E275" s="94" t="str">
        <x:v>竞品搜索</x:v>
      </x:c>
      <x:c r="F275" s="95" t="n">
        <x:v>20</x:v>
      </x:c>
      <x:c r="G275" s="95" t="n">
        <x:v>18</x:v>
      </x:c>
      <x:c r="H275" s="95" t="n">
        <x:v>12</x:v>
      </x:c>
      <x:c r="I275" s="95" t="n">
        <x:v>10</x:v>
      </x:c>
      <x:c r="J275" s="95" t="n">
        <x:v>4</x:v>
      </x:c>
      <x:c r="K275" s="95" t="n">
        <x:v>1</x:v>
      </x:c>
      <x:c r="L275" s="95" t="n">
        <x:v>0</x:v>
      </x:c>
      <x:c r="M275" s="96" t="n">
        <x:f>IFERROR(G275/F275,0)</x:f>
        <x:v>0.9</x:v>
      </x:c>
      <x:c r="N275" s="96" t="n">
        <x:f>IFERROR(H275/G275,0)</x:f>
        <x:v>0.6666666666666666</x:v>
      </x:c>
      <x:c r="O275" s="96" t="n">
        <x:f>IFERROR(I275/H275,0)</x:f>
        <x:v>0.8333333333333334</x:v>
      </x:c>
      <x:c r="P275" s="96" t="n">
        <x:f>IFERROR(J275/I275,0)</x:f>
        <x:v>0.4</x:v>
      </x:c>
      <x:c r="Q275" s="96" t="n">
        <x:f>IFERROR(L275/J275,0)</x:f>
        <x:v>0</x:v>
      </x:c>
      <x:c r="R275" s="96" t="n">
        <x:f>IFERROR(L275/F275,0)</x:f>
        <x:v>0</x:v>
      </x:c>
      <x:c r="S275" s="95" t="n">
        <x:v>78</x:v>
      </x:c>
      <x:c r="T275" s="94" t="str">
        <x:v>末次点击7天</x:v>
      </x:c>
    </x:row>
    <x:row r="276">
      <x:c r="A276" s="92" t="str">
        <x:v>PROC-0275</x:v>
      </x:c>
      <x:c r="B276" s="93" t="n">
        <x:v>46072</x:v>
      </x:c>
      <x:c r="C276" s="94" t="str">
        <x:v>Microsoft Ads</x:v>
      </x:c>
      <x:c r="D276" s="94" t="str">
        <x:v>日本</x:v>
      </x:c>
      <x:c r="E276" s="94" t="str">
        <x:v>购物广告</x:v>
      </x:c>
      <x:c r="F276" s="95" t="n">
        <x:v>39</x:v>
      </x:c>
      <x:c r="G276" s="95" t="n">
        <x:v>35</x:v>
      </x:c>
      <x:c r="H276" s="95" t="n">
        <x:v>24</x:v>
      </x:c>
      <x:c r="I276" s="95" t="n">
        <x:v>22</x:v>
      </x:c>
      <x:c r="J276" s="95" t="n">
        <x:v>11</x:v>
      </x:c>
      <x:c r="K276" s="95" t="n">
        <x:v>3</x:v>
      </x:c>
      <x:c r="L276" s="95" t="n">
        <x:v>1</x:v>
      </x:c>
      <x:c r="M276" s="96" t="n">
        <x:f>IFERROR(G276/F276,0)</x:f>
        <x:v>0.8974358974358975</x:v>
      </x:c>
      <x:c r="N276" s="96" t="n">
        <x:f>IFERROR(H276/G276,0)</x:f>
        <x:v>0.6857142857142857</x:v>
      </x:c>
      <x:c r="O276" s="96" t="n">
        <x:f>IFERROR(I276/H276,0)</x:f>
        <x:v>0.9166666666666666</x:v>
      </x:c>
      <x:c r="P276" s="96" t="n">
        <x:f>IFERROR(J276/I276,0)</x:f>
        <x:v>0.5</x:v>
      </x:c>
      <x:c r="Q276" s="96" t="n">
        <x:f>IFERROR(L276/J276,0)</x:f>
        <x:v>0.09090909090909091</x:v>
      </x:c>
      <x:c r="R276" s="96" t="n">
        <x:f>IFERROR(L276/F276,0)</x:f>
        <x:v>0.02564102564102564</x:v>
      </x:c>
      <x:c r="S276" s="95" t="n">
        <x:v>64</x:v>
      </x:c>
      <x:c r="T276" s="94" t="str">
        <x:v>末次点击7天</x:v>
      </x:c>
    </x:row>
    <x:row r="277">
      <x:c r="A277" s="92" t="str">
        <x:v>PROC-0276</x:v>
      </x:c>
      <x:c r="B277" s="93" t="n">
        <x:v>46072</x:v>
      </x:c>
      <x:c r="C277" s="94" t="str">
        <x:v>Google Ads</x:v>
      </x:c>
      <x:c r="D277" s="94" t="str">
        <x:v>德国</x:v>
      </x:c>
      <x:c r="E277" s="94" t="str">
        <x:v>品牌搜索</x:v>
      </x:c>
      <x:c r="F277" s="95" t="n">
        <x:v>40</x:v>
      </x:c>
      <x:c r="G277" s="95" t="n">
        <x:v>36</x:v>
      </x:c>
      <x:c r="H277" s="95" t="n">
        <x:v>23</x:v>
      </x:c>
      <x:c r="I277" s="95" t="n">
        <x:v>18</x:v>
      </x:c>
      <x:c r="J277" s="95" t="n">
        <x:v>9</x:v>
      </x:c>
      <x:c r="K277" s="95" t="n">
        <x:v>3</x:v>
      </x:c>
      <x:c r="L277" s="95" t="n">
        <x:v>1</x:v>
      </x:c>
      <x:c r="M277" s="96" t="n">
        <x:f>IFERROR(G277/F277,0)</x:f>
        <x:v>0.9</x:v>
      </x:c>
      <x:c r="N277" s="96" t="n">
        <x:f>IFERROR(H277/G277,0)</x:f>
        <x:v>0.6388888888888888</x:v>
      </x:c>
      <x:c r="O277" s="96" t="n">
        <x:f>IFERROR(I277/H277,0)</x:f>
        <x:v>0.782608695652174</x:v>
      </x:c>
      <x:c r="P277" s="96" t="n">
        <x:f>IFERROR(J277/I277,0)</x:f>
        <x:v>0.5</x:v>
      </x:c>
      <x:c r="Q277" s="96" t="n">
        <x:f>IFERROR(L277/J277,0)</x:f>
        <x:v>0.1111111111111111</x:v>
      </x:c>
      <x:c r="R277" s="96" t="n">
        <x:f>IFERROR(L277/F277,0)</x:f>
        <x:v>0.025</x:v>
      </x:c>
      <x:c r="S277" s="95" t="n">
        <x:v>99</x:v>
      </x:c>
      <x:c r="T277" s="94" t="str">
        <x:v>末次点击7天</x:v>
      </x:c>
    </x:row>
    <x:row r="278">
      <x:c r="A278" s="92" t="str">
        <x:v>PROC-0277</x:v>
      </x:c>
      <x:c r="B278" s="93" t="n">
        <x:v>46072</x:v>
      </x:c>
      <x:c r="C278" s="94" t="str">
        <x:v>Google Ads</x:v>
      </x:c>
      <x:c r="D278" s="94" t="str">
        <x:v>美国</x:v>
      </x:c>
      <x:c r="E278" s="94" t="str">
        <x:v>竞品搜索</x:v>
      </x:c>
      <x:c r="F278" s="95" t="n">
        <x:v>21</x:v>
      </x:c>
      <x:c r="G278" s="95" t="n">
        <x:v>18</x:v>
      </x:c>
      <x:c r="H278" s="95" t="n">
        <x:v>13</x:v>
      </x:c>
      <x:c r="I278" s="95" t="n">
        <x:v>10</x:v>
      </x:c>
      <x:c r="J278" s="95" t="n">
        <x:v>4</x:v>
      </x:c>
      <x:c r="K278" s="95" t="n">
        <x:v>1</x:v>
      </x:c>
      <x:c r="L278" s="95" t="n">
        <x:v>0</x:v>
      </x:c>
      <x:c r="M278" s="96" t="n">
        <x:f>IFERROR(G278/F278,0)</x:f>
        <x:v>0.8571428571428571</x:v>
      </x:c>
      <x:c r="N278" s="96" t="n">
        <x:f>IFERROR(H278/G278,0)</x:f>
        <x:v>0.7222222222222222</x:v>
      </x:c>
      <x:c r="O278" s="96" t="n">
        <x:f>IFERROR(I278/H278,0)</x:f>
        <x:v>0.7692307692307693</x:v>
      </x:c>
      <x:c r="P278" s="96" t="n">
        <x:f>IFERROR(J278/I278,0)</x:f>
        <x:v>0.4</x:v>
      </x:c>
      <x:c r="Q278" s="96" t="n">
        <x:f>IFERROR(L278/J278,0)</x:f>
        <x:v>0</x:v>
      </x:c>
      <x:c r="R278" s="96" t="n">
        <x:f>IFERROR(L278/F278,0)</x:f>
        <x:v>0</x:v>
      </x:c>
      <x:c r="S278" s="95" t="n">
        <x:v>113</x:v>
      </x:c>
      <x:c r="T278" s="94" t="str">
        <x:v>末次点击7天</x:v>
      </x:c>
    </x:row>
    <x:row r="279">
      <x:c r="A279" s="92" t="str">
        <x:v>PROC-0278</x:v>
      </x:c>
      <x:c r="B279" s="93" t="n">
        <x:v>46073</x:v>
      </x:c>
      <x:c r="C279" s="94" t="str">
        <x:v>Google Ads</x:v>
      </x:c>
      <x:c r="D279" s="94" t="str">
        <x:v>德国</x:v>
      </x:c>
      <x:c r="E279" s="94" t="str">
        <x:v>购物广告</x:v>
      </x:c>
      <x:c r="F279" s="95" t="n">
        <x:v>41</x:v>
      </x:c>
      <x:c r="G279" s="95" t="n">
        <x:v>37</x:v>
      </x:c>
      <x:c r="H279" s="95" t="n">
        <x:v>29</x:v>
      </x:c>
      <x:c r="I279" s="95" t="n">
        <x:v>26</x:v>
      </x:c>
      <x:c r="J279" s="95" t="n">
        <x:v>11</x:v>
      </x:c>
      <x:c r="K279" s="95" t="n">
        <x:v>4</x:v>
      </x:c>
      <x:c r="L279" s="95" t="n">
        <x:v>1</x:v>
      </x:c>
      <x:c r="M279" s="96" t="n">
        <x:f>IFERROR(G279/F279,0)</x:f>
        <x:v>0.9024390243902439</x:v>
      </x:c>
      <x:c r="N279" s="96" t="n">
        <x:f>IFERROR(H279/G279,0)</x:f>
        <x:v>0.7837837837837838</x:v>
      </x:c>
      <x:c r="O279" s="96" t="n">
        <x:f>IFERROR(I279/H279,0)</x:f>
        <x:v>0.896551724137931</x:v>
      </x:c>
      <x:c r="P279" s="96" t="n">
        <x:f>IFERROR(J279/I279,0)</x:f>
        <x:v>0.4230769230769231</x:v>
      </x:c>
      <x:c r="Q279" s="96" t="n">
        <x:f>IFERROR(L279/J279,0)</x:f>
        <x:v>0.09090909090909091</x:v>
      </x:c>
      <x:c r="R279" s="96" t="n">
        <x:f>IFERROR(L279/F279,0)</x:f>
        <x:v>0.024390243902439025</x:v>
      </x:c>
      <x:c r="S279" s="95" t="n">
        <x:v>103</x:v>
      </x:c>
      <x:c r="T279" s="94" t="str">
        <x:v>末次点击7天</x:v>
      </x:c>
    </x:row>
    <x:row r="280">
      <x:c r="A280" s="92" t="str">
        <x:v>PROC-0279</x:v>
      </x:c>
      <x:c r="B280" s="93" t="n">
        <x:v>46073</x:v>
      </x:c>
      <x:c r="C280" s="94" t="str">
        <x:v>Microsoft Ads</x:v>
      </x:c>
      <x:c r="D280" s="94" t="str">
        <x:v>美国</x:v>
      </x:c>
      <x:c r="E280" s="94" t="str">
        <x:v>购物广告</x:v>
      </x:c>
      <x:c r="F280" s="95" t="n">
        <x:v>46</x:v>
      </x:c>
      <x:c r="G280" s="95" t="n">
        <x:v>43</x:v>
      </x:c>
      <x:c r="H280" s="95" t="n">
        <x:v>31</x:v>
      </x:c>
      <x:c r="I280" s="95" t="n">
        <x:v>27</x:v>
      </x:c>
      <x:c r="J280" s="95" t="n">
        <x:v>12</x:v>
      </x:c>
      <x:c r="K280" s="95" t="n">
        <x:v>3</x:v>
      </x:c>
      <x:c r="L280" s="95" t="n">
        <x:v>1</x:v>
      </x:c>
      <x:c r="M280" s="96" t="n">
        <x:f>IFERROR(G280/F280,0)</x:f>
        <x:v>0.9347826086956522</x:v>
      </x:c>
      <x:c r="N280" s="96" t="n">
        <x:f>IFERROR(H280/G280,0)</x:f>
        <x:v>0.7209302325581395</x:v>
      </x:c>
      <x:c r="O280" s="96" t="n">
        <x:f>IFERROR(I280/H280,0)</x:f>
        <x:v>0.8709677419354839</x:v>
      </x:c>
      <x:c r="P280" s="96" t="n">
        <x:f>IFERROR(J280/I280,0)</x:f>
        <x:v>0.4444444444444444</x:v>
      </x:c>
      <x:c r="Q280" s="96" t="n">
        <x:f>IFERROR(L280/J280,0)</x:f>
        <x:v>0.08333333333333333</x:v>
      </x:c>
      <x:c r="R280" s="96" t="n">
        <x:f>IFERROR(L280/F280,0)</x:f>
        <x:v>0.021739130434782608</x:v>
      </x:c>
      <x:c r="S280" s="95" t="n">
        <x:v>120</x:v>
      </x:c>
      <x:c r="T280" s="94" t="str">
        <x:v>末次点击7天</x:v>
      </x:c>
    </x:row>
    <x:row r="281">
      <x:c r="A281" s="92" t="str">
        <x:v>PROC-0280</x:v>
      </x:c>
      <x:c r="B281" s="93" t="n">
        <x:v>46073</x:v>
      </x:c>
      <x:c r="C281" s="94" t="str">
        <x:v>Google Ads</x:v>
      </x:c>
      <x:c r="D281" s="94" t="str">
        <x:v>美国</x:v>
      </x:c>
      <x:c r="E281" s="94" t="str">
        <x:v>购物广告</x:v>
      </x:c>
      <x:c r="F281" s="95" t="n">
        <x:v>44</x:v>
      </x:c>
      <x:c r="G281" s="95" t="n">
        <x:v>39</x:v>
      </x:c>
      <x:c r="H281" s="95" t="n">
        <x:v>27</x:v>
      </x:c>
      <x:c r="I281" s="95" t="n">
        <x:v>24</x:v>
      </x:c>
      <x:c r="J281" s="95" t="n">
        <x:v>10</x:v>
      </x:c>
      <x:c r="K281" s="95" t="n">
        <x:v>3</x:v>
      </x:c>
      <x:c r="L281" s="95" t="n">
        <x:v>1</x:v>
      </x:c>
      <x:c r="M281" s="96" t="n">
        <x:f>IFERROR(G281/F281,0)</x:f>
        <x:v>0.8863636363636364</x:v>
      </x:c>
      <x:c r="N281" s="96" t="n">
        <x:f>IFERROR(H281/G281,0)</x:f>
        <x:v>0.6923076923076923</x:v>
      </x:c>
      <x:c r="O281" s="96" t="n">
        <x:f>IFERROR(I281/H281,0)</x:f>
        <x:v>0.8888888888888888</x:v>
      </x:c>
      <x:c r="P281" s="96" t="n">
        <x:f>IFERROR(J281/I281,0)</x:f>
        <x:v>0.4166666666666667</x:v>
      </x:c>
      <x:c r="Q281" s="96" t="n">
        <x:f>IFERROR(L281/J281,0)</x:f>
        <x:v>0.1</x:v>
      </x:c>
      <x:c r="R281" s="96" t="n">
        <x:f>IFERROR(L281/F281,0)</x:f>
        <x:v>0.022727272727272728</x:v>
      </x:c>
      <x:c r="S281" s="95" t="n">
        <x:v>45</x:v>
      </x:c>
      <x:c r="T281" s="94" t="str">
        <x:v>末次点击7天</x:v>
      </x:c>
    </x:row>
    <x:row r="282">
      <x:c r="A282" s="92" t="str">
        <x:v>PROC-0281</x:v>
      </x:c>
      <x:c r="B282" s="93" t="n">
        <x:v>46073</x:v>
      </x:c>
      <x:c r="C282" s="94" t="str">
        <x:v>Google Ads</x:v>
      </x:c>
      <x:c r="D282" s="94" t="str">
        <x:v>美国</x:v>
      </x:c>
      <x:c r="E282" s="94" t="str">
        <x:v>通用搜索</x:v>
      </x:c>
      <x:c r="F282" s="95" t="n">
        <x:v>38</x:v>
      </x:c>
      <x:c r="G282" s="95" t="n">
        <x:v>35</x:v>
      </x:c>
      <x:c r="H282" s="95" t="n">
        <x:v>26</x:v>
      </x:c>
      <x:c r="I282" s="95" t="n">
        <x:v>22</x:v>
      </x:c>
      <x:c r="J282" s="95" t="n">
        <x:v>9</x:v>
      </x:c>
      <x:c r="K282" s="95" t="n">
        <x:v>3</x:v>
      </x:c>
      <x:c r="L282" s="95" t="n">
        <x:v>1</x:v>
      </x:c>
      <x:c r="M282" s="96" t="n">
        <x:f>IFERROR(G282/F282,0)</x:f>
        <x:v>0.9210526315789473</x:v>
      </x:c>
      <x:c r="N282" s="96" t="n">
        <x:f>IFERROR(H282/G282,0)</x:f>
        <x:v>0.7428571428571429</x:v>
      </x:c>
      <x:c r="O282" s="96" t="n">
        <x:f>IFERROR(I282/H282,0)</x:f>
        <x:v>0.8461538461538461</x:v>
      </x:c>
      <x:c r="P282" s="96" t="n">
        <x:f>IFERROR(J282/I282,0)</x:f>
        <x:v>0.4090909090909091</x:v>
      </x:c>
      <x:c r="Q282" s="96" t="n">
        <x:f>IFERROR(L282/J282,0)</x:f>
        <x:v>0.1111111111111111</x:v>
      </x:c>
      <x:c r="R282" s="96" t="n">
        <x:f>IFERROR(L282/F282,0)</x:f>
        <x:v>0.02631578947368421</x:v>
      </x:c>
      <x:c r="S282" s="95" t="n">
        <x:v>85</x:v>
      </x:c>
      <x:c r="T282" s="94" t="str">
        <x:v>末次点击7天</x:v>
      </x:c>
    </x:row>
    <x:row r="283">
      <x:c r="A283" s="92" t="str">
        <x:v>PROC-0282</x:v>
      </x:c>
      <x:c r="B283" s="93" t="n">
        <x:v>46073</x:v>
      </x:c>
      <x:c r="C283" s="94" t="str">
        <x:v>Google Ads</x:v>
      </x:c>
      <x:c r="D283" s="94" t="str">
        <x:v>英国</x:v>
      </x:c>
      <x:c r="E283" s="94" t="str">
        <x:v>购物广告</x:v>
      </x:c>
      <x:c r="F283" s="95" t="n">
        <x:v>52</x:v>
      </x:c>
      <x:c r="G283" s="95" t="n">
        <x:v>46</x:v>
      </x:c>
      <x:c r="H283" s="95" t="n">
        <x:v>32</x:v>
      </x:c>
      <x:c r="I283" s="95" t="n">
        <x:v>29</x:v>
      </x:c>
      <x:c r="J283" s="95" t="n">
        <x:v>15</x:v>
      </x:c>
      <x:c r="K283" s="95" t="n">
        <x:v>3</x:v>
      </x:c>
      <x:c r="L283" s="95" t="n">
        <x:v>1</x:v>
      </x:c>
      <x:c r="M283" s="96" t="n">
        <x:f>IFERROR(G283/F283,0)</x:f>
        <x:v>0.8846153846153846</x:v>
      </x:c>
      <x:c r="N283" s="96" t="n">
        <x:f>IFERROR(H283/G283,0)</x:f>
        <x:v>0.6956521739130435</x:v>
      </x:c>
      <x:c r="O283" s="96" t="n">
        <x:f>IFERROR(I283/H283,0)</x:f>
        <x:v>0.90625</x:v>
      </x:c>
      <x:c r="P283" s="96" t="n">
        <x:f>IFERROR(J283/I283,0)</x:f>
        <x:v>0.5172413793103449</x:v>
      </x:c>
      <x:c r="Q283" s="96" t="n">
        <x:f>IFERROR(L283/J283,0)</x:f>
        <x:v>0.06666666666666667</x:v>
      </x:c>
      <x:c r="R283" s="96" t="n">
        <x:f>IFERROR(L283/F283,0)</x:f>
        <x:v>0.019230769230769232</x:v>
      </x:c>
      <x:c r="S283" s="95" t="n">
        <x:v>107</x:v>
      </x:c>
      <x:c r="T283" s="94" t="str">
        <x:v>末次点击7天</x:v>
      </x:c>
    </x:row>
    <x:row r="284">
      <x:c r="A284" s="92" t="str">
        <x:v>PROC-0283</x:v>
      </x:c>
      <x:c r="B284" s="93" t="n">
        <x:v>46074</x:v>
      </x:c>
      <x:c r="C284" s="94" t="str">
        <x:v>Google Ads</x:v>
      </x:c>
      <x:c r="D284" s="94" t="str">
        <x:v>美国</x:v>
      </x:c>
      <x:c r="E284" s="94" t="str">
        <x:v>购物广告</x:v>
      </x:c>
      <x:c r="F284" s="95" t="n">
        <x:v>63</x:v>
      </x:c>
      <x:c r="G284" s="95" t="n">
        <x:v>55</x:v>
      </x:c>
      <x:c r="H284" s="95" t="n">
        <x:v>39</x:v>
      </x:c>
      <x:c r="I284" s="95" t="n">
        <x:v>36</x:v>
      </x:c>
      <x:c r="J284" s="95" t="n">
        <x:v>16</x:v>
      </x:c>
      <x:c r="K284" s="95" t="n">
        <x:v>4</x:v>
      </x:c>
      <x:c r="L284" s="95" t="n">
        <x:v>1</x:v>
      </x:c>
      <x:c r="M284" s="96" t="n">
        <x:f>IFERROR(G284/F284,0)</x:f>
        <x:v>0.873015873015873</x:v>
      </x:c>
      <x:c r="N284" s="96" t="n">
        <x:f>IFERROR(H284/G284,0)</x:f>
        <x:v>0.7090909090909091</x:v>
      </x:c>
      <x:c r="O284" s="96" t="n">
        <x:f>IFERROR(I284/H284,0)</x:f>
        <x:v>0.9230769230769231</x:v>
      </x:c>
      <x:c r="P284" s="96" t="n">
        <x:f>IFERROR(J284/I284,0)</x:f>
        <x:v>0.4444444444444444</x:v>
      </x:c>
      <x:c r="Q284" s="96" t="n">
        <x:f>IFERROR(L284/J284,0)</x:f>
        <x:v>0.0625</x:v>
      </x:c>
      <x:c r="R284" s="96" t="n">
        <x:f>IFERROR(L284/F284,0)</x:f>
        <x:v>0.015873015873015872</x:v>
      </x:c>
      <x:c r="S284" s="95" t="n">
        <x:v>43</x:v>
      </x:c>
      <x:c r="T284" s="94" t="str">
        <x:v>末次点击7天</x:v>
      </x:c>
    </x:row>
    <x:row r="285">
      <x:c r="A285" s="92" t="str">
        <x:v>PROC-0284</x:v>
      </x:c>
      <x:c r="B285" s="93" t="n">
        <x:v>46074</x:v>
      </x:c>
      <x:c r="C285" s="94" t="str">
        <x:v>Google Ads</x:v>
      </x:c>
      <x:c r="D285" s="94" t="str">
        <x:v>德国</x:v>
      </x:c>
      <x:c r="E285" s="94" t="str">
        <x:v>通用搜索</x:v>
      </x:c>
      <x:c r="F285" s="95" t="n">
        <x:v>44</x:v>
      </x:c>
      <x:c r="G285" s="95" t="n">
        <x:v>40</x:v>
      </x:c>
      <x:c r="H285" s="95" t="n">
        <x:v>26</x:v>
      </x:c>
      <x:c r="I285" s="95" t="n">
        <x:v>22</x:v>
      </x:c>
      <x:c r="J285" s="95" t="n">
        <x:v>10</x:v>
      </x:c>
      <x:c r="K285" s="95" t="n">
        <x:v>2</x:v>
      </x:c>
      <x:c r="L285" s="95" t="n">
        <x:v>1</x:v>
      </x:c>
      <x:c r="M285" s="96" t="n">
        <x:f>IFERROR(G285/F285,0)</x:f>
        <x:v>0.9090909090909091</x:v>
      </x:c>
      <x:c r="N285" s="96" t="n">
        <x:f>IFERROR(H285/G285,0)</x:f>
        <x:v>0.65</x:v>
      </x:c>
      <x:c r="O285" s="96" t="n">
        <x:f>IFERROR(I285/H285,0)</x:f>
        <x:v>0.8461538461538461</x:v>
      </x:c>
      <x:c r="P285" s="96" t="n">
        <x:f>IFERROR(J285/I285,0)</x:f>
        <x:v>0.45454545454545453</x:v>
      </x:c>
      <x:c r="Q285" s="96" t="n">
        <x:f>IFERROR(L285/J285,0)</x:f>
        <x:v>0.1</x:v>
      </x:c>
      <x:c r="R285" s="96" t="n">
        <x:f>IFERROR(L285/F285,0)</x:f>
        <x:v>0.022727272727272728</x:v>
      </x:c>
      <x:c r="S285" s="95" t="n">
        <x:v>149</x:v>
      </x:c>
      <x:c r="T285" s="94" t="str">
        <x:v>末次点击7天</x:v>
      </x:c>
    </x:row>
    <x:row r="286">
      <x:c r="A286" s="92" t="str">
        <x:v>PROC-0285</x:v>
      </x:c>
      <x:c r="B286" s="93" t="n">
        <x:v>46074</x:v>
      </x:c>
      <x:c r="C286" s="94" t="str">
        <x:v>Microsoft Ads</x:v>
      </x:c>
      <x:c r="D286" s="94" t="str">
        <x:v>德国</x:v>
      </x:c>
      <x:c r="E286" s="94" t="str">
        <x:v>通用搜索</x:v>
      </x:c>
      <x:c r="F286" s="95" t="n">
        <x:v>28</x:v>
      </x:c>
      <x:c r="G286" s="95" t="n">
        <x:v>26</x:v>
      </x:c>
      <x:c r="H286" s="95" t="n">
        <x:v>18</x:v>
      </x:c>
      <x:c r="I286" s="95" t="n">
        <x:v>15</x:v>
      </x:c>
      <x:c r="J286" s="95" t="n">
        <x:v>7</x:v>
      </x:c>
      <x:c r="K286" s="95" t="n">
        <x:v>2</x:v>
      </x:c>
      <x:c r="L286" s="95" t="n">
        <x:v>1</x:v>
      </x:c>
      <x:c r="M286" s="96" t="n">
        <x:f>IFERROR(G286/F286,0)</x:f>
        <x:v>0.9285714285714286</x:v>
      </x:c>
      <x:c r="N286" s="96" t="n">
        <x:f>IFERROR(H286/G286,0)</x:f>
        <x:v>0.6923076923076923</x:v>
      </x:c>
      <x:c r="O286" s="96" t="n">
        <x:f>IFERROR(I286/H286,0)</x:f>
        <x:v>0.8333333333333334</x:v>
      </x:c>
      <x:c r="P286" s="96" t="n">
        <x:f>IFERROR(J286/I286,0)</x:f>
        <x:v>0.4666666666666667</x:v>
      </x:c>
      <x:c r="Q286" s="96" t="n">
        <x:f>IFERROR(L286/J286,0)</x:f>
        <x:v>0.14285714285714285</x:v>
      </x:c>
      <x:c r="R286" s="96" t="n">
        <x:f>IFERROR(L286/F286,0)</x:f>
        <x:v>0.03571428571428571</x:v>
      </x:c>
      <x:c r="S286" s="95" t="n">
        <x:v>48</x:v>
      </x:c>
      <x:c r="T286" s="94" t="str">
        <x:v>末次点击7天</x:v>
      </x:c>
    </x:row>
    <x:row r="287">
      <x:c r="A287" s="92" t="str">
        <x:v>PROC-0286</x:v>
      </x:c>
      <x:c r="B287" s="93" t="n">
        <x:v>46074</x:v>
      </x:c>
      <x:c r="C287" s="94" t="str">
        <x:v>Google Ads</x:v>
      </x:c>
      <x:c r="D287" s="94" t="str">
        <x:v>英国</x:v>
      </x:c>
      <x:c r="E287" s="94" t="str">
        <x:v>竞品搜索</x:v>
      </x:c>
      <x:c r="F287" s="95" t="n">
        <x:v>38</x:v>
      </x:c>
      <x:c r="G287" s="95" t="n">
        <x:v>34</x:v>
      </x:c>
      <x:c r="H287" s="95" t="n">
        <x:v>22</x:v>
      </x:c>
      <x:c r="I287" s="95" t="n">
        <x:v>19</x:v>
      </x:c>
      <x:c r="J287" s="95" t="n">
        <x:v>8</x:v>
      </x:c>
      <x:c r="K287" s="95" t="n">
        <x:v>3</x:v>
      </x:c>
      <x:c r="L287" s="95" t="n">
        <x:v>1</x:v>
      </x:c>
      <x:c r="M287" s="96" t="n">
        <x:f>IFERROR(G287/F287,0)</x:f>
        <x:v>0.8947368421052632</x:v>
      </x:c>
      <x:c r="N287" s="96" t="n">
        <x:f>IFERROR(H287/G287,0)</x:f>
        <x:v>0.6470588235294118</x:v>
      </x:c>
      <x:c r="O287" s="96" t="n">
        <x:f>IFERROR(I287/H287,0)</x:f>
        <x:v>0.8636363636363636</x:v>
      </x:c>
      <x:c r="P287" s="96" t="n">
        <x:f>IFERROR(J287/I287,0)</x:f>
        <x:v>0.42105263157894735</x:v>
      </x:c>
      <x:c r="Q287" s="96" t="n">
        <x:f>IFERROR(L287/J287,0)</x:f>
        <x:v>0.125</x:v>
      </x:c>
      <x:c r="R287" s="96" t="n">
        <x:f>IFERROR(L287/F287,0)</x:f>
        <x:v>0.02631578947368421</x:v>
      </x:c>
      <x:c r="S287" s="95" t="n">
        <x:v>139</x:v>
      </x:c>
      <x:c r="T287" s="94" t="str">
        <x:v>末次点击7天</x:v>
      </x:c>
    </x:row>
    <x:row r="288">
      <x:c r="A288" s="92" t="str">
        <x:v>PROC-0287</x:v>
      </x:c>
      <x:c r="B288" s="93" t="n">
        <x:v>46074</x:v>
      </x:c>
      <x:c r="C288" s="94" t="str">
        <x:v>Google Ads</x:v>
      </x:c>
      <x:c r="D288" s="94" t="str">
        <x:v>德国</x:v>
      </x:c>
      <x:c r="E288" s="94" t="str">
        <x:v>购物广告</x:v>
      </x:c>
      <x:c r="F288" s="95" t="n">
        <x:v>52</x:v>
      </x:c>
      <x:c r="G288" s="95" t="n">
        <x:v>48</x:v>
      </x:c>
      <x:c r="H288" s="95" t="n">
        <x:v>35</x:v>
      </x:c>
      <x:c r="I288" s="95" t="n">
        <x:v>29</x:v>
      </x:c>
      <x:c r="J288" s="95" t="n">
        <x:v>12</x:v>
      </x:c>
      <x:c r="K288" s="95" t="n">
        <x:v>3</x:v>
      </x:c>
      <x:c r="L288" s="95" t="n">
        <x:v>1</x:v>
      </x:c>
      <x:c r="M288" s="96" t="n">
        <x:f>IFERROR(G288/F288,0)</x:f>
        <x:v>0.9230769230769231</x:v>
      </x:c>
      <x:c r="N288" s="96" t="n">
        <x:f>IFERROR(H288/G288,0)</x:f>
        <x:v>0.7291666666666666</x:v>
      </x:c>
      <x:c r="O288" s="96" t="n">
        <x:f>IFERROR(I288/H288,0)</x:f>
        <x:v>0.8285714285714286</x:v>
      </x:c>
      <x:c r="P288" s="96" t="n">
        <x:f>IFERROR(J288/I288,0)</x:f>
        <x:v>0.41379310344827586</x:v>
      </x:c>
      <x:c r="Q288" s="96" t="n">
        <x:f>IFERROR(L288/J288,0)</x:f>
        <x:v>0.08333333333333333</x:v>
      </x:c>
      <x:c r="R288" s="96" t="n">
        <x:f>IFERROR(L288/F288,0)</x:f>
        <x:v>0.019230769230769232</x:v>
      </x:c>
      <x:c r="S288" s="95" t="n">
        <x:v>135</x:v>
      </x:c>
      <x:c r="T288" s="94" t="str">
        <x:v>末次点击7天</x:v>
      </x:c>
    </x:row>
    <x:row r="289">
      <x:c r="A289" s="92" t="str">
        <x:v>PROC-0288</x:v>
      </x:c>
      <x:c r="B289" s="93" t="n">
        <x:v>46074</x:v>
      </x:c>
      <x:c r="C289" s="94" t="str">
        <x:v>Google Ads</x:v>
      </x:c>
      <x:c r="D289" s="94" t="str">
        <x:v>美国</x:v>
      </x:c>
      <x:c r="E289" s="94" t="str">
        <x:v>品牌搜索</x:v>
      </x:c>
      <x:c r="F289" s="95" t="n">
        <x:v>36</x:v>
      </x:c>
      <x:c r="G289" s="95" t="n">
        <x:v>33</x:v>
      </x:c>
      <x:c r="H289" s="95" t="n">
        <x:v>23</x:v>
      </x:c>
      <x:c r="I289" s="95" t="n">
        <x:v>19</x:v>
      </x:c>
      <x:c r="J289" s="95" t="n">
        <x:v>10</x:v>
      </x:c>
      <x:c r="K289" s="95" t="n">
        <x:v>3</x:v>
      </x:c>
      <x:c r="L289" s="95" t="n">
        <x:v>1</x:v>
      </x:c>
      <x:c r="M289" s="96" t="n">
        <x:f>IFERROR(G289/F289,0)</x:f>
        <x:v>0.9166666666666666</x:v>
      </x:c>
      <x:c r="N289" s="96" t="n">
        <x:f>IFERROR(H289/G289,0)</x:f>
        <x:v>0.696969696969697</x:v>
      </x:c>
      <x:c r="O289" s="96" t="n">
        <x:f>IFERROR(I289/H289,0)</x:f>
        <x:v>0.8260869565217391</x:v>
      </x:c>
      <x:c r="P289" s="96" t="n">
        <x:f>IFERROR(J289/I289,0)</x:f>
        <x:v>0.5263157894736842</x:v>
      </x:c>
      <x:c r="Q289" s="96" t="n">
        <x:f>IFERROR(L289/J289,0)</x:f>
        <x:v>0.1</x:v>
      </x:c>
      <x:c r="R289" s="96" t="n">
        <x:f>IFERROR(L289/F289,0)</x:f>
        <x:v>0.027777777777777776</x:v>
      </x:c>
      <x:c r="S289" s="95" t="n">
        <x:v>120</x:v>
      </x:c>
      <x:c r="T289" s="94" t="str">
        <x:v>末次点击7天</x:v>
      </x:c>
    </x:row>
    <x:row r="290">
      <x:c r="A290" s="92" t="str">
        <x:v>PROC-0289</x:v>
      </x:c>
      <x:c r="B290" s="93" t="n">
        <x:v>46075</x:v>
      </x:c>
      <x:c r="C290" s="94" t="str">
        <x:v>Google Ads</x:v>
      </x:c>
      <x:c r="D290" s="94" t="str">
        <x:v>日本</x:v>
      </x:c>
      <x:c r="E290" s="94" t="str">
        <x:v>通用搜索</x:v>
      </x:c>
      <x:c r="F290" s="95" t="n">
        <x:v>49</x:v>
      </x:c>
      <x:c r="G290" s="95" t="n">
        <x:v>46</x:v>
      </x:c>
      <x:c r="H290" s="95" t="n">
        <x:v>29</x:v>
      </x:c>
      <x:c r="I290" s="95" t="n">
        <x:v>24</x:v>
      </x:c>
      <x:c r="J290" s="95" t="n">
        <x:v>11</x:v>
      </x:c>
      <x:c r="K290" s="95" t="n">
        <x:v>2</x:v>
      </x:c>
      <x:c r="L290" s="95" t="n">
        <x:v>1</x:v>
      </x:c>
      <x:c r="M290" s="96" t="n">
        <x:f>IFERROR(G290/F290,0)</x:f>
        <x:v>0.9387755102040817</x:v>
      </x:c>
      <x:c r="N290" s="96" t="n">
        <x:f>IFERROR(H290/G290,0)</x:f>
        <x:v>0.6304347826086957</x:v>
      </x:c>
      <x:c r="O290" s="96" t="n">
        <x:f>IFERROR(I290/H290,0)</x:f>
        <x:v>0.8275862068965517</x:v>
      </x:c>
      <x:c r="P290" s="96" t="n">
        <x:f>IFERROR(J290/I290,0)</x:f>
        <x:v>0.4583333333333333</x:v>
      </x:c>
      <x:c r="Q290" s="96" t="n">
        <x:f>IFERROR(L290/J290,0)</x:f>
        <x:v>0.09090909090909091</x:v>
      </x:c>
      <x:c r="R290" s="96" t="n">
        <x:f>IFERROR(L290/F290,0)</x:f>
        <x:v>0.02040816326530612</x:v>
      </x:c>
      <x:c r="S290" s="95" t="n">
        <x:v>53</x:v>
      </x:c>
      <x:c r="T290" s="94" t="str">
        <x:v>末次点击7天</x:v>
      </x:c>
    </x:row>
    <x:row r="291">
      <x:c r="A291" s="92" t="str">
        <x:v>PROC-0290</x:v>
      </x:c>
      <x:c r="B291" s="93" t="n">
        <x:v>46075</x:v>
      </x:c>
      <x:c r="C291" s="94" t="str">
        <x:v>Google Ads</x:v>
      </x:c>
      <x:c r="D291" s="94" t="str">
        <x:v>美国</x:v>
      </x:c>
      <x:c r="E291" s="94" t="str">
        <x:v>购物广告</x:v>
      </x:c>
      <x:c r="F291" s="95" t="n">
        <x:v>52</x:v>
      </x:c>
      <x:c r="G291" s="95" t="n">
        <x:v>46</x:v>
      </x:c>
      <x:c r="H291" s="95" t="n">
        <x:v>33</x:v>
      </x:c>
      <x:c r="I291" s="95" t="n">
        <x:v>28</x:v>
      </x:c>
      <x:c r="J291" s="95" t="n">
        <x:v>12</x:v>
      </x:c>
      <x:c r="K291" s="95" t="n">
        <x:v>3</x:v>
      </x:c>
      <x:c r="L291" s="95" t="n">
        <x:v>1</x:v>
      </x:c>
      <x:c r="M291" s="96" t="n">
        <x:f>IFERROR(G291/F291,0)</x:f>
        <x:v>0.8846153846153846</x:v>
      </x:c>
      <x:c r="N291" s="96" t="n">
        <x:f>IFERROR(H291/G291,0)</x:f>
        <x:v>0.717391304347826</x:v>
      </x:c>
      <x:c r="O291" s="96" t="n">
        <x:f>IFERROR(I291/H291,0)</x:f>
        <x:v>0.8484848484848485</x:v>
      </x:c>
      <x:c r="P291" s="96" t="n">
        <x:f>IFERROR(J291/I291,0)</x:f>
        <x:v>0.42857142857142855</x:v>
      </x:c>
      <x:c r="Q291" s="96" t="n">
        <x:f>IFERROR(L291/J291,0)</x:f>
        <x:v>0.08333333333333333</x:v>
      </x:c>
      <x:c r="R291" s="96" t="n">
        <x:f>IFERROR(L291/F291,0)</x:f>
        <x:v>0.019230769230769232</x:v>
      </x:c>
      <x:c r="S291" s="95" t="n">
        <x:v>129</x:v>
      </x:c>
      <x:c r="T291" s="94" t="str">
        <x:v>末次点击7天</x:v>
      </x:c>
    </x:row>
    <x:row r="292">
      <x:c r="A292" s="92" t="str">
        <x:v>PROC-0291</x:v>
      </x:c>
      <x:c r="B292" s="93" t="n">
        <x:v>46075</x:v>
      </x:c>
      <x:c r="C292" s="94" t="str">
        <x:v>Google Ads</x:v>
      </x:c>
      <x:c r="D292" s="94" t="str">
        <x:v>英国</x:v>
      </x:c>
      <x:c r="E292" s="94" t="str">
        <x:v>品牌搜索</x:v>
      </x:c>
      <x:c r="F292" s="95" t="n">
        <x:v>76</x:v>
      </x:c>
      <x:c r="G292" s="95" t="n">
        <x:v>68</x:v>
      </x:c>
      <x:c r="H292" s="95" t="n">
        <x:v>50</x:v>
      </x:c>
      <x:c r="I292" s="95" t="n">
        <x:v>40</x:v>
      </x:c>
      <x:c r="J292" s="95" t="n">
        <x:v>18</x:v>
      </x:c>
      <x:c r="K292" s="95" t="n">
        <x:v>4</x:v>
      </x:c>
      <x:c r="L292" s="95" t="n">
        <x:v>2</x:v>
      </x:c>
      <x:c r="M292" s="96" t="n">
        <x:f>IFERROR(G292/F292,0)</x:f>
        <x:v>0.8947368421052632</x:v>
      </x:c>
      <x:c r="N292" s="96" t="n">
        <x:f>IFERROR(H292/G292,0)</x:f>
        <x:v>0.7352941176470589</x:v>
      </x:c>
      <x:c r="O292" s="96" t="n">
        <x:f>IFERROR(I292/H292,0)</x:f>
        <x:v>0.8</x:v>
      </x:c>
      <x:c r="P292" s="96" t="n">
        <x:f>IFERROR(J292/I292,0)</x:f>
        <x:v>0.45</x:v>
      </x:c>
      <x:c r="Q292" s="96" t="n">
        <x:f>IFERROR(L292/J292,0)</x:f>
        <x:v>0.1111111111111111</x:v>
      </x:c>
      <x:c r="R292" s="96" t="n">
        <x:f>IFERROR(L292/F292,0)</x:f>
        <x:v>0.02631578947368421</x:v>
      </x:c>
      <x:c r="S292" s="95" t="n">
        <x:v>143</x:v>
      </x:c>
      <x:c r="T292" s="94" t="str">
        <x:v>末次点击7天</x:v>
      </x:c>
    </x:row>
    <x:row r="293">
      <x:c r="A293" s="92" t="str">
        <x:v>PROC-0292</x:v>
      </x:c>
      <x:c r="B293" s="93" t="n">
        <x:v>46075</x:v>
      </x:c>
      <x:c r="C293" s="94" t="str">
        <x:v>Microsoft Ads</x:v>
      </x:c>
      <x:c r="D293" s="94" t="str">
        <x:v>德国</x:v>
      </x:c>
      <x:c r="E293" s="94" t="str">
        <x:v>购物广告</x:v>
      </x:c>
      <x:c r="F293" s="95" t="n">
        <x:v>55</x:v>
      </x:c>
      <x:c r="G293" s="95" t="n">
        <x:v>51</x:v>
      </x:c>
      <x:c r="H293" s="95" t="n">
        <x:v>34</x:v>
      </x:c>
      <x:c r="I293" s="95" t="n">
        <x:v>28</x:v>
      </x:c>
      <x:c r="J293" s="95" t="n">
        <x:v>14</x:v>
      </x:c>
      <x:c r="K293" s="95" t="n">
        <x:v>4</x:v>
      </x:c>
      <x:c r="L293" s="95" t="n">
        <x:v>1</x:v>
      </x:c>
      <x:c r="M293" s="96" t="n">
        <x:f>IFERROR(G293/F293,0)</x:f>
        <x:v>0.9272727272727272</x:v>
      </x:c>
      <x:c r="N293" s="96" t="n">
        <x:f>IFERROR(H293/G293,0)</x:f>
        <x:v>0.6666666666666666</x:v>
      </x:c>
      <x:c r="O293" s="96" t="n">
        <x:f>IFERROR(I293/H293,0)</x:f>
        <x:v>0.8235294117647058</x:v>
      </x:c>
      <x:c r="P293" s="96" t="n">
        <x:f>IFERROR(J293/I293,0)</x:f>
        <x:v>0.5</x:v>
      </x:c>
      <x:c r="Q293" s="96" t="n">
        <x:f>IFERROR(L293/J293,0)</x:f>
        <x:v>0.07142857142857142</x:v>
      </x:c>
      <x:c r="R293" s="96" t="n">
        <x:f>IFERROR(L293/F293,0)</x:f>
        <x:v>0.01818181818181818</x:v>
      </x:c>
      <x:c r="S293" s="95" t="n">
        <x:v>87</x:v>
      </x:c>
      <x:c r="T293" s="94" t="str">
        <x:v>末次点击7天</x:v>
      </x:c>
    </x:row>
    <x:row r="294">
      <x:c r="A294" s="92" t="str">
        <x:v>PROC-0293</x:v>
      </x:c>
      <x:c r="B294" s="93" t="n">
        <x:v>46075</x:v>
      </x:c>
      <x:c r="C294" s="94" t="str">
        <x:v>Microsoft Ads</x:v>
      </x:c>
      <x:c r="D294" s="94" t="str">
        <x:v>美国</x:v>
      </x:c>
      <x:c r="E294" s="94" t="str">
        <x:v>购物广告</x:v>
      </x:c>
      <x:c r="F294" s="95" t="n">
        <x:v>72</x:v>
      </x:c>
      <x:c r="G294" s="95" t="n">
        <x:v>66</x:v>
      </x:c>
      <x:c r="H294" s="95" t="n">
        <x:v>43</x:v>
      </x:c>
      <x:c r="I294" s="95" t="n">
        <x:v>37</x:v>
      </x:c>
      <x:c r="J294" s="95" t="n">
        <x:v>16</x:v>
      </x:c>
      <x:c r="K294" s="95" t="n">
        <x:v>5</x:v>
      </x:c>
      <x:c r="L294" s="95" t="n">
        <x:v>2</x:v>
      </x:c>
      <x:c r="M294" s="96" t="n">
        <x:f>IFERROR(G294/F294,0)</x:f>
        <x:v>0.9166666666666666</x:v>
      </x:c>
      <x:c r="N294" s="96" t="n">
        <x:f>IFERROR(H294/G294,0)</x:f>
        <x:v>0.6515151515151515</x:v>
      </x:c>
      <x:c r="O294" s="96" t="n">
        <x:f>IFERROR(I294/H294,0)</x:f>
        <x:v>0.8604651162790697</x:v>
      </x:c>
      <x:c r="P294" s="96" t="n">
        <x:f>IFERROR(J294/I294,0)</x:f>
        <x:v>0.43243243243243246</x:v>
      </x:c>
      <x:c r="Q294" s="96" t="n">
        <x:f>IFERROR(L294/J294,0)</x:f>
        <x:v>0.125</x:v>
      </x:c>
      <x:c r="R294" s="96" t="n">
        <x:f>IFERROR(L294/F294,0)</x:f>
        <x:v>0.027777777777777776</x:v>
      </x:c>
      <x:c r="S294" s="95" t="n">
        <x:v>58</x:v>
      </x:c>
      <x:c r="T294" s="94" t="str">
        <x:v>末次点击7天</x:v>
      </x:c>
    </x:row>
    <x:row r="295">
      <x:c r="A295" s="92" t="str">
        <x:v>PROC-0294</x:v>
      </x:c>
      <x:c r="B295" s="93" t="n">
        <x:v>46076</x:v>
      </x:c>
      <x:c r="C295" s="94" t="str">
        <x:v>Google Ads</x:v>
      </x:c>
      <x:c r="D295" s="94" t="str">
        <x:v>日本</x:v>
      </x:c>
      <x:c r="E295" s="94" t="str">
        <x:v>购物广告</x:v>
      </x:c>
      <x:c r="F295" s="95" t="n">
        <x:v>67</x:v>
      </x:c>
      <x:c r="G295" s="95" t="n">
        <x:v>59</x:v>
      </x:c>
      <x:c r="H295" s="95" t="n">
        <x:v>43</x:v>
      </x:c>
      <x:c r="I295" s="95" t="n">
        <x:v>37</x:v>
      </x:c>
      <x:c r="J295" s="95" t="n">
        <x:v>16</x:v>
      </x:c>
      <x:c r="K295" s="95" t="n">
        <x:v>3</x:v>
      </x:c>
      <x:c r="L295" s="95" t="n">
        <x:v>1</x:v>
      </x:c>
      <x:c r="M295" s="96" t="n">
        <x:f>IFERROR(G295/F295,0)</x:f>
        <x:v>0.8805970149253731</x:v>
      </x:c>
      <x:c r="N295" s="96" t="n">
        <x:f>IFERROR(H295/G295,0)</x:f>
        <x:v>0.7288135593220338</x:v>
      </x:c>
      <x:c r="O295" s="96" t="n">
        <x:f>IFERROR(I295/H295,0)</x:f>
        <x:v>0.8604651162790697</x:v>
      </x:c>
      <x:c r="P295" s="96" t="n">
        <x:f>IFERROR(J295/I295,0)</x:f>
        <x:v>0.43243243243243246</x:v>
      </x:c>
      <x:c r="Q295" s="96" t="n">
        <x:f>IFERROR(L295/J295,0)</x:f>
        <x:v>0.0625</x:v>
      </x:c>
      <x:c r="R295" s="96" t="n">
        <x:f>IFERROR(L295/F295,0)</x:f>
        <x:v>0.014925373134328358</x:v>
      </x:c>
      <x:c r="S295" s="95" t="n">
        <x:v>98</x:v>
      </x:c>
      <x:c r="T295" s="94" t="str">
        <x:v>末次点击7天</x:v>
      </x:c>
    </x:row>
    <x:row r="296">
      <x:c r="A296" s="92" t="str">
        <x:v>PROC-0295</x:v>
      </x:c>
      <x:c r="B296" s="93" t="n">
        <x:v>46076</x:v>
      </x:c>
      <x:c r="C296" s="94" t="str">
        <x:v>Microsoft Ads</x:v>
      </x:c>
      <x:c r="D296" s="94" t="str">
        <x:v>日本</x:v>
      </x:c>
      <x:c r="E296" s="94" t="str">
        <x:v>通用搜索</x:v>
      </x:c>
      <x:c r="F296" s="95" t="n">
        <x:v>40</x:v>
      </x:c>
      <x:c r="G296" s="95" t="n">
        <x:v>37</x:v>
      </x:c>
      <x:c r="H296" s="95" t="n">
        <x:v>25</x:v>
      </x:c>
      <x:c r="I296" s="95" t="n">
        <x:v>21</x:v>
      </x:c>
      <x:c r="J296" s="95" t="n">
        <x:v>8</x:v>
      </x:c>
      <x:c r="K296" s="95" t="n">
        <x:v>2</x:v>
      </x:c>
      <x:c r="L296" s="95" t="n">
        <x:v>1</x:v>
      </x:c>
      <x:c r="M296" s="96" t="n">
        <x:f>IFERROR(G296/F296,0)</x:f>
        <x:v>0.925</x:v>
      </x:c>
      <x:c r="N296" s="96" t="n">
        <x:f>IFERROR(H296/G296,0)</x:f>
        <x:v>0.6756756756756757</x:v>
      </x:c>
      <x:c r="O296" s="96" t="n">
        <x:f>IFERROR(I296/H296,0)</x:f>
        <x:v>0.84</x:v>
      </x:c>
      <x:c r="P296" s="96" t="n">
        <x:f>IFERROR(J296/I296,0)</x:f>
        <x:v>0.38095238095238093</x:v>
      </x:c>
      <x:c r="Q296" s="96" t="n">
        <x:f>IFERROR(L296/J296,0)</x:f>
        <x:v>0.125</x:v>
      </x:c>
      <x:c r="R296" s="96" t="n">
        <x:f>IFERROR(L296/F296,0)</x:f>
        <x:v>0.025</x:v>
      </x:c>
      <x:c r="S296" s="95" t="n">
        <x:v>75</x:v>
      </x:c>
      <x:c r="T296" s="94" t="str">
        <x:v>末次点击7天</x:v>
      </x:c>
    </x:row>
    <x:row r="297">
      <x:c r="A297" s="92" t="str">
        <x:v>PROC-0296</x:v>
      </x:c>
      <x:c r="B297" s="93" t="n">
        <x:v>46076</x:v>
      </x:c>
      <x:c r="C297" s="94" t="str">
        <x:v>Microsoft Ads</x:v>
      </x:c>
      <x:c r="D297" s="94" t="str">
        <x:v>日本</x:v>
      </x:c>
      <x:c r="E297" s="94" t="str">
        <x:v>竞品搜索</x:v>
      </x:c>
      <x:c r="F297" s="95" t="n">
        <x:v>15</x:v>
      </x:c>
      <x:c r="G297" s="95" t="n">
        <x:v>14</x:v>
      </x:c>
      <x:c r="H297" s="95" t="n">
        <x:v>11</x:v>
      </x:c>
      <x:c r="I297" s="95" t="n">
        <x:v>9</x:v>
      </x:c>
      <x:c r="J297" s="95" t="n">
        <x:v>4</x:v>
      </x:c>
      <x:c r="K297" s="95" t="n">
        <x:v>1</x:v>
      </x:c>
      <x:c r="L297" s="95" t="n">
        <x:v>0</x:v>
      </x:c>
      <x:c r="M297" s="96" t="n">
        <x:f>IFERROR(G297/F297,0)</x:f>
        <x:v>0.9333333333333333</x:v>
      </x:c>
      <x:c r="N297" s="96" t="n">
        <x:f>IFERROR(H297/G297,0)</x:f>
        <x:v>0.7857142857142857</x:v>
      </x:c>
      <x:c r="O297" s="96" t="n">
        <x:f>IFERROR(I297/H297,0)</x:f>
        <x:v>0.8181818181818182</x:v>
      </x:c>
      <x:c r="P297" s="96" t="n">
        <x:f>IFERROR(J297/I297,0)</x:f>
        <x:v>0.4444444444444444</x:v>
      </x:c>
      <x:c r="Q297" s="96" t="n">
        <x:f>IFERROR(L297/J297,0)</x:f>
        <x:v>0</x:v>
      </x:c>
      <x:c r="R297" s="96" t="n">
        <x:f>IFERROR(L297/F297,0)</x:f>
        <x:v>0</x:v>
      </x:c>
      <x:c r="S297" s="95" t="n">
        <x:v>136</x:v>
      </x:c>
      <x:c r="T297" s="94" t="str">
        <x:v>末次点击7天</x:v>
      </x:c>
    </x:row>
    <x:row r="298">
      <x:c r="A298" s="92" t="str">
        <x:v>PROC-0297</x:v>
      </x:c>
      <x:c r="B298" s="93" t="n">
        <x:v>46076</x:v>
      </x:c>
      <x:c r="C298" s="94" t="str">
        <x:v>Google Ads</x:v>
      </x:c>
      <x:c r="D298" s="94" t="str">
        <x:v>英国</x:v>
      </x:c>
      <x:c r="E298" s="94" t="str">
        <x:v>品牌搜索</x:v>
      </x:c>
      <x:c r="F298" s="95" t="n">
        <x:v>63</x:v>
      </x:c>
      <x:c r="G298" s="95" t="n">
        <x:v>58</x:v>
      </x:c>
      <x:c r="H298" s="95" t="n">
        <x:v>38</x:v>
      </x:c>
      <x:c r="I298" s="95" t="n">
        <x:v>31</x:v>
      </x:c>
      <x:c r="J298" s="95" t="n">
        <x:v>14</x:v>
      </x:c>
      <x:c r="K298" s="95" t="n">
        <x:v>3</x:v>
      </x:c>
      <x:c r="L298" s="95" t="n">
        <x:v>2</x:v>
      </x:c>
      <x:c r="M298" s="96" t="n">
        <x:f>IFERROR(G298/F298,0)</x:f>
        <x:v>0.9206349206349206</x:v>
      </x:c>
      <x:c r="N298" s="96" t="n">
        <x:f>IFERROR(H298/G298,0)</x:f>
        <x:v>0.6551724137931034</x:v>
      </x:c>
      <x:c r="O298" s="96" t="n">
        <x:f>IFERROR(I298/H298,0)</x:f>
        <x:v>0.8157894736842105</x:v>
      </x:c>
      <x:c r="P298" s="96" t="n">
        <x:f>IFERROR(J298/I298,0)</x:f>
        <x:v>0.45161290322580644</x:v>
      </x:c>
      <x:c r="Q298" s="96" t="n">
        <x:f>IFERROR(L298/J298,0)</x:f>
        <x:v>0.14285714285714285</x:v>
      </x:c>
      <x:c r="R298" s="96" t="n">
        <x:f>IFERROR(L298/F298,0)</x:f>
        <x:v>0.031746031746031744</x:v>
      </x:c>
      <x:c r="S298" s="95" t="n">
        <x:v>88</x:v>
      </x:c>
      <x:c r="T298" s="94" t="str">
        <x:v>末次点击7天</x:v>
      </x:c>
    </x:row>
    <x:row r="299">
      <x:c r="A299" s="92" t="str">
        <x:v>PROC-0298</x:v>
      </x:c>
      <x:c r="B299" s="93" t="n">
        <x:v>46076</x:v>
      </x:c>
      <x:c r="C299" s="94" t="str">
        <x:v>Microsoft Ads</x:v>
      </x:c>
      <x:c r="D299" s="94" t="str">
        <x:v>美国</x:v>
      </x:c>
      <x:c r="E299" s="94" t="str">
        <x:v>通用搜索</x:v>
      </x:c>
      <x:c r="F299" s="95" t="n">
        <x:v>43</x:v>
      </x:c>
      <x:c r="G299" s="95" t="n">
        <x:v>40</x:v>
      </x:c>
      <x:c r="H299" s="95" t="n">
        <x:v>28</x:v>
      </x:c>
      <x:c r="I299" s="95" t="n">
        <x:v>24</x:v>
      </x:c>
      <x:c r="J299" s="95" t="n">
        <x:v>11</x:v>
      </x:c>
      <x:c r="K299" s="95" t="n">
        <x:v>3</x:v>
      </x:c>
      <x:c r="L299" s="95" t="n">
        <x:v>1</x:v>
      </x:c>
      <x:c r="M299" s="96" t="n">
        <x:f>IFERROR(G299/F299,0)</x:f>
        <x:v>0.9302325581395349</x:v>
      </x:c>
      <x:c r="N299" s="96" t="n">
        <x:f>IFERROR(H299/G299,0)</x:f>
        <x:v>0.7</x:v>
      </x:c>
      <x:c r="O299" s="96" t="n">
        <x:f>IFERROR(I299/H299,0)</x:f>
        <x:v>0.8571428571428571</x:v>
      </x:c>
      <x:c r="P299" s="96" t="n">
        <x:f>IFERROR(J299/I299,0)</x:f>
        <x:v>0.4583333333333333</x:v>
      </x:c>
      <x:c r="Q299" s="96" t="n">
        <x:f>IFERROR(L299/J299,0)</x:f>
        <x:v>0.09090909090909091</x:v>
      </x:c>
      <x:c r="R299" s="96" t="n">
        <x:f>IFERROR(L299/F299,0)</x:f>
        <x:v>0.023255813953488372</x:v>
      </x:c>
      <x:c r="S299" s="95" t="n">
        <x:v>152</x:v>
      </x:c>
      <x:c r="T299" s="94" t="str">
        <x:v>末次点击7天</x:v>
      </x:c>
    </x:row>
    <x:row r="300">
      <x:c r="A300" s="92" t="str">
        <x:v>PROC-0299</x:v>
      </x:c>
      <x:c r="B300" s="93" t="n">
        <x:v>46076</x:v>
      </x:c>
      <x:c r="C300" s="94" t="str">
        <x:v>Google Ads</x:v>
      </x:c>
      <x:c r="D300" s="94" t="str">
        <x:v>英国</x:v>
      </x:c>
      <x:c r="E300" s="94" t="str">
        <x:v>购物广告</x:v>
      </x:c>
      <x:c r="F300" s="95" t="n">
        <x:v>37</x:v>
      </x:c>
      <x:c r="G300" s="95" t="n">
        <x:v>35</x:v>
      </x:c>
      <x:c r="H300" s="95" t="n">
        <x:v>24</x:v>
      </x:c>
      <x:c r="I300" s="95" t="n">
        <x:v>22</x:v>
      </x:c>
      <x:c r="J300" s="95" t="n">
        <x:v>10</x:v>
      </x:c>
      <x:c r="K300" s="95" t="n">
        <x:v>3</x:v>
      </x:c>
      <x:c r="L300" s="95" t="n">
        <x:v>1</x:v>
      </x:c>
      <x:c r="M300" s="96" t="n">
        <x:f>IFERROR(G300/F300,0)</x:f>
        <x:v>0.9459459459459459</x:v>
      </x:c>
      <x:c r="N300" s="96" t="n">
        <x:f>IFERROR(H300/G300,0)</x:f>
        <x:v>0.6857142857142857</x:v>
      </x:c>
      <x:c r="O300" s="96" t="n">
        <x:f>IFERROR(I300/H300,0)</x:f>
        <x:v>0.9166666666666666</x:v>
      </x:c>
      <x:c r="P300" s="96" t="n">
        <x:f>IFERROR(J300/I300,0)</x:f>
        <x:v>0.45454545454545453</x:v>
      </x:c>
      <x:c r="Q300" s="96" t="n">
        <x:f>IFERROR(L300/J300,0)</x:f>
        <x:v>0.1</x:v>
      </x:c>
      <x:c r="R300" s="96" t="n">
        <x:f>IFERROR(L300/F300,0)</x:f>
        <x:v>0.02702702702702703</x:v>
      </x:c>
      <x:c r="S300" s="95" t="n">
        <x:v>141</x:v>
      </x:c>
      <x:c r="T300" s="94" t="str">
        <x:v>末次点击7天</x:v>
      </x:c>
    </x:row>
    <x:row r="301">
      <x:c r="A301" s="92" t="str">
        <x:v>PROC-0300</x:v>
      </x:c>
      <x:c r="B301" s="93" t="n">
        <x:v>46077</x:v>
      </x:c>
      <x:c r="C301" s="94" t="str">
        <x:v>Microsoft Ads</x:v>
      </x:c>
      <x:c r="D301" s="94" t="str">
        <x:v>英国</x:v>
      </x:c>
      <x:c r="E301" s="94" t="str">
        <x:v>通用搜索</x:v>
      </x:c>
      <x:c r="F301" s="95" t="n">
        <x:v>37</x:v>
      </x:c>
      <x:c r="G301" s="95" t="n">
        <x:v>33</x:v>
      </x:c>
      <x:c r="H301" s="95" t="n">
        <x:v>22</x:v>
      </x:c>
      <x:c r="I301" s="95" t="n">
        <x:v>18</x:v>
      </x:c>
      <x:c r="J301" s="95" t="n">
        <x:v>8</x:v>
      </x:c>
      <x:c r="K301" s="95" t="n">
        <x:v>2</x:v>
      </x:c>
      <x:c r="L301" s="95" t="n">
        <x:v>1</x:v>
      </x:c>
      <x:c r="M301" s="96" t="n">
        <x:f>IFERROR(G301/F301,0)</x:f>
        <x:v>0.8918918918918919</x:v>
      </x:c>
      <x:c r="N301" s="96" t="n">
        <x:f>IFERROR(H301/G301,0)</x:f>
        <x:v>0.6666666666666666</x:v>
      </x:c>
      <x:c r="O301" s="96" t="n">
        <x:f>IFERROR(I301/H301,0)</x:f>
        <x:v>0.8181818181818182</x:v>
      </x:c>
      <x:c r="P301" s="96" t="n">
        <x:f>IFERROR(J301/I301,0)</x:f>
        <x:v>0.4444444444444444</x:v>
      </x:c>
      <x:c r="Q301" s="96" t="n">
        <x:f>IFERROR(L301/J301,0)</x:f>
        <x:v>0.125</x:v>
      </x:c>
      <x:c r="R301" s="96" t="n">
        <x:f>IFERROR(L301/F301,0)</x:f>
        <x:v>0.02702702702702703</x:v>
      </x:c>
      <x:c r="S301" s="95" t="n">
        <x:v>153</x:v>
      </x:c>
      <x:c r="T301" s="94" t="str">
        <x:v>末次点击7天</x:v>
      </x:c>
    </x:row>
    <x:row r="302">
      <x:c r="A302" s="92" t="str">
        <x:v>PROC-0301</x:v>
      </x:c>
      <x:c r="B302" s="93" t="n">
        <x:v>46077</x:v>
      </x:c>
      <x:c r="C302" s="94" t="str">
        <x:v>Google Ads</x:v>
      </x:c>
      <x:c r="D302" s="94" t="str">
        <x:v>美国</x:v>
      </x:c>
      <x:c r="E302" s="94" t="str">
        <x:v>品牌搜索</x:v>
      </x:c>
      <x:c r="F302" s="95" t="n">
        <x:v>87</x:v>
      </x:c>
      <x:c r="G302" s="95" t="n">
        <x:v>82</x:v>
      </x:c>
      <x:c r="H302" s="95" t="n">
        <x:v>54</x:v>
      </x:c>
      <x:c r="I302" s="95" t="n">
        <x:v>46</x:v>
      </x:c>
      <x:c r="J302" s="95" t="n">
        <x:v>23</x:v>
      </x:c>
      <x:c r="K302" s="95" t="n">
        <x:v>8</x:v>
      </x:c>
      <x:c r="L302" s="95" t="n">
        <x:v>2</x:v>
      </x:c>
      <x:c r="M302" s="96" t="n">
        <x:f>IFERROR(G302/F302,0)</x:f>
        <x:v>0.9425287356321839</x:v>
      </x:c>
      <x:c r="N302" s="96" t="n">
        <x:f>IFERROR(H302/G302,0)</x:f>
        <x:v>0.6585365853658537</x:v>
      </x:c>
      <x:c r="O302" s="96" t="n">
        <x:f>IFERROR(I302/H302,0)</x:f>
        <x:v>0.8518518518518519</x:v>
      </x:c>
      <x:c r="P302" s="96" t="n">
        <x:f>IFERROR(J302/I302,0)</x:f>
        <x:v>0.5</x:v>
      </x:c>
      <x:c r="Q302" s="96" t="n">
        <x:f>IFERROR(L302/J302,0)</x:f>
        <x:v>0.08695652173913043</x:v>
      </x:c>
      <x:c r="R302" s="96" t="n">
        <x:f>IFERROR(L302/F302,0)</x:f>
        <x:v>0.022988505747126436</x:v>
      </x:c>
      <x:c r="S302" s="95" t="n">
        <x:v>152</x:v>
      </x:c>
      <x:c r="T302" s="94" t="str">
        <x:v>末次点击7天</x:v>
      </x:c>
    </x:row>
    <x:row r="303">
      <x:c r="A303" s="92" t="str">
        <x:v>PROC-0302</x:v>
      </x:c>
      <x:c r="B303" s="93" t="n">
        <x:v>46077</x:v>
      </x:c>
      <x:c r="C303" s="94" t="str">
        <x:v>Google Ads</x:v>
      </x:c>
      <x:c r="D303" s="94" t="str">
        <x:v>德国</x:v>
      </x:c>
      <x:c r="E303" s="94" t="str">
        <x:v>通用搜索</x:v>
      </x:c>
      <x:c r="F303" s="95" t="n">
        <x:v>47</x:v>
      </x:c>
      <x:c r="G303" s="95" t="n">
        <x:v>44</x:v>
      </x:c>
      <x:c r="H303" s="95" t="n">
        <x:v>28</x:v>
      </x:c>
      <x:c r="I303" s="95" t="n">
        <x:v>24</x:v>
      </x:c>
      <x:c r="J303" s="95" t="n">
        <x:v>10</x:v>
      </x:c>
      <x:c r="K303" s="95" t="n">
        <x:v>2</x:v>
      </x:c>
      <x:c r="L303" s="95" t="n">
        <x:v>1</x:v>
      </x:c>
      <x:c r="M303" s="96" t="n">
        <x:f>IFERROR(G303/F303,0)</x:f>
        <x:v>0.9361702127659575</x:v>
      </x:c>
      <x:c r="N303" s="96" t="n">
        <x:f>IFERROR(H303/G303,0)</x:f>
        <x:v>0.6363636363636364</x:v>
      </x:c>
      <x:c r="O303" s="96" t="n">
        <x:f>IFERROR(I303/H303,0)</x:f>
        <x:v>0.8571428571428571</x:v>
      </x:c>
      <x:c r="P303" s="96" t="n">
        <x:f>IFERROR(J303/I303,0)</x:f>
        <x:v>0.4166666666666667</x:v>
      </x:c>
      <x:c r="Q303" s="96" t="n">
        <x:f>IFERROR(L303/J303,0)</x:f>
        <x:v>0.1</x:v>
      </x:c>
      <x:c r="R303" s="96" t="n">
        <x:f>IFERROR(L303/F303,0)</x:f>
        <x:v>0.02127659574468085</x:v>
      </x:c>
      <x:c r="S303" s="95" t="n">
        <x:v>113</x:v>
      </x:c>
      <x:c r="T303" s="94" t="str">
        <x:v>末次点击7天</x:v>
      </x:c>
    </x:row>
    <x:row r="304">
      <x:c r="A304" s="92" t="str">
        <x:v>PROC-0303</x:v>
      </x:c>
      <x:c r="B304" s="93" t="n">
        <x:v>46077</x:v>
      </x:c>
      <x:c r="C304" s="94" t="str">
        <x:v>Google Ads</x:v>
      </x:c>
      <x:c r="D304" s="94" t="str">
        <x:v>德国</x:v>
      </x:c>
      <x:c r="E304" s="94" t="str">
        <x:v>购物广告</x:v>
      </x:c>
      <x:c r="F304" s="95" t="n">
        <x:v>69</x:v>
      </x:c>
      <x:c r="G304" s="95" t="n">
        <x:v>60</x:v>
      </x:c>
      <x:c r="H304" s="95" t="n">
        <x:v>46</x:v>
      </x:c>
      <x:c r="I304" s="95" t="n">
        <x:v>40</x:v>
      </x:c>
      <x:c r="J304" s="95" t="n">
        <x:v>18</x:v>
      </x:c>
      <x:c r="K304" s="95" t="n">
        <x:v>6</x:v>
      </x:c>
      <x:c r="L304" s="95" t="n">
        <x:v>1</x:v>
      </x:c>
      <x:c r="M304" s="96" t="n">
        <x:f>IFERROR(G304/F304,0)</x:f>
        <x:v>0.8695652173913043</x:v>
      </x:c>
      <x:c r="N304" s="96" t="n">
        <x:f>IFERROR(H304/G304,0)</x:f>
        <x:v>0.7666666666666667</x:v>
      </x:c>
      <x:c r="O304" s="96" t="n">
        <x:f>IFERROR(I304/H304,0)</x:f>
        <x:v>0.8695652173913043</x:v>
      </x:c>
      <x:c r="P304" s="96" t="n">
        <x:f>IFERROR(J304/I304,0)</x:f>
        <x:v>0.45</x:v>
      </x:c>
      <x:c r="Q304" s="96" t="n">
        <x:f>IFERROR(L304/J304,0)</x:f>
        <x:v>0.05555555555555555</x:v>
      </x:c>
      <x:c r="R304" s="96" t="n">
        <x:f>IFERROR(L304/F304,0)</x:f>
        <x:v>0.014492753623188406</x:v>
      </x:c>
      <x:c r="S304" s="95" t="n">
        <x:v>120</x:v>
      </x:c>
      <x:c r="T304" s="94" t="str">
        <x:v>末次点击7天</x:v>
      </x:c>
    </x:row>
    <x:row r="305">
      <x:c r="A305" s="92" t="str">
        <x:v>PROC-0304</x:v>
      </x:c>
      <x:c r="B305" s="93" t="n">
        <x:v>46077</x:v>
      </x:c>
      <x:c r="C305" s="94" t="str">
        <x:v>Microsoft Ads</x:v>
      </x:c>
      <x:c r="D305" s="94" t="str">
        <x:v>英国</x:v>
      </x:c>
      <x:c r="E305" s="94" t="str">
        <x:v>品牌搜索</x:v>
      </x:c>
      <x:c r="F305" s="95" t="n">
        <x:v>45</x:v>
      </x:c>
      <x:c r="G305" s="95" t="n">
        <x:v>43</x:v>
      </x:c>
      <x:c r="H305" s="95" t="n">
        <x:v>33</x:v>
      </x:c>
      <x:c r="I305" s="95" t="n">
        <x:v>27</x:v>
      </x:c>
      <x:c r="J305" s="95" t="n">
        <x:v>14</x:v>
      </x:c>
      <x:c r="K305" s="95" t="n">
        <x:v>4</x:v>
      </x:c>
      <x:c r="L305" s="95" t="n">
        <x:v>2</x:v>
      </x:c>
      <x:c r="M305" s="96" t="n">
        <x:f>IFERROR(G305/F305,0)</x:f>
        <x:v>0.9555555555555556</x:v>
      </x:c>
      <x:c r="N305" s="96" t="n">
        <x:f>IFERROR(H305/G305,0)</x:f>
        <x:v>0.7674418604651163</x:v>
      </x:c>
      <x:c r="O305" s="96" t="n">
        <x:f>IFERROR(I305/H305,0)</x:f>
        <x:v>0.8181818181818182</x:v>
      </x:c>
      <x:c r="P305" s="96" t="n">
        <x:f>IFERROR(J305/I305,0)</x:f>
        <x:v>0.5185185185185185</x:v>
      </x:c>
      <x:c r="Q305" s="96" t="n">
        <x:f>IFERROR(L305/J305,0)</x:f>
        <x:v>0.14285714285714285</x:v>
      </x:c>
      <x:c r="R305" s="96" t="n">
        <x:f>IFERROR(L305/F305,0)</x:f>
        <x:v>0.044444444444444446</x:v>
      </x:c>
      <x:c r="S305" s="95" t="n">
        <x:v>150</x:v>
      </x:c>
      <x:c r="T305" s="94" t="str">
        <x:v>末次点击7天</x:v>
      </x:c>
    </x:row>
    <x:row r="306">
      <x:c r="A306" s="92" t="str">
        <x:v>PROC-0305</x:v>
      </x:c>
      <x:c r="B306" s="93" t="n">
        <x:v>46078</x:v>
      </x:c>
      <x:c r="C306" s="94" t="str">
        <x:v>Microsoft Ads</x:v>
      </x:c>
      <x:c r="D306" s="94" t="str">
        <x:v>美国</x:v>
      </x:c>
      <x:c r="E306" s="94" t="str">
        <x:v>品牌搜索</x:v>
      </x:c>
      <x:c r="F306" s="95" t="n">
        <x:v>78</x:v>
      </x:c>
      <x:c r="G306" s="95" t="n">
        <x:v>73</x:v>
      </x:c>
      <x:c r="H306" s="95" t="n">
        <x:v>53</x:v>
      </x:c>
      <x:c r="I306" s="95" t="n">
        <x:v>45</x:v>
      </x:c>
      <x:c r="J306" s="95" t="n">
        <x:v>19</x:v>
      </x:c>
      <x:c r="K306" s="95" t="n">
        <x:v>5</x:v>
      </x:c>
      <x:c r="L306" s="95" t="n">
        <x:v>2</x:v>
      </x:c>
      <x:c r="M306" s="96" t="n">
        <x:f>IFERROR(G306/F306,0)</x:f>
        <x:v>0.9358974358974359</x:v>
      </x:c>
      <x:c r="N306" s="96" t="n">
        <x:f>IFERROR(H306/G306,0)</x:f>
        <x:v>0.726027397260274</x:v>
      </x:c>
      <x:c r="O306" s="96" t="n">
        <x:f>IFERROR(I306/H306,0)</x:f>
        <x:v>0.8490566037735849</x:v>
      </x:c>
      <x:c r="P306" s="96" t="n">
        <x:f>IFERROR(J306/I306,0)</x:f>
        <x:v>0.4222222222222222</x:v>
      </x:c>
      <x:c r="Q306" s="96" t="n">
        <x:f>IFERROR(L306/J306,0)</x:f>
        <x:v>0.10526315789473684</x:v>
      </x:c>
      <x:c r="R306" s="96" t="n">
        <x:f>IFERROR(L306/F306,0)</x:f>
        <x:v>0.02564102564102564</x:v>
      </x:c>
      <x:c r="S306" s="95" t="n">
        <x:v>139</x:v>
      </x:c>
      <x:c r="T306" s="94" t="str">
        <x:v>末次点击7天</x:v>
      </x:c>
    </x:row>
    <x:row r="307">
      <x:c r="A307" s="92" t="str">
        <x:v>PROC-0306</x:v>
      </x:c>
      <x:c r="B307" s="93" t="n">
        <x:v>46078</x:v>
      </x:c>
      <x:c r="C307" s="94" t="str">
        <x:v>Microsoft Ads</x:v>
      </x:c>
      <x:c r="D307" s="94" t="str">
        <x:v>美国</x:v>
      </x:c>
      <x:c r="E307" s="94" t="str">
        <x:v>通用搜索</x:v>
      </x:c>
      <x:c r="F307" s="95" t="n">
        <x:v>38</x:v>
      </x:c>
      <x:c r="G307" s="95" t="n">
        <x:v>36</x:v>
      </x:c>
      <x:c r="H307" s="95" t="n">
        <x:v>26</x:v>
      </x:c>
      <x:c r="I307" s="95" t="n">
        <x:v>21</x:v>
      </x:c>
      <x:c r="J307" s="95" t="n">
        <x:v>10</x:v>
      </x:c>
      <x:c r="K307" s="95" t="n">
        <x:v>3</x:v>
      </x:c>
      <x:c r="L307" s="95" t="n">
        <x:v>1</x:v>
      </x:c>
      <x:c r="M307" s="96" t="n">
        <x:f>IFERROR(G307/F307,0)</x:f>
        <x:v>0.9473684210526315</x:v>
      </x:c>
      <x:c r="N307" s="96" t="n">
        <x:f>IFERROR(H307/G307,0)</x:f>
        <x:v>0.7222222222222222</x:v>
      </x:c>
      <x:c r="O307" s="96" t="n">
        <x:f>IFERROR(I307/H307,0)</x:f>
        <x:v>0.8076923076923077</x:v>
      </x:c>
      <x:c r="P307" s="96" t="n">
        <x:f>IFERROR(J307/I307,0)</x:f>
        <x:v>0.47619047619047616</x:v>
      </x:c>
      <x:c r="Q307" s="96" t="n">
        <x:f>IFERROR(L307/J307,0)</x:f>
        <x:v>0.1</x:v>
      </x:c>
      <x:c r="R307" s="96" t="n">
        <x:f>IFERROR(L307/F307,0)</x:f>
        <x:v>0.02631578947368421</x:v>
      </x:c>
      <x:c r="S307" s="95" t="n">
        <x:v>119</x:v>
      </x:c>
      <x:c r="T307" s="94" t="str">
        <x:v>末次点击7天</x:v>
      </x:c>
    </x:row>
    <x:row r="308">
      <x:c r="A308" s="92" t="str">
        <x:v>PROC-0307</x:v>
      </x:c>
      <x:c r="B308" s="93" t="n">
        <x:v>46078</x:v>
      </x:c>
      <x:c r="C308" s="94" t="str">
        <x:v>Google Ads</x:v>
      </x:c>
      <x:c r="D308" s="94" t="str">
        <x:v>德国</x:v>
      </x:c>
      <x:c r="E308" s="94" t="str">
        <x:v>竞品搜索</x:v>
      </x:c>
      <x:c r="F308" s="95" t="n">
        <x:v>14</x:v>
      </x:c>
      <x:c r="G308" s="95" t="n">
        <x:v>13</x:v>
      </x:c>
      <x:c r="H308" s="95" t="n">
        <x:v>8</x:v>
      </x:c>
      <x:c r="I308" s="95" t="n">
        <x:v>7</x:v>
      </x:c>
      <x:c r="J308" s="95" t="n">
        <x:v>3</x:v>
      </x:c>
      <x:c r="K308" s="95" t="n">
        <x:v>1</x:v>
      </x:c>
      <x:c r="L308" s="95" t="n">
        <x:v>0</x:v>
      </x:c>
      <x:c r="M308" s="96" t="n">
        <x:f>IFERROR(G308/F308,0)</x:f>
        <x:v>0.9285714285714286</x:v>
      </x:c>
      <x:c r="N308" s="96" t="n">
        <x:f>IFERROR(H308/G308,0)</x:f>
        <x:v>0.6153846153846154</x:v>
      </x:c>
      <x:c r="O308" s="96" t="n">
        <x:f>IFERROR(I308/H308,0)</x:f>
        <x:v>0.875</x:v>
      </x:c>
      <x:c r="P308" s="96" t="n">
        <x:f>IFERROR(J308/I308,0)</x:f>
        <x:v>0.42857142857142855</x:v>
      </x:c>
      <x:c r="Q308" s="96" t="n">
        <x:f>IFERROR(L308/J308,0)</x:f>
        <x:v>0</x:v>
      </x:c>
      <x:c r="R308" s="96" t="n">
        <x:f>IFERROR(L308/F308,0)</x:f>
        <x:v>0</x:v>
      </x:c>
      <x:c r="S308" s="95" t="n">
        <x:v>124</x:v>
      </x:c>
      <x:c r="T308" s="94" t="str">
        <x:v>末次点击7天</x:v>
      </x:c>
    </x:row>
    <x:row r="309">
      <x:c r="A309" s="92" t="str">
        <x:v>PROC-0308</x:v>
      </x:c>
      <x:c r="B309" s="93" t="n">
        <x:v>46078</x:v>
      </x:c>
      <x:c r="C309" s="94" t="str">
        <x:v>Google Ads</x:v>
      </x:c>
      <x:c r="D309" s="94" t="str">
        <x:v>美国</x:v>
      </x:c>
      <x:c r="E309" s="94" t="str">
        <x:v>品牌搜索</x:v>
      </x:c>
      <x:c r="F309" s="95" t="n">
        <x:v>98</x:v>
      </x:c>
      <x:c r="G309" s="95" t="n">
        <x:v>91</x:v>
      </x:c>
      <x:c r="H309" s="95" t="n">
        <x:v>60</x:v>
      </x:c>
      <x:c r="I309" s="95" t="n">
        <x:v>50</x:v>
      </x:c>
      <x:c r="J309" s="95" t="n">
        <x:v>21</x:v>
      </x:c>
      <x:c r="K309" s="95" t="n">
        <x:v>5</x:v>
      </x:c>
      <x:c r="L309" s="95" t="n">
        <x:v>2</x:v>
      </x:c>
      <x:c r="M309" s="96" t="n">
        <x:f>IFERROR(G309/F309,0)</x:f>
        <x:v>0.9285714285714286</x:v>
      </x:c>
      <x:c r="N309" s="96" t="n">
        <x:f>IFERROR(H309/G309,0)</x:f>
        <x:v>0.6593406593406593</x:v>
      </x:c>
      <x:c r="O309" s="96" t="n">
        <x:f>IFERROR(I309/H309,0)</x:f>
        <x:v>0.8333333333333334</x:v>
      </x:c>
      <x:c r="P309" s="96" t="n">
        <x:f>IFERROR(J309/I309,0)</x:f>
        <x:v>0.42</x:v>
      </x:c>
      <x:c r="Q309" s="96" t="n">
        <x:f>IFERROR(L309/J309,0)</x:f>
        <x:v>0.09523809523809523</x:v>
      </x:c>
      <x:c r="R309" s="96" t="n">
        <x:f>IFERROR(L309/F309,0)</x:f>
        <x:v>0.02040816326530612</x:v>
      </x:c>
      <x:c r="S309" s="95" t="n">
        <x:v>80</x:v>
      </x:c>
      <x:c r="T309" s="94" t="str">
        <x:v>末次点击7天</x:v>
      </x:c>
    </x:row>
    <x:row r="310">
      <x:c r="A310" s="92" t="str">
        <x:v>PROC-0309</x:v>
      </x:c>
      <x:c r="B310" s="93" t="n">
        <x:v>46078</x:v>
      </x:c>
      <x:c r="C310" s="94" t="str">
        <x:v>Microsoft Ads</x:v>
      </x:c>
      <x:c r="D310" s="94" t="str">
        <x:v>德国</x:v>
      </x:c>
      <x:c r="E310" s="94" t="str">
        <x:v>购物广告</x:v>
      </x:c>
      <x:c r="F310" s="95" t="n">
        <x:v>37</x:v>
      </x:c>
      <x:c r="G310" s="95" t="n">
        <x:v>34</x:v>
      </x:c>
      <x:c r="H310" s="95" t="n">
        <x:v>25</x:v>
      </x:c>
      <x:c r="I310" s="95" t="n">
        <x:v>22</x:v>
      </x:c>
      <x:c r="J310" s="95" t="n">
        <x:v>10</x:v>
      </x:c>
      <x:c r="K310" s="95" t="n">
        <x:v>3</x:v>
      </x:c>
      <x:c r="L310" s="95" t="n">
        <x:v>1</x:v>
      </x:c>
      <x:c r="M310" s="96" t="n">
        <x:f>IFERROR(G310/F310,0)</x:f>
        <x:v>0.918918918918919</x:v>
      </x:c>
      <x:c r="N310" s="96" t="n">
        <x:f>IFERROR(H310/G310,0)</x:f>
        <x:v>0.7352941176470589</x:v>
      </x:c>
      <x:c r="O310" s="96" t="n">
        <x:f>IFERROR(I310/H310,0)</x:f>
        <x:v>0.88</x:v>
      </x:c>
      <x:c r="P310" s="96" t="n">
        <x:f>IFERROR(J310/I310,0)</x:f>
        <x:v>0.45454545454545453</x:v>
      </x:c>
      <x:c r="Q310" s="96" t="n">
        <x:f>IFERROR(L310/J310,0)</x:f>
        <x:v>0.1</x:v>
      </x:c>
      <x:c r="R310" s="96" t="n">
        <x:f>IFERROR(L310/F310,0)</x:f>
        <x:v>0.02702702702702703</x:v>
      </x:c>
      <x:c r="S310" s="95" t="n">
        <x:v>66</x:v>
      </x:c>
      <x:c r="T310" s="94" t="str">
        <x:v>末次点击7天</x:v>
      </x:c>
    </x:row>
    <x:row r="311">
      <x:c r="A311" s="92" t="str">
        <x:v>PROC-0310</x:v>
      </x:c>
      <x:c r="B311" s="93" t="n">
        <x:v>46078</x:v>
      </x:c>
      <x:c r="C311" s="94" t="str">
        <x:v>Google Ads</x:v>
      </x:c>
      <x:c r="D311" s="94" t="str">
        <x:v>英国</x:v>
      </x:c>
      <x:c r="E311" s="94" t="str">
        <x:v>竞品搜索</x:v>
      </x:c>
      <x:c r="F311" s="95" t="n">
        <x:v>19</x:v>
      </x:c>
      <x:c r="G311" s="95" t="n">
        <x:v>17</x:v>
      </x:c>
      <x:c r="H311" s="95" t="n">
        <x:v>11</x:v>
      </x:c>
      <x:c r="I311" s="95" t="n">
        <x:v>9</x:v>
      </x:c>
      <x:c r="J311" s="95" t="n">
        <x:v>4</x:v>
      </x:c>
      <x:c r="K311" s="95" t="n">
        <x:v>1</x:v>
      </x:c>
      <x:c r="L311" s="95" t="n">
        <x:v>0</x:v>
      </x:c>
      <x:c r="M311" s="96" t="n">
        <x:f>IFERROR(G311/F311,0)</x:f>
        <x:v>0.8947368421052632</x:v>
      </x:c>
      <x:c r="N311" s="96" t="n">
        <x:f>IFERROR(H311/G311,0)</x:f>
        <x:v>0.6470588235294118</x:v>
      </x:c>
      <x:c r="O311" s="96" t="n">
        <x:f>IFERROR(I311/H311,0)</x:f>
        <x:v>0.8181818181818182</x:v>
      </x:c>
      <x:c r="P311" s="96" t="n">
        <x:f>IFERROR(J311/I311,0)</x:f>
        <x:v>0.4444444444444444</x:v>
      </x:c>
      <x:c r="Q311" s="96" t="n">
        <x:f>IFERROR(L311/J311,0)</x:f>
        <x:v>0</x:v>
      </x:c>
      <x:c r="R311" s="96" t="n">
        <x:f>IFERROR(L311/F311,0)</x:f>
        <x:v>0</x:v>
      </x:c>
      <x:c r="S311" s="95" t="n">
        <x:v>105</x:v>
      </x:c>
      <x:c r="T311" s="94" t="str">
        <x:v>末次点击7天</x:v>
      </x:c>
    </x:row>
    <x:row r="312">
      <x:c r="A312" s="92" t="str">
        <x:v>PROC-0311</x:v>
      </x:c>
      <x:c r="B312" s="93" t="n">
        <x:v>46079</x:v>
      </x:c>
      <x:c r="C312" s="94" t="str">
        <x:v>Google Ads</x:v>
      </x:c>
      <x:c r="D312" s="94" t="str">
        <x:v>美国</x:v>
      </x:c>
      <x:c r="E312" s="94" t="str">
        <x:v>通用搜索</x:v>
      </x:c>
      <x:c r="F312" s="95" t="n">
        <x:v>58</x:v>
      </x:c>
      <x:c r="G312" s="95" t="n">
        <x:v>51</x:v>
      </x:c>
      <x:c r="H312" s="95" t="n">
        <x:v>34</x:v>
      </x:c>
      <x:c r="I312" s="95" t="n">
        <x:v>29</x:v>
      </x:c>
      <x:c r="J312" s="95" t="n">
        <x:v>12</x:v>
      </x:c>
      <x:c r="K312" s="95" t="n">
        <x:v>2</x:v>
      </x:c>
      <x:c r="L312" s="95" t="n">
        <x:v>1</x:v>
      </x:c>
      <x:c r="M312" s="96" t="n">
        <x:f>IFERROR(G312/F312,0)</x:f>
        <x:v>0.8793103448275862</x:v>
      </x:c>
      <x:c r="N312" s="96" t="n">
        <x:f>IFERROR(H312/G312,0)</x:f>
        <x:v>0.6666666666666666</x:v>
      </x:c>
      <x:c r="O312" s="96" t="n">
        <x:f>IFERROR(I312/H312,0)</x:f>
        <x:v>0.8529411764705882</x:v>
      </x:c>
      <x:c r="P312" s="96" t="n">
        <x:f>IFERROR(J312/I312,0)</x:f>
        <x:v>0.41379310344827586</x:v>
      </x:c>
      <x:c r="Q312" s="96" t="n">
        <x:f>IFERROR(L312/J312,0)</x:f>
        <x:v>0.08333333333333333</x:v>
      </x:c>
      <x:c r="R312" s="96" t="n">
        <x:f>IFERROR(L312/F312,0)</x:f>
        <x:v>0.017241379310344827</x:v>
      </x:c>
      <x:c r="S312" s="95" t="n">
        <x:v>153</x:v>
      </x:c>
      <x:c r="T312" s="94" t="str">
        <x:v>末次点击7天</x:v>
      </x:c>
    </x:row>
    <x:row r="313">
      <x:c r="A313" s="92" t="str">
        <x:v>PROC-0312</x:v>
      </x:c>
      <x:c r="B313" s="93" t="n">
        <x:v>46079</x:v>
      </x:c>
      <x:c r="C313" s="94" t="str">
        <x:v>Google Ads</x:v>
      </x:c>
      <x:c r="D313" s="94" t="str">
        <x:v>美国</x:v>
      </x:c>
      <x:c r="E313" s="94" t="str">
        <x:v>购物广告</x:v>
      </x:c>
      <x:c r="F313" s="95" t="n">
        <x:v>27</x:v>
      </x:c>
      <x:c r="G313" s="95" t="n">
        <x:v>24</x:v>
      </x:c>
      <x:c r="H313" s="95" t="n">
        <x:v>16</x:v>
      </x:c>
      <x:c r="I313" s="95" t="n">
        <x:v>14</x:v>
      </x:c>
      <x:c r="J313" s="95" t="n">
        <x:v>7</x:v>
      </x:c>
      <x:c r="K313" s="95" t="n">
        <x:v>2</x:v>
      </x:c>
      <x:c r="L313" s="95" t="n">
        <x:v>1</x:v>
      </x:c>
      <x:c r="M313" s="96" t="n">
        <x:f>IFERROR(G313/F313,0)</x:f>
        <x:v>0.8888888888888888</x:v>
      </x:c>
      <x:c r="N313" s="96" t="n">
        <x:f>IFERROR(H313/G313,0)</x:f>
        <x:v>0.6666666666666666</x:v>
      </x:c>
      <x:c r="O313" s="96" t="n">
        <x:f>IFERROR(I313/H313,0)</x:f>
        <x:v>0.875</x:v>
      </x:c>
      <x:c r="P313" s="96" t="n">
        <x:f>IFERROR(J313/I313,0)</x:f>
        <x:v>0.5</x:v>
      </x:c>
      <x:c r="Q313" s="96" t="n">
        <x:f>IFERROR(L313/J313,0)</x:f>
        <x:v>0.14285714285714285</x:v>
      </x:c>
      <x:c r="R313" s="96" t="n">
        <x:f>IFERROR(L313/F313,0)</x:f>
        <x:v>0.037037037037037035</x:v>
      </x:c>
      <x:c r="S313" s="95" t="n">
        <x:v>109</x:v>
      </x:c>
      <x:c r="T313" s="94" t="str">
        <x:v>末次点击7天</x:v>
      </x:c>
    </x:row>
    <x:row r="314">
      <x:c r="A314" s="92" t="str">
        <x:v>PROC-0313</x:v>
      </x:c>
      <x:c r="B314" s="93" t="n">
        <x:v>46079</x:v>
      </x:c>
      <x:c r="C314" s="94" t="str">
        <x:v>Google Ads</x:v>
      </x:c>
      <x:c r="D314" s="94" t="str">
        <x:v>英国</x:v>
      </x:c>
      <x:c r="E314" s="94" t="str">
        <x:v>通用搜索</x:v>
      </x:c>
      <x:c r="F314" s="95" t="n">
        <x:v>38</x:v>
      </x:c>
      <x:c r="G314" s="95" t="n">
        <x:v>36</x:v>
      </x:c>
      <x:c r="H314" s="95" t="n">
        <x:v>24</x:v>
      </x:c>
      <x:c r="I314" s="95" t="n">
        <x:v>20</x:v>
      </x:c>
      <x:c r="J314" s="95" t="n">
        <x:v>9</x:v>
      </x:c>
      <x:c r="K314" s="95" t="n">
        <x:v>3</x:v>
      </x:c>
      <x:c r="L314" s="95" t="n">
        <x:v>1</x:v>
      </x:c>
      <x:c r="M314" s="96" t="n">
        <x:f>IFERROR(G314/F314,0)</x:f>
        <x:v>0.9473684210526315</x:v>
      </x:c>
      <x:c r="N314" s="96" t="n">
        <x:f>IFERROR(H314/G314,0)</x:f>
        <x:v>0.6666666666666666</x:v>
      </x:c>
      <x:c r="O314" s="96" t="n">
        <x:f>IFERROR(I314/H314,0)</x:f>
        <x:v>0.8333333333333334</x:v>
      </x:c>
      <x:c r="P314" s="96" t="n">
        <x:f>IFERROR(J314/I314,0)</x:f>
        <x:v>0.45</x:v>
      </x:c>
      <x:c r="Q314" s="96" t="n">
        <x:f>IFERROR(L314/J314,0)</x:f>
        <x:v>0.1111111111111111</x:v>
      </x:c>
      <x:c r="R314" s="96" t="n">
        <x:f>IFERROR(L314/F314,0)</x:f>
        <x:v>0.02631578947368421</x:v>
      </x:c>
      <x:c r="S314" s="95" t="n">
        <x:v>66</x:v>
      </x:c>
      <x:c r="T314" s="94" t="str">
        <x:v>末次点击7天</x:v>
      </x:c>
    </x:row>
    <x:row r="315">
      <x:c r="A315" s="92" t="str">
        <x:v>PROC-0314</x:v>
      </x:c>
      <x:c r="B315" s="93" t="n">
        <x:v>46079</x:v>
      </x:c>
      <x:c r="C315" s="94" t="str">
        <x:v>Google Ads</x:v>
      </x:c>
      <x:c r="D315" s="94" t="str">
        <x:v>英国</x:v>
      </x:c>
      <x:c r="E315" s="94" t="str">
        <x:v>购物广告</x:v>
      </x:c>
      <x:c r="F315" s="95" t="n">
        <x:v>72</x:v>
      </x:c>
      <x:c r="G315" s="95" t="n">
        <x:v>64</x:v>
      </x:c>
      <x:c r="H315" s="95" t="n">
        <x:v>47</x:v>
      </x:c>
      <x:c r="I315" s="95" t="n">
        <x:v>40</x:v>
      </x:c>
      <x:c r="J315" s="95" t="n">
        <x:v>17</x:v>
      </x:c>
      <x:c r="K315" s="95" t="n">
        <x:v>4</x:v>
      </x:c>
      <x:c r="L315" s="95" t="n">
        <x:v>1</x:v>
      </x:c>
      <x:c r="M315" s="96" t="n">
        <x:f>IFERROR(G315/F315,0)</x:f>
        <x:v>0.8888888888888888</x:v>
      </x:c>
      <x:c r="N315" s="96" t="n">
        <x:f>IFERROR(H315/G315,0)</x:f>
        <x:v>0.734375</x:v>
      </x:c>
      <x:c r="O315" s="96" t="n">
        <x:f>IFERROR(I315/H315,0)</x:f>
        <x:v>0.851063829787234</x:v>
      </x:c>
      <x:c r="P315" s="96" t="n">
        <x:f>IFERROR(J315/I315,0)</x:f>
        <x:v>0.425</x:v>
      </x:c>
      <x:c r="Q315" s="96" t="n">
        <x:f>IFERROR(L315/J315,0)</x:f>
        <x:v>0.058823529411764705</x:v>
      </x:c>
      <x:c r="R315" s="96" t="n">
        <x:f>IFERROR(L315/F315,0)</x:f>
        <x:v>0.013888888888888888</x:v>
      </x:c>
      <x:c r="S315" s="95" t="n">
        <x:v>141</x:v>
      </x:c>
      <x:c r="T315" s="94" t="str">
        <x:v>末次点击7天</x:v>
      </x:c>
    </x:row>
    <x:row r="316">
      <x:c r="A316" s="92" t="str">
        <x:v>PROC-0315</x:v>
      </x:c>
      <x:c r="B316" s="93" t="n">
        <x:v>46079</x:v>
      </x:c>
      <x:c r="C316" s="94" t="str">
        <x:v>Google Ads</x:v>
      </x:c>
      <x:c r="D316" s="94" t="str">
        <x:v>日本</x:v>
      </x:c>
      <x:c r="E316" s="94" t="str">
        <x:v>品牌搜索</x:v>
      </x:c>
      <x:c r="F316" s="95" t="n">
        <x:v>71</x:v>
      </x:c>
      <x:c r="G316" s="95" t="n">
        <x:v>65</x:v>
      </x:c>
      <x:c r="H316" s="95" t="n">
        <x:v>46</x:v>
      </x:c>
      <x:c r="I316" s="95" t="n">
        <x:v>40</x:v>
      </x:c>
      <x:c r="J316" s="95" t="n">
        <x:v>19</x:v>
      </x:c>
      <x:c r="K316" s="95" t="n">
        <x:v>4</x:v>
      </x:c>
      <x:c r="L316" s="95" t="n">
        <x:v>2</x:v>
      </x:c>
      <x:c r="M316" s="96" t="n">
        <x:f>IFERROR(G316/F316,0)</x:f>
        <x:v>0.9154929577464789</x:v>
      </x:c>
      <x:c r="N316" s="96" t="n">
        <x:f>IFERROR(H316/G316,0)</x:f>
        <x:v>0.7076923076923077</x:v>
      </x:c>
      <x:c r="O316" s="96" t="n">
        <x:f>IFERROR(I316/H316,0)</x:f>
        <x:v>0.8695652173913043</x:v>
      </x:c>
      <x:c r="P316" s="96" t="n">
        <x:f>IFERROR(J316/I316,0)</x:f>
        <x:v>0.475</x:v>
      </x:c>
      <x:c r="Q316" s="96" t="n">
        <x:f>IFERROR(L316/J316,0)</x:f>
        <x:v>0.10526315789473684</x:v>
      </x:c>
      <x:c r="R316" s="96" t="n">
        <x:f>IFERROR(L316/F316,0)</x:f>
        <x:v>0.028169014084507043</x:v>
      </x:c>
      <x:c r="S316" s="95" t="n">
        <x:v>60</x:v>
      </x:c>
      <x:c r="T316" s="94" t="str">
        <x:v>末次点击7天</x:v>
      </x:c>
    </x:row>
    <x:row r="317">
      <x:c r="A317" s="92" t="str">
        <x:v>PROC-0316</x:v>
      </x:c>
      <x:c r="B317" s="93" t="n">
        <x:v>46080</x:v>
      </x:c>
      <x:c r="C317" s="94" t="str">
        <x:v>Google Ads</x:v>
      </x:c>
      <x:c r="D317" s="94" t="str">
        <x:v>德国</x:v>
      </x:c>
      <x:c r="E317" s="94" t="str">
        <x:v>通用搜索</x:v>
      </x:c>
      <x:c r="F317" s="95" t="n">
        <x:v>25</x:v>
      </x:c>
      <x:c r="G317" s="95" t="n">
        <x:v>23</x:v>
      </x:c>
      <x:c r="H317" s="95" t="n">
        <x:v>17</x:v>
      </x:c>
      <x:c r="I317" s="95" t="n">
        <x:v>15</x:v>
      </x:c>
      <x:c r="J317" s="95" t="n">
        <x:v>7</x:v>
      </x:c>
      <x:c r="K317" s="95" t="n">
        <x:v>2</x:v>
      </x:c>
      <x:c r="L317" s="95" t="n">
        <x:v>1</x:v>
      </x:c>
      <x:c r="M317" s="96" t="n">
        <x:f>IFERROR(G317/F317,0)</x:f>
        <x:v>0.92</x:v>
      </x:c>
      <x:c r="N317" s="96" t="n">
        <x:f>IFERROR(H317/G317,0)</x:f>
        <x:v>0.7391304347826086</x:v>
      </x:c>
      <x:c r="O317" s="96" t="n">
        <x:f>IFERROR(I317/H317,0)</x:f>
        <x:v>0.8823529411764706</x:v>
      </x:c>
      <x:c r="P317" s="96" t="n">
        <x:f>IFERROR(J317/I317,0)</x:f>
        <x:v>0.4666666666666667</x:v>
      </x:c>
      <x:c r="Q317" s="96" t="n">
        <x:f>IFERROR(L317/J317,0)</x:f>
        <x:v>0.14285714285714285</x:v>
      </x:c>
      <x:c r="R317" s="96" t="n">
        <x:f>IFERROR(L317/F317,0)</x:f>
        <x:v>0.04</x:v>
      </x:c>
      <x:c r="S317" s="95" t="n">
        <x:v>79</x:v>
      </x:c>
      <x:c r="T317" s="94" t="str">
        <x:v>末次点击7天</x:v>
      </x:c>
    </x:row>
    <x:row r="318">
      <x:c r="A318" s="92" t="str">
        <x:v>PROC-0317</x:v>
      </x:c>
      <x:c r="B318" s="93" t="n">
        <x:v>46080</x:v>
      </x:c>
      <x:c r="C318" s="94" t="str">
        <x:v>Google Ads</x:v>
      </x:c>
      <x:c r="D318" s="94" t="str">
        <x:v>美国</x:v>
      </x:c>
      <x:c r="E318" s="94" t="str">
        <x:v>竞品搜索</x:v>
      </x:c>
      <x:c r="F318" s="95" t="n">
        <x:v>24</x:v>
      </x:c>
      <x:c r="G318" s="95" t="n">
        <x:v>22</x:v>
      </x:c>
      <x:c r="H318" s="95" t="n">
        <x:v>16</x:v>
      </x:c>
      <x:c r="I318" s="95" t="n">
        <x:v>13</x:v>
      </x:c>
      <x:c r="J318" s="95" t="n">
        <x:v>5</x:v>
      </x:c>
      <x:c r="K318" s="95" t="n">
        <x:v>1</x:v>
      </x:c>
      <x:c r="L318" s="95" t="n">
        <x:v>0</x:v>
      </x:c>
      <x:c r="M318" s="96" t="n">
        <x:f>IFERROR(G318/F318,0)</x:f>
        <x:v>0.9166666666666666</x:v>
      </x:c>
      <x:c r="N318" s="96" t="n">
        <x:f>IFERROR(H318/G318,0)</x:f>
        <x:v>0.7272727272727273</x:v>
      </x:c>
      <x:c r="O318" s="96" t="n">
        <x:f>IFERROR(I318/H318,0)</x:f>
        <x:v>0.8125</x:v>
      </x:c>
      <x:c r="P318" s="96" t="n">
        <x:f>IFERROR(J318/I318,0)</x:f>
        <x:v>0.38461538461538464</x:v>
      </x:c>
      <x:c r="Q318" s="96" t="n">
        <x:f>IFERROR(L318/J318,0)</x:f>
        <x:v>0</x:v>
      </x:c>
      <x:c r="R318" s="96" t="n">
        <x:f>IFERROR(L318/F318,0)</x:f>
        <x:v>0</x:v>
      </x:c>
      <x:c r="S318" s="95" t="n">
        <x:v>50</x:v>
      </x:c>
      <x:c r="T318" s="94" t="str">
        <x:v>末次点击7天</x:v>
      </x:c>
    </x:row>
    <x:row r="319">
      <x:c r="A319" s="92" t="str">
        <x:v>PROC-0318</x:v>
      </x:c>
      <x:c r="B319" s="93" t="n">
        <x:v>46080</x:v>
      </x:c>
      <x:c r="C319" s="94" t="str">
        <x:v>Microsoft Ads</x:v>
      </x:c>
      <x:c r="D319" s="94" t="str">
        <x:v>美国</x:v>
      </x:c>
      <x:c r="E319" s="94" t="str">
        <x:v>竞品搜索</x:v>
      </x:c>
      <x:c r="F319" s="95" t="n">
        <x:v>27</x:v>
      </x:c>
      <x:c r="G319" s="95" t="n">
        <x:v>26</x:v>
      </x:c>
      <x:c r="H319" s="95" t="n">
        <x:v>17</x:v>
      </x:c>
      <x:c r="I319" s="95" t="n">
        <x:v>14</x:v>
      </x:c>
      <x:c r="J319" s="95" t="n">
        <x:v>6</x:v>
      </x:c>
      <x:c r="K319" s="95" t="n">
        <x:v>1</x:v>
      </x:c>
      <x:c r="L319" s="95" t="n">
        <x:v>0</x:v>
      </x:c>
      <x:c r="M319" s="96" t="n">
        <x:f>IFERROR(G319/F319,0)</x:f>
        <x:v>0.9629629629629629</x:v>
      </x:c>
      <x:c r="N319" s="96" t="n">
        <x:f>IFERROR(H319/G319,0)</x:f>
        <x:v>0.6538461538461539</x:v>
      </x:c>
      <x:c r="O319" s="96" t="n">
        <x:f>IFERROR(I319/H319,0)</x:f>
        <x:v>0.8235294117647058</x:v>
      </x:c>
      <x:c r="P319" s="96" t="n">
        <x:f>IFERROR(J319/I319,0)</x:f>
        <x:v>0.42857142857142855</x:v>
      </x:c>
      <x:c r="Q319" s="96" t="n">
        <x:f>IFERROR(L319/J319,0)</x:f>
        <x:v>0</x:v>
      </x:c>
      <x:c r="R319" s="96" t="n">
        <x:f>IFERROR(L319/F319,0)</x:f>
        <x:v>0</x:v>
      </x:c>
      <x:c r="S319" s="95" t="n">
        <x:v>149</x:v>
      </x:c>
      <x:c r="T319" s="94" t="str">
        <x:v>末次点击7天</x:v>
      </x:c>
    </x:row>
    <x:row r="320">
      <x:c r="A320" s="92" t="str">
        <x:v>PROC-0319</x:v>
      </x:c>
      <x:c r="B320" s="93" t="n">
        <x:v>46080</x:v>
      </x:c>
      <x:c r="C320" s="94" t="str">
        <x:v>Microsoft Ads</x:v>
      </x:c>
      <x:c r="D320" s="94" t="str">
        <x:v>英国</x:v>
      </x:c>
      <x:c r="E320" s="94" t="str">
        <x:v>通用搜索</x:v>
      </x:c>
      <x:c r="F320" s="95" t="n">
        <x:v>50</x:v>
      </x:c>
      <x:c r="G320" s="95" t="n">
        <x:v>46</x:v>
      </x:c>
      <x:c r="H320" s="95" t="n">
        <x:v>32</x:v>
      </x:c>
      <x:c r="I320" s="95" t="n">
        <x:v>26</x:v>
      </x:c>
      <x:c r="J320" s="95" t="n">
        <x:v>11</x:v>
      </x:c>
      <x:c r="K320" s="95" t="n">
        <x:v>3</x:v>
      </x:c>
      <x:c r="L320" s="95" t="n">
        <x:v>1</x:v>
      </x:c>
      <x:c r="M320" s="96" t="n">
        <x:f>IFERROR(G320/F320,0)</x:f>
        <x:v>0.92</x:v>
      </x:c>
      <x:c r="N320" s="96" t="n">
        <x:f>IFERROR(H320/G320,0)</x:f>
        <x:v>0.6956521739130435</x:v>
      </x:c>
      <x:c r="O320" s="96" t="n">
        <x:f>IFERROR(I320/H320,0)</x:f>
        <x:v>0.8125</x:v>
      </x:c>
      <x:c r="P320" s="96" t="n">
        <x:f>IFERROR(J320/I320,0)</x:f>
        <x:v>0.4230769230769231</x:v>
      </x:c>
      <x:c r="Q320" s="96" t="n">
        <x:f>IFERROR(L320/J320,0)</x:f>
        <x:v>0.09090909090909091</x:v>
      </x:c>
      <x:c r="R320" s="96" t="n">
        <x:f>IFERROR(L320/F320,0)</x:f>
        <x:v>0.02</x:v>
      </x:c>
      <x:c r="S320" s="95" t="n">
        <x:v>101</x:v>
      </x:c>
      <x:c r="T320" s="94" t="str">
        <x:v>末次点击7天</x:v>
      </x:c>
    </x:row>
    <x:row r="321">
      <x:c r="A321" s="92" t="str">
        <x:v>PROC-0320</x:v>
      </x:c>
      <x:c r="B321" s="93" t="n">
        <x:v>46080</x:v>
      </x:c>
      <x:c r="C321" s="94" t="str">
        <x:v>Google Ads</x:v>
      </x:c>
      <x:c r="D321" s="94" t="str">
        <x:v>美国</x:v>
      </x:c>
      <x:c r="E321" s="94" t="str">
        <x:v>购物广告</x:v>
      </x:c>
      <x:c r="F321" s="95" t="n">
        <x:v>62</x:v>
      </x:c>
      <x:c r="G321" s="95" t="n">
        <x:v>57</x:v>
      </x:c>
      <x:c r="H321" s="95" t="n">
        <x:v>42</x:v>
      </x:c>
      <x:c r="I321" s="95" t="n">
        <x:v>38</x:v>
      </x:c>
      <x:c r="J321" s="95" t="n">
        <x:v>18</x:v>
      </x:c>
      <x:c r="K321" s="95" t="n">
        <x:v>4</x:v>
      </x:c>
      <x:c r="L321" s="95" t="n">
        <x:v>1</x:v>
      </x:c>
      <x:c r="M321" s="96" t="n">
        <x:f>IFERROR(G321/F321,0)</x:f>
        <x:v>0.9193548387096774</x:v>
      </x:c>
      <x:c r="N321" s="96" t="n">
        <x:f>IFERROR(H321/G321,0)</x:f>
        <x:v>0.7368421052631579</x:v>
      </x:c>
      <x:c r="O321" s="96" t="n">
        <x:f>IFERROR(I321/H321,0)</x:f>
        <x:v>0.9047619047619048</x:v>
      </x:c>
      <x:c r="P321" s="96" t="n">
        <x:f>IFERROR(J321/I321,0)</x:f>
        <x:v>0.47368421052631576</x:v>
      </x:c>
      <x:c r="Q321" s="96" t="n">
        <x:f>IFERROR(L321/J321,0)</x:f>
        <x:v>0.05555555555555555</x:v>
      </x:c>
      <x:c r="R321" s="96" t="n">
        <x:f>IFERROR(L321/F321,0)</x:f>
        <x:v>0.016129032258064516</x:v>
      </x:c>
      <x:c r="S321" s="95" t="n">
        <x:v>75</x:v>
      </x:c>
      <x:c r="T321" s="94" t="str">
        <x:v>末次点击7天</x:v>
      </x:c>
    </x:row>
    <x:row r="322">
      <x:c r="A322" s="92" t="str">
        <x:v>PROC-0321</x:v>
      </x:c>
      <x:c r="B322" s="93" t="n">
        <x:v>46080</x:v>
      </x:c>
      <x:c r="C322" s="94" t="str">
        <x:v>Microsoft Ads</x:v>
      </x:c>
      <x:c r="D322" s="94" t="str">
        <x:v>德国</x:v>
      </x:c>
      <x:c r="E322" s="94" t="str">
        <x:v>购物广告</x:v>
      </x:c>
      <x:c r="F322" s="95" t="n">
        <x:v>36</x:v>
      </x:c>
      <x:c r="G322" s="95" t="n">
        <x:v>32</x:v>
      </x:c>
      <x:c r="H322" s="95" t="n">
        <x:v>22</x:v>
      </x:c>
      <x:c r="I322" s="95" t="n">
        <x:v>19</x:v>
      </x:c>
      <x:c r="J322" s="95" t="n">
        <x:v>9</x:v>
      </x:c>
      <x:c r="K322" s="95" t="n">
        <x:v>2</x:v>
      </x:c>
      <x:c r="L322" s="95" t="n">
        <x:v>1</x:v>
      </x:c>
      <x:c r="M322" s="96" t="n">
        <x:f>IFERROR(G322/F322,0)</x:f>
        <x:v>0.8888888888888888</x:v>
      </x:c>
      <x:c r="N322" s="96" t="n">
        <x:f>IFERROR(H322/G322,0)</x:f>
        <x:v>0.6875</x:v>
      </x:c>
      <x:c r="O322" s="96" t="n">
        <x:f>IFERROR(I322/H322,0)</x:f>
        <x:v>0.8636363636363636</x:v>
      </x:c>
      <x:c r="P322" s="96" t="n">
        <x:f>IFERROR(J322/I322,0)</x:f>
        <x:v>0.47368421052631576</x:v>
      </x:c>
      <x:c r="Q322" s="96" t="n">
        <x:f>IFERROR(L322/J322,0)</x:f>
        <x:v>0.1111111111111111</x:v>
      </x:c>
      <x:c r="R322" s="96" t="n">
        <x:f>IFERROR(L322/F322,0)</x:f>
        <x:v>0.027777777777777776</x:v>
      </x:c>
      <x:c r="S322" s="95" t="n">
        <x:v>78</x:v>
      </x:c>
      <x:c r="T322" s="94" t="str">
        <x:v>末次点击7天</x:v>
      </x:c>
    </x:row>
    <x:row r="323">
      <x:c r="A323" s="92" t="str">
        <x:v>PROC-0322</x:v>
      </x:c>
      <x:c r="B323" s="93" t="n">
        <x:v>46081</x:v>
      </x:c>
      <x:c r="C323" s="94" t="str">
        <x:v>Microsoft Ads</x:v>
      </x:c>
      <x:c r="D323" s="94" t="str">
        <x:v>德国</x:v>
      </x:c>
      <x:c r="E323" s="94" t="str">
        <x:v>品牌搜索</x:v>
      </x:c>
      <x:c r="F323" s="95" t="n">
        <x:v>75</x:v>
      </x:c>
      <x:c r="G323" s="95" t="n">
        <x:v>69</x:v>
      </x:c>
      <x:c r="H323" s="95" t="n">
        <x:v>46</x:v>
      </x:c>
      <x:c r="I323" s="95" t="n">
        <x:v>37</x:v>
      </x:c>
      <x:c r="J323" s="95" t="n">
        <x:v>19</x:v>
      </x:c>
      <x:c r="K323" s="95" t="n">
        <x:v>4</x:v>
      </x:c>
      <x:c r="L323" s="95" t="n">
        <x:v>2</x:v>
      </x:c>
      <x:c r="M323" s="96" t="n">
        <x:f>IFERROR(G323/F323,0)</x:f>
        <x:v>0.92</x:v>
      </x:c>
      <x:c r="N323" s="96" t="n">
        <x:f>IFERROR(H323/G323,0)</x:f>
        <x:v>0.6666666666666666</x:v>
      </x:c>
      <x:c r="O323" s="96" t="n">
        <x:f>IFERROR(I323/H323,0)</x:f>
        <x:v>0.8043478260869565</x:v>
      </x:c>
      <x:c r="P323" s="96" t="n">
        <x:f>IFERROR(J323/I323,0)</x:f>
        <x:v>0.5135135135135135</x:v>
      </x:c>
      <x:c r="Q323" s="96" t="n">
        <x:f>IFERROR(L323/J323,0)</x:f>
        <x:v>0.10526315789473684</x:v>
      </x:c>
      <x:c r="R323" s="96" t="n">
        <x:f>IFERROR(L323/F323,0)</x:f>
        <x:v>0.02666666666666667</x:v>
      </x:c>
      <x:c r="S323" s="95" t="n">
        <x:v>42</x:v>
      </x:c>
      <x:c r="T323" s="94" t="str">
        <x:v>末次点击7天</x:v>
      </x:c>
    </x:row>
    <x:row r="324">
      <x:c r="A324" s="92" t="str">
        <x:v>PROC-0323</x:v>
      </x:c>
      <x:c r="B324" s="93" t="n">
        <x:v>46081</x:v>
      </x:c>
      <x:c r="C324" s="94" t="str">
        <x:v>Google Ads</x:v>
      </x:c>
      <x:c r="D324" s="94" t="str">
        <x:v>美国</x:v>
      </x:c>
      <x:c r="E324" s="94" t="str">
        <x:v>通用搜索</x:v>
      </x:c>
      <x:c r="F324" s="95" t="n">
        <x:v>53</x:v>
      </x:c>
      <x:c r="G324" s="95" t="n">
        <x:v>47</x:v>
      </x:c>
      <x:c r="H324" s="95" t="n">
        <x:v>30</x:v>
      </x:c>
      <x:c r="I324" s="95" t="n">
        <x:v>25</x:v>
      </x:c>
      <x:c r="J324" s="95" t="n">
        <x:v>11</x:v>
      </x:c>
      <x:c r="K324" s="95" t="n">
        <x:v>4</x:v>
      </x:c>
      <x:c r="L324" s="95" t="n">
        <x:v>1</x:v>
      </x:c>
      <x:c r="M324" s="96" t="n">
        <x:f>IFERROR(G324/F324,0)</x:f>
        <x:v>0.8867924528301887</x:v>
      </x:c>
      <x:c r="N324" s="96" t="n">
        <x:f>IFERROR(H324/G324,0)</x:f>
        <x:v>0.6382978723404256</x:v>
      </x:c>
      <x:c r="O324" s="96" t="n">
        <x:f>IFERROR(I324/H324,0)</x:f>
        <x:v>0.8333333333333334</x:v>
      </x:c>
      <x:c r="P324" s="96" t="n">
        <x:f>IFERROR(J324/I324,0)</x:f>
        <x:v>0.44</x:v>
      </x:c>
      <x:c r="Q324" s="96" t="n">
        <x:f>IFERROR(L324/J324,0)</x:f>
        <x:v>0.09090909090909091</x:v>
      </x:c>
      <x:c r="R324" s="96" t="n">
        <x:f>IFERROR(L324/F324,0)</x:f>
        <x:v>0.018867924528301886</x:v>
      </x:c>
      <x:c r="S324" s="95" t="n">
        <x:v>47</x:v>
      </x:c>
      <x:c r="T324" s="94" t="str">
        <x:v>末次点击7天</x:v>
      </x:c>
    </x:row>
    <x:row r="325">
      <x:c r="A325" s="92" t="str">
        <x:v>PROC-0324</x:v>
      </x:c>
      <x:c r="B325" s="93" t="n">
        <x:v>46081</x:v>
      </x:c>
      <x:c r="C325" s="94" t="str">
        <x:v>Google Ads</x:v>
      </x:c>
      <x:c r="D325" s="94" t="str">
        <x:v>英国</x:v>
      </x:c>
      <x:c r="E325" s="94" t="str">
        <x:v>品牌搜索</x:v>
      </x:c>
      <x:c r="F325" s="95" t="n">
        <x:v>58</x:v>
      </x:c>
      <x:c r="G325" s="95" t="n">
        <x:v>55</x:v>
      </x:c>
      <x:c r="H325" s="95" t="n">
        <x:v>39</x:v>
      </x:c>
      <x:c r="I325" s="95" t="n">
        <x:v>33</x:v>
      </x:c>
      <x:c r="J325" s="95" t="n">
        <x:v>16</x:v>
      </x:c>
      <x:c r="K325" s="95" t="n">
        <x:v>5</x:v>
      </x:c>
      <x:c r="L325" s="95" t="n">
        <x:v>1</x:v>
      </x:c>
      <x:c r="M325" s="96" t="n">
        <x:f>IFERROR(G325/F325,0)</x:f>
        <x:v>0.9482758620689655</x:v>
      </x:c>
      <x:c r="N325" s="96" t="n">
        <x:f>IFERROR(H325/G325,0)</x:f>
        <x:v>0.7090909090909091</x:v>
      </x:c>
      <x:c r="O325" s="96" t="n">
        <x:f>IFERROR(I325/H325,0)</x:f>
        <x:v>0.8461538461538461</x:v>
      </x:c>
      <x:c r="P325" s="96" t="n">
        <x:f>IFERROR(J325/I325,0)</x:f>
        <x:v>0.48484848484848486</x:v>
      </x:c>
      <x:c r="Q325" s="96" t="n">
        <x:f>IFERROR(L325/J325,0)</x:f>
        <x:v>0.0625</x:v>
      </x:c>
      <x:c r="R325" s="96" t="n">
        <x:f>IFERROR(L325/F325,0)</x:f>
        <x:v>0.017241379310344827</x:v>
      </x:c>
      <x:c r="S325" s="95" t="n">
        <x:v>130</x:v>
      </x:c>
      <x:c r="T325" s="94" t="str">
        <x:v>末次点击7天</x:v>
      </x:c>
    </x:row>
    <x:row r="326">
      <x:c r="A326" s="92" t="str">
        <x:v>PROC-0325</x:v>
      </x:c>
      <x:c r="B326" s="93" t="n">
        <x:v>46081</x:v>
      </x:c>
      <x:c r="C326" s="94" t="str">
        <x:v>Google Ads</x:v>
      </x:c>
      <x:c r="D326" s="94" t="str">
        <x:v>德国</x:v>
      </x:c>
      <x:c r="E326" s="94" t="str">
        <x:v>通用搜索</x:v>
      </x:c>
      <x:c r="F326" s="95" t="n">
        <x:v>25</x:v>
      </x:c>
      <x:c r="G326" s="95" t="n">
        <x:v>23</x:v>
      </x:c>
      <x:c r="H326" s="95" t="n">
        <x:v>17</x:v>
      </x:c>
      <x:c r="I326" s="95" t="n">
        <x:v>14</x:v>
      </x:c>
      <x:c r="J326" s="95" t="n">
        <x:v>6</x:v>
      </x:c>
      <x:c r="K326" s="95" t="n">
        <x:v>2</x:v>
      </x:c>
      <x:c r="L326" s="95" t="n">
        <x:v>1</x:v>
      </x:c>
      <x:c r="M326" s="96" t="n">
        <x:f>IFERROR(G326/F326,0)</x:f>
        <x:v>0.92</x:v>
      </x:c>
      <x:c r="N326" s="96" t="n">
        <x:f>IFERROR(H326/G326,0)</x:f>
        <x:v>0.7391304347826086</x:v>
      </x:c>
      <x:c r="O326" s="96" t="n">
        <x:f>IFERROR(I326/H326,0)</x:f>
        <x:v>0.8235294117647058</x:v>
      </x:c>
      <x:c r="P326" s="96" t="n">
        <x:f>IFERROR(J326/I326,0)</x:f>
        <x:v>0.42857142857142855</x:v>
      </x:c>
      <x:c r="Q326" s="96" t="n">
        <x:f>IFERROR(L326/J326,0)</x:f>
        <x:v>0.16666666666666666</x:v>
      </x:c>
      <x:c r="R326" s="96" t="n">
        <x:f>IFERROR(L326/F326,0)</x:f>
        <x:v>0.04</x:v>
      </x:c>
      <x:c r="S326" s="95" t="n">
        <x:v>83</x:v>
      </x:c>
      <x:c r="T326" s="94" t="str">
        <x:v>末次点击7天</x:v>
      </x:c>
    </x:row>
    <x:row r="327">
      <x:c r="A327" s="92" t="str">
        <x:v>PROC-0326</x:v>
      </x:c>
      <x:c r="B327" s="93" t="n">
        <x:v>46081</x:v>
      </x:c>
      <x:c r="C327" s="94" t="str">
        <x:v>Google Ads</x:v>
      </x:c>
      <x:c r="D327" s="94" t="str">
        <x:v>美国</x:v>
      </x:c>
      <x:c r="E327" s="94" t="str">
        <x:v>通用搜索</x:v>
      </x:c>
      <x:c r="F327" s="95" t="n">
        <x:v>37</x:v>
      </x:c>
      <x:c r="G327" s="95" t="n">
        <x:v>35</x:v>
      </x:c>
      <x:c r="H327" s="95" t="n">
        <x:v>26</x:v>
      </x:c>
      <x:c r="I327" s="95" t="n">
        <x:v>22</x:v>
      </x:c>
      <x:c r="J327" s="95" t="n">
        <x:v>8</x:v>
      </x:c>
      <x:c r="K327" s="95" t="n">
        <x:v>3</x:v>
      </x:c>
      <x:c r="L327" s="95" t="n">
        <x:v>1</x:v>
      </x:c>
      <x:c r="M327" s="96" t="n">
        <x:f>IFERROR(G327/F327,0)</x:f>
        <x:v>0.9459459459459459</x:v>
      </x:c>
      <x:c r="N327" s="96" t="n">
        <x:f>IFERROR(H327/G327,0)</x:f>
        <x:v>0.7428571428571429</x:v>
      </x:c>
      <x:c r="O327" s="96" t="n">
        <x:f>IFERROR(I327/H327,0)</x:f>
        <x:v>0.8461538461538461</x:v>
      </x:c>
      <x:c r="P327" s="96" t="n">
        <x:f>IFERROR(J327/I327,0)</x:f>
        <x:v>0.36363636363636365</x:v>
      </x:c>
      <x:c r="Q327" s="96" t="n">
        <x:f>IFERROR(L327/J327,0)</x:f>
        <x:v>0.125</x:v>
      </x:c>
      <x:c r="R327" s="96" t="n">
        <x:f>IFERROR(L327/F327,0)</x:f>
        <x:v>0.02702702702702703</x:v>
      </x:c>
      <x:c r="S327" s="95" t="n">
        <x:v>129</x:v>
      </x:c>
      <x:c r="T327" s="94" t="str">
        <x:v>末次点击7天</x:v>
      </x:c>
    </x:row>
    <x:row r="328">
      <x:c r="A328" s="92" t="str">
        <x:v>PROC-0327</x:v>
      </x:c>
      <x:c r="B328" s="93" t="n">
        <x:v>46082</x:v>
      </x:c>
      <x:c r="C328" s="94" t="str">
        <x:v>Google Ads</x:v>
      </x:c>
      <x:c r="D328" s="94" t="str">
        <x:v>美国</x:v>
      </x:c>
      <x:c r="E328" s="94" t="str">
        <x:v>通用搜索</x:v>
      </x:c>
      <x:c r="F328" s="95" t="n">
        <x:v>30</x:v>
      </x:c>
      <x:c r="G328" s="95" t="n">
        <x:v>28</x:v>
      </x:c>
      <x:c r="H328" s="95" t="n">
        <x:v>19</x:v>
      </x:c>
      <x:c r="I328" s="95" t="n">
        <x:v>16</x:v>
      </x:c>
      <x:c r="J328" s="95" t="n">
        <x:v>6</x:v>
      </x:c>
      <x:c r="K328" s="95" t="n">
        <x:v>2</x:v>
      </x:c>
      <x:c r="L328" s="95" t="n">
        <x:v>1</x:v>
      </x:c>
      <x:c r="M328" s="96" t="n">
        <x:f>IFERROR(G328/F328,0)</x:f>
        <x:v>0.9333333333333333</x:v>
      </x:c>
      <x:c r="N328" s="96" t="n">
        <x:f>IFERROR(H328/G328,0)</x:f>
        <x:v>0.6785714285714286</x:v>
      </x:c>
      <x:c r="O328" s="96" t="n">
        <x:f>IFERROR(I328/H328,0)</x:f>
        <x:v>0.8421052631578947</x:v>
      </x:c>
      <x:c r="P328" s="96" t="n">
        <x:f>IFERROR(J328/I328,0)</x:f>
        <x:v>0.375</x:v>
      </x:c>
      <x:c r="Q328" s="96" t="n">
        <x:f>IFERROR(L328/J328,0)</x:f>
        <x:v>0.16666666666666666</x:v>
      </x:c>
      <x:c r="R328" s="96" t="n">
        <x:f>IFERROR(L328/F328,0)</x:f>
        <x:v>0.03333333333333333</x:v>
      </x:c>
      <x:c r="S328" s="95" t="n">
        <x:v>87</x:v>
      </x:c>
      <x:c r="T328" s="94" t="str">
        <x:v>末次点击7天</x:v>
      </x:c>
    </x:row>
    <x:row r="329">
      <x:c r="A329" s="92" t="str">
        <x:v>PROC-0328</x:v>
      </x:c>
      <x:c r="B329" s="93" t="n">
        <x:v>46082</x:v>
      </x:c>
      <x:c r="C329" s="94" t="str">
        <x:v>Microsoft Ads</x:v>
      </x:c>
      <x:c r="D329" s="94" t="str">
        <x:v>日本</x:v>
      </x:c>
      <x:c r="E329" s="94" t="str">
        <x:v>通用搜索</x:v>
      </x:c>
      <x:c r="F329" s="95" t="n">
        <x:v>20</x:v>
      </x:c>
      <x:c r="G329" s="95" t="n">
        <x:v>19</x:v>
      </x:c>
      <x:c r="H329" s="95" t="n">
        <x:v>13</x:v>
      </x:c>
      <x:c r="I329" s="95" t="n">
        <x:v>11</x:v>
      </x:c>
      <x:c r="J329" s="95" t="n">
        <x:v>5</x:v>
      </x:c>
      <x:c r="K329" s="95" t="n">
        <x:v>1</x:v>
      </x:c>
      <x:c r="L329" s="95" t="n">
        <x:v>0</x:v>
      </x:c>
      <x:c r="M329" s="96" t="n">
        <x:f>IFERROR(G329/F329,0)</x:f>
        <x:v>0.95</x:v>
      </x:c>
      <x:c r="N329" s="96" t="n">
        <x:f>IFERROR(H329/G329,0)</x:f>
        <x:v>0.6842105263157895</x:v>
      </x:c>
      <x:c r="O329" s="96" t="n">
        <x:f>IFERROR(I329/H329,0)</x:f>
        <x:v>0.8461538461538461</x:v>
      </x:c>
      <x:c r="P329" s="96" t="n">
        <x:f>IFERROR(J329/I329,0)</x:f>
        <x:v>0.45454545454545453</x:v>
      </x:c>
      <x:c r="Q329" s="96" t="n">
        <x:f>IFERROR(L329/J329,0)</x:f>
        <x:v>0</x:v>
      </x:c>
      <x:c r="R329" s="96" t="n">
        <x:f>IFERROR(L329/F329,0)</x:f>
        <x:v>0</x:v>
      </x:c>
      <x:c r="S329" s="95" t="n">
        <x:v>83</x:v>
      </x:c>
      <x:c r="T329" s="94" t="str">
        <x:v>末次点击7天</x:v>
      </x:c>
    </x:row>
    <x:row r="330">
      <x:c r="A330" s="92" t="str">
        <x:v>PROC-0329</x:v>
      </x:c>
      <x:c r="B330" s="93" t="n">
        <x:v>46082</x:v>
      </x:c>
      <x:c r="C330" s="94" t="str">
        <x:v>Google Ads</x:v>
      </x:c>
      <x:c r="D330" s="94" t="str">
        <x:v>美国</x:v>
      </x:c>
      <x:c r="E330" s="94" t="str">
        <x:v>竞品搜索</x:v>
      </x:c>
      <x:c r="F330" s="95" t="n">
        <x:v>35</x:v>
      </x:c>
      <x:c r="G330" s="95" t="n">
        <x:v>33</x:v>
      </x:c>
      <x:c r="H330" s="95" t="n">
        <x:v>21</x:v>
      </x:c>
      <x:c r="I330" s="95" t="n">
        <x:v>17</x:v>
      </x:c>
      <x:c r="J330" s="95" t="n">
        <x:v>6</x:v>
      </x:c>
      <x:c r="K330" s="95" t="n">
        <x:v>2</x:v>
      </x:c>
      <x:c r="L330" s="95" t="n">
        <x:v>1</x:v>
      </x:c>
      <x:c r="M330" s="96" t="n">
        <x:f>IFERROR(G330/F330,0)</x:f>
        <x:v>0.9428571428571428</x:v>
      </x:c>
      <x:c r="N330" s="96" t="n">
        <x:f>IFERROR(H330/G330,0)</x:f>
        <x:v>0.6363636363636364</x:v>
      </x:c>
      <x:c r="O330" s="96" t="n">
        <x:f>IFERROR(I330/H330,0)</x:f>
        <x:v>0.8095238095238095</x:v>
      </x:c>
      <x:c r="P330" s="96" t="n">
        <x:f>IFERROR(J330/I330,0)</x:f>
        <x:v>0.35294117647058826</x:v>
      </x:c>
      <x:c r="Q330" s="96" t="n">
        <x:f>IFERROR(L330/J330,0)</x:f>
        <x:v>0.16666666666666666</x:v>
      </x:c>
      <x:c r="R330" s="96" t="n">
        <x:f>IFERROR(L330/F330,0)</x:f>
        <x:v>0.02857142857142857</x:v>
      </x:c>
      <x:c r="S330" s="95" t="n">
        <x:v>62</x:v>
      </x:c>
      <x:c r="T330" s="94" t="str">
        <x:v>末次点击7天</x:v>
      </x:c>
    </x:row>
    <x:row r="331">
      <x:c r="A331" s="92" t="str">
        <x:v>PROC-0330</x:v>
      </x:c>
      <x:c r="B331" s="93" t="n">
        <x:v>46082</x:v>
      </x:c>
      <x:c r="C331" s="94" t="str">
        <x:v>Microsoft Ads</x:v>
      </x:c>
      <x:c r="D331" s="94" t="str">
        <x:v>美国</x:v>
      </x:c>
      <x:c r="E331" s="94" t="str">
        <x:v>购物广告</x:v>
      </x:c>
      <x:c r="F331" s="95" t="n">
        <x:v>67</x:v>
      </x:c>
      <x:c r="G331" s="95" t="n">
        <x:v>60</x:v>
      </x:c>
      <x:c r="H331" s="95" t="n">
        <x:v>43</x:v>
      </x:c>
      <x:c r="I331" s="95" t="n">
        <x:v>37</x:v>
      </x:c>
      <x:c r="J331" s="95" t="n">
        <x:v>19</x:v>
      </x:c>
      <x:c r="K331" s="95" t="n">
        <x:v>6</x:v>
      </x:c>
      <x:c r="L331" s="95" t="n">
        <x:v>1</x:v>
      </x:c>
      <x:c r="M331" s="96" t="n">
        <x:f>IFERROR(G331/F331,0)</x:f>
        <x:v>0.8955223880597015</x:v>
      </x:c>
      <x:c r="N331" s="96" t="n">
        <x:f>IFERROR(H331/G331,0)</x:f>
        <x:v>0.7166666666666667</x:v>
      </x:c>
      <x:c r="O331" s="96" t="n">
        <x:f>IFERROR(I331/H331,0)</x:f>
        <x:v>0.8604651162790697</x:v>
      </x:c>
      <x:c r="P331" s="96" t="n">
        <x:f>IFERROR(J331/I331,0)</x:f>
        <x:v>0.5135135135135135</x:v>
      </x:c>
      <x:c r="Q331" s="96" t="n">
        <x:f>IFERROR(L331/J331,0)</x:f>
        <x:v>0.05263157894736842</x:v>
      </x:c>
      <x:c r="R331" s="96" t="n">
        <x:f>IFERROR(L331/F331,0)</x:f>
        <x:v>0.014925373134328358</x:v>
      </x:c>
      <x:c r="S331" s="95" t="n">
        <x:v>155</x:v>
      </x:c>
      <x:c r="T331" s="94" t="str">
        <x:v>末次点击7天</x:v>
      </x:c>
    </x:row>
    <x:row r="332">
      <x:c r="A332" s="92" t="str">
        <x:v>PROC-0331</x:v>
      </x:c>
      <x:c r="B332" s="93" t="n">
        <x:v>46082</x:v>
      </x:c>
      <x:c r="C332" s="94" t="str">
        <x:v>Microsoft Ads</x:v>
      </x:c>
      <x:c r="D332" s="94" t="str">
        <x:v>美国</x:v>
      </x:c>
      <x:c r="E332" s="94" t="str">
        <x:v>竞品搜索</x:v>
      </x:c>
      <x:c r="F332" s="95" t="n">
        <x:v>21</x:v>
      </x:c>
      <x:c r="G332" s="95" t="n">
        <x:v>19</x:v>
      </x:c>
      <x:c r="H332" s="95" t="n">
        <x:v>12</x:v>
      </x:c>
      <x:c r="I332" s="95" t="n">
        <x:v>10</x:v>
      </x:c>
      <x:c r="J332" s="95" t="n">
        <x:v>5</x:v>
      </x:c>
      <x:c r="K332" s="95" t="n">
        <x:v>2</x:v>
      </x:c>
      <x:c r="L332" s="95" t="n">
        <x:v>0</x:v>
      </x:c>
      <x:c r="M332" s="96" t="n">
        <x:f>IFERROR(G332/F332,0)</x:f>
        <x:v>0.9047619047619048</x:v>
      </x:c>
      <x:c r="N332" s="96" t="n">
        <x:f>IFERROR(H332/G332,0)</x:f>
        <x:v>0.631578947368421</x:v>
      </x:c>
      <x:c r="O332" s="96" t="n">
        <x:f>IFERROR(I332/H332,0)</x:f>
        <x:v>0.8333333333333334</x:v>
      </x:c>
      <x:c r="P332" s="96" t="n">
        <x:f>IFERROR(J332/I332,0)</x:f>
        <x:v>0.5</x:v>
      </x:c>
      <x:c r="Q332" s="96" t="n">
        <x:f>IFERROR(L332/J332,0)</x:f>
        <x:v>0</x:v>
      </x:c>
      <x:c r="R332" s="96" t="n">
        <x:f>IFERROR(L332/F332,0)</x:f>
        <x:v>0</x:v>
      </x:c>
      <x:c r="S332" s="95" t="n">
        <x:v>71</x:v>
      </x:c>
      <x:c r="T332" s="94" t="str">
        <x:v>末次点击7天</x:v>
      </x:c>
    </x:row>
    <x:row r="333">
      <x:c r="A333" s="92" t="str">
        <x:v>PROC-0332</x:v>
      </x:c>
      <x:c r="B333" s="93" t="n">
        <x:v>46082</x:v>
      </x:c>
      <x:c r="C333" s="94" t="str">
        <x:v>Google Ads</x:v>
      </x:c>
      <x:c r="D333" s="94" t="str">
        <x:v>美国</x:v>
      </x:c>
      <x:c r="E333" s="94" t="str">
        <x:v>通用搜索</x:v>
      </x:c>
      <x:c r="F333" s="95" t="n">
        <x:v>54</x:v>
      </x:c>
      <x:c r="G333" s="95" t="n">
        <x:v>51</x:v>
      </x:c>
      <x:c r="H333" s="95" t="n">
        <x:v>36</x:v>
      </x:c>
      <x:c r="I333" s="95" t="n">
        <x:v>29</x:v>
      </x:c>
      <x:c r="J333" s="95" t="n">
        <x:v>11</x:v>
      </x:c>
      <x:c r="K333" s="95" t="n">
        <x:v>2</x:v>
      </x:c>
      <x:c r="L333" s="95" t="n">
        <x:v>1</x:v>
      </x:c>
      <x:c r="M333" s="96" t="n">
        <x:f>IFERROR(G333/F333,0)</x:f>
        <x:v>0.9444444444444444</x:v>
      </x:c>
      <x:c r="N333" s="96" t="n">
        <x:f>IFERROR(H333/G333,0)</x:f>
        <x:v>0.7058823529411765</x:v>
      </x:c>
      <x:c r="O333" s="96" t="n">
        <x:f>IFERROR(I333/H333,0)</x:f>
        <x:v>0.8055555555555556</x:v>
      </x:c>
      <x:c r="P333" s="96" t="n">
        <x:f>IFERROR(J333/I333,0)</x:f>
        <x:v>0.3793103448275862</x:v>
      </x:c>
      <x:c r="Q333" s="96" t="n">
        <x:f>IFERROR(L333/J333,0)</x:f>
        <x:v>0.09090909090909091</x:v>
      </x:c>
      <x:c r="R333" s="96" t="n">
        <x:f>IFERROR(L333/F333,0)</x:f>
        <x:v>0.018518518518518517</x:v>
      </x:c>
      <x:c r="S333" s="95" t="n">
        <x:v>91</x:v>
      </x:c>
      <x:c r="T333" s="94" t="str">
        <x:v>末次点击7天</x:v>
      </x:c>
    </x:row>
    <x:row r="334">
      <x:c r="A334" s="92" t="str">
        <x:v>PROC-0333</x:v>
      </x:c>
      <x:c r="B334" s="93" t="n">
        <x:v>46083</x:v>
      </x:c>
      <x:c r="C334" s="94" t="str">
        <x:v>Google Ads</x:v>
      </x:c>
      <x:c r="D334" s="94" t="str">
        <x:v>英国</x:v>
      </x:c>
      <x:c r="E334" s="94" t="str">
        <x:v>通用搜索</x:v>
      </x:c>
      <x:c r="F334" s="95" t="n">
        <x:v>26</x:v>
      </x:c>
      <x:c r="G334" s="95" t="n">
        <x:v>25</x:v>
      </x:c>
      <x:c r="H334" s="95" t="n">
        <x:v>17</x:v>
      </x:c>
      <x:c r="I334" s="95" t="n">
        <x:v>14</x:v>
      </x:c>
      <x:c r="J334" s="95" t="n">
        <x:v>6</x:v>
      </x:c>
      <x:c r="K334" s="95" t="n">
        <x:v>2</x:v>
      </x:c>
      <x:c r="L334" s="95" t="n">
        <x:v>1</x:v>
      </x:c>
      <x:c r="M334" s="96" t="n">
        <x:f>IFERROR(G334/F334,0)</x:f>
        <x:v>0.9615384615384616</x:v>
      </x:c>
      <x:c r="N334" s="96" t="n">
        <x:f>IFERROR(H334/G334,0)</x:f>
        <x:v>0.68</x:v>
      </x:c>
      <x:c r="O334" s="96" t="n">
        <x:f>IFERROR(I334/H334,0)</x:f>
        <x:v>0.8235294117647058</x:v>
      </x:c>
      <x:c r="P334" s="96" t="n">
        <x:f>IFERROR(J334/I334,0)</x:f>
        <x:v>0.42857142857142855</x:v>
      </x:c>
      <x:c r="Q334" s="96" t="n">
        <x:f>IFERROR(L334/J334,0)</x:f>
        <x:v>0.16666666666666666</x:v>
      </x:c>
      <x:c r="R334" s="96" t="n">
        <x:f>IFERROR(L334/F334,0)</x:f>
        <x:v>0.038461538461538464</x:v>
      </x:c>
      <x:c r="S334" s="95" t="n">
        <x:v>44</x:v>
      </x:c>
      <x:c r="T334" s="94" t="str">
        <x:v>末次点击7天</x:v>
      </x:c>
    </x:row>
    <x:row r="335">
      <x:c r="A335" s="92" t="str">
        <x:v>PROC-0334</x:v>
      </x:c>
      <x:c r="B335" s="93" t="n">
        <x:v>46083</x:v>
      </x:c>
      <x:c r="C335" s="94" t="str">
        <x:v>Google Ads</x:v>
      </x:c>
      <x:c r="D335" s="94" t="str">
        <x:v>美国</x:v>
      </x:c>
      <x:c r="E335" s="94" t="str">
        <x:v>通用搜索</x:v>
      </x:c>
      <x:c r="F335" s="95" t="n">
        <x:v>25</x:v>
      </x:c>
      <x:c r="G335" s="95" t="n">
        <x:v>23</x:v>
      </x:c>
      <x:c r="H335" s="95" t="n">
        <x:v>17</x:v>
      </x:c>
      <x:c r="I335" s="95" t="n">
        <x:v>15</x:v>
      </x:c>
      <x:c r="J335" s="95" t="n">
        <x:v>7</x:v>
      </x:c>
      <x:c r="K335" s="95" t="n">
        <x:v>2</x:v>
      </x:c>
      <x:c r="L335" s="95" t="n">
        <x:v>1</x:v>
      </x:c>
      <x:c r="M335" s="96" t="n">
        <x:f>IFERROR(G335/F335,0)</x:f>
        <x:v>0.92</x:v>
      </x:c>
      <x:c r="N335" s="96" t="n">
        <x:f>IFERROR(H335/G335,0)</x:f>
        <x:v>0.7391304347826086</x:v>
      </x:c>
      <x:c r="O335" s="96" t="n">
        <x:f>IFERROR(I335/H335,0)</x:f>
        <x:v>0.8823529411764706</x:v>
      </x:c>
      <x:c r="P335" s="96" t="n">
        <x:f>IFERROR(J335/I335,0)</x:f>
        <x:v>0.4666666666666667</x:v>
      </x:c>
      <x:c r="Q335" s="96" t="n">
        <x:f>IFERROR(L335/J335,0)</x:f>
        <x:v>0.14285714285714285</x:v>
      </x:c>
      <x:c r="R335" s="96" t="n">
        <x:f>IFERROR(L335/F335,0)</x:f>
        <x:v>0.04</x:v>
      </x:c>
      <x:c r="S335" s="95" t="n">
        <x:v>75</x:v>
      </x:c>
      <x:c r="T335" s="94" t="str">
        <x:v>末次点击7天</x:v>
      </x:c>
    </x:row>
    <x:row r="336">
      <x:c r="A336" s="92" t="str">
        <x:v>PROC-0335</x:v>
      </x:c>
      <x:c r="B336" s="93" t="n">
        <x:v>46083</x:v>
      </x:c>
      <x:c r="C336" s="94" t="str">
        <x:v>Microsoft Ads</x:v>
      </x:c>
      <x:c r="D336" s="94" t="str">
        <x:v>英国</x:v>
      </x:c>
      <x:c r="E336" s="94" t="str">
        <x:v>竞品搜索</x:v>
      </x:c>
      <x:c r="F336" s="95" t="n">
        <x:v>27</x:v>
      </x:c>
      <x:c r="G336" s="95" t="n">
        <x:v>24</x:v>
      </x:c>
      <x:c r="H336" s="95" t="n">
        <x:v>17</x:v>
      </x:c>
      <x:c r="I336" s="95" t="n">
        <x:v>15</x:v>
      </x:c>
      <x:c r="J336" s="95" t="n">
        <x:v>7</x:v>
      </x:c>
      <x:c r="K336" s="95" t="n">
        <x:v>2</x:v>
      </x:c>
      <x:c r="L336" s="95" t="n">
        <x:v>1</x:v>
      </x:c>
      <x:c r="M336" s="96" t="n">
        <x:f>IFERROR(G336/F336,0)</x:f>
        <x:v>0.8888888888888888</x:v>
      </x:c>
      <x:c r="N336" s="96" t="n">
        <x:f>IFERROR(H336/G336,0)</x:f>
        <x:v>0.7083333333333334</x:v>
      </x:c>
      <x:c r="O336" s="96" t="n">
        <x:f>IFERROR(I336/H336,0)</x:f>
        <x:v>0.8823529411764706</x:v>
      </x:c>
      <x:c r="P336" s="96" t="n">
        <x:f>IFERROR(J336/I336,0)</x:f>
        <x:v>0.4666666666666667</x:v>
      </x:c>
      <x:c r="Q336" s="96" t="n">
        <x:f>IFERROR(L336/J336,0)</x:f>
        <x:v>0.14285714285714285</x:v>
      </x:c>
      <x:c r="R336" s="96" t="n">
        <x:f>IFERROR(L336/F336,0)</x:f>
        <x:v>0.037037037037037035</x:v>
      </x:c>
      <x:c r="S336" s="95" t="n">
        <x:v>89</x:v>
      </x:c>
      <x:c r="T336" s="94" t="str">
        <x:v>末次点击7天</x:v>
      </x:c>
    </x:row>
    <x:row r="337">
      <x:c r="A337" s="92" t="str">
        <x:v>PROC-0336</x:v>
      </x:c>
      <x:c r="B337" s="93" t="n">
        <x:v>46083</x:v>
      </x:c>
      <x:c r="C337" s="94" t="str">
        <x:v>Google Ads</x:v>
      </x:c>
      <x:c r="D337" s="94" t="str">
        <x:v>日本</x:v>
      </x:c>
      <x:c r="E337" s="94" t="str">
        <x:v>竞品搜索</x:v>
      </x:c>
      <x:c r="F337" s="95" t="n">
        <x:v>34</x:v>
      </x:c>
      <x:c r="G337" s="95" t="n">
        <x:v>32</x:v>
      </x:c>
      <x:c r="H337" s="95" t="n">
        <x:v>21</x:v>
      </x:c>
      <x:c r="I337" s="95" t="n">
        <x:v>17</x:v>
      </x:c>
      <x:c r="J337" s="95" t="n">
        <x:v>7</x:v>
      </x:c>
      <x:c r="K337" s="95" t="n">
        <x:v>2</x:v>
      </x:c>
      <x:c r="L337" s="95" t="n">
        <x:v>1</x:v>
      </x:c>
      <x:c r="M337" s="96" t="n">
        <x:f>IFERROR(G337/F337,0)</x:f>
        <x:v>0.9411764705882353</x:v>
      </x:c>
      <x:c r="N337" s="96" t="n">
        <x:f>IFERROR(H337/G337,0)</x:f>
        <x:v>0.65625</x:v>
      </x:c>
      <x:c r="O337" s="96" t="n">
        <x:f>IFERROR(I337/H337,0)</x:f>
        <x:v>0.8095238095238095</x:v>
      </x:c>
      <x:c r="P337" s="96" t="n">
        <x:f>IFERROR(J337/I337,0)</x:f>
        <x:v>0.4117647058823529</x:v>
      </x:c>
      <x:c r="Q337" s="96" t="n">
        <x:f>IFERROR(L337/J337,0)</x:f>
        <x:v>0.14285714285714285</x:v>
      </x:c>
      <x:c r="R337" s="96" t="n">
        <x:f>IFERROR(L337/F337,0)</x:f>
        <x:v>0.029411764705882353</x:v>
      </x:c>
      <x:c r="S337" s="95" t="n">
        <x:v>135</x:v>
      </x:c>
      <x:c r="T337" s="94" t="str">
        <x:v>末次点击7天</x:v>
      </x:c>
    </x:row>
    <x:row r="338">
      <x:c r="A338" s="92" t="str">
        <x:v>PROC-0337</x:v>
      </x:c>
      <x:c r="B338" s="93" t="n">
        <x:v>46083</x:v>
      </x:c>
      <x:c r="C338" s="94" t="str">
        <x:v>Google Ads</x:v>
      </x:c>
      <x:c r="D338" s="94" t="str">
        <x:v>英国</x:v>
      </x:c>
      <x:c r="E338" s="94" t="str">
        <x:v>竞品搜索</x:v>
      </x:c>
      <x:c r="F338" s="95" t="n">
        <x:v>17</x:v>
      </x:c>
      <x:c r="G338" s="95" t="n">
        <x:v>15</x:v>
      </x:c>
      <x:c r="H338" s="95" t="n">
        <x:v>10</x:v>
      </x:c>
      <x:c r="I338" s="95" t="n">
        <x:v>8</x:v>
      </x:c>
      <x:c r="J338" s="95" t="n">
        <x:v>3</x:v>
      </x:c>
      <x:c r="K338" s="95" t="n">
        <x:v>1</x:v>
      </x:c>
      <x:c r="L338" s="95" t="n">
        <x:v>0</x:v>
      </x:c>
      <x:c r="M338" s="96" t="n">
        <x:f>IFERROR(G338/F338,0)</x:f>
        <x:v>0.8823529411764706</x:v>
      </x:c>
      <x:c r="N338" s="96" t="n">
        <x:f>IFERROR(H338/G338,0)</x:f>
        <x:v>0.6666666666666666</x:v>
      </x:c>
      <x:c r="O338" s="96" t="n">
        <x:f>IFERROR(I338/H338,0)</x:f>
        <x:v>0.8</x:v>
      </x:c>
      <x:c r="P338" s="96" t="n">
        <x:f>IFERROR(J338/I338,0)</x:f>
        <x:v>0.375</x:v>
      </x:c>
      <x:c r="Q338" s="96" t="n">
        <x:f>IFERROR(L338/J338,0)</x:f>
        <x:v>0</x:v>
      </x:c>
      <x:c r="R338" s="96" t="n">
        <x:f>IFERROR(L338/F338,0)</x:f>
        <x:v>0</x:v>
      </x:c>
      <x:c r="S338" s="95" t="n">
        <x:v>54</x:v>
      </x:c>
      <x:c r="T338" s="94" t="str">
        <x:v>末次点击7天</x:v>
      </x:c>
    </x:row>
    <x:row r="339">
      <x:c r="A339" s="92" t="str">
        <x:v>PROC-0338</x:v>
      </x:c>
      <x:c r="B339" s="93" t="n">
        <x:v>46083</x:v>
      </x:c>
      <x:c r="C339" s="94" t="str">
        <x:v>Microsoft Ads</x:v>
      </x:c>
      <x:c r="D339" s="94" t="str">
        <x:v>日本</x:v>
      </x:c>
      <x:c r="E339" s="94" t="str">
        <x:v>通用搜索</x:v>
      </x:c>
      <x:c r="F339" s="95" t="n">
        <x:v>40</x:v>
      </x:c>
      <x:c r="G339" s="95" t="n">
        <x:v>36</x:v>
      </x:c>
      <x:c r="H339" s="95" t="n">
        <x:v>25</x:v>
      </x:c>
      <x:c r="I339" s="95" t="n">
        <x:v>21</x:v>
      </x:c>
      <x:c r="J339" s="95" t="n">
        <x:v>9</x:v>
      </x:c>
      <x:c r="K339" s="95" t="n">
        <x:v>2</x:v>
      </x:c>
      <x:c r="L339" s="95" t="n">
        <x:v>1</x:v>
      </x:c>
      <x:c r="M339" s="96" t="n">
        <x:f>IFERROR(G339/F339,0)</x:f>
        <x:v>0.9</x:v>
      </x:c>
      <x:c r="N339" s="96" t="n">
        <x:f>IFERROR(H339/G339,0)</x:f>
        <x:v>0.6944444444444444</x:v>
      </x:c>
      <x:c r="O339" s="96" t="n">
        <x:f>IFERROR(I339/H339,0)</x:f>
        <x:v>0.84</x:v>
      </x:c>
      <x:c r="P339" s="96" t="n">
        <x:f>IFERROR(J339/I339,0)</x:f>
        <x:v>0.42857142857142855</x:v>
      </x:c>
      <x:c r="Q339" s="96" t="n">
        <x:f>IFERROR(L339/J339,0)</x:f>
        <x:v>0.1111111111111111</x:v>
      </x:c>
      <x:c r="R339" s="96" t="n">
        <x:f>IFERROR(L339/F339,0)</x:f>
        <x:v>0.025</x:v>
      </x:c>
      <x:c r="S339" s="95" t="n">
        <x:v>128</x:v>
      </x:c>
      <x:c r="T339" s="94" t="str">
        <x:v>末次点击7天</x:v>
      </x:c>
    </x:row>
    <x:row r="340">
      <x:c r="A340" s="92" t="str">
        <x:v>PROC-0339</x:v>
      </x:c>
      <x:c r="B340" s="93" t="n">
        <x:v>46084</x:v>
      </x:c>
      <x:c r="C340" s="94" t="str">
        <x:v>Google Ads</x:v>
      </x:c>
      <x:c r="D340" s="94" t="str">
        <x:v>德国</x:v>
      </x:c>
      <x:c r="E340" s="94" t="str">
        <x:v>品牌搜索</x:v>
      </x:c>
      <x:c r="F340" s="95" t="n">
        <x:v>44</x:v>
      </x:c>
      <x:c r="G340" s="95" t="n">
        <x:v>41</x:v>
      </x:c>
      <x:c r="H340" s="95" t="n">
        <x:v>30</x:v>
      </x:c>
      <x:c r="I340" s="95" t="n">
        <x:v>25</x:v>
      </x:c>
      <x:c r="J340" s="95" t="n">
        <x:v>11</x:v>
      </x:c>
      <x:c r="K340" s="95" t="n">
        <x:v>4</x:v>
      </x:c>
      <x:c r="L340" s="95" t="n">
        <x:v>1</x:v>
      </x:c>
      <x:c r="M340" s="96" t="n">
        <x:f>IFERROR(G340/F340,0)</x:f>
        <x:v>0.9318181818181818</x:v>
      </x:c>
      <x:c r="N340" s="96" t="n">
        <x:f>IFERROR(H340/G340,0)</x:f>
        <x:v>0.7317073170731707</x:v>
      </x:c>
      <x:c r="O340" s="96" t="n">
        <x:f>IFERROR(I340/H340,0)</x:f>
        <x:v>0.8333333333333334</x:v>
      </x:c>
      <x:c r="P340" s="96" t="n">
        <x:f>IFERROR(J340/I340,0)</x:f>
        <x:v>0.44</x:v>
      </x:c>
      <x:c r="Q340" s="96" t="n">
        <x:f>IFERROR(L340/J340,0)</x:f>
        <x:v>0.09090909090909091</x:v>
      </x:c>
      <x:c r="R340" s="96" t="n">
        <x:f>IFERROR(L340/F340,0)</x:f>
        <x:v>0.022727272727272728</x:v>
      </x:c>
      <x:c r="S340" s="95" t="n">
        <x:v>115</x:v>
      </x:c>
      <x:c r="T340" s="94" t="str">
        <x:v>末次点击7天</x:v>
      </x:c>
    </x:row>
    <x:row r="341">
      <x:c r="A341" s="92" t="str">
        <x:v>PROC-0340</x:v>
      </x:c>
      <x:c r="B341" s="93" t="n">
        <x:v>46084</x:v>
      </x:c>
      <x:c r="C341" s="94" t="str">
        <x:v>Microsoft Ads</x:v>
      </x:c>
      <x:c r="D341" s="94" t="str">
        <x:v>美国</x:v>
      </x:c>
      <x:c r="E341" s="94" t="str">
        <x:v>购物广告</x:v>
      </x:c>
      <x:c r="F341" s="95" t="n">
        <x:v>41</x:v>
      </x:c>
      <x:c r="G341" s="95" t="n">
        <x:v>38</x:v>
      </x:c>
      <x:c r="H341" s="95" t="n">
        <x:v>25</x:v>
      </x:c>
      <x:c r="I341" s="95" t="n">
        <x:v>22</x:v>
      </x:c>
      <x:c r="J341" s="95" t="n">
        <x:v>10</x:v>
      </x:c>
      <x:c r="K341" s="95" t="n">
        <x:v>3</x:v>
      </x:c>
      <x:c r="L341" s="95" t="n">
        <x:v>1</x:v>
      </x:c>
      <x:c r="M341" s="96" t="n">
        <x:f>IFERROR(G341/F341,0)</x:f>
        <x:v>0.926829268292683</x:v>
      </x:c>
      <x:c r="N341" s="96" t="n">
        <x:f>IFERROR(H341/G341,0)</x:f>
        <x:v>0.6578947368421053</x:v>
      </x:c>
      <x:c r="O341" s="96" t="n">
        <x:f>IFERROR(I341/H341,0)</x:f>
        <x:v>0.88</x:v>
      </x:c>
      <x:c r="P341" s="96" t="n">
        <x:f>IFERROR(J341/I341,0)</x:f>
        <x:v>0.45454545454545453</x:v>
      </x:c>
      <x:c r="Q341" s="96" t="n">
        <x:f>IFERROR(L341/J341,0)</x:f>
        <x:v>0.1</x:v>
      </x:c>
      <x:c r="R341" s="96" t="n">
        <x:f>IFERROR(L341/F341,0)</x:f>
        <x:v>0.024390243902439025</x:v>
      </x:c>
      <x:c r="S341" s="95" t="n">
        <x:v>137</x:v>
      </x:c>
      <x:c r="T341" s="94" t="str">
        <x:v>末次点击7天</x:v>
      </x:c>
    </x:row>
    <x:row r="342">
      <x:c r="A342" s="92" t="str">
        <x:v>PROC-0341</x:v>
      </x:c>
      <x:c r="B342" s="93" t="n">
        <x:v>46084</x:v>
      </x:c>
      <x:c r="C342" s="94" t="str">
        <x:v>Microsoft Ads</x:v>
      </x:c>
      <x:c r="D342" s="94" t="str">
        <x:v>英国</x:v>
      </x:c>
      <x:c r="E342" s="94" t="str">
        <x:v>品牌搜索</x:v>
      </x:c>
      <x:c r="F342" s="95" t="n">
        <x:v>97</x:v>
      </x:c>
      <x:c r="G342" s="95" t="n">
        <x:v>86</x:v>
      </x:c>
      <x:c r="H342" s="95" t="n">
        <x:v>60</x:v>
      </x:c>
      <x:c r="I342" s="95" t="n">
        <x:v>49</x:v>
      </x:c>
      <x:c r="J342" s="95" t="n">
        <x:v>22</x:v>
      </x:c>
      <x:c r="K342" s="95" t="n">
        <x:v>5</x:v>
      </x:c>
      <x:c r="L342" s="95" t="n">
        <x:v>2</x:v>
      </x:c>
      <x:c r="M342" s="96" t="n">
        <x:f>IFERROR(G342/F342,0)</x:f>
        <x:v>0.8865979381443299</x:v>
      </x:c>
      <x:c r="N342" s="96" t="n">
        <x:f>IFERROR(H342/G342,0)</x:f>
        <x:v>0.6976744186046512</x:v>
      </x:c>
      <x:c r="O342" s="96" t="n">
        <x:f>IFERROR(I342/H342,0)</x:f>
        <x:v>0.8166666666666667</x:v>
      </x:c>
      <x:c r="P342" s="96" t="n">
        <x:f>IFERROR(J342/I342,0)</x:f>
        <x:v>0.4489795918367347</x:v>
      </x:c>
      <x:c r="Q342" s="96" t="n">
        <x:f>IFERROR(L342/J342,0)</x:f>
        <x:v>0.09090909090909091</x:v>
      </x:c>
      <x:c r="R342" s="96" t="n">
        <x:f>IFERROR(L342/F342,0)</x:f>
        <x:v>0.020618556701030927</x:v>
      </x:c>
      <x:c r="S342" s="95" t="n">
        <x:v>133</x:v>
      </x:c>
      <x:c r="T342" s="94" t="str">
        <x:v>末次点击7天</x:v>
      </x:c>
    </x:row>
    <x:row r="343">
      <x:c r="A343" s="92" t="str">
        <x:v>PROC-0342</x:v>
      </x:c>
      <x:c r="B343" s="93" t="n">
        <x:v>46084</x:v>
      </x:c>
      <x:c r="C343" s="94" t="str">
        <x:v>Google Ads</x:v>
      </x:c>
      <x:c r="D343" s="94" t="str">
        <x:v>日本</x:v>
      </x:c>
      <x:c r="E343" s="94" t="str">
        <x:v>通用搜索</x:v>
      </x:c>
      <x:c r="F343" s="95" t="n">
        <x:v>37</x:v>
      </x:c>
      <x:c r="G343" s="95" t="n">
        <x:v>34</x:v>
      </x:c>
      <x:c r="H343" s="95" t="n">
        <x:v>23</x:v>
      </x:c>
      <x:c r="I343" s="95" t="n">
        <x:v>18</x:v>
      </x:c>
      <x:c r="J343" s="95" t="n">
        <x:v>7</x:v>
      </x:c>
      <x:c r="K343" s="95" t="n">
        <x:v>2</x:v>
      </x:c>
      <x:c r="L343" s="95" t="n">
        <x:v>1</x:v>
      </x:c>
      <x:c r="M343" s="96" t="n">
        <x:f>IFERROR(G343/F343,0)</x:f>
        <x:v>0.918918918918919</x:v>
      </x:c>
      <x:c r="N343" s="96" t="n">
        <x:f>IFERROR(H343/G343,0)</x:f>
        <x:v>0.6764705882352942</x:v>
      </x:c>
      <x:c r="O343" s="96" t="n">
        <x:f>IFERROR(I343/H343,0)</x:f>
        <x:v>0.782608695652174</x:v>
      </x:c>
      <x:c r="P343" s="96" t="n">
        <x:f>IFERROR(J343/I343,0)</x:f>
        <x:v>0.3888888888888889</x:v>
      </x:c>
      <x:c r="Q343" s="96" t="n">
        <x:f>IFERROR(L343/J343,0)</x:f>
        <x:v>0.14285714285714285</x:v>
      </x:c>
      <x:c r="R343" s="96" t="n">
        <x:f>IFERROR(L343/F343,0)</x:f>
        <x:v>0.02702702702702703</x:v>
      </x:c>
      <x:c r="S343" s="95" t="n">
        <x:v>135</x:v>
      </x:c>
      <x:c r="T343" s="94" t="str">
        <x:v>末次点击7天</x:v>
      </x:c>
    </x:row>
    <x:row r="344">
      <x:c r="A344" s="92" t="str">
        <x:v>PROC-0343</x:v>
      </x:c>
      <x:c r="B344" s="93" t="n">
        <x:v>46084</x:v>
      </x:c>
      <x:c r="C344" s="94" t="str">
        <x:v>Google Ads</x:v>
      </x:c>
      <x:c r="D344" s="94" t="str">
        <x:v>英国</x:v>
      </x:c>
      <x:c r="E344" s="94" t="str">
        <x:v>品牌搜索</x:v>
      </x:c>
      <x:c r="F344" s="95" t="n">
        <x:v>55</x:v>
      </x:c>
      <x:c r="G344" s="95" t="n">
        <x:v>50</x:v>
      </x:c>
      <x:c r="H344" s="95" t="n">
        <x:v>38</x:v>
      </x:c>
      <x:c r="I344" s="95" t="n">
        <x:v>32</x:v>
      </x:c>
      <x:c r="J344" s="95" t="n">
        <x:v>16</x:v>
      </x:c>
      <x:c r="K344" s="95" t="n">
        <x:v>3</x:v>
      </x:c>
      <x:c r="L344" s="95" t="n">
        <x:v>2</x:v>
      </x:c>
      <x:c r="M344" s="96" t="n">
        <x:f>IFERROR(G344/F344,0)</x:f>
        <x:v>0.9090909090909091</x:v>
      </x:c>
      <x:c r="N344" s="96" t="n">
        <x:f>IFERROR(H344/G344,0)</x:f>
        <x:v>0.76</x:v>
      </x:c>
      <x:c r="O344" s="96" t="n">
        <x:f>IFERROR(I344/H344,0)</x:f>
        <x:v>0.8421052631578947</x:v>
      </x:c>
      <x:c r="P344" s="96" t="n">
        <x:f>IFERROR(J344/I344,0)</x:f>
        <x:v>0.5</x:v>
      </x:c>
      <x:c r="Q344" s="96" t="n">
        <x:f>IFERROR(L344/J344,0)</x:f>
        <x:v>0.125</x:v>
      </x:c>
      <x:c r="R344" s="96" t="n">
        <x:f>IFERROR(L344/F344,0)</x:f>
        <x:v>0.03636363636363636</x:v>
      </x:c>
      <x:c r="S344" s="95" t="n">
        <x:v>141</x:v>
      </x:c>
      <x:c r="T344" s="94" t="str">
        <x:v>末次点击7天</x:v>
      </x:c>
    </x:row>
    <x:row r="345">
      <x:c r="A345" s="92" t="str">
        <x:v>PROC-0344</x:v>
      </x:c>
      <x:c r="B345" s="93" t="n">
        <x:v>46085</x:v>
      </x:c>
      <x:c r="C345" s="94" t="str">
        <x:v>Google Ads</x:v>
      </x:c>
      <x:c r="D345" s="94" t="str">
        <x:v>美国</x:v>
      </x:c>
      <x:c r="E345" s="94" t="str">
        <x:v>品牌搜索</x:v>
      </x:c>
      <x:c r="F345" s="95" t="n">
        <x:v>32</x:v>
      </x:c>
      <x:c r="G345" s="95" t="n">
        <x:v>28</x:v>
      </x:c>
      <x:c r="H345" s="95" t="n">
        <x:v>19</x:v>
      </x:c>
      <x:c r="I345" s="95" t="n">
        <x:v>15</x:v>
      </x:c>
      <x:c r="J345" s="95" t="n">
        <x:v>7</x:v>
      </x:c>
      <x:c r="K345" s="95" t="n">
        <x:v>2</x:v>
      </x:c>
      <x:c r="L345" s="95" t="n">
        <x:v>1</x:v>
      </x:c>
      <x:c r="M345" s="96" t="n">
        <x:f>IFERROR(G345/F345,0)</x:f>
        <x:v>0.875</x:v>
      </x:c>
      <x:c r="N345" s="96" t="n">
        <x:f>IFERROR(H345/G345,0)</x:f>
        <x:v>0.6785714285714286</x:v>
      </x:c>
      <x:c r="O345" s="96" t="n">
        <x:f>IFERROR(I345/H345,0)</x:f>
        <x:v>0.7894736842105263</x:v>
      </x:c>
      <x:c r="P345" s="96" t="n">
        <x:f>IFERROR(J345/I345,0)</x:f>
        <x:v>0.4666666666666667</x:v>
      </x:c>
      <x:c r="Q345" s="96" t="n">
        <x:f>IFERROR(L345/J345,0)</x:f>
        <x:v>0.14285714285714285</x:v>
      </x:c>
      <x:c r="R345" s="96" t="n">
        <x:f>IFERROR(L345/F345,0)</x:f>
        <x:v>0.03125</x:v>
      </x:c>
      <x:c r="S345" s="95" t="n">
        <x:v>129</x:v>
      </x:c>
      <x:c r="T345" s="94" t="str">
        <x:v>末次点击7天</x:v>
      </x:c>
    </x:row>
    <x:row r="346">
      <x:c r="A346" s="92" t="str">
        <x:v>PROC-0345</x:v>
      </x:c>
      <x:c r="B346" s="93" t="n">
        <x:v>46085</x:v>
      </x:c>
      <x:c r="C346" s="94" t="str">
        <x:v>Microsoft Ads</x:v>
      </x:c>
      <x:c r="D346" s="94" t="str">
        <x:v>美国</x:v>
      </x:c>
      <x:c r="E346" s="94" t="str">
        <x:v>品牌搜索</x:v>
      </x:c>
      <x:c r="F346" s="95" t="n">
        <x:v>64</x:v>
      </x:c>
      <x:c r="G346" s="95" t="n">
        <x:v>58</x:v>
      </x:c>
      <x:c r="H346" s="95" t="n">
        <x:v>40</x:v>
      </x:c>
      <x:c r="I346" s="95" t="n">
        <x:v>32</x:v>
      </x:c>
      <x:c r="J346" s="95" t="n">
        <x:v>16</x:v>
      </x:c>
      <x:c r="K346" s="95" t="n">
        <x:v>4</x:v>
      </x:c>
      <x:c r="L346" s="95" t="n">
        <x:v>2</x:v>
      </x:c>
      <x:c r="M346" s="96" t="n">
        <x:f>IFERROR(G346/F346,0)</x:f>
        <x:v>0.90625</x:v>
      </x:c>
      <x:c r="N346" s="96" t="n">
        <x:f>IFERROR(H346/G346,0)</x:f>
        <x:v>0.6896551724137931</x:v>
      </x:c>
      <x:c r="O346" s="96" t="n">
        <x:f>IFERROR(I346/H346,0)</x:f>
        <x:v>0.8</x:v>
      </x:c>
      <x:c r="P346" s="96" t="n">
        <x:f>IFERROR(J346/I346,0)</x:f>
        <x:v>0.5</x:v>
      </x:c>
      <x:c r="Q346" s="96" t="n">
        <x:f>IFERROR(L346/J346,0)</x:f>
        <x:v>0.125</x:v>
      </x:c>
      <x:c r="R346" s="96" t="n">
        <x:f>IFERROR(L346/F346,0)</x:f>
        <x:v>0.03125</x:v>
      </x:c>
      <x:c r="S346" s="95" t="n">
        <x:v>140</x:v>
      </x:c>
      <x:c r="T346" s="94" t="str">
        <x:v>末次点击7天</x:v>
      </x:c>
    </x:row>
    <x:row r="347">
      <x:c r="A347" s="92" t="str">
        <x:v>PROC-0346</x:v>
      </x:c>
      <x:c r="B347" s="93" t="n">
        <x:v>46085</x:v>
      </x:c>
      <x:c r="C347" s="94" t="str">
        <x:v>Google Ads</x:v>
      </x:c>
      <x:c r="D347" s="94" t="str">
        <x:v>德国</x:v>
      </x:c>
      <x:c r="E347" s="94" t="str">
        <x:v>通用搜索</x:v>
      </x:c>
      <x:c r="F347" s="95" t="n">
        <x:v>41</x:v>
      </x:c>
      <x:c r="G347" s="95" t="n">
        <x:v>39</x:v>
      </x:c>
      <x:c r="H347" s="95" t="n">
        <x:v>27</x:v>
      </x:c>
      <x:c r="I347" s="95" t="n">
        <x:v>23</x:v>
      </x:c>
      <x:c r="J347" s="95" t="n">
        <x:v>10</x:v>
      </x:c>
      <x:c r="K347" s="95" t="n">
        <x:v>2</x:v>
      </x:c>
      <x:c r="L347" s="95" t="n">
        <x:v>1</x:v>
      </x:c>
      <x:c r="M347" s="96" t="n">
        <x:f>IFERROR(G347/F347,0)</x:f>
        <x:v>0.9512195121951219</x:v>
      </x:c>
      <x:c r="N347" s="96" t="n">
        <x:f>IFERROR(H347/G347,0)</x:f>
        <x:v>0.6923076923076923</x:v>
      </x:c>
      <x:c r="O347" s="96" t="n">
        <x:f>IFERROR(I347/H347,0)</x:f>
        <x:v>0.8518518518518519</x:v>
      </x:c>
      <x:c r="P347" s="96" t="n">
        <x:f>IFERROR(J347/I347,0)</x:f>
        <x:v>0.43478260869565216</x:v>
      </x:c>
      <x:c r="Q347" s="96" t="n">
        <x:f>IFERROR(L347/J347,0)</x:f>
        <x:v>0.1</x:v>
      </x:c>
      <x:c r="R347" s="96" t="n">
        <x:f>IFERROR(L347/F347,0)</x:f>
        <x:v>0.024390243902439025</x:v>
      </x:c>
      <x:c r="S347" s="95" t="n">
        <x:v>145</x:v>
      </x:c>
      <x:c r="T347" s="94" t="str">
        <x:v>末次点击7天</x:v>
      </x:c>
    </x:row>
    <x:row r="348">
      <x:c r="A348" s="92" t="str">
        <x:v>PROC-0347</x:v>
      </x:c>
      <x:c r="B348" s="93" t="n">
        <x:v>46085</x:v>
      </x:c>
      <x:c r="C348" s="94" t="str">
        <x:v>Google Ads</x:v>
      </x:c>
      <x:c r="D348" s="94" t="str">
        <x:v>德国</x:v>
      </x:c>
      <x:c r="E348" s="94" t="str">
        <x:v>通用搜索</x:v>
      </x:c>
      <x:c r="F348" s="95" t="n">
        <x:v>27</x:v>
      </x:c>
      <x:c r="G348" s="95" t="n">
        <x:v>25</x:v>
      </x:c>
      <x:c r="H348" s="95" t="n">
        <x:v>19</x:v>
      </x:c>
      <x:c r="I348" s="95" t="n">
        <x:v>16</x:v>
      </x:c>
      <x:c r="J348" s="95" t="n">
        <x:v>7</x:v>
      </x:c>
      <x:c r="K348" s="95" t="n">
        <x:v>2</x:v>
      </x:c>
      <x:c r="L348" s="95" t="n">
        <x:v>1</x:v>
      </x:c>
      <x:c r="M348" s="96" t="n">
        <x:f>IFERROR(G348/F348,0)</x:f>
        <x:v>0.9259259259259259</x:v>
      </x:c>
      <x:c r="N348" s="96" t="n">
        <x:f>IFERROR(H348/G348,0)</x:f>
        <x:v>0.76</x:v>
      </x:c>
      <x:c r="O348" s="96" t="n">
        <x:f>IFERROR(I348/H348,0)</x:f>
        <x:v>0.8421052631578947</x:v>
      </x:c>
      <x:c r="P348" s="96" t="n">
        <x:f>IFERROR(J348/I348,0)</x:f>
        <x:v>0.4375</x:v>
      </x:c>
      <x:c r="Q348" s="96" t="n">
        <x:f>IFERROR(L348/J348,0)</x:f>
        <x:v>0.14285714285714285</x:v>
      </x:c>
      <x:c r="R348" s="96" t="n">
        <x:f>IFERROR(L348/F348,0)</x:f>
        <x:v>0.037037037037037035</x:v>
      </x:c>
      <x:c r="S348" s="95" t="n">
        <x:v>84</x:v>
      </x:c>
      <x:c r="T348" s="94" t="str">
        <x:v>末次点击7天</x:v>
      </x:c>
    </x:row>
    <x:row r="349">
      <x:c r="A349" s="92" t="str">
        <x:v>PROC-0348</x:v>
      </x:c>
      <x:c r="B349" s="93" t="n">
        <x:v>46085</x:v>
      </x:c>
      <x:c r="C349" s="94" t="str">
        <x:v>Microsoft Ads</x:v>
      </x:c>
      <x:c r="D349" s="94" t="str">
        <x:v>英国</x:v>
      </x:c>
      <x:c r="E349" s="94" t="str">
        <x:v>通用搜索</x:v>
      </x:c>
      <x:c r="F349" s="95" t="n">
        <x:v>40</x:v>
      </x:c>
      <x:c r="G349" s="95" t="n">
        <x:v>38</x:v>
      </x:c>
      <x:c r="H349" s="95" t="n">
        <x:v>24</x:v>
      </x:c>
      <x:c r="I349" s="95" t="n">
        <x:v>21</x:v>
      </x:c>
      <x:c r="J349" s="95" t="n">
        <x:v>9</x:v>
      </x:c>
      <x:c r="K349" s="95" t="n">
        <x:v>3</x:v>
      </x:c>
      <x:c r="L349" s="95" t="n">
        <x:v>1</x:v>
      </x:c>
      <x:c r="M349" s="96" t="n">
        <x:f>IFERROR(G349/F349,0)</x:f>
        <x:v>0.95</x:v>
      </x:c>
      <x:c r="N349" s="96" t="n">
        <x:f>IFERROR(H349/G349,0)</x:f>
        <x:v>0.631578947368421</x:v>
      </x:c>
      <x:c r="O349" s="96" t="n">
        <x:f>IFERROR(I349/H349,0)</x:f>
        <x:v>0.875</x:v>
      </x:c>
      <x:c r="P349" s="96" t="n">
        <x:f>IFERROR(J349/I349,0)</x:f>
        <x:v>0.42857142857142855</x:v>
      </x:c>
      <x:c r="Q349" s="96" t="n">
        <x:f>IFERROR(L349/J349,0)</x:f>
        <x:v>0.1111111111111111</x:v>
      </x:c>
      <x:c r="R349" s="96" t="n">
        <x:f>IFERROR(L349/F349,0)</x:f>
        <x:v>0.025</x:v>
      </x:c>
      <x:c r="S349" s="95" t="n">
        <x:v>78</x:v>
      </x:c>
      <x:c r="T349" s="94" t="str">
        <x:v>末次点击7天</x:v>
      </x:c>
    </x:row>
    <x:row r="350">
      <x:c r="A350" s="92" t="str">
        <x:v>PROC-0349</x:v>
      </x:c>
      <x:c r="B350" s="93" t="n">
        <x:v>46085</x:v>
      </x:c>
      <x:c r="C350" s="94" t="str">
        <x:v>Microsoft Ads</x:v>
      </x:c>
      <x:c r="D350" s="94" t="str">
        <x:v>德国</x:v>
      </x:c>
      <x:c r="E350" s="94" t="str">
        <x:v>通用搜索</x:v>
      </x:c>
      <x:c r="F350" s="95" t="n">
        <x:v>32</x:v>
      </x:c>
      <x:c r="G350" s="95" t="n">
        <x:v>30</x:v>
      </x:c>
      <x:c r="H350" s="95" t="n">
        <x:v>21</x:v>
      </x:c>
      <x:c r="I350" s="95" t="n">
        <x:v>17</x:v>
      </x:c>
      <x:c r="J350" s="95" t="n">
        <x:v>7</x:v>
      </x:c>
      <x:c r="K350" s="95" t="n">
        <x:v>1</x:v>
      </x:c>
      <x:c r="L350" s="95" t="n">
        <x:v>1</x:v>
      </x:c>
      <x:c r="M350" s="96" t="n">
        <x:f>IFERROR(G350/F350,0)</x:f>
        <x:v>0.9375</x:v>
      </x:c>
      <x:c r="N350" s="96" t="n">
        <x:f>IFERROR(H350/G350,0)</x:f>
        <x:v>0.7</x:v>
      </x:c>
      <x:c r="O350" s="96" t="n">
        <x:f>IFERROR(I350/H350,0)</x:f>
        <x:v>0.8095238095238095</x:v>
      </x:c>
      <x:c r="P350" s="96" t="n">
        <x:f>IFERROR(J350/I350,0)</x:f>
        <x:v>0.4117647058823529</x:v>
      </x:c>
      <x:c r="Q350" s="96" t="n">
        <x:f>IFERROR(L350/J350,0)</x:f>
        <x:v>0.14285714285714285</x:v>
      </x:c>
      <x:c r="R350" s="96" t="n">
        <x:f>IFERROR(L350/F350,0)</x:f>
        <x:v>0.03125</x:v>
      </x:c>
      <x:c r="S350" s="95" t="n">
        <x:v>116</x:v>
      </x:c>
      <x:c r="T350" s="94" t="str">
        <x:v>末次点击7天</x:v>
      </x:c>
    </x:row>
    <x:row r="351">
      <x:c r="A351" s="92" t="str">
        <x:v>PROC-0350</x:v>
      </x:c>
      <x:c r="B351" s="93" t="n">
        <x:v>46086</x:v>
      </x:c>
      <x:c r="C351" s="94" t="str">
        <x:v>Google Ads</x:v>
      </x:c>
      <x:c r="D351" s="94" t="str">
        <x:v>德国</x:v>
      </x:c>
      <x:c r="E351" s="94" t="str">
        <x:v>购物广告</x:v>
      </x:c>
      <x:c r="F351" s="95" t="n">
        <x:v>39</x:v>
      </x:c>
      <x:c r="G351" s="95" t="n">
        <x:v>35</x:v>
      </x:c>
      <x:c r="H351" s="95" t="n">
        <x:v>24</x:v>
      </x:c>
      <x:c r="I351" s="95" t="n">
        <x:v>22</x:v>
      </x:c>
      <x:c r="J351" s="95" t="n">
        <x:v>10</x:v>
      </x:c>
      <x:c r="K351" s="95" t="n">
        <x:v>3</x:v>
      </x:c>
      <x:c r="L351" s="95" t="n">
        <x:v>1</x:v>
      </x:c>
      <x:c r="M351" s="96" t="n">
        <x:f>IFERROR(G351/F351,0)</x:f>
        <x:v>0.8974358974358975</x:v>
      </x:c>
      <x:c r="N351" s="96" t="n">
        <x:f>IFERROR(H351/G351,0)</x:f>
        <x:v>0.6857142857142857</x:v>
      </x:c>
      <x:c r="O351" s="96" t="n">
        <x:f>IFERROR(I351/H351,0)</x:f>
        <x:v>0.9166666666666666</x:v>
      </x:c>
      <x:c r="P351" s="96" t="n">
        <x:f>IFERROR(J351/I351,0)</x:f>
        <x:v>0.45454545454545453</x:v>
      </x:c>
      <x:c r="Q351" s="96" t="n">
        <x:f>IFERROR(L351/J351,0)</x:f>
        <x:v>0.1</x:v>
      </x:c>
      <x:c r="R351" s="96" t="n">
        <x:f>IFERROR(L351/F351,0)</x:f>
        <x:v>0.02564102564102564</x:v>
      </x:c>
      <x:c r="S351" s="95" t="n">
        <x:v>52</x:v>
      </x:c>
      <x:c r="T351" s="94" t="str">
        <x:v>末次点击7天</x:v>
      </x:c>
    </x:row>
    <x:row r="352">
      <x:c r="A352" s="92" t="str">
        <x:v>PROC-0351</x:v>
      </x:c>
      <x:c r="B352" s="93" t="n">
        <x:v>46086</x:v>
      </x:c>
      <x:c r="C352" s="94" t="str">
        <x:v>Google Ads</x:v>
      </x:c>
      <x:c r="D352" s="94" t="str">
        <x:v>日本</x:v>
      </x:c>
      <x:c r="E352" s="94" t="str">
        <x:v>通用搜索</x:v>
      </x:c>
      <x:c r="F352" s="95" t="n">
        <x:v>26</x:v>
      </x:c>
      <x:c r="G352" s="95" t="n">
        <x:v>23</x:v>
      </x:c>
      <x:c r="H352" s="95" t="n">
        <x:v>16</x:v>
      </x:c>
      <x:c r="I352" s="95" t="n">
        <x:v>13</x:v>
      </x:c>
      <x:c r="J352" s="95" t="n">
        <x:v>5</x:v>
      </x:c>
      <x:c r="K352" s="95" t="n">
        <x:v>1</x:v>
      </x:c>
      <x:c r="L352" s="95" t="n">
        <x:v>0</x:v>
      </x:c>
      <x:c r="M352" s="96" t="n">
        <x:f>IFERROR(G352/F352,0)</x:f>
        <x:v>0.8846153846153846</x:v>
      </x:c>
      <x:c r="N352" s="96" t="n">
        <x:f>IFERROR(H352/G352,0)</x:f>
        <x:v>0.6956521739130435</x:v>
      </x:c>
      <x:c r="O352" s="96" t="n">
        <x:f>IFERROR(I352/H352,0)</x:f>
        <x:v>0.8125</x:v>
      </x:c>
      <x:c r="P352" s="96" t="n">
        <x:f>IFERROR(J352/I352,0)</x:f>
        <x:v>0.38461538461538464</x:v>
      </x:c>
      <x:c r="Q352" s="96" t="n">
        <x:f>IFERROR(L352/J352,0)</x:f>
        <x:v>0</x:v>
      </x:c>
      <x:c r="R352" s="96" t="n">
        <x:f>IFERROR(L352/F352,0)</x:f>
        <x:v>0</x:v>
      </x:c>
      <x:c r="S352" s="95" t="n">
        <x:v>135</x:v>
      </x:c>
      <x:c r="T352" s="94" t="str">
        <x:v>末次点击7天</x:v>
      </x:c>
    </x:row>
    <x:row r="353">
      <x:c r="A353" s="92" t="str">
        <x:v>PROC-0352</x:v>
      </x:c>
      <x:c r="B353" s="93" t="n">
        <x:v>46086</x:v>
      </x:c>
      <x:c r="C353" s="94" t="str">
        <x:v>Google Ads</x:v>
      </x:c>
      <x:c r="D353" s="94" t="str">
        <x:v>美国</x:v>
      </x:c>
      <x:c r="E353" s="94" t="str">
        <x:v>购物广告</x:v>
      </x:c>
      <x:c r="F353" s="95" t="n">
        <x:v>30</x:v>
      </x:c>
      <x:c r="G353" s="95" t="n">
        <x:v>27</x:v>
      </x:c>
      <x:c r="H353" s="95" t="n">
        <x:v>19</x:v>
      </x:c>
      <x:c r="I353" s="95" t="n">
        <x:v>17</x:v>
      </x:c>
      <x:c r="J353" s="95" t="n">
        <x:v>7</x:v>
      </x:c>
      <x:c r="K353" s="95" t="n">
        <x:v>2</x:v>
      </x:c>
      <x:c r="L353" s="95" t="n">
        <x:v>1</x:v>
      </x:c>
      <x:c r="M353" s="96" t="n">
        <x:f>IFERROR(G353/F353,0)</x:f>
        <x:v>0.9</x:v>
      </x:c>
      <x:c r="N353" s="96" t="n">
        <x:f>IFERROR(H353/G353,0)</x:f>
        <x:v>0.7037037037037037</x:v>
      </x:c>
      <x:c r="O353" s="96" t="n">
        <x:f>IFERROR(I353/H353,0)</x:f>
        <x:v>0.8947368421052632</x:v>
      </x:c>
      <x:c r="P353" s="96" t="n">
        <x:f>IFERROR(J353/I353,0)</x:f>
        <x:v>0.4117647058823529</x:v>
      </x:c>
      <x:c r="Q353" s="96" t="n">
        <x:f>IFERROR(L353/J353,0)</x:f>
        <x:v>0.14285714285714285</x:v>
      </x:c>
      <x:c r="R353" s="96" t="n">
        <x:f>IFERROR(L353/F353,0)</x:f>
        <x:v>0.03333333333333333</x:v>
      </x:c>
      <x:c r="S353" s="95" t="n">
        <x:v>56</x:v>
      </x:c>
      <x:c r="T353" s="94" t="str">
        <x:v>末次点击7天</x:v>
      </x:c>
    </x:row>
    <x:row r="354">
      <x:c r="A354" s="92" t="str">
        <x:v>PROC-0353</x:v>
      </x:c>
      <x:c r="B354" s="93" t="n">
        <x:v>46086</x:v>
      </x:c>
      <x:c r="C354" s="94" t="str">
        <x:v>Microsoft Ads</x:v>
      </x:c>
      <x:c r="D354" s="94" t="str">
        <x:v>日本</x:v>
      </x:c>
      <x:c r="E354" s="94" t="str">
        <x:v>通用搜索</x:v>
      </x:c>
      <x:c r="F354" s="95" t="n">
        <x:v>37</x:v>
      </x:c>
      <x:c r="G354" s="95" t="n">
        <x:v>33</x:v>
      </x:c>
      <x:c r="H354" s="95" t="n">
        <x:v>22</x:v>
      </x:c>
      <x:c r="I354" s="95" t="n">
        <x:v>19</x:v>
      </x:c>
      <x:c r="J354" s="95" t="n">
        <x:v>8</x:v>
      </x:c>
      <x:c r="K354" s="95" t="n">
        <x:v>3</x:v>
      </x:c>
      <x:c r="L354" s="95" t="n">
        <x:v>1</x:v>
      </x:c>
      <x:c r="M354" s="96" t="n">
        <x:f>IFERROR(G354/F354,0)</x:f>
        <x:v>0.8918918918918919</x:v>
      </x:c>
      <x:c r="N354" s="96" t="n">
        <x:f>IFERROR(H354/G354,0)</x:f>
        <x:v>0.6666666666666666</x:v>
      </x:c>
      <x:c r="O354" s="96" t="n">
        <x:f>IFERROR(I354/H354,0)</x:f>
        <x:v>0.8636363636363636</x:v>
      </x:c>
      <x:c r="P354" s="96" t="n">
        <x:f>IFERROR(J354/I354,0)</x:f>
        <x:v>0.42105263157894735</x:v>
      </x:c>
      <x:c r="Q354" s="96" t="n">
        <x:f>IFERROR(L354/J354,0)</x:f>
        <x:v>0.125</x:v>
      </x:c>
      <x:c r="R354" s="96" t="n">
        <x:f>IFERROR(L354/F354,0)</x:f>
        <x:v>0.02702702702702703</x:v>
      </x:c>
      <x:c r="S354" s="95" t="n">
        <x:v>149</x:v>
      </x:c>
      <x:c r="T354" s="94" t="str">
        <x:v>末次点击7天</x:v>
      </x:c>
    </x:row>
    <x:row r="355">
      <x:c r="A355" s="92" t="str">
        <x:v>PROC-0354</x:v>
      </x:c>
      <x:c r="B355" s="93" t="n">
        <x:v>46086</x:v>
      </x:c>
      <x:c r="C355" s="94" t="str">
        <x:v>Google Ads</x:v>
      </x:c>
      <x:c r="D355" s="94" t="str">
        <x:v>德国</x:v>
      </x:c>
      <x:c r="E355" s="94" t="str">
        <x:v>通用搜索</x:v>
      </x:c>
      <x:c r="F355" s="95" t="n">
        <x:v>54</x:v>
      </x:c>
      <x:c r="G355" s="95" t="n">
        <x:v>49</x:v>
      </x:c>
      <x:c r="H355" s="95" t="n">
        <x:v>38</x:v>
      </x:c>
      <x:c r="I355" s="95" t="n">
        <x:v>33</x:v>
      </x:c>
      <x:c r="J355" s="95" t="n">
        <x:v>12</x:v>
      </x:c>
      <x:c r="K355" s="95" t="n">
        <x:v>4</x:v>
      </x:c>
      <x:c r="L355" s="95" t="n">
        <x:v>1</x:v>
      </x:c>
      <x:c r="M355" s="96" t="n">
        <x:f>IFERROR(G355/F355,0)</x:f>
        <x:v>0.9074074074074074</x:v>
      </x:c>
      <x:c r="N355" s="96" t="n">
        <x:f>IFERROR(H355/G355,0)</x:f>
        <x:v>0.7755102040816326</x:v>
      </x:c>
      <x:c r="O355" s="96" t="n">
        <x:f>IFERROR(I355/H355,0)</x:f>
        <x:v>0.868421052631579</x:v>
      </x:c>
      <x:c r="P355" s="96" t="n">
        <x:f>IFERROR(J355/I355,0)</x:f>
        <x:v>0.36363636363636365</x:v>
      </x:c>
      <x:c r="Q355" s="96" t="n">
        <x:f>IFERROR(L355/J355,0)</x:f>
        <x:v>0.08333333333333333</x:v>
      </x:c>
      <x:c r="R355" s="96" t="n">
        <x:f>IFERROR(L355/F355,0)</x:f>
        <x:v>0.018518518518518517</x:v>
      </x:c>
      <x:c r="S355" s="95" t="n">
        <x:v>64</x:v>
      </x:c>
      <x:c r="T355" s="94" t="str">
        <x:v>末次点击7天</x:v>
      </x:c>
    </x:row>
    <x:row r="356">
      <x:c r="A356" s="92" t="str">
        <x:v>PROC-0355</x:v>
      </x:c>
      <x:c r="B356" s="93" t="n">
        <x:v>46087</x:v>
      </x:c>
      <x:c r="C356" s="94" t="str">
        <x:v>Google Ads</x:v>
      </x:c>
      <x:c r="D356" s="94" t="str">
        <x:v>英国</x:v>
      </x:c>
      <x:c r="E356" s="94" t="str">
        <x:v>品牌搜索</x:v>
      </x:c>
      <x:c r="F356" s="95" t="n">
        <x:v>45</x:v>
      </x:c>
      <x:c r="G356" s="95" t="n">
        <x:v>42</x:v>
      </x:c>
      <x:c r="H356" s="95" t="n">
        <x:v>30</x:v>
      </x:c>
      <x:c r="I356" s="95" t="n">
        <x:v>24</x:v>
      </x:c>
      <x:c r="J356" s="95" t="n">
        <x:v>11</x:v>
      </x:c>
      <x:c r="K356" s="95" t="n">
        <x:v>3</x:v>
      </x:c>
      <x:c r="L356" s="95" t="n">
        <x:v>1</x:v>
      </x:c>
      <x:c r="M356" s="96" t="n">
        <x:f>IFERROR(G356/F356,0)</x:f>
        <x:v>0.9333333333333333</x:v>
      </x:c>
      <x:c r="N356" s="96" t="n">
        <x:f>IFERROR(H356/G356,0)</x:f>
        <x:v>0.7142857142857143</x:v>
      </x:c>
      <x:c r="O356" s="96" t="n">
        <x:f>IFERROR(I356/H356,0)</x:f>
        <x:v>0.8</x:v>
      </x:c>
      <x:c r="P356" s="96" t="n">
        <x:f>IFERROR(J356/I356,0)</x:f>
        <x:v>0.4583333333333333</x:v>
      </x:c>
      <x:c r="Q356" s="96" t="n">
        <x:f>IFERROR(L356/J356,0)</x:f>
        <x:v>0.09090909090909091</x:v>
      </x:c>
      <x:c r="R356" s="96" t="n">
        <x:f>IFERROR(L356/F356,0)</x:f>
        <x:v>0.022222222222222223</x:v>
      </x:c>
      <x:c r="S356" s="95" t="n">
        <x:v>127</x:v>
      </x:c>
      <x:c r="T356" s="94" t="str">
        <x:v>末次点击7天</x:v>
      </x:c>
    </x:row>
    <x:row r="357">
      <x:c r="A357" s="92" t="str">
        <x:v>PROC-0356</x:v>
      </x:c>
      <x:c r="B357" s="93" t="n">
        <x:v>46087</x:v>
      </x:c>
      <x:c r="C357" s="94" t="str">
        <x:v>Google Ads</x:v>
      </x:c>
      <x:c r="D357" s="94" t="str">
        <x:v>英国</x:v>
      </x:c>
      <x:c r="E357" s="94" t="str">
        <x:v>竞品搜索</x:v>
      </x:c>
      <x:c r="F357" s="95" t="n">
        <x:v>25</x:v>
      </x:c>
      <x:c r="G357" s="95" t="n">
        <x:v>23</x:v>
      </x:c>
      <x:c r="H357" s="95" t="n">
        <x:v>17</x:v>
      </x:c>
      <x:c r="I357" s="95" t="n">
        <x:v>13</x:v>
      </x:c>
      <x:c r="J357" s="95" t="n">
        <x:v>5</x:v>
      </x:c>
      <x:c r="K357" s="95" t="n">
        <x:v>1</x:v>
      </x:c>
      <x:c r="L357" s="95" t="n">
        <x:v>0</x:v>
      </x:c>
      <x:c r="M357" s="96" t="n">
        <x:f>IFERROR(G357/F357,0)</x:f>
        <x:v>0.92</x:v>
      </x:c>
      <x:c r="N357" s="96" t="n">
        <x:f>IFERROR(H357/G357,0)</x:f>
        <x:v>0.7391304347826086</x:v>
      </x:c>
      <x:c r="O357" s="96" t="n">
        <x:f>IFERROR(I357/H357,0)</x:f>
        <x:v>0.7647058823529411</x:v>
      </x:c>
      <x:c r="P357" s="96" t="n">
        <x:f>IFERROR(J357/I357,0)</x:f>
        <x:v>0.38461538461538464</x:v>
      </x:c>
      <x:c r="Q357" s="96" t="n">
        <x:f>IFERROR(L357/J357,0)</x:f>
        <x:v>0</x:v>
      </x:c>
      <x:c r="R357" s="96" t="n">
        <x:f>IFERROR(L357/F357,0)</x:f>
        <x:v>0</x:v>
      </x:c>
      <x:c r="S357" s="95" t="n">
        <x:v>70</x:v>
      </x:c>
      <x:c r="T357" s="94" t="str">
        <x:v>末次点击7天</x:v>
      </x:c>
    </x:row>
    <x:row r="358">
      <x:c r="A358" s="92" t="str">
        <x:v>PROC-0357</x:v>
      </x:c>
      <x:c r="B358" s="93" t="n">
        <x:v>46087</x:v>
      </x:c>
      <x:c r="C358" s="94" t="str">
        <x:v>Google Ads</x:v>
      </x:c>
      <x:c r="D358" s="94" t="str">
        <x:v>美国</x:v>
      </x:c>
      <x:c r="E358" s="94" t="str">
        <x:v>通用搜索</x:v>
      </x:c>
      <x:c r="F358" s="95" t="n">
        <x:v>40</x:v>
      </x:c>
      <x:c r="G358" s="95" t="n">
        <x:v>37</x:v>
      </x:c>
      <x:c r="H358" s="95" t="n">
        <x:v>24</x:v>
      </x:c>
      <x:c r="I358" s="95" t="n">
        <x:v>19</x:v>
      </x:c>
      <x:c r="J358" s="95" t="n">
        <x:v>9</x:v>
      </x:c>
      <x:c r="K358" s="95" t="n">
        <x:v>3</x:v>
      </x:c>
      <x:c r="L358" s="95" t="n">
        <x:v>1</x:v>
      </x:c>
      <x:c r="M358" s="96" t="n">
        <x:f>IFERROR(G358/F358,0)</x:f>
        <x:v>0.925</x:v>
      </x:c>
      <x:c r="N358" s="96" t="n">
        <x:f>IFERROR(H358/G358,0)</x:f>
        <x:v>0.6486486486486487</x:v>
      </x:c>
      <x:c r="O358" s="96" t="n">
        <x:f>IFERROR(I358/H358,0)</x:f>
        <x:v>0.7916666666666666</x:v>
      </x:c>
      <x:c r="P358" s="96" t="n">
        <x:f>IFERROR(J358/I358,0)</x:f>
        <x:v>0.47368421052631576</x:v>
      </x:c>
      <x:c r="Q358" s="96" t="n">
        <x:f>IFERROR(L358/J358,0)</x:f>
        <x:v>0.1111111111111111</x:v>
      </x:c>
      <x:c r="R358" s="96" t="n">
        <x:f>IFERROR(L358/F358,0)</x:f>
        <x:v>0.025</x:v>
      </x:c>
      <x:c r="S358" s="95" t="n">
        <x:v>141</x:v>
      </x:c>
      <x:c r="T358" s="94" t="str">
        <x:v>末次点击7天</x:v>
      </x:c>
    </x:row>
    <x:row r="359">
      <x:c r="A359" s="92" t="str">
        <x:v>PROC-0358</x:v>
      </x:c>
      <x:c r="B359" s="93" t="n">
        <x:v>46087</x:v>
      </x:c>
      <x:c r="C359" s="94" t="str">
        <x:v>Microsoft Ads</x:v>
      </x:c>
      <x:c r="D359" s="94" t="str">
        <x:v>美国</x:v>
      </x:c>
      <x:c r="E359" s="94" t="str">
        <x:v>通用搜索</x:v>
      </x:c>
      <x:c r="F359" s="95" t="n">
        <x:v>30</x:v>
      </x:c>
      <x:c r="G359" s="95" t="n">
        <x:v>27</x:v>
      </x:c>
      <x:c r="H359" s="95" t="n">
        <x:v>21</x:v>
      </x:c>
      <x:c r="I359" s="95" t="n">
        <x:v>17</x:v>
      </x:c>
      <x:c r="J359" s="95" t="n">
        <x:v>7</x:v>
      </x:c>
      <x:c r="K359" s="95" t="n">
        <x:v>2</x:v>
      </x:c>
      <x:c r="L359" s="95" t="n">
        <x:v>1</x:v>
      </x:c>
      <x:c r="M359" s="96" t="n">
        <x:f>IFERROR(G359/F359,0)</x:f>
        <x:v>0.9</x:v>
      </x:c>
      <x:c r="N359" s="96" t="n">
        <x:f>IFERROR(H359/G359,0)</x:f>
        <x:v>0.7777777777777778</x:v>
      </x:c>
      <x:c r="O359" s="96" t="n">
        <x:f>IFERROR(I359/H359,0)</x:f>
        <x:v>0.8095238095238095</x:v>
      </x:c>
      <x:c r="P359" s="96" t="n">
        <x:f>IFERROR(J359/I359,0)</x:f>
        <x:v>0.4117647058823529</x:v>
      </x:c>
      <x:c r="Q359" s="96" t="n">
        <x:f>IFERROR(L359/J359,0)</x:f>
        <x:v>0.14285714285714285</x:v>
      </x:c>
      <x:c r="R359" s="96" t="n">
        <x:f>IFERROR(L359/F359,0)</x:f>
        <x:v>0.03333333333333333</x:v>
      </x:c>
      <x:c r="S359" s="95" t="n">
        <x:v>65</x:v>
      </x:c>
      <x:c r="T359" s="94" t="str">
        <x:v>末次点击7天</x:v>
      </x:c>
    </x:row>
    <x:row r="360">
      <x:c r="A360" s="92" t="str">
        <x:v>PROC-0359</x:v>
      </x:c>
      <x:c r="B360" s="93" t="n">
        <x:v>46087</x:v>
      </x:c>
      <x:c r="C360" s="94" t="str">
        <x:v>Google Ads</x:v>
      </x:c>
      <x:c r="D360" s="94" t="str">
        <x:v>英国</x:v>
      </x:c>
      <x:c r="E360" s="94" t="str">
        <x:v>竞品搜索</x:v>
      </x:c>
      <x:c r="F360" s="95" t="n">
        <x:v>35</x:v>
      </x:c>
      <x:c r="G360" s="95" t="n">
        <x:v>32</x:v>
      </x:c>
      <x:c r="H360" s="95" t="n">
        <x:v>21</x:v>
      </x:c>
      <x:c r="I360" s="95" t="n">
        <x:v>17</x:v>
      </x:c>
      <x:c r="J360" s="95" t="n">
        <x:v>7</x:v>
      </x:c>
      <x:c r="K360" s="95" t="n">
        <x:v>2</x:v>
      </x:c>
      <x:c r="L360" s="95" t="n">
        <x:v>0</x:v>
      </x:c>
      <x:c r="M360" s="96" t="n">
        <x:f>IFERROR(G360/F360,0)</x:f>
        <x:v>0.9142857142857143</x:v>
      </x:c>
      <x:c r="N360" s="96" t="n">
        <x:f>IFERROR(H360/G360,0)</x:f>
        <x:v>0.65625</x:v>
      </x:c>
      <x:c r="O360" s="96" t="n">
        <x:f>IFERROR(I360/H360,0)</x:f>
        <x:v>0.8095238095238095</x:v>
      </x:c>
      <x:c r="P360" s="96" t="n">
        <x:f>IFERROR(J360/I360,0)</x:f>
        <x:v>0.4117647058823529</x:v>
      </x:c>
      <x:c r="Q360" s="96" t="n">
        <x:f>IFERROR(L360/J360,0)</x:f>
        <x:v>0</x:v>
      </x:c>
      <x:c r="R360" s="96" t="n">
        <x:f>IFERROR(L360/F360,0)</x:f>
        <x:v>0</x:v>
      </x:c>
      <x:c r="S360" s="95" t="n">
        <x:v>144</x:v>
      </x:c>
      <x:c r="T360" s="94" t="str">
        <x:v>末次点击7天</x:v>
      </x:c>
    </x:row>
    <x:row r="361">
      <x:c r="A361" s="92" t="str">
        <x:v>PROC-0360</x:v>
      </x:c>
      <x:c r="B361" s="93" t="n">
        <x:v>46087</x:v>
      </x:c>
      <x:c r="C361" s="94" t="str">
        <x:v>Microsoft Ads</x:v>
      </x:c>
      <x:c r="D361" s="94" t="str">
        <x:v>德国</x:v>
      </x:c>
      <x:c r="E361" s="94" t="str">
        <x:v>品牌搜索</x:v>
      </x:c>
      <x:c r="F361" s="95" t="n">
        <x:v>47</x:v>
      </x:c>
      <x:c r="G361" s="95" t="n">
        <x:v>43</x:v>
      </x:c>
      <x:c r="H361" s="95" t="n">
        <x:v>30</x:v>
      </x:c>
      <x:c r="I361" s="95" t="n">
        <x:v>25</x:v>
      </x:c>
      <x:c r="J361" s="95" t="n">
        <x:v>13</x:v>
      </x:c>
      <x:c r="K361" s="95" t="n">
        <x:v>3</x:v>
      </x:c>
      <x:c r="L361" s="95" t="n">
        <x:v>1</x:v>
      </x:c>
      <x:c r="M361" s="96" t="n">
        <x:f>IFERROR(G361/F361,0)</x:f>
        <x:v>0.9148936170212766</x:v>
      </x:c>
      <x:c r="N361" s="96" t="n">
        <x:f>IFERROR(H361/G361,0)</x:f>
        <x:v>0.6976744186046512</x:v>
      </x:c>
      <x:c r="O361" s="96" t="n">
        <x:f>IFERROR(I361/H361,0)</x:f>
        <x:v>0.8333333333333334</x:v>
      </x:c>
      <x:c r="P361" s="96" t="n">
        <x:f>IFERROR(J361/I361,0)</x:f>
        <x:v>0.52</x:v>
      </x:c>
      <x:c r="Q361" s="96" t="n">
        <x:f>IFERROR(L361/J361,0)</x:f>
        <x:v>0.07692307692307693</x:v>
      </x:c>
      <x:c r="R361" s="96" t="n">
        <x:f>IFERROR(L361/F361,0)</x:f>
        <x:v>0.02127659574468085</x:v>
      </x:c>
      <x:c r="S361" s="95" t="n">
        <x:v>124</x:v>
      </x:c>
      <x:c r="T361" s="94" t="str">
        <x:v>末次点击7天</x:v>
      </x:c>
    </x:row>
    <x:row r="362">
      <x:c r="A362" s="92" t="str">
        <x:v>PROC-0361</x:v>
      </x:c>
      <x:c r="B362" s="93" t="n">
        <x:v>46088</x:v>
      </x:c>
      <x:c r="C362" s="94" t="str">
        <x:v>Google Ads</x:v>
      </x:c>
      <x:c r="D362" s="94" t="str">
        <x:v>日本</x:v>
      </x:c>
      <x:c r="E362" s="94" t="str">
        <x:v>购物广告</x:v>
      </x:c>
      <x:c r="F362" s="95" t="n">
        <x:v>26</x:v>
      </x:c>
      <x:c r="G362" s="95" t="n">
        <x:v>23</x:v>
      </x:c>
      <x:c r="H362" s="95" t="n">
        <x:v>16</x:v>
      </x:c>
      <x:c r="I362" s="95" t="n">
        <x:v>14</x:v>
      </x:c>
      <x:c r="J362" s="95" t="n">
        <x:v>7</x:v>
      </x:c>
      <x:c r="K362" s="95" t="n">
        <x:v>2</x:v>
      </x:c>
      <x:c r="L362" s="95" t="n">
        <x:v>1</x:v>
      </x:c>
      <x:c r="M362" s="96" t="n">
        <x:f>IFERROR(G362/F362,0)</x:f>
        <x:v>0.8846153846153846</x:v>
      </x:c>
      <x:c r="N362" s="96" t="n">
        <x:f>IFERROR(H362/G362,0)</x:f>
        <x:v>0.6956521739130435</x:v>
      </x:c>
      <x:c r="O362" s="96" t="n">
        <x:f>IFERROR(I362/H362,0)</x:f>
        <x:v>0.875</x:v>
      </x:c>
      <x:c r="P362" s="96" t="n">
        <x:f>IFERROR(J362/I362,0)</x:f>
        <x:v>0.5</x:v>
      </x:c>
      <x:c r="Q362" s="96" t="n">
        <x:f>IFERROR(L362/J362,0)</x:f>
        <x:v>0.14285714285714285</x:v>
      </x:c>
      <x:c r="R362" s="96" t="n">
        <x:f>IFERROR(L362/F362,0)</x:f>
        <x:v>0.038461538461538464</x:v>
      </x:c>
      <x:c r="S362" s="95" t="n">
        <x:v>67</x:v>
      </x:c>
      <x:c r="T362" s="94" t="str">
        <x:v>末次点击7天</x:v>
      </x:c>
    </x:row>
    <x:row r="363">
      <x:c r="A363" s="92" t="str">
        <x:v>PROC-0362</x:v>
      </x:c>
      <x:c r="B363" s="93" t="n">
        <x:v>46088</x:v>
      </x:c>
      <x:c r="C363" s="94" t="str">
        <x:v>Microsoft Ads</x:v>
      </x:c>
      <x:c r="D363" s="94" t="str">
        <x:v>美国</x:v>
      </x:c>
      <x:c r="E363" s="94" t="str">
        <x:v>通用搜索</x:v>
      </x:c>
      <x:c r="F363" s="95" t="n">
        <x:v>42</x:v>
      </x:c>
      <x:c r="G363" s="95" t="n">
        <x:v>38</x:v>
      </x:c>
      <x:c r="H363" s="95" t="n">
        <x:v>26</x:v>
      </x:c>
      <x:c r="I363" s="95" t="n">
        <x:v>21</x:v>
      </x:c>
      <x:c r="J363" s="95" t="n">
        <x:v>9</x:v>
      </x:c>
      <x:c r="K363" s="95" t="n">
        <x:v>2</x:v>
      </x:c>
      <x:c r="L363" s="95" t="n">
        <x:v>1</x:v>
      </x:c>
      <x:c r="M363" s="96" t="n">
        <x:f>IFERROR(G363/F363,0)</x:f>
        <x:v>0.9047619047619048</x:v>
      </x:c>
      <x:c r="N363" s="96" t="n">
        <x:f>IFERROR(H363/G363,0)</x:f>
        <x:v>0.6842105263157895</x:v>
      </x:c>
      <x:c r="O363" s="96" t="n">
        <x:f>IFERROR(I363/H363,0)</x:f>
        <x:v>0.8076923076923077</x:v>
      </x:c>
      <x:c r="P363" s="96" t="n">
        <x:f>IFERROR(J363/I363,0)</x:f>
        <x:v>0.42857142857142855</x:v>
      </x:c>
      <x:c r="Q363" s="96" t="n">
        <x:f>IFERROR(L363/J363,0)</x:f>
        <x:v>0.1111111111111111</x:v>
      </x:c>
      <x:c r="R363" s="96" t="n">
        <x:f>IFERROR(L363/F363,0)</x:f>
        <x:v>0.023809523809523808</x:v>
      </x:c>
      <x:c r="S363" s="95" t="n">
        <x:v>75</x:v>
      </x:c>
      <x:c r="T363" s="94" t="str">
        <x:v>末次点击7天</x:v>
      </x:c>
    </x:row>
    <x:row r="364">
      <x:c r="A364" s="92" t="str">
        <x:v>PROC-0363</x:v>
      </x:c>
      <x:c r="B364" s="93" t="n">
        <x:v>46088</x:v>
      </x:c>
      <x:c r="C364" s="94" t="str">
        <x:v>Microsoft Ads</x:v>
      </x:c>
      <x:c r="D364" s="94" t="str">
        <x:v>英国</x:v>
      </x:c>
      <x:c r="E364" s="94" t="str">
        <x:v>购物广告</x:v>
      </x:c>
      <x:c r="F364" s="95" t="n">
        <x:v>54</x:v>
      </x:c>
      <x:c r="G364" s="95" t="n">
        <x:v>51</x:v>
      </x:c>
      <x:c r="H364" s="95" t="n">
        <x:v>34</x:v>
      </x:c>
      <x:c r="I364" s="95" t="n">
        <x:v>31</x:v>
      </x:c>
      <x:c r="J364" s="95" t="n">
        <x:v>14</x:v>
      </x:c>
      <x:c r="K364" s="95" t="n">
        <x:v>4</x:v>
      </x:c>
      <x:c r="L364" s="95" t="n">
        <x:v>1</x:v>
      </x:c>
      <x:c r="M364" s="96" t="n">
        <x:f>IFERROR(G364/F364,0)</x:f>
        <x:v>0.9444444444444444</x:v>
      </x:c>
      <x:c r="N364" s="96" t="n">
        <x:f>IFERROR(H364/G364,0)</x:f>
        <x:v>0.6666666666666666</x:v>
      </x:c>
      <x:c r="O364" s="96" t="n">
        <x:f>IFERROR(I364/H364,0)</x:f>
        <x:v>0.9117647058823529</x:v>
      </x:c>
      <x:c r="P364" s="96" t="n">
        <x:f>IFERROR(J364/I364,0)</x:f>
        <x:v>0.45161290322580644</x:v>
      </x:c>
      <x:c r="Q364" s="96" t="n">
        <x:f>IFERROR(L364/J364,0)</x:f>
        <x:v>0.07142857142857142</x:v>
      </x:c>
      <x:c r="R364" s="96" t="n">
        <x:f>IFERROR(L364/F364,0)</x:f>
        <x:v>0.018518518518518517</x:v>
      </x:c>
      <x:c r="S364" s="95" t="n">
        <x:v>55</x:v>
      </x:c>
      <x:c r="T364" s="94" t="str">
        <x:v>末次点击7天</x:v>
      </x:c>
    </x:row>
    <x:row r="365">
      <x:c r="A365" s="92" t="str">
        <x:v>PROC-0364</x:v>
      </x:c>
      <x:c r="B365" s="93" t="n">
        <x:v>46088</x:v>
      </x:c>
      <x:c r="C365" s="94" t="str">
        <x:v>Google Ads</x:v>
      </x:c>
      <x:c r="D365" s="94" t="str">
        <x:v>美国</x:v>
      </x:c>
      <x:c r="E365" s="94" t="str">
        <x:v>品牌搜索</x:v>
      </x:c>
      <x:c r="F365" s="95" t="n">
        <x:v>84</x:v>
      </x:c>
      <x:c r="G365" s="95" t="n">
        <x:v>79</x:v>
      </x:c>
      <x:c r="H365" s="95" t="n">
        <x:v>53</x:v>
      </x:c>
      <x:c r="I365" s="95" t="n">
        <x:v>44</x:v>
      </x:c>
      <x:c r="J365" s="95" t="n">
        <x:v>22</x:v>
      </x:c>
      <x:c r="K365" s="95" t="n">
        <x:v>5</x:v>
      </x:c>
      <x:c r="L365" s="95" t="n">
        <x:v>2</x:v>
      </x:c>
      <x:c r="M365" s="96" t="n">
        <x:f>IFERROR(G365/F365,0)</x:f>
        <x:v>0.9404761904761905</x:v>
      </x:c>
      <x:c r="N365" s="96" t="n">
        <x:f>IFERROR(H365/G365,0)</x:f>
        <x:v>0.6708860759493671</x:v>
      </x:c>
      <x:c r="O365" s="96" t="n">
        <x:f>IFERROR(I365/H365,0)</x:f>
        <x:v>0.8301886792452831</x:v>
      </x:c>
      <x:c r="P365" s="96" t="n">
        <x:f>IFERROR(J365/I365,0)</x:f>
        <x:v>0.5</x:v>
      </x:c>
      <x:c r="Q365" s="96" t="n">
        <x:f>IFERROR(L365/J365,0)</x:f>
        <x:v>0.09090909090909091</x:v>
      </x:c>
      <x:c r="R365" s="96" t="n">
        <x:f>IFERROR(L365/F365,0)</x:f>
        <x:v>0.023809523809523808</x:v>
      </x:c>
      <x:c r="S365" s="95" t="n">
        <x:v>46</x:v>
      </x:c>
      <x:c r="T365" s="94" t="str">
        <x:v>末次点击7天</x:v>
      </x:c>
    </x:row>
    <x:row r="366">
      <x:c r="A366" s="92" t="str">
        <x:v>PROC-0365</x:v>
      </x:c>
      <x:c r="B366" s="93" t="n">
        <x:v>46088</x:v>
      </x:c>
      <x:c r="C366" s="94" t="str">
        <x:v>Google Ads</x:v>
      </x:c>
      <x:c r="D366" s="94" t="str">
        <x:v>美国</x:v>
      </x:c>
      <x:c r="E366" s="94" t="str">
        <x:v>通用搜索</x:v>
      </x:c>
      <x:c r="F366" s="95" t="n">
        <x:v>27</x:v>
      </x:c>
      <x:c r="G366" s="95" t="n">
        <x:v>25</x:v>
      </x:c>
      <x:c r="H366" s="95" t="n">
        <x:v>17</x:v>
      </x:c>
      <x:c r="I366" s="95" t="n">
        <x:v>14</x:v>
      </x:c>
      <x:c r="J366" s="95" t="n">
        <x:v>6</x:v>
      </x:c>
      <x:c r="K366" s="95" t="n">
        <x:v>1</x:v>
      </x:c>
      <x:c r="L366" s="95" t="n">
        <x:v>1</x:v>
      </x:c>
      <x:c r="M366" s="96" t="n">
        <x:f>IFERROR(G366/F366,0)</x:f>
        <x:v>0.9259259259259259</x:v>
      </x:c>
      <x:c r="N366" s="96" t="n">
        <x:f>IFERROR(H366/G366,0)</x:f>
        <x:v>0.68</x:v>
      </x:c>
      <x:c r="O366" s="96" t="n">
        <x:f>IFERROR(I366/H366,0)</x:f>
        <x:v>0.8235294117647058</x:v>
      </x:c>
      <x:c r="P366" s="96" t="n">
        <x:f>IFERROR(J366/I366,0)</x:f>
        <x:v>0.42857142857142855</x:v>
      </x:c>
      <x:c r="Q366" s="96" t="n">
        <x:f>IFERROR(L366/J366,0)</x:f>
        <x:v>0.16666666666666666</x:v>
      </x:c>
      <x:c r="R366" s="96" t="n">
        <x:f>IFERROR(L366/F366,0)</x:f>
        <x:v>0.037037037037037035</x:v>
      </x:c>
      <x:c r="S366" s="95" t="n">
        <x:v>131</x:v>
      </x:c>
      <x:c r="T366" s="94" t="str">
        <x:v>末次点击7天</x:v>
      </x:c>
    </x:row>
    <x:row r="367">
      <x:c r="A367" s="92" t="str">
        <x:v>PROC-0366</x:v>
      </x:c>
      <x:c r="B367" s="93" t="n">
        <x:v>46089</x:v>
      </x:c>
      <x:c r="C367" s="94" t="str">
        <x:v>Microsoft Ads</x:v>
      </x:c>
      <x:c r="D367" s="94" t="str">
        <x:v>德国</x:v>
      </x:c>
      <x:c r="E367" s="94" t="str">
        <x:v>竞品搜索</x:v>
      </x:c>
      <x:c r="F367" s="95" t="n">
        <x:v>25</x:v>
      </x:c>
      <x:c r="G367" s="95" t="n">
        <x:v>23</x:v>
      </x:c>
      <x:c r="H367" s="95" t="n">
        <x:v>16</x:v>
      </x:c>
      <x:c r="I367" s="95" t="n">
        <x:v>14</x:v>
      </x:c>
      <x:c r="J367" s="95" t="n">
        <x:v>5</x:v>
      </x:c>
      <x:c r="K367" s="95" t="n">
        <x:v>1</x:v>
      </x:c>
      <x:c r="L367" s="95" t="n">
        <x:v>0</x:v>
      </x:c>
      <x:c r="M367" s="96" t="n">
        <x:f>IFERROR(G367/F367,0)</x:f>
        <x:v>0.92</x:v>
      </x:c>
      <x:c r="N367" s="96" t="n">
        <x:f>IFERROR(H367/G367,0)</x:f>
        <x:v>0.6956521739130435</x:v>
      </x:c>
      <x:c r="O367" s="96" t="n">
        <x:f>IFERROR(I367/H367,0)</x:f>
        <x:v>0.875</x:v>
      </x:c>
      <x:c r="P367" s="96" t="n">
        <x:f>IFERROR(J367/I367,0)</x:f>
        <x:v>0.35714285714285715</x:v>
      </x:c>
      <x:c r="Q367" s="96" t="n">
        <x:f>IFERROR(L367/J367,0)</x:f>
        <x:v>0</x:v>
      </x:c>
      <x:c r="R367" s="96" t="n">
        <x:f>IFERROR(L367/F367,0)</x:f>
        <x:v>0</x:v>
      </x:c>
      <x:c r="S367" s="95" t="n">
        <x:v>111</x:v>
      </x:c>
      <x:c r="T367" s="94" t="str">
        <x:v>末次点击7天</x:v>
      </x:c>
    </x:row>
    <x:row r="368">
      <x:c r="A368" s="92" t="str">
        <x:v>PROC-0367</x:v>
      </x:c>
      <x:c r="B368" s="93" t="n">
        <x:v>46089</x:v>
      </x:c>
      <x:c r="C368" s="94" t="str">
        <x:v>Google Ads</x:v>
      </x:c>
      <x:c r="D368" s="94" t="str">
        <x:v>德国</x:v>
      </x:c>
      <x:c r="E368" s="94" t="str">
        <x:v>品牌搜索</x:v>
      </x:c>
      <x:c r="F368" s="95" t="n">
        <x:v>67</x:v>
      </x:c>
      <x:c r="G368" s="95" t="n">
        <x:v>63</x:v>
      </x:c>
      <x:c r="H368" s="95" t="n">
        <x:v>48</x:v>
      </x:c>
      <x:c r="I368" s="95" t="n">
        <x:v>40</x:v>
      </x:c>
      <x:c r="J368" s="95" t="n">
        <x:v>20</x:v>
      </x:c>
      <x:c r="K368" s="95" t="n">
        <x:v>5</x:v>
      </x:c>
      <x:c r="L368" s="95" t="n">
        <x:v>2</x:v>
      </x:c>
      <x:c r="M368" s="96" t="n">
        <x:f>IFERROR(G368/F368,0)</x:f>
        <x:v>0.9402985074626866</x:v>
      </x:c>
      <x:c r="N368" s="96" t="n">
        <x:f>IFERROR(H368/G368,0)</x:f>
        <x:v>0.7619047619047619</x:v>
      </x:c>
      <x:c r="O368" s="96" t="n">
        <x:f>IFERROR(I368/H368,0)</x:f>
        <x:v>0.8333333333333334</x:v>
      </x:c>
      <x:c r="P368" s="96" t="n">
        <x:f>IFERROR(J368/I368,0)</x:f>
        <x:v>0.5</x:v>
      </x:c>
      <x:c r="Q368" s="96" t="n">
        <x:f>IFERROR(L368/J368,0)</x:f>
        <x:v>0.1</x:v>
      </x:c>
      <x:c r="R368" s="96" t="n">
        <x:f>IFERROR(L368/F368,0)</x:f>
        <x:v>0.029850746268656716</x:v>
      </x:c>
      <x:c r="S368" s="95" t="n">
        <x:v>101</x:v>
      </x:c>
      <x:c r="T368" s="94" t="str">
        <x:v>末次点击7天</x:v>
      </x:c>
    </x:row>
    <x:row r="369">
      <x:c r="A369" s="92" t="str">
        <x:v>PROC-0368</x:v>
      </x:c>
      <x:c r="B369" s="93" t="n">
        <x:v>46089</x:v>
      </x:c>
      <x:c r="C369" s="94" t="str">
        <x:v>Microsoft Ads</x:v>
      </x:c>
      <x:c r="D369" s="94" t="str">
        <x:v>美国</x:v>
      </x:c>
      <x:c r="E369" s="94" t="str">
        <x:v>通用搜索</x:v>
      </x:c>
      <x:c r="F369" s="95" t="n">
        <x:v>35</x:v>
      </x:c>
      <x:c r="G369" s="95" t="n">
        <x:v>33</x:v>
      </x:c>
      <x:c r="H369" s="95" t="n">
        <x:v>21</x:v>
      </x:c>
      <x:c r="I369" s="95" t="n">
        <x:v>18</x:v>
      </x:c>
      <x:c r="J369" s="95" t="n">
        <x:v>7</x:v>
      </x:c>
      <x:c r="K369" s="95" t="n">
        <x:v>2</x:v>
      </x:c>
      <x:c r="L369" s="95" t="n">
        <x:v>1</x:v>
      </x:c>
      <x:c r="M369" s="96" t="n">
        <x:f>IFERROR(G369/F369,0)</x:f>
        <x:v>0.9428571428571428</x:v>
      </x:c>
      <x:c r="N369" s="96" t="n">
        <x:f>IFERROR(H369/G369,0)</x:f>
        <x:v>0.6363636363636364</x:v>
      </x:c>
      <x:c r="O369" s="96" t="n">
        <x:f>IFERROR(I369/H369,0)</x:f>
        <x:v>0.8571428571428571</x:v>
      </x:c>
      <x:c r="P369" s="96" t="n">
        <x:f>IFERROR(J369/I369,0)</x:f>
        <x:v>0.3888888888888889</x:v>
      </x:c>
      <x:c r="Q369" s="96" t="n">
        <x:f>IFERROR(L369/J369,0)</x:f>
        <x:v>0.14285714285714285</x:v>
      </x:c>
      <x:c r="R369" s="96" t="n">
        <x:f>IFERROR(L369/F369,0)</x:f>
        <x:v>0.02857142857142857</x:v>
      </x:c>
      <x:c r="S369" s="95" t="n">
        <x:v>117</x:v>
      </x:c>
      <x:c r="T369" s="94" t="str">
        <x:v>末次点击7天</x:v>
      </x:c>
    </x:row>
    <x:row r="370">
      <x:c r="A370" s="92" t="str">
        <x:v>PROC-0369</x:v>
      </x:c>
      <x:c r="B370" s="93" t="n">
        <x:v>46089</x:v>
      </x:c>
      <x:c r="C370" s="94" t="str">
        <x:v>Google Ads</x:v>
      </x:c>
      <x:c r="D370" s="94" t="str">
        <x:v>英国</x:v>
      </x:c>
      <x:c r="E370" s="94" t="str">
        <x:v>通用搜索</x:v>
      </x:c>
      <x:c r="F370" s="95" t="n">
        <x:v>45</x:v>
      </x:c>
      <x:c r="G370" s="95" t="n">
        <x:v>40</x:v>
      </x:c>
      <x:c r="H370" s="95" t="n">
        <x:v>29</x:v>
      </x:c>
      <x:c r="I370" s="95" t="n">
        <x:v>25</x:v>
      </x:c>
      <x:c r="J370" s="95" t="n">
        <x:v>10</x:v>
      </x:c>
      <x:c r="K370" s="95" t="n">
        <x:v>2</x:v>
      </x:c>
      <x:c r="L370" s="95" t="n">
        <x:v>1</x:v>
      </x:c>
      <x:c r="M370" s="96" t="n">
        <x:f>IFERROR(G370/F370,0)</x:f>
        <x:v>0.8888888888888888</x:v>
      </x:c>
      <x:c r="N370" s="96" t="n">
        <x:f>IFERROR(H370/G370,0)</x:f>
        <x:v>0.725</x:v>
      </x:c>
      <x:c r="O370" s="96" t="n">
        <x:f>IFERROR(I370/H370,0)</x:f>
        <x:v>0.8620689655172413</x:v>
      </x:c>
      <x:c r="P370" s="96" t="n">
        <x:f>IFERROR(J370/I370,0)</x:f>
        <x:v>0.4</x:v>
      </x:c>
      <x:c r="Q370" s="96" t="n">
        <x:f>IFERROR(L370/J370,0)</x:f>
        <x:v>0.1</x:v>
      </x:c>
      <x:c r="R370" s="96" t="n">
        <x:f>IFERROR(L370/F370,0)</x:f>
        <x:v>0.022222222222222223</x:v>
      </x:c>
      <x:c r="S370" s="95" t="n">
        <x:v>119</x:v>
      </x:c>
      <x:c r="T370" s="94" t="str">
        <x:v>末次点击7天</x:v>
      </x:c>
    </x:row>
    <x:row r="371">
      <x:c r="A371" s="92" t="str">
        <x:v>PROC-0370</x:v>
      </x:c>
      <x:c r="B371" s="93" t="n">
        <x:v>46089</x:v>
      </x:c>
      <x:c r="C371" s="94" t="str">
        <x:v>Google Ads</x:v>
      </x:c>
      <x:c r="D371" s="94" t="str">
        <x:v>日本</x:v>
      </x:c>
      <x:c r="E371" s="94" t="str">
        <x:v>购物广告</x:v>
      </x:c>
      <x:c r="F371" s="95" t="n">
        <x:v>29</x:v>
      </x:c>
      <x:c r="G371" s="95" t="n">
        <x:v>26</x:v>
      </x:c>
      <x:c r="H371" s="95" t="n">
        <x:v>19</x:v>
      </x:c>
      <x:c r="I371" s="95" t="n">
        <x:v>17</x:v>
      </x:c>
      <x:c r="J371" s="95" t="n">
        <x:v>7</x:v>
      </x:c>
      <x:c r="K371" s="95" t="n">
        <x:v>2</x:v>
      </x:c>
      <x:c r="L371" s="95" t="n">
        <x:v>1</x:v>
      </x:c>
      <x:c r="M371" s="96" t="n">
        <x:f>IFERROR(G371/F371,0)</x:f>
        <x:v>0.896551724137931</x:v>
      </x:c>
      <x:c r="N371" s="96" t="n">
        <x:f>IFERROR(H371/G371,0)</x:f>
        <x:v>0.7307692307692307</x:v>
      </x:c>
      <x:c r="O371" s="96" t="n">
        <x:f>IFERROR(I371/H371,0)</x:f>
        <x:v>0.8947368421052632</x:v>
      </x:c>
      <x:c r="P371" s="96" t="n">
        <x:f>IFERROR(J371/I371,0)</x:f>
        <x:v>0.4117647058823529</x:v>
      </x:c>
      <x:c r="Q371" s="96" t="n">
        <x:f>IFERROR(L371/J371,0)</x:f>
        <x:v>0.14285714285714285</x:v>
      </x:c>
      <x:c r="R371" s="96" t="n">
        <x:f>IFERROR(L371/F371,0)</x:f>
        <x:v>0.034482758620689655</x:v>
      </x:c>
      <x:c r="S371" s="95" t="n">
        <x:v>74</x:v>
      </x:c>
      <x:c r="T371" s="94" t="str">
        <x:v>末次点击7天</x:v>
      </x:c>
    </x:row>
    <x:row r="372">
      <x:c r="A372" s="92" t="str">
        <x:v>PROC-0371</x:v>
      </x:c>
      <x:c r="B372" s="93" t="n">
        <x:v>46089</x:v>
      </x:c>
      <x:c r="C372" s="94" t="str">
        <x:v>Google Ads</x:v>
      </x:c>
      <x:c r="D372" s="94" t="str">
        <x:v>德国</x:v>
      </x:c>
      <x:c r="E372" s="94" t="str">
        <x:v>竞品搜索</x:v>
      </x:c>
      <x:c r="F372" s="95" t="n">
        <x:v>36</x:v>
      </x:c>
      <x:c r="G372" s="95" t="n">
        <x:v>33</x:v>
      </x:c>
      <x:c r="H372" s="95" t="n">
        <x:v>24</x:v>
      </x:c>
      <x:c r="I372" s="95" t="n">
        <x:v>20</x:v>
      </x:c>
      <x:c r="J372" s="95" t="n">
        <x:v>9</x:v>
      </x:c>
      <x:c r="K372" s="95" t="n">
        <x:v>2</x:v>
      </x:c>
      <x:c r="L372" s="95" t="n">
        <x:v>1</x:v>
      </x:c>
      <x:c r="M372" s="96" t="n">
        <x:f>IFERROR(G372/F372,0)</x:f>
        <x:v>0.9166666666666666</x:v>
      </x:c>
      <x:c r="N372" s="96" t="n">
        <x:f>IFERROR(H372/G372,0)</x:f>
        <x:v>0.7272727272727273</x:v>
      </x:c>
      <x:c r="O372" s="96" t="n">
        <x:f>IFERROR(I372/H372,0)</x:f>
        <x:v>0.8333333333333334</x:v>
      </x:c>
      <x:c r="P372" s="96" t="n">
        <x:f>IFERROR(J372/I372,0)</x:f>
        <x:v>0.45</x:v>
      </x:c>
      <x:c r="Q372" s="96" t="n">
        <x:f>IFERROR(L372/J372,0)</x:f>
        <x:v>0.1111111111111111</x:v>
      </x:c>
      <x:c r="R372" s="96" t="n">
        <x:f>IFERROR(L372/F372,0)</x:f>
        <x:v>0.027777777777777776</x:v>
      </x:c>
      <x:c r="S372" s="95" t="n">
        <x:v>74</x:v>
      </x:c>
      <x:c r="T372" s="94" t="str">
        <x:v>末次点击7天</x:v>
      </x:c>
    </x:row>
    <x:row r="373">
      <x:c r="A373" s="92" t="str">
        <x:v>PROC-0372</x:v>
      </x:c>
      <x:c r="B373" s="93" t="n">
        <x:v>46090</x:v>
      </x:c>
      <x:c r="C373" s="94" t="str">
        <x:v>Microsoft Ads</x:v>
      </x:c>
      <x:c r="D373" s="94" t="str">
        <x:v>美国</x:v>
      </x:c>
      <x:c r="E373" s="94" t="str">
        <x:v>通用搜索</x:v>
      </x:c>
      <x:c r="F373" s="95" t="n">
        <x:v>27</x:v>
      </x:c>
      <x:c r="G373" s="95" t="n">
        <x:v>24</x:v>
      </x:c>
      <x:c r="H373" s="95" t="n">
        <x:v>16</x:v>
      </x:c>
      <x:c r="I373" s="95" t="n">
        <x:v>13</x:v>
      </x:c>
      <x:c r="J373" s="95" t="n">
        <x:v>5</x:v>
      </x:c>
      <x:c r="K373" s="95" t="n">
        <x:v>1</x:v>
      </x:c>
      <x:c r="L373" s="95" t="n">
        <x:v>1</x:v>
      </x:c>
      <x:c r="M373" s="96" t="n">
        <x:f>IFERROR(G373/F373,0)</x:f>
        <x:v>0.8888888888888888</x:v>
      </x:c>
      <x:c r="N373" s="96" t="n">
        <x:f>IFERROR(H373/G373,0)</x:f>
        <x:v>0.6666666666666666</x:v>
      </x:c>
      <x:c r="O373" s="96" t="n">
        <x:f>IFERROR(I373/H373,0)</x:f>
        <x:v>0.8125</x:v>
      </x:c>
      <x:c r="P373" s="96" t="n">
        <x:f>IFERROR(J373/I373,0)</x:f>
        <x:v>0.38461538461538464</x:v>
      </x:c>
      <x:c r="Q373" s="96" t="n">
        <x:f>IFERROR(L373/J373,0)</x:f>
        <x:v>0.2</x:v>
      </x:c>
      <x:c r="R373" s="96" t="n">
        <x:f>IFERROR(L373/F373,0)</x:f>
        <x:v>0.037037037037037035</x:v>
      </x:c>
      <x:c r="S373" s="95" t="n">
        <x:v>103</x:v>
      </x:c>
      <x:c r="T373" s="94" t="str">
        <x:v>末次点击7天</x:v>
      </x:c>
    </x:row>
    <x:row r="374">
      <x:c r="A374" s="92" t="str">
        <x:v>PROC-0373</x:v>
      </x:c>
      <x:c r="B374" s="93" t="n">
        <x:v>46090</x:v>
      </x:c>
      <x:c r="C374" s="94" t="str">
        <x:v>Google Ads</x:v>
      </x:c>
      <x:c r="D374" s="94" t="str">
        <x:v>日本</x:v>
      </x:c>
      <x:c r="E374" s="94" t="str">
        <x:v>购物广告</x:v>
      </x:c>
      <x:c r="F374" s="95" t="n">
        <x:v>44</x:v>
      </x:c>
      <x:c r="G374" s="95" t="n">
        <x:v>39</x:v>
      </x:c>
      <x:c r="H374" s="95" t="n">
        <x:v>26</x:v>
      </x:c>
      <x:c r="I374" s="95" t="n">
        <x:v>23</x:v>
      </x:c>
      <x:c r="J374" s="95" t="n">
        <x:v>12</x:v>
      </x:c>
      <x:c r="K374" s="95" t="n">
        <x:v>3</x:v>
      </x:c>
      <x:c r="L374" s="95" t="n">
        <x:v>1</x:v>
      </x:c>
      <x:c r="M374" s="96" t="n">
        <x:f>IFERROR(G374/F374,0)</x:f>
        <x:v>0.8863636363636364</x:v>
      </x:c>
      <x:c r="N374" s="96" t="n">
        <x:f>IFERROR(H374/G374,0)</x:f>
        <x:v>0.6666666666666666</x:v>
      </x:c>
      <x:c r="O374" s="96" t="n">
        <x:f>IFERROR(I374/H374,0)</x:f>
        <x:v>0.8846153846153846</x:v>
      </x:c>
      <x:c r="P374" s="96" t="n">
        <x:f>IFERROR(J374/I374,0)</x:f>
        <x:v>0.5217391304347826</x:v>
      </x:c>
      <x:c r="Q374" s="96" t="n">
        <x:f>IFERROR(L374/J374,0)</x:f>
        <x:v>0.08333333333333333</x:v>
      </x:c>
      <x:c r="R374" s="96" t="n">
        <x:f>IFERROR(L374/F374,0)</x:f>
        <x:v>0.022727272727272728</x:v>
      </x:c>
      <x:c r="S374" s="95" t="n">
        <x:v>103</x:v>
      </x:c>
      <x:c r="T374" s="94" t="str">
        <x:v>末次点击7天</x:v>
      </x:c>
    </x:row>
    <x:row r="375">
      <x:c r="A375" s="92" t="str">
        <x:v>PROC-0374</x:v>
      </x:c>
      <x:c r="B375" s="93" t="n">
        <x:v>46090</x:v>
      </x:c>
      <x:c r="C375" s="94" t="str">
        <x:v>Microsoft Ads</x:v>
      </x:c>
      <x:c r="D375" s="94" t="str">
        <x:v>日本</x:v>
      </x:c>
      <x:c r="E375" s="94" t="str">
        <x:v>购物广告</x:v>
      </x:c>
      <x:c r="F375" s="95" t="n">
        <x:v>71</x:v>
      </x:c>
      <x:c r="G375" s="95" t="n">
        <x:v>64</x:v>
      </x:c>
      <x:c r="H375" s="95" t="n">
        <x:v>46</x:v>
      </x:c>
      <x:c r="I375" s="95" t="n">
        <x:v>41</x:v>
      </x:c>
      <x:c r="J375" s="95" t="n">
        <x:v>20</x:v>
      </x:c>
      <x:c r="K375" s="95" t="n">
        <x:v>6</x:v>
      </x:c>
      <x:c r="L375" s="95" t="n">
        <x:v>2</x:v>
      </x:c>
      <x:c r="M375" s="96" t="n">
        <x:f>IFERROR(G375/F375,0)</x:f>
        <x:v>0.9014084507042254</x:v>
      </x:c>
      <x:c r="N375" s="96" t="n">
        <x:f>IFERROR(H375/G375,0)</x:f>
        <x:v>0.71875</x:v>
      </x:c>
      <x:c r="O375" s="96" t="n">
        <x:f>IFERROR(I375/H375,0)</x:f>
        <x:v>0.8913043478260869</x:v>
      </x:c>
      <x:c r="P375" s="96" t="n">
        <x:f>IFERROR(J375/I375,0)</x:f>
        <x:v>0.4878048780487805</x:v>
      </x:c>
      <x:c r="Q375" s="96" t="n">
        <x:f>IFERROR(L375/J375,0)</x:f>
        <x:v>0.1</x:v>
      </x:c>
      <x:c r="R375" s="96" t="n">
        <x:f>IFERROR(L375/F375,0)</x:f>
        <x:v>0.028169014084507043</x:v>
      </x:c>
      <x:c r="S375" s="95" t="n">
        <x:v>154</x:v>
      </x:c>
      <x:c r="T375" s="94" t="str">
        <x:v>末次点击7天</x:v>
      </x:c>
    </x:row>
    <x:row r="376">
      <x:c r="A376" s="92" t="str">
        <x:v>PROC-0375</x:v>
      </x:c>
      <x:c r="B376" s="93" t="n">
        <x:v>46090</x:v>
      </x:c>
      <x:c r="C376" s="94" t="str">
        <x:v>Google Ads</x:v>
      </x:c>
      <x:c r="D376" s="94" t="str">
        <x:v>日本</x:v>
      </x:c>
      <x:c r="E376" s="94" t="str">
        <x:v>品牌搜索</x:v>
      </x:c>
      <x:c r="F376" s="95" t="n">
        <x:v>36</x:v>
      </x:c>
      <x:c r="G376" s="95" t="n">
        <x:v>34</x:v>
      </x:c>
      <x:c r="H376" s="95" t="n">
        <x:v>21</x:v>
      </x:c>
      <x:c r="I376" s="95" t="n">
        <x:v>18</x:v>
      </x:c>
      <x:c r="J376" s="95" t="n">
        <x:v>10</x:v>
      </x:c>
      <x:c r="K376" s="95" t="n">
        <x:v>3</x:v>
      </x:c>
      <x:c r="L376" s="95" t="n">
        <x:v>1</x:v>
      </x:c>
      <x:c r="M376" s="96" t="n">
        <x:f>IFERROR(G376/F376,0)</x:f>
        <x:v>0.9444444444444444</x:v>
      </x:c>
      <x:c r="N376" s="96" t="n">
        <x:f>IFERROR(H376/G376,0)</x:f>
        <x:v>0.6176470588235294</x:v>
      </x:c>
      <x:c r="O376" s="96" t="n">
        <x:f>IFERROR(I376/H376,0)</x:f>
        <x:v>0.8571428571428571</x:v>
      </x:c>
      <x:c r="P376" s="96" t="n">
        <x:f>IFERROR(J376/I376,0)</x:f>
        <x:v>0.5555555555555556</x:v>
      </x:c>
      <x:c r="Q376" s="96" t="n">
        <x:f>IFERROR(L376/J376,0)</x:f>
        <x:v>0.1</x:v>
      </x:c>
      <x:c r="R376" s="96" t="n">
        <x:f>IFERROR(L376/F376,0)</x:f>
        <x:v>0.027777777777777776</x:v>
      </x:c>
      <x:c r="S376" s="95" t="n">
        <x:v>102</x:v>
      </x:c>
      <x:c r="T376" s="94" t="str">
        <x:v>末次点击7天</x:v>
      </x:c>
    </x:row>
    <x:row r="377">
      <x:c r="A377" s="92" t="str">
        <x:v>PROC-0376</x:v>
      </x:c>
      <x:c r="B377" s="93" t="n">
        <x:v>46090</x:v>
      </x:c>
      <x:c r="C377" s="94" t="str">
        <x:v>Google Ads</x:v>
      </x:c>
      <x:c r="D377" s="94" t="str">
        <x:v>美国</x:v>
      </x:c>
      <x:c r="E377" s="94" t="str">
        <x:v>竞品搜索</x:v>
      </x:c>
      <x:c r="F377" s="95" t="n">
        <x:v>35</x:v>
      </x:c>
      <x:c r="G377" s="95" t="n">
        <x:v>32</x:v>
      </x:c>
      <x:c r="H377" s="95" t="n">
        <x:v>25</x:v>
      </x:c>
      <x:c r="I377" s="95" t="n">
        <x:v>20</x:v>
      </x:c>
      <x:c r="J377" s="95" t="n">
        <x:v>7</x:v>
      </x:c>
      <x:c r="K377" s="95" t="n">
        <x:v>2</x:v>
      </x:c>
      <x:c r="L377" s="95" t="n">
        <x:v>1</x:v>
      </x:c>
      <x:c r="M377" s="96" t="n">
        <x:f>IFERROR(G377/F377,0)</x:f>
        <x:v>0.9142857142857143</x:v>
      </x:c>
      <x:c r="N377" s="96" t="n">
        <x:f>IFERROR(H377/G377,0)</x:f>
        <x:v>0.78125</x:v>
      </x:c>
      <x:c r="O377" s="96" t="n">
        <x:f>IFERROR(I377/H377,0)</x:f>
        <x:v>0.8</x:v>
      </x:c>
      <x:c r="P377" s="96" t="n">
        <x:f>IFERROR(J377/I377,0)</x:f>
        <x:v>0.35</x:v>
      </x:c>
      <x:c r="Q377" s="96" t="n">
        <x:f>IFERROR(L377/J377,0)</x:f>
        <x:v>0.14285714285714285</x:v>
      </x:c>
      <x:c r="R377" s="96" t="n">
        <x:f>IFERROR(L377/F377,0)</x:f>
        <x:v>0.02857142857142857</x:v>
      </x:c>
      <x:c r="S377" s="95" t="n">
        <x:v>130</x:v>
      </x:c>
      <x:c r="T377" s="94" t="str">
        <x:v>末次点击7天</x:v>
      </x:c>
    </x:row>
    <x:row r="378">
      <x:c r="A378" s="92" t="str">
        <x:v>PROC-0377</x:v>
      </x:c>
      <x:c r="B378" s="93" t="n">
        <x:v>46091</x:v>
      </x:c>
      <x:c r="C378" s="94" t="str">
        <x:v>Google Ads</x:v>
      </x:c>
      <x:c r="D378" s="94" t="str">
        <x:v>德国</x:v>
      </x:c>
      <x:c r="E378" s="94" t="str">
        <x:v>通用搜索</x:v>
      </x:c>
      <x:c r="F378" s="95" t="n">
        <x:v>23</x:v>
      </x:c>
      <x:c r="G378" s="95" t="n">
        <x:v>21</x:v>
      </x:c>
      <x:c r="H378" s="95" t="n">
        <x:v>14</x:v>
      </x:c>
      <x:c r="I378" s="95" t="n">
        <x:v>11</x:v>
      </x:c>
      <x:c r="J378" s="95" t="n">
        <x:v>5</x:v>
      </x:c>
      <x:c r="K378" s="95" t="n">
        <x:v>1</x:v>
      </x:c>
      <x:c r="L378" s="95" t="n">
        <x:v>0</x:v>
      </x:c>
      <x:c r="M378" s="96" t="n">
        <x:f>IFERROR(G378/F378,0)</x:f>
        <x:v>0.9130434782608695</x:v>
      </x:c>
      <x:c r="N378" s="96" t="n">
        <x:f>IFERROR(H378/G378,0)</x:f>
        <x:v>0.6666666666666666</x:v>
      </x:c>
      <x:c r="O378" s="96" t="n">
        <x:f>IFERROR(I378/H378,0)</x:f>
        <x:v>0.7857142857142857</x:v>
      </x:c>
      <x:c r="P378" s="96" t="n">
        <x:f>IFERROR(J378/I378,0)</x:f>
        <x:v>0.45454545454545453</x:v>
      </x:c>
      <x:c r="Q378" s="96" t="n">
        <x:f>IFERROR(L378/J378,0)</x:f>
        <x:v>0</x:v>
      </x:c>
      <x:c r="R378" s="96" t="n">
        <x:f>IFERROR(L378/F378,0)</x:f>
        <x:v>0</x:v>
      </x:c>
      <x:c r="S378" s="95" t="n">
        <x:v>79</x:v>
      </x:c>
      <x:c r="T378" s="94" t="str">
        <x:v>末次点击7天</x:v>
      </x:c>
    </x:row>
    <x:row r="379">
      <x:c r="A379" s="92" t="str">
        <x:v>PROC-0378</x:v>
      </x:c>
      <x:c r="B379" s="93" t="n">
        <x:v>46091</x:v>
      </x:c>
      <x:c r="C379" s="94" t="str">
        <x:v>Google Ads</x:v>
      </x:c>
      <x:c r="D379" s="94" t="str">
        <x:v>德国</x:v>
      </x:c>
      <x:c r="E379" s="94" t="str">
        <x:v>购物广告</x:v>
      </x:c>
      <x:c r="F379" s="95" t="n">
        <x:v>53</x:v>
      </x:c>
      <x:c r="G379" s="95" t="n">
        <x:v>48</x:v>
      </x:c>
      <x:c r="H379" s="95" t="n">
        <x:v>35</x:v>
      </x:c>
      <x:c r="I379" s="95" t="n">
        <x:v>29</x:v>
      </x:c>
      <x:c r="J379" s="95" t="n">
        <x:v>13</x:v>
      </x:c>
      <x:c r="K379" s="95" t="n">
        <x:v>4</x:v>
      </x:c>
      <x:c r="L379" s="95" t="n">
        <x:v>1</x:v>
      </x:c>
      <x:c r="M379" s="96" t="n">
        <x:f>IFERROR(G379/F379,0)</x:f>
        <x:v>0.9056603773584906</x:v>
      </x:c>
      <x:c r="N379" s="96" t="n">
        <x:f>IFERROR(H379/G379,0)</x:f>
        <x:v>0.7291666666666666</x:v>
      </x:c>
      <x:c r="O379" s="96" t="n">
        <x:f>IFERROR(I379/H379,0)</x:f>
        <x:v>0.8285714285714286</x:v>
      </x:c>
      <x:c r="P379" s="96" t="n">
        <x:f>IFERROR(J379/I379,0)</x:f>
        <x:v>0.4482758620689655</x:v>
      </x:c>
      <x:c r="Q379" s="96" t="n">
        <x:f>IFERROR(L379/J379,0)</x:f>
        <x:v>0.07692307692307693</x:v>
      </x:c>
      <x:c r="R379" s="96" t="n">
        <x:f>IFERROR(L379/F379,0)</x:f>
        <x:v>0.018867924528301886</x:v>
      </x:c>
      <x:c r="S379" s="95" t="n">
        <x:v>80</x:v>
      </x:c>
      <x:c r="T379" s="94" t="str">
        <x:v>末次点击7天</x:v>
      </x:c>
    </x:row>
    <x:row r="380">
      <x:c r="A380" s="92" t="str">
        <x:v>PROC-0379</x:v>
      </x:c>
      <x:c r="B380" s="93" t="n">
        <x:v>46091</x:v>
      </x:c>
      <x:c r="C380" s="94" t="str">
        <x:v>Google Ads</x:v>
      </x:c>
      <x:c r="D380" s="94" t="str">
        <x:v>美国</x:v>
      </x:c>
      <x:c r="E380" s="94" t="str">
        <x:v>购物广告</x:v>
      </x:c>
      <x:c r="F380" s="95" t="n">
        <x:v>80</x:v>
      </x:c>
      <x:c r="G380" s="95" t="n">
        <x:v>74</x:v>
      </x:c>
      <x:c r="H380" s="95" t="n">
        <x:v>49</x:v>
      </x:c>
      <x:c r="I380" s="95" t="n">
        <x:v>41</x:v>
      </x:c>
      <x:c r="J380" s="95" t="n">
        <x:v>17</x:v>
      </x:c>
      <x:c r="K380" s="95" t="n">
        <x:v>4</x:v>
      </x:c>
      <x:c r="L380" s="95" t="n">
        <x:v>1</x:v>
      </x:c>
      <x:c r="M380" s="96" t="n">
        <x:f>IFERROR(G380/F380,0)</x:f>
        <x:v>0.925</x:v>
      </x:c>
      <x:c r="N380" s="96" t="n">
        <x:f>IFERROR(H380/G380,0)</x:f>
        <x:v>0.6621621621621622</x:v>
      </x:c>
      <x:c r="O380" s="96" t="n">
        <x:f>IFERROR(I380/H380,0)</x:f>
        <x:v>0.8367346938775511</x:v>
      </x:c>
      <x:c r="P380" s="96" t="n">
        <x:f>IFERROR(J380/I380,0)</x:f>
        <x:v>0.4146341463414634</x:v>
      </x:c>
      <x:c r="Q380" s="96" t="n">
        <x:f>IFERROR(L380/J380,0)</x:f>
        <x:v>0.058823529411764705</x:v>
      </x:c>
      <x:c r="R380" s="96" t="n">
        <x:f>IFERROR(L380/F380,0)</x:f>
        <x:v>0.0125</x:v>
      </x:c>
      <x:c r="S380" s="95" t="n">
        <x:v>140</x:v>
      </x:c>
      <x:c r="T380" s="94" t="str">
        <x:v>末次点击7天</x:v>
      </x:c>
    </x:row>
    <x:row r="381">
      <x:c r="A381" s="92" t="str">
        <x:v>PROC-0380</x:v>
      </x:c>
      <x:c r="B381" s="93" t="n">
        <x:v>46091</x:v>
      </x:c>
      <x:c r="C381" s="94" t="str">
        <x:v>Google Ads</x:v>
      </x:c>
      <x:c r="D381" s="94" t="str">
        <x:v>美国</x:v>
      </x:c>
      <x:c r="E381" s="94" t="str">
        <x:v>品牌搜索</x:v>
      </x:c>
      <x:c r="F381" s="95" t="n">
        <x:v>83</x:v>
      </x:c>
      <x:c r="G381" s="95" t="n">
        <x:v>73</x:v>
      </x:c>
      <x:c r="H381" s="95" t="n">
        <x:v>50</x:v>
      </x:c>
      <x:c r="I381" s="95" t="n">
        <x:v>41</x:v>
      </x:c>
      <x:c r="J381" s="95" t="n">
        <x:v>21</x:v>
      </x:c>
      <x:c r="K381" s="95" t="n">
        <x:v>7</x:v>
      </x:c>
      <x:c r="L381" s="95" t="n">
        <x:v>2</x:v>
      </x:c>
      <x:c r="M381" s="96" t="n">
        <x:f>IFERROR(G381/F381,0)</x:f>
        <x:v>0.8795180722891566</x:v>
      </x:c>
      <x:c r="N381" s="96" t="n">
        <x:f>IFERROR(H381/G381,0)</x:f>
        <x:v>0.684931506849315</x:v>
      </x:c>
      <x:c r="O381" s="96" t="n">
        <x:f>IFERROR(I381/H381,0)</x:f>
        <x:v>0.82</x:v>
      </x:c>
      <x:c r="P381" s="96" t="n">
        <x:f>IFERROR(J381/I381,0)</x:f>
        <x:v>0.5121951219512195</x:v>
      </x:c>
      <x:c r="Q381" s="96" t="n">
        <x:f>IFERROR(L381/J381,0)</x:f>
        <x:v>0.09523809523809523</x:v>
      </x:c>
      <x:c r="R381" s="96" t="n">
        <x:f>IFERROR(L381/F381,0)</x:f>
        <x:v>0.024096385542168676</x:v>
      </x:c>
      <x:c r="S381" s="95" t="n">
        <x:v>90</x:v>
      </x:c>
      <x:c r="T381" s="94" t="str">
        <x:v>末次点击7天</x:v>
      </x:c>
    </x:row>
    <x:row r="382">
      <x:c r="A382" s="92" t="str">
        <x:v>PROC-0381</x:v>
      </x:c>
      <x:c r="B382" s="93" t="n">
        <x:v>46091</x:v>
      </x:c>
      <x:c r="C382" s="94" t="str">
        <x:v>Google Ads</x:v>
      </x:c>
      <x:c r="D382" s="94" t="str">
        <x:v>英国</x:v>
      </x:c>
      <x:c r="E382" s="94" t="str">
        <x:v>通用搜索</x:v>
      </x:c>
      <x:c r="F382" s="95" t="n">
        <x:v>35</x:v>
      </x:c>
      <x:c r="G382" s="95" t="n">
        <x:v>31</x:v>
      </x:c>
      <x:c r="H382" s="95" t="n">
        <x:v>22</x:v>
      </x:c>
      <x:c r="I382" s="95" t="n">
        <x:v>18</x:v>
      </x:c>
      <x:c r="J382" s="95" t="n">
        <x:v>7</x:v>
      </x:c>
      <x:c r="K382" s="95" t="n">
        <x:v>2</x:v>
      </x:c>
      <x:c r="L382" s="95" t="n">
        <x:v>1</x:v>
      </x:c>
      <x:c r="M382" s="96" t="n">
        <x:f>IFERROR(G382/F382,0)</x:f>
        <x:v>0.8857142857142857</x:v>
      </x:c>
      <x:c r="N382" s="96" t="n">
        <x:f>IFERROR(H382/G382,0)</x:f>
        <x:v>0.7096774193548387</x:v>
      </x:c>
      <x:c r="O382" s="96" t="n">
        <x:f>IFERROR(I382/H382,0)</x:f>
        <x:v>0.8181818181818182</x:v>
      </x:c>
      <x:c r="P382" s="96" t="n">
        <x:f>IFERROR(J382/I382,0)</x:f>
        <x:v>0.3888888888888889</x:v>
      </x:c>
      <x:c r="Q382" s="96" t="n">
        <x:f>IFERROR(L382/J382,0)</x:f>
        <x:v>0.14285714285714285</x:v>
      </x:c>
      <x:c r="R382" s="96" t="n">
        <x:f>IFERROR(L382/F382,0)</x:f>
        <x:v>0.02857142857142857</x:v>
      </x:c>
      <x:c r="S382" s="95" t="n">
        <x:v>79</x:v>
      </x:c>
      <x:c r="T382" s="94" t="str">
        <x:v>末次点击7天</x:v>
      </x:c>
    </x:row>
    <x:row r="383">
      <x:c r="A383" s="92" t="str">
        <x:v>PROC-0382</x:v>
      </x:c>
      <x:c r="B383" s="93" t="n">
        <x:v>46091</x:v>
      </x:c>
      <x:c r="C383" s="94" t="str">
        <x:v>Google Ads</x:v>
      </x:c>
      <x:c r="D383" s="94" t="str">
        <x:v>美国</x:v>
      </x:c>
      <x:c r="E383" s="94" t="str">
        <x:v>通用搜索</x:v>
      </x:c>
      <x:c r="F383" s="95" t="n">
        <x:v>49</x:v>
      </x:c>
      <x:c r="G383" s="95" t="n">
        <x:v>43</x:v>
      </x:c>
      <x:c r="H383" s="95" t="n">
        <x:v>28</x:v>
      </x:c>
      <x:c r="I383" s="95" t="n">
        <x:v>23</x:v>
      </x:c>
      <x:c r="J383" s="95" t="n">
        <x:v>9</x:v>
      </x:c>
      <x:c r="K383" s="95" t="n">
        <x:v>3</x:v>
      </x:c>
      <x:c r="L383" s="95" t="n">
        <x:v>1</x:v>
      </x:c>
      <x:c r="M383" s="96" t="n">
        <x:f>IFERROR(G383/F383,0)</x:f>
        <x:v>0.8775510204081632</x:v>
      </x:c>
      <x:c r="N383" s="96" t="n">
        <x:f>IFERROR(H383/G383,0)</x:f>
        <x:v>0.6511627906976745</x:v>
      </x:c>
      <x:c r="O383" s="96" t="n">
        <x:f>IFERROR(I383/H383,0)</x:f>
        <x:v>0.8214285714285714</x:v>
      </x:c>
      <x:c r="P383" s="96" t="n">
        <x:f>IFERROR(J383/I383,0)</x:f>
        <x:v>0.391304347826087</x:v>
      </x:c>
      <x:c r="Q383" s="96" t="n">
        <x:f>IFERROR(L383/J383,0)</x:f>
        <x:v>0.1111111111111111</x:v>
      </x:c>
      <x:c r="R383" s="96" t="n">
        <x:f>IFERROR(L383/F383,0)</x:f>
        <x:v>0.02040816326530612</x:v>
      </x:c>
      <x:c r="S383" s="95" t="n">
        <x:v>96</x:v>
      </x:c>
      <x:c r="T383" s="94" t="str">
        <x:v>末次点击7天</x:v>
      </x:c>
    </x:row>
    <x:row r="384">
      <x:c r="A384" s="92" t="str">
        <x:v>PROC-0383</x:v>
      </x:c>
      <x:c r="B384" s="93" t="n">
        <x:v>46092</x:v>
      </x:c>
      <x:c r="C384" s="94" t="str">
        <x:v>Microsoft Ads</x:v>
      </x:c>
      <x:c r="D384" s="94" t="str">
        <x:v>美国</x:v>
      </x:c>
      <x:c r="E384" s="94" t="str">
        <x:v>购物广告</x:v>
      </x:c>
      <x:c r="F384" s="95" t="n">
        <x:v>78</x:v>
      </x:c>
      <x:c r="G384" s="95" t="n">
        <x:v>71</x:v>
      </x:c>
      <x:c r="H384" s="95" t="n">
        <x:v>53</x:v>
      </x:c>
      <x:c r="I384" s="95" t="n">
        <x:v>45</x:v>
      </x:c>
      <x:c r="J384" s="95" t="n">
        <x:v>18</x:v>
      </x:c>
      <x:c r="K384" s="95" t="n">
        <x:v>4</x:v>
      </x:c>
      <x:c r="L384" s="95" t="n">
        <x:v>1</x:v>
      </x:c>
      <x:c r="M384" s="96" t="n">
        <x:f>IFERROR(G384/F384,0)</x:f>
        <x:v>0.9102564102564102</x:v>
      </x:c>
      <x:c r="N384" s="96" t="n">
        <x:f>IFERROR(H384/G384,0)</x:f>
        <x:v>0.7464788732394366</x:v>
      </x:c>
      <x:c r="O384" s="96" t="n">
        <x:f>IFERROR(I384/H384,0)</x:f>
        <x:v>0.8490566037735849</x:v>
      </x:c>
      <x:c r="P384" s="96" t="n">
        <x:f>IFERROR(J384/I384,0)</x:f>
        <x:v>0.4</x:v>
      </x:c>
      <x:c r="Q384" s="96" t="n">
        <x:f>IFERROR(L384/J384,0)</x:f>
        <x:v>0.05555555555555555</x:v>
      </x:c>
      <x:c r="R384" s="96" t="n">
        <x:f>IFERROR(L384/F384,0)</x:f>
        <x:v>0.01282051282051282</x:v>
      </x:c>
      <x:c r="S384" s="95" t="n">
        <x:v>76</x:v>
      </x:c>
      <x:c r="T384" s="94" t="str">
        <x:v>末次点击7天</x:v>
      </x:c>
    </x:row>
    <x:row r="385">
      <x:c r="A385" s="92" t="str">
        <x:v>PROC-0384</x:v>
      </x:c>
      <x:c r="B385" s="93" t="n">
        <x:v>46092</x:v>
      </x:c>
      <x:c r="C385" s="94" t="str">
        <x:v>Microsoft Ads</x:v>
      </x:c>
      <x:c r="D385" s="94" t="str">
        <x:v>美国</x:v>
      </x:c>
      <x:c r="E385" s="94" t="str">
        <x:v>竞品搜索</x:v>
      </x:c>
      <x:c r="F385" s="95" t="n">
        <x:v>28</x:v>
      </x:c>
      <x:c r="G385" s="95" t="n">
        <x:v>26</x:v>
      </x:c>
      <x:c r="H385" s="95" t="n">
        <x:v>18</x:v>
      </x:c>
      <x:c r="I385" s="95" t="n">
        <x:v>14</x:v>
      </x:c>
      <x:c r="J385" s="95" t="n">
        <x:v>6</x:v>
      </x:c>
      <x:c r="K385" s="95" t="n">
        <x:v>1</x:v>
      </x:c>
      <x:c r="L385" s="95" t="n">
        <x:v>1</x:v>
      </x:c>
      <x:c r="M385" s="96" t="n">
        <x:f>IFERROR(G385/F385,0)</x:f>
        <x:v>0.9285714285714286</x:v>
      </x:c>
      <x:c r="N385" s="96" t="n">
        <x:f>IFERROR(H385/G385,0)</x:f>
        <x:v>0.6923076923076923</x:v>
      </x:c>
      <x:c r="O385" s="96" t="n">
        <x:f>IFERROR(I385/H385,0)</x:f>
        <x:v>0.7777777777777778</x:v>
      </x:c>
      <x:c r="P385" s="96" t="n">
        <x:f>IFERROR(J385/I385,0)</x:f>
        <x:v>0.42857142857142855</x:v>
      </x:c>
      <x:c r="Q385" s="96" t="n">
        <x:f>IFERROR(L385/J385,0)</x:f>
        <x:v>0.16666666666666666</x:v>
      </x:c>
      <x:c r="R385" s="96" t="n">
        <x:f>IFERROR(L385/F385,0)</x:f>
        <x:v>0.03571428571428571</x:v>
      </x:c>
      <x:c r="S385" s="95" t="n">
        <x:v>155</x:v>
      </x:c>
      <x:c r="T385" s="94" t="str">
        <x:v>末次点击7天</x:v>
      </x:c>
    </x:row>
    <x:row r="386">
      <x:c r="A386" s="92" t="str">
        <x:v>PROC-0385</x:v>
      </x:c>
      <x:c r="B386" s="93" t="n">
        <x:v>46092</x:v>
      </x:c>
      <x:c r="C386" s="94" t="str">
        <x:v>Google Ads</x:v>
      </x:c>
      <x:c r="D386" s="94" t="str">
        <x:v>美国</x:v>
      </x:c>
      <x:c r="E386" s="94" t="str">
        <x:v>购物广告</x:v>
      </x:c>
      <x:c r="F386" s="95" t="n">
        <x:v>53</x:v>
      </x:c>
      <x:c r="G386" s="95" t="n">
        <x:v>48</x:v>
      </x:c>
      <x:c r="H386" s="95" t="n">
        <x:v>35</x:v>
      </x:c>
      <x:c r="I386" s="95" t="n">
        <x:v>31</x:v>
      </x:c>
      <x:c r="J386" s="95" t="n">
        <x:v>16</x:v>
      </x:c>
      <x:c r="K386" s="95" t="n">
        <x:v>3</x:v>
      </x:c>
      <x:c r="L386" s="95" t="n">
        <x:v>1</x:v>
      </x:c>
      <x:c r="M386" s="96" t="n">
        <x:f>IFERROR(G386/F386,0)</x:f>
        <x:v>0.9056603773584906</x:v>
      </x:c>
      <x:c r="N386" s="96" t="n">
        <x:f>IFERROR(H386/G386,0)</x:f>
        <x:v>0.7291666666666666</x:v>
      </x:c>
      <x:c r="O386" s="96" t="n">
        <x:f>IFERROR(I386/H386,0)</x:f>
        <x:v>0.8857142857142857</x:v>
      </x:c>
      <x:c r="P386" s="96" t="n">
        <x:f>IFERROR(J386/I386,0)</x:f>
        <x:v>0.5161290322580645</x:v>
      </x:c>
      <x:c r="Q386" s="96" t="n">
        <x:f>IFERROR(L386/J386,0)</x:f>
        <x:v>0.0625</x:v>
      </x:c>
      <x:c r="R386" s="96" t="n">
        <x:f>IFERROR(L386/F386,0)</x:f>
        <x:v>0.018867924528301886</x:v>
      </x:c>
      <x:c r="S386" s="95" t="n">
        <x:v>71</x:v>
      </x:c>
      <x:c r="T386" s="94" t="str">
        <x:v>末次点击7天</x:v>
      </x:c>
    </x:row>
    <x:row r="387">
      <x:c r="A387" s="92" t="str">
        <x:v>PROC-0386</x:v>
      </x:c>
      <x:c r="B387" s="93" t="n">
        <x:v>46092</x:v>
      </x:c>
      <x:c r="C387" s="94" t="str">
        <x:v>Google Ads</x:v>
      </x:c>
      <x:c r="D387" s="94" t="str">
        <x:v>英国</x:v>
      </x:c>
      <x:c r="E387" s="94" t="str">
        <x:v>通用搜索</x:v>
      </x:c>
      <x:c r="F387" s="95" t="n">
        <x:v>43</x:v>
      </x:c>
      <x:c r="G387" s="95" t="n">
        <x:v>40</x:v>
      </x:c>
      <x:c r="H387" s="95" t="n">
        <x:v>28</x:v>
      </x:c>
      <x:c r="I387" s="95" t="n">
        <x:v>22</x:v>
      </x:c>
      <x:c r="J387" s="95" t="n">
        <x:v>9</x:v>
      </x:c>
      <x:c r="K387" s="95" t="n">
        <x:v>3</x:v>
      </x:c>
      <x:c r="L387" s="95" t="n">
        <x:v>1</x:v>
      </x:c>
      <x:c r="M387" s="96" t="n">
        <x:f>IFERROR(G387/F387,0)</x:f>
        <x:v>0.9302325581395349</x:v>
      </x:c>
      <x:c r="N387" s="96" t="n">
        <x:f>IFERROR(H387/G387,0)</x:f>
        <x:v>0.7</x:v>
      </x:c>
      <x:c r="O387" s="96" t="n">
        <x:f>IFERROR(I387/H387,0)</x:f>
        <x:v>0.7857142857142857</x:v>
      </x:c>
      <x:c r="P387" s="96" t="n">
        <x:f>IFERROR(J387/I387,0)</x:f>
        <x:v>0.4090909090909091</x:v>
      </x:c>
      <x:c r="Q387" s="96" t="n">
        <x:f>IFERROR(L387/J387,0)</x:f>
        <x:v>0.1111111111111111</x:v>
      </x:c>
      <x:c r="R387" s="96" t="n">
        <x:f>IFERROR(L387/F387,0)</x:f>
        <x:v>0.023255813953488372</x:v>
      </x:c>
      <x:c r="S387" s="95" t="n">
        <x:v>107</x:v>
      </x:c>
      <x:c r="T387" s="94" t="str">
        <x:v>末次点击7天</x:v>
      </x:c>
    </x:row>
    <x:row r="388">
      <x:c r="A388" s="92" t="str">
        <x:v>PROC-0387</x:v>
      </x:c>
      <x:c r="B388" s="93" t="n">
        <x:v>46092</x:v>
      </x:c>
      <x:c r="C388" s="94" t="str">
        <x:v>Google Ads</x:v>
      </x:c>
      <x:c r="D388" s="94" t="str">
        <x:v>日本</x:v>
      </x:c>
      <x:c r="E388" s="94" t="str">
        <x:v>购物广告</x:v>
      </x:c>
      <x:c r="F388" s="95" t="n">
        <x:v>61</x:v>
      </x:c>
      <x:c r="G388" s="95" t="n">
        <x:v>58</x:v>
      </x:c>
      <x:c r="H388" s="95" t="n">
        <x:v>40</x:v>
      </x:c>
      <x:c r="I388" s="95" t="n">
        <x:v>36</x:v>
      </x:c>
      <x:c r="J388" s="95" t="n">
        <x:v>15</x:v>
      </x:c>
      <x:c r="K388" s="95" t="n">
        <x:v>4</x:v>
      </x:c>
      <x:c r="L388" s="95" t="n">
        <x:v>1</x:v>
      </x:c>
      <x:c r="M388" s="96" t="n">
        <x:f>IFERROR(G388/F388,0)</x:f>
        <x:v>0.9508196721311475</x:v>
      </x:c>
      <x:c r="N388" s="96" t="n">
        <x:f>IFERROR(H388/G388,0)</x:f>
        <x:v>0.6896551724137931</x:v>
      </x:c>
      <x:c r="O388" s="96" t="n">
        <x:f>IFERROR(I388/H388,0)</x:f>
        <x:v>0.9</x:v>
      </x:c>
      <x:c r="P388" s="96" t="n">
        <x:f>IFERROR(J388/I388,0)</x:f>
        <x:v>0.4166666666666667</x:v>
      </x:c>
      <x:c r="Q388" s="96" t="n">
        <x:f>IFERROR(L388/J388,0)</x:f>
        <x:v>0.06666666666666667</x:v>
      </x:c>
      <x:c r="R388" s="96" t="n">
        <x:f>IFERROR(L388/F388,0)</x:f>
        <x:v>0.01639344262295082</x:v>
      </x:c>
      <x:c r="S388" s="95" t="n">
        <x:v>95</x:v>
      </x:c>
      <x:c r="T388" s="94" t="str">
        <x:v>末次点击7天</x:v>
      </x:c>
    </x:row>
    <x:row r="389">
      <x:c r="A389" s="92" t="str">
        <x:v>PROC-0388</x:v>
      </x:c>
      <x:c r="B389" s="93" t="n">
        <x:v>46093</x:v>
      </x:c>
      <x:c r="C389" s="94" t="str">
        <x:v>Microsoft Ads</x:v>
      </x:c>
      <x:c r="D389" s="94" t="str">
        <x:v>英国</x:v>
      </x:c>
      <x:c r="E389" s="94" t="str">
        <x:v>购物广告</x:v>
      </x:c>
      <x:c r="F389" s="95" t="n">
        <x:v>71</x:v>
      </x:c>
      <x:c r="G389" s="95" t="n">
        <x:v>66</x:v>
      </x:c>
      <x:c r="H389" s="95" t="n">
        <x:v>41</x:v>
      </x:c>
      <x:c r="I389" s="95" t="n">
        <x:v>35</x:v>
      </x:c>
      <x:c r="J389" s="95" t="n">
        <x:v>15</x:v>
      </x:c>
      <x:c r="K389" s="95" t="n">
        <x:v>4</x:v>
      </x:c>
      <x:c r="L389" s="95" t="n">
        <x:v>1</x:v>
      </x:c>
      <x:c r="M389" s="96" t="n">
        <x:f>IFERROR(G389/F389,0)</x:f>
        <x:v>0.9295774647887324</x:v>
      </x:c>
      <x:c r="N389" s="96" t="n">
        <x:f>IFERROR(H389/G389,0)</x:f>
        <x:v>0.6212121212121212</x:v>
      </x:c>
      <x:c r="O389" s="96" t="n">
        <x:f>IFERROR(I389/H389,0)</x:f>
        <x:v>0.8536585365853658</x:v>
      </x:c>
      <x:c r="P389" s="96" t="n">
        <x:f>IFERROR(J389/I389,0)</x:f>
        <x:v>0.42857142857142855</x:v>
      </x:c>
      <x:c r="Q389" s="96" t="n">
        <x:f>IFERROR(L389/J389,0)</x:f>
        <x:v>0.06666666666666667</x:v>
      </x:c>
      <x:c r="R389" s="96" t="n">
        <x:f>IFERROR(L389/F389,0)</x:f>
        <x:v>0.014084507042253521</x:v>
      </x:c>
      <x:c r="S389" s="95" t="n">
        <x:v>94</x:v>
      </x:c>
      <x:c r="T389" s="94" t="str">
        <x:v>末次点击7天</x:v>
      </x:c>
    </x:row>
    <x:row r="390">
      <x:c r="A390" s="92" t="str">
        <x:v>PROC-0389</x:v>
      </x:c>
      <x:c r="B390" s="93" t="n">
        <x:v>46093</x:v>
      </x:c>
      <x:c r="C390" s="94" t="str">
        <x:v>Microsoft Ads</x:v>
      </x:c>
      <x:c r="D390" s="94" t="str">
        <x:v>英国</x:v>
      </x:c>
      <x:c r="E390" s="94" t="str">
        <x:v>购物广告</x:v>
      </x:c>
      <x:c r="F390" s="95" t="n">
        <x:v>45</x:v>
      </x:c>
      <x:c r="G390" s="95" t="n">
        <x:v>42</x:v>
      </x:c>
      <x:c r="H390" s="95" t="n">
        <x:v>31</x:v>
      </x:c>
      <x:c r="I390" s="95" t="n">
        <x:v>27</x:v>
      </x:c>
      <x:c r="J390" s="95" t="n">
        <x:v>11</x:v>
      </x:c>
      <x:c r="K390" s="95" t="n">
        <x:v>3</x:v>
      </x:c>
      <x:c r="L390" s="95" t="n">
        <x:v>1</x:v>
      </x:c>
      <x:c r="M390" s="96" t="n">
        <x:f>IFERROR(G390/F390,0)</x:f>
        <x:v>0.9333333333333333</x:v>
      </x:c>
      <x:c r="N390" s="96" t="n">
        <x:f>IFERROR(H390/G390,0)</x:f>
        <x:v>0.7380952380952381</x:v>
      </x:c>
      <x:c r="O390" s="96" t="n">
        <x:f>IFERROR(I390/H390,0)</x:f>
        <x:v>0.8709677419354839</x:v>
      </x:c>
      <x:c r="P390" s="96" t="n">
        <x:f>IFERROR(J390/I390,0)</x:f>
        <x:v>0.4074074074074074</x:v>
      </x:c>
      <x:c r="Q390" s="96" t="n">
        <x:f>IFERROR(L390/J390,0)</x:f>
        <x:v>0.09090909090909091</x:v>
      </x:c>
      <x:c r="R390" s="96" t="n">
        <x:f>IFERROR(L390/F390,0)</x:f>
        <x:v>0.022222222222222223</x:v>
      </x:c>
      <x:c r="S390" s="95" t="n">
        <x:v>132</x:v>
      </x:c>
      <x:c r="T390" s="94" t="str">
        <x:v>末次点击7天</x:v>
      </x:c>
    </x:row>
    <x:row r="391">
      <x:c r="A391" s="92" t="str">
        <x:v>PROC-0390</x:v>
      </x:c>
      <x:c r="B391" s="93" t="n">
        <x:v>46093</x:v>
      </x:c>
      <x:c r="C391" s="94" t="str">
        <x:v>Google Ads</x:v>
      </x:c>
      <x:c r="D391" s="94" t="str">
        <x:v>德国</x:v>
      </x:c>
      <x:c r="E391" s="94" t="str">
        <x:v>品牌搜索</x:v>
      </x:c>
      <x:c r="F391" s="95" t="n">
        <x:v>82</x:v>
      </x:c>
      <x:c r="G391" s="95" t="n">
        <x:v>74</x:v>
      </x:c>
      <x:c r="H391" s="95" t="n">
        <x:v>50</x:v>
      </x:c>
      <x:c r="I391" s="95" t="n">
        <x:v>43</x:v>
      </x:c>
      <x:c r="J391" s="95" t="n">
        <x:v>21</x:v>
      </x:c>
      <x:c r="K391" s="95" t="n">
        <x:v>6</x:v>
      </x:c>
      <x:c r="L391" s="95" t="n">
        <x:v>2</x:v>
      </x:c>
      <x:c r="M391" s="96" t="n">
        <x:f>IFERROR(G391/F391,0)</x:f>
        <x:v>0.9024390243902439</x:v>
      </x:c>
      <x:c r="N391" s="96" t="n">
        <x:f>IFERROR(H391/G391,0)</x:f>
        <x:v>0.6756756756756757</x:v>
      </x:c>
      <x:c r="O391" s="96" t="n">
        <x:f>IFERROR(I391/H391,0)</x:f>
        <x:v>0.86</x:v>
      </x:c>
      <x:c r="P391" s="96" t="n">
        <x:f>IFERROR(J391/I391,0)</x:f>
        <x:v>0.4883720930232558</x:v>
      </x:c>
      <x:c r="Q391" s="96" t="n">
        <x:f>IFERROR(L391/J391,0)</x:f>
        <x:v>0.09523809523809523</x:v>
      </x:c>
      <x:c r="R391" s="96" t="n">
        <x:f>IFERROR(L391/F391,0)</x:f>
        <x:v>0.024390243902439025</x:v>
      </x:c>
      <x:c r="S391" s="95" t="n">
        <x:v>98</x:v>
      </x:c>
      <x:c r="T391" s="94" t="str">
        <x:v>末次点击7天</x:v>
      </x:c>
    </x:row>
    <x:row r="392">
      <x:c r="A392" s="92" t="str">
        <x:v>PROC-0391</x:v>
      </x:c>
      <x:c r="B392" s="93" t="n">
        <x:v>46093</x:v>
      </x:c>
      <x:c r="C392" s="94" t="str">
        <x:v>Google Ads</x:v>
      </x:c>
      <x:c r="D392" s="94" t="str">
        <x:v>德国</x:v>
      </x:c>
      <x:c r="E392" s="94" t="str">
        <x:v>通用搜索</x:v>
      </x:c>
      <x:c r="F392" s="95" t="n">
        <x:v>35</x:v>
      </x:c>
      <x:c r="G392" s="95" t="n">
        <x:v>32</x:v>
      </x:c>
      <x:c r="H392" s="95" t="n">
        <x:v>22</x:v>
      </x:c>
      <x:c r="I392" s="95" t="n">
        <x:v>18</x:v>
      </x:c>
      <x:c r="J392" s="95" t="n">
        <x:v>7</x:v>
      </x:c>
      <x:c r="K392" s="95" t="n">
        <x:v>2</x:v>
      </x:c>
      <x:c r="L392" s="95" t="n">
        <x:v>1</x:v>
      </x:c>
      <x:c r="M392" s="96" t="n">
        <x:f>IFERROR(G392/F392,0)</x:f>
        <x:v>0.9142857142857143</x:v>
      </x:c>
      <x:c r="N392" s="96" t="n">
        <x:f>IFERROR(H392/G392,0)</x:f>
        <x:v>0.6875</x:v>
      </x:c>
      <x:c r="O392" s="96" t="n">
        <x:f>IFERROR(I392/H392,0)</x:f>
        <x:v>0.8181818181818182</x:v>
      </x:c>
      <x:c r="P392" s="96" t="n">
        <x:f>IFERROR(J392/I392,0)</x:f>
        <x:v>0.3888888888888889</x:v>
      </x:c>
      <x:c r="Q392" s="96" t="n">
        <x:f>IFERROR(L392/J392,0)</x:f>
        <x:v>0.14285714285714285</x:v>
      </x:c>
      <x:c r="R392" s="96" t="n">
        <x:f>IFERROR(L392/F392,0)</x:f>
        <x:v>0.02857142857142857</x:v>
      </x:c>
      <x:c r="S392" s="95" t="n">
        <x:v>142</x:v>
      </x:c>
      <x:c r="T392" s="94" t="str">
        <x:v>末次点击7天</x:v>
      </x:c>
    </x:row>
    <x:row r="393">
      <x:c r="A393" s="92" t="str">
        <x:v>PROC-0392</x:v>
      </x:c>
      <x:c r="B393" s="93" t="n">
        <x:v>46093</x:v>
      </x:c>
      <x:c r="C393" s="94" t="str">
        <x:v>Google Ads</x:v>
      </x:c>
      <x:c r="D393" s="94" t="str">
        <x:v>美国</x:v>
      </x:c>
      <x:c r="E393" s="94" t="str">
        <x:v>竞品搜索</x:v>
      </x:c>
      <x:c r="F393" s="95" t="n">
        <x:v>35</x:v>
      </x:c>
      <x:c r="G393" s="95" t="n">
        <x:v>33</x:v>
      </x:c>
      <x:c r="H393" s="95" t="n">
        <x:v>23</x:v>
      </x:c>
      <x:c r="I393" s="95" t="n">
        <x:v>20</x:v>
      </x:c>
      <x:c r="J393" s="95" t="n">
        <x:v>7</x:v>
      </x:c>
      <x:c r="K393" s="95" t="n">
        <x:v>2</x:v>
      </x:c>
      <x:c r="L393" s="95" t="n">
        <x:v>1</x:v>
      </x:c>
      <x:c r="M393" s="96" t="n">
        <x:f>IFERROR(G393/F393,0)</x:f>
        <x:v>0.9428571428571428</x:v>
      </x:c>
      <x:c r="N393" s="96" t="n">
        <x:f>IFERROR(H393/G393,0)</x:f>
        <x:v>0.696969696969697</x:v>
      </x:c>
      <x:c r="O393" s="96" t="n">
        <x:f>IFERROR(I393/H393,0)</x:f>
        <x:v>0.8695652173913043</x:v>
      </x:c>
      <x:c r="P393" s="96" t="n">
        <x:f>IFERROR(J393/I393,0)</x:f>
        <x:v>0.35</x:v>
      </x:c>
      <x:c r="Q393" s="96" t="n">
        <x:f>IFERROR(L393/J393,0)</x:f>
        <x:v>0.14285714285714285</x:v>
      </x:c>
      <x:c r="R393" s="96" t="n">
        <x:f>IFERROR(L393/F393,0)</x:f>
        <x:v>0.02857142857142857</x:v>
      </x:c>
      <x:c r="S393" s="95" t="n">
        <x:v>106</x:v>
      </x:c>
      <x:c r="T393" s="94" t="str">
        <x:v>末次点击7天</x:v>
      </x:c>
    </x:row>
    <x:row r="394">
      <x:c r="A394" s="92" t="str">
        <x:v>PROC-0393</x:v>
      </x:c>
      <x:c r="B394" s="93" t="n">
        <x:v>46093</x:v>
      </x:c>
      <x:c r="C394" s="94" t="str">
        <x:v>Google Ads</x:v>
      </x:c>
      <x:c r="D394" s="94" t="str">
        <x:v>美国</x:v>
      </x:c>
      <x:c r="E394" s="94" t="str">
        <x:v>购物广告</x:v>
      </x:c>
      <x:c r="F394" s="95" t="n">
        <x:v>69</x:v>
      </x:c>
      <x:c r="G394" s="95" t="n">
        <x:v>60</x:v>
      </x:c>
      <x:c r="H394" s="95" t="n">
        <x:v>39</x:v>
      </x:c>
      <x:c r="I394" s="95" t="n">
        <x:v>34</x:v>
      </x:c>
      <x:c r="J394" s="95" t="n">
        <x:v>15</x:v>
      </x:c>
      <x:c r="K394" s="95" t="n">
        <x:v>4</x:v>
      </x:c>
      <x:c r="L394" s="95" t="n">
        <x:v>1</x:v>
      </x:c>
      <x:c r="M394" s="96" t="n">
        <x:f>IFERROR(G394/F394,0)</x:f>
        <x:v>0.8695652173913043</x:v>
      </x:c>
      <x:c r="N394" s="96" t="n">
        <x:f>IFERROR(H394/G394,0)</x:f>
        <x:v>0.65</x:v>
      </x:c>
      <x:c r="O394" s="96" t="n">
        <x:f>IFERROR(I394/H394,0)</x:f>
        <x:v>0.8717948717948718</x:v>
      </x:c>
      <x:c r="P394" s="96" t="n">
        <x:f>IFERROR(J394/I394,0)</x:f>
        <x:v>0.4411764705882353</x:v>
      </x:c>
      <x:c r="Q394" s="96" t="n">
        <x:f>IFERROR(L394/J394,0)</x:f>
        <x:v>0.06666666666666667</x:v>
      </x:c>
      <x:c r="R394" s="96" t="n">
        <x:f>IFERROR(L394/F394,0)</x:f>
        <x:v>0.014492753623188406</x:v>
      </x:c>
      <x:c r="S394" s="95" t="n">
        <x:v>50</x:v>
      </x:c>
      <x:c r="T394" s="94" t="str">
        <x:v>末次点击7天</x:v>
      </x:c>
    </x:row>
    <x:row r="395">
      <x:c r="A395" s="92" t="str">
        <x:v>PROC-0394</x:v>
      </x:c>
      <x:c r="B395" s="93" t="n">
        <x:v>46094</x:v>
      </x:c>
      <x:c r="C395" s="94" t="str">
        <x:v>Google Ads</x:v>
      </x:c>
      <x:c r="D395" s="94" t="str">
        <x:v>日本</x:v>
      </x:c>
      <x:c r="E395" s="94" t="str">
        <x:v>购物广告</x:v>
      </x:c>
      <x:c r="F395" s="95" t="n">
        <x:v>35</x:v>
      </x:c>
      <x:c r="G395" s="95" t="n">
        <x:v>33</x:v>
      </x:c>
      <x:c r="H395" s="95" t="n">
        <x:v>23</x:v>
      </x:c>
      <x:c r="I395" s="95" t="n">
        <x:v>19</x:v>
      </x:c>
      <x:c r="J395" s="95" t="n">
        <x:v>9</x:v>
      </x:c>
      <x:c r="K395" s="95" t="n">
        <x:v>2</x:v>
      </x:c>
      <x:c r="L395" s="95" t="n">
        <x:v>1</x:v>
      </x:c>
      <x:c r="M395" s="96" t="n">
        <x:f>IFERROR(G395/F395,0)</x:f>
        <x:v>0.9428571428571428</x:v>
      </x:c>
      <x:c r="N395" s="96" t="n">
        <x:f>IFERROR(H395/G395,0)</x:f>
        <x:v>0.696969696969697</x:v>
      </x:c>
      <x:c r="O395" s="96" t="n">
        <x:f>IFERROR(I395/H395,0)</x:f>
        <x:v>0.8260869565217391</x:v>
      </x:c>
      <x:c r="P395" s="96" t="n">
        <x:f>IFERROR(J395/I395,0)</x:f>
        <x:v>0.47368421052631576</x:v>
      </x:c>
      <x:c r="Q395" s="96" t="n">
        <x:f>IFERROR(L395/J395,0)</x:f>
        <x:v>0.1111111111111111</x:v>
      </x:c>
      <x:c r="R395" s="96" t="n">
        <x:f>IFERROR(L395/F395,0)</x:f>
        <x:v>0.02857142857142857</x:v>
      </x:c>
      <x:c r="S395" s="95" t="n">
        <x:v>137</x:v>
      </x:c>
      <x:c r="T395" s="94" t="str">
        <x:v>末次点击7天</x:v>
      </x:c>
    </x:row>
    <x:row r="396">
      <x:c r="A396" s="92" t="str">
        <x:v>PROC-0395</x:v>
      </x:c>
      <x:c r="B396" s="93" t="n">
        <x:v>46094</x:v>
      </x:c>
      <x:c r="C396" s="94" t="str">
        <x:v>Google Ads</x:v>
      </x:c>
      <x:c r="D396" s="94" t="str">
        <x:v>日本</x:v>
      </x:c>
      <x:c r="E396" s="94" t="str">
        <x:v>通用搜索</x:v>
      </x:c>
      <x:c r="F396" s="95" t="n">
        <x:v>36</x:v>
      </x:c>
      <x:c r="G396" s="95" t="n">
        <x:v>32</x:v>
      </x:c>
      <x:c r="H396" s="95" t="n">
        <x:v>20</x:v>
      </x:c>
      <x:c r="I396" s="95" t="n">
        <x:v>16</x:v>
      </x:c>
      <x:c r="J396" s="95" t="n">
        <x:v>6</x:v>
      </x:c>
      <x:c r="K396" s="95" t="n">
        <x:v>2</x:v>
      </x:c>
      <x:c r="L396" s="95" t="n">
        <x:v>0</x:v>
      </x:c>
      <x:c r="M396" s="96" t="n">
        <x:f>IFERROR(G396/F396,0)</x:f>
        <x:v>0.8888888888888888</x:v>
      </x:c>
      <x:c r="N396" s="96" t="n">
        <x:f>IFERROR(H396/G396,0)</x:f>
        <x:v>0.625</x:v>
      </x:c>
      <x:c r="O396" s="96" t="n">
        <x:f>IFERROR(I396/H396,0)</x:f>
        <x:v>0.8</x:v>
      </x:c>
      <x:c r="P396" s="96" t="n">
        <x:f>IFERROR(J396/I396,0)</x:f>
        <x:v>0.375</x:v>
      </x:c>
      <x:c r="Q396" s="96" t="n">
        <x:f>IFERROR(L396/J396,0)</x:f>
        <x:v>0</x:v>
      </x:c>
      <x:c r="R396" s="96" t="n">
        <x:f>IFERROR(L396/F396,0)</x:f>
        <x:v>0</x:v>
      </x:c>
      <x:c r="S396" s="95" t="n">
        <x:v>113</x:v>
      </x:c>
      <x:c r="T396" s="94" t="str">
        <x:v>末次点击7天</x:v>
      </x:c>
    </x:row>
    <x:row r="397">
      <x:c r="A397" s="92" t="str">
        <x:v>PROC-0396</x:v>
      </x:c>
      <x:c r="B397" s="93" t="n">
        <x:v>46094</x:v>
      </x:c>
      <x:c r="C397" s="94" t="str">
        <x:v>Microsoft Ads</x:v>
      </x:c>
      <x:c r="D397" s="94" t="str">
        <x:v>日本</x:v>
      </x:c>
      <x:c r="E397" s="94" t="str">
        <x:v>通用搜索</x:v>
      </x:c>
      <x:c r="F397" s="95" t="n">
        <x:v>47</x:v>
      </x:c>
      <x:c r="G397" s="95" t="n">
        <x:v>45</x:v>
      </x:c>
      <x:c r="H397" s="95" t="n">
        <x:v>29</x:v>
      </x:c>
      <x:c r="I397" s="95" t="n">
        <x:v>25</x:v>
      </x:c>
      <x:c r="J397" s="95" t="n">
        <x:v>11</x:v>
      </x:c>
      <x:c r="K397" s="95" t="n">
        <x:v>4</x:v>
      </x:c>
      <x:c r="L397" s="95" t="n">
        <x:v>1</x:v>
      </x:c>
      <x:c r="M397" s="96" t="n">
        <x:f>IFERROR(G397/F397,0)</x:f>
        <x:v>0.9574468085106383</x:v>
      </x:c>
      <x:c r="N397" s="96" t="n">
        <x:f>IFERROR(H397/G397,0)</x:f>
        <x:v>0.6444444444444445</x:v>
      </x:c>
      <x:c r="O397" s="96" t="n">
        <x:f>IFERROR(I397/H397,0)</x:f>
        <x:v>0.8620689655172413</x:v>
      </x:c>
      <x:c r="P397" s="96" t="n">
        <x:f>IFERROR(J397/I397,0)</x:f>
        <x:v>0.44</x:v>
      </x:c>
      <x:c r="Q397" s="96" t="n">
        <x:f>IFERROR(L397/J397,0)</x:f>
        <x:v>0.09090909090909091</x:v>
      </x:c>
      <x:c r="R397" s="96" t="n">
        <x:f>IFERROR(L397/F397,0)</x:f>
        <x:v>0.02127659574468085</x:v>
      </x:c>
      <x:c r="S397" s="95" t="n">
        <x:v>55</x:v>
      </x:c>
      <x:c r="T397" s="94" t="str">
        <x:v>末次点击7天</x:v>
      </x:c>
    </x:row>
    <x:row r="398">
      <x:c r="A398" s="92" t="str">
        <x:v>PROC-0397</x:v>
      </x:c>
      <x:c r="B398" s="93" t="n">
        <x:v>46094</x:v>
      </x:c>
      <x:c r="C398" s="94" t="str">
        <x:v>Google Ads</x:v>
      </x:c>
      <x:c r="D398" s="94" t="str">
        <x:v>美国</x:v>
      </x:c>
      <x:c r="E398" s="94" t="str">
        <x:v>购物广告</x:v>
      </x:c>
      <x:c r="F398" s="95" t="n">
        <x:v>69</x:v>
      </x:c>
      <x:c r="G398" s="95" t="n">
        <x:v>66</x:v>
      </x:c>
      <x:c r="H398" s="95" t="n">
        <x:v>50</x:v>
      </x:c>
      <x:c r="I398" s="95" t="n">
        <x:v>46</x:v>
      </x:c>
      <x:c r="J398" s="95" t="n">
        <x:v>20</x:v>
      </x:c>
      <x:c r="K398" s="95" t="n">
        <x:v>5</x:v>
      </x:c>
      <x:c r="L398" s="95" t="n">
        <x:v>2</x:v>
      </x:c>
      <x:c r="M398" s="96" t="n">
        <x:f>IFERROR(G398/F398,0)</x:f>
        <x:v>0.9565217391304348</x:v>
      </x:c>
      <x:c r="N398" s="96" t="n">
        <x:f>IFERROR(H398/G398,0)</x:f>
        <x:v>0.7575757575757576</x:v>
      </x:c>
      <x:c r="O398" s="96" t="n">
        <x:f>IFERROR(I398/H398,0)</x:f>
        <x:v>0.92</x:v>
      </x:c>
      <x:c r="P398" s="96" t="n">
        <x:f>IFERROR(J398/I398,0)</x:f>
        <x:v>0.43478260869565216</x:v>
      </x:c>
      <x:c r="Q398" s="96" t="n">
        <x:f>IFERROR(L398/J398,0)</x:f>
        <x:v>0.1</x:v>
      </x:c>
      <x:c r="R398" s="96" t="n">
        <x:f>IFERROR(L398/F398,0)</x:f>
        <x:v>0.028985507246376812</x:v>
      </x:c>
      <x:c r="S398" s="95" t="n">
        <x:v>85</x:v>
      </x:c>
      <x:c r="T398" s="94" t="str">
        <x:v>末次点击7天</x:v>
      </x:c>
    </x:row>
    <x:row r="399">
      <x:c r="A399" s="92" t="str">
        <x:v>PROC-0398</x:v>
      </x:c>
      <x:c r="B399" s="93" t="n">
        <x:v>46094</x:v>
      </x:c>
      <x:c r="C399" s="94" t="str">
        <x:v>Microsoft Ads</x:v>
      </x:c>
      <x:c r="D399" s="94" t="str">
        <x:v>美国</x:v>
      </x:c>
      <x:c r="E399" s="94" t="str">
        <x:v>通用搜索</x:v>
      </x:c>
      <x:c r="F399" s="95" t="n">
        <x:v>28</x:v>
      </x:c>
      <x:c r="G399" s="95" t="n">
        <x:v>25</x:v>
      </x:c>
      <x:c r="H399" s="95" t="n">
        <x:v>17</x:v>
      </x:c>
      <x:c r="I399" s="95" t="n">
        <x:v>14</x:v>
      </x:c>
      <x:c r="J399" s="95" t="n">
        <x:v>5</x:v>
      </x:c>
      <x:c r="K399" s="95" t="n">
        <x:v>1</x:v>
      </x:c>
      <x:c r="L399" s="95" t="n">
        <x:v>1</x:v>
      </x:c>
      <x:c r="M399" s="96" t="n">
        <x:f>IFERROR(G399/F399,0)</x:f>
        <x:v>0.8928571428571429</x:v>
      </x:c>
      <x:c r="N399" s="96" t="n">
        <x:f>IFERROR(H399/G399,0)</x:f>
        <x:v>0.68</x:v>
      </x:c>
      <x:c r="O399" s="96" t="n">
        <x:f>IFERROR(I399/H399,0)</x:f>
        <x:v>0.8235294117647058</x:v>
      </x:c>
      <x:c r="P399" s="96" t="n">
        <x:f>IFERROR(J399/I399,0)</x:f>
        <x:v>0.35714285714285715</x:v>
      </x:c>
      <x:c r="Q399" s="96" t="n">
        <x:f>IFERROR(L399/J399,0)</x:f>
        <x:v>0.2</x:v>
      </x:c>
      <x:c r="R399" s="96" t="n">
        <x:f>IFERROR(L399/F399,0)</x:f>
        <x:v>0.03571428571428571</x:v>
      </x:c>
      <x:c r="S399" s="95" t="n">
        <x:v>111</x:v>
      </x:c>
      <x:c r="T399" s="94" t="str">
        <x:v>末次点击7天</x:v>
      </x:c>
    </x:row>
    <x:row r="400">
      <x:c r="A400" s="92" t="str">
        <x:v>PROC-0399</x:v>
      </x:c>
      <x:c r="B400" s="93" t="n">
        <x:v>46095</x:v>
      </x:c>
      <x:c r="C400" s="94" t="str">
        <x:v>Google Ads</x:v>
      </x:c>
      <x:c r="D400" s="94" t="str">
        <x:v>英国</x:v>
      </x:c>
      <x:c r="E400" s="94" t="str">
        <x:v>购物广告</x:v>
      </x:c>
      <x:c r="F400" s="95" t="n">
        <x:v>46</x:v>
      </x:c>
      <x:c r="G400" s="95" t="n">
        <x:v>42</x:v>
      </x:c>
      <x:c r="H400" s="95" t="n">
        <x:v>30</x:v>
      </x:c>
      <x:c r="I400" s="95" t="n">
        <x:v>25</x:v>
      </x:c>
      <x:c r="J400" s="95" t="n">
        <x:v>11</x:v>
      </x:c>
      <x:c r="K400" s="95" t="n">
        <x:v>4</x:v>
      </x:c>
      <x:c r="L400" s="95" t="n">
        <x:v>1</x:v>
      </x:c>
      <x:c r="M400" s="96" t="n">
        <x:f>IFERROR(G400/F400,0)</x:f>
        <x:v>0.9130434782608695</x:v>
      </x:c>
      <x:c r="N400" s="96" t="n">
        <x:f>IFERROR(H400/G400,0)</x:f>
        <x:v>0.7142857142857143</x:v>
      </x:c>
      <x:c r="O400" s="96" t="n">
        <x:f>IFERROR(I400/H400,0)</x:f>
        <x:v>0.8333333333333334</x:v>
      </x:c>
      <x:c r="P400" s="96" t="n">
        <x:f>IFERROR(J400/I400,0)</x:f>
        <x:v>0.44</x:v>
      </x:c>
      <x:c r="Q400" s="96" t="n">
        <x:f>IFERROR(L400/J400,0)</x:f>
        <x:v>0.09090909090909091</x:v>
      </x:c>
      <x:c r="R400" s="96" t="n">
        <x:f>IFERROR(L400/F400,0)</x:f>
        <x:v>0.021739130434782608</x:v>
      </x:c>
      <x:c r="S400" s="95" t="n">
        <x:v>83</x:v>
      </x:c>
      <x:c r="T400" s="94" t="str">
        <x:v>末次点击7天</x:v>
      </x:c>
    </x:row>
    <x:row r="401">
      <x:c r="A401" s="92" t="str">
        <x:v>PROC-0400</x:v>
      </x:c>
      <x:c r="B401" s="93" t="n">
        <x:v>46095</x:v>
      </x:c>
      <x:c r="C401" s="94" t="str">
        <x:v>Microsoft Ads</x:v>
      </x:c>
      <x:c r="D401" s="94" t="str">
        <x:v>美国</x:v>
      </x:c>
      <x:c r="E401" s="94" t="str">
        <x:v>通用搜索</x:v>
      </x:c>
      <x:c r="F401" s="95" t="n">
        <x:v>21</x:v>
      </x:c>
      <x:c r="G401" s="95" t="n">
        <x:v>20</x:v>
      </x:c>
      <x:c r="H401" s="95" t="n">
        <x:v>13</x:v>
      </x:c>
      <x:c r="I401" s="95" t="n">
        <x:v>11</x:v>
      </x:c>
      <x:c r="J401" s="95" t="n">
        <x:v>4</x:v>
      </x:c>
      <x:c r="K401" s="95" t="n">
        <x:v>1</x:v>
      </x:c>
      <x:c r="L401" s="95" t="n">
        <x:v>0</x:v>
      </x:c>
      <x:c r="M401" s="96" t="n">
        <x:f>IFERROR(G401/F401,0)</x:f>
        <x:v>0.9523809523809523</x:v>
      </x:c>
      <x:c r="N401" s="96" t="n">
        <x:f>IFERROR(H401/G401,0)</x:f>
        <x:v>0.65</x:v>
      </x:c>
      <x:c r="O401" s="96" t="n">
        <x:f>IFERROR(I401/H401,0)</x:f>
        <x:v>0.8461538461538461</x:v>
      </x:c>
      <x:c r="P401" s="96" t="n">
        <x:f>IFERROR(J401/I401,0)</x:f>
        <x:v>0.36363636363636365</x:v>
      </x:c>
      <x:c r="Q401" s="96" t="n">
        <x:f>IFERROR(L401/J401,0)</x:f>
        <x:v>0</x:v>
      </x:c>
      <x:c r="R401" s="96" t="n">
        <x:f>IFERROR(L401/F401,0)</x:f>
        <x:v>0</x:v>
      </x:c>
      <x:c r="S401" s="95" t="n">
        <x:v>117</x:v>
      </x:c>
      <x:c r="T401" s="94" t="str">
        <x:v>末次点击7天</x:v>
      </x:c>
    </x:row>
    <x:row r="402">
      <x:c r="A402" s="92" t="str">
        <x:v>PROC-0401</x:v>
      </x:c>
      <x:c r="B402" s="93" t="n">
        <x:v>46095</x:v>
      </x:c>
      <x:c r="C402" s="94" t="str">
        <x:v>Microsoft Ads</x:v>
      </x:c>
      <x:c r="D402" s="94" t="str">
        <x:v>美国</x:v>
      </x:c>
      <x:c r="E402" s="94" t="str">
        <x:v>竞品搜索</x:v>
      </x:c>
      <x:c r="F402" s="95" t="n">
        <x:v>36</x:v>
      </x:c>
      <x:c r="G402" s="95" t="n">
        <x:v>33</x:v>
      </x:c>
      <x:c r="H402" s="95" t="n">
        <x:v>23</x:v>
      </x:c>
      <x:c r="I402" s="95" t="n">
        <x:v>19</x:v>
      </x:c>
      <x:c r="J402" s="95" t="n">
        <x:v>8</x:v>
      </x:c>
      <x:c r="K402" s="95" t="n">
        <x:v>2</x:v>
      </x:c>
      <x:c r="L402" s="95" t="n">
        <x:v>1</x:v>
      </x:c>
      <x:c r="M402" s="96" t="n">
        <x:f>IFERROR(G402/F402,0)</x:f>
        <x:v>0.9166666666666666</x:v>
      </x:c>
      <x:c r="N402" s="96" t="n">
        <x:f>IFERROR(H402/G402,0)</x:f>
        <x:v>0.696969696969697</x:v>
      </x:c>
      <x:c r="O402" s="96" t="n">
        <x:f>IFERROR(I402/H402,0)</x:f>
        <x:v>0.8260869565217391</x:v>
      </x:c>
      <x:c r="P402" s="96" t="n">
        <x:f>IFERROR(J402/I402,0)</x:f>
        <x:v>0.42105263157894735</x:v>
      </x:c>
      <x:c r="Q402" s="96" t="n">
        <x:f>IFERROR(L402/J402,0)</x:f>
        <x:v>0.125</x:v>
      </x:c>
      <x:c r="R402" s="96" t="n">
        <x:f>IFERROR(L402/F402,0)</x:f>
        <x:v>0.027777777777777776</x:v>
      </x:c>
      <x:c r="S402" s="95" t="n">
        <x:v>90</x:v>
      </x:c>
      <x:c r="T402" s="94" t="str">
        <x:v>末次点击7天</x:v>
      </x:c>
    </x:row>
    <x:row r="403">
      <x:c r="A403" s="92" t="str">
        <x:v>PROC-0402</x:v>
      </x:c>
      <x:c r="B403" s="93" t="n">
        <x:v>46095</x:v>
      </x:c>
      <x:c r="C403" s="94" t="str">
        <x:v>Microsoft Ads</x:v>
      </x:c>
      <x:c r="D403" s="94" t="str">
        <x:v>美国</x:v>
      </x:c>
      <x:c r="E403" s="94" t="str">
        <x:v>品牌搜索</x:v>
      </x:c>
      <x:c r="F403" s="95" t="n">
        <x:v>77</x:v>
      </x:c>
      <x:c r="G403" s="95" t="n">
        <x:v>70</x:v>
      </x:c>
      <x:c r="H403" s="95" t="n">
        <x:v>49</x:v>
      </x:c>
      <x:c r="I403" s="95" t="n">
        <x:v>41</x:v>
      </x:c>
      <x:c r="J403" s="95" t="n">
        <x:v>19</x:v>
      </x:c>
      <x:c r="K403" s="95" t="n">
        <x:v>6</x:v>
      </x:c>
      <x:c r="L403" s="95" t="n">
        <x:v>2</x:v>
      </x:c>
      <x:c r="M403" s="96" t="n">
        <x:f>IFERROR(G403/F403,0)</x:f>
        <x:v>0.9090909090909091</x:v>
      </x:c>
      <x:c r="N403" s="96" t="n">
        <x:f>IFERROR(H403/G403,0)</x:f>
        <x:v>0.7</x:v>
      </x:c>
      <x:c r="O403" s="96" t="n">
        <x:f>IFERROR(I403/H403,0)</x:f>
        <x:v>0.8367346938775511</x:v>
      </x:c>
      <x:c r="P403" s="96" t="n">
        <x:f>IFERROR(J403/I403,0)</x:f>
        <x:v>0.4634146341463415</x:v>
      </x:c>
      <x:c r="Q403" s="96" t="n">
        <x:f>IFERROR(L403/J403,0)</x:f>
        <x:v>0.10526315789473684</x:v>
      </x:c>
      <x:c r="R403" s="96" t="n">
        <x:f>IFERROR(L403/F403,0)</x:f>
        <x:v>0.025974025974025976</x:v>
      </x:c>
      <x:c r="S403" s="95" t="n">
        <x:v>64</x:v>
      </x:c>
      <x:c r="T403" s="94" t="str">
        <x:v>末次点击7天</x:v>
      </x:c>
    </x:row>
    <x:row r="404">
      <x:c r="A404" s="92" t="str">
        <x:v>PROC-0403</x:v>
      </x:c>
      <x:c r="B404" s="93" t="n">
        <x:v>46095</x:v>
      </x:c>
      <x:c r="C404" s="94" t="str">
        <x:v>Microsoft Ads</x:v>
      </x:c>
      <x:c r="D404" s="94" t="str">
        <x:v>英国</x:v>
      </x:c>
      <x:c r="E404" s="94" t="str">
        <x:v>竞品搜索</x:v>
      </x:c>
      <x:c r="F404" s="95" t="n">
        <x:v>33</x:v>
      </x:c>
      <x:c r="G404" s="95" t="n">
        <x:v>30</x:v>
      </x:c>
      <x:c r="H404" s="95" t="n">
        <x:v>20</x:v>
      </x:c>
      <x:c r="I404" s="95" t="n">
        <x:v>17</x:v>
      </x:c>
      <x:c r="J404" s="95" t="n">
        <x:v>6</x:v>
      </x:c>
      <x:c r="K404" s="95" t="n">
        <x:v>2</x:v>
      </x:c>
      <x:c r="L404" s="95" t="n">
        <x:v>0</x:v>
      </x:c>
      <x:c r="M404" s="96" t="n">
        <x:f>IFERROR(G404/F404,0)</x:f>
        <x:v>0.9090909090909091</x:v>
      </x:c>
      <x:c r="N404" s="96" t="n">
        <x:f>IFERROR(H404/G404,0)</x:f>
        <x:v>0.6666666666666666</x:v>
      </x:c>
      <x:c r="O404" s="96" t="n">
        <x:f>IFERROR(I404/H404,0)</x:f>
        <x:v>0.85</x:v>
      </x:c>
      <x:c r="P404" s="96" t="n">
        <x:f>IFERROR(J404/I404,0)</x:f>
        <x:v>0.35294117647058826</x:v>
      </x:c>
      <x:c r="Q404" s="96" t="n">
        <x:f>IFERROR(L404/J404,0)</x:f>
        <x:v>0</x:v>
      </x:c>
      <x:c r="R404" s="96" t="n">
        <x:f>IFERROR(L404/F404,0)</x:f>
        <x:v>0</x:v>
      </x:c>
      <x:c r="S404" s="95" t="n">
        <x:v>130</x:v>
      </x:c>
      <x:c r="T404" s="94" t="str">
        <x:v>末次点击7天</x:v>
      </x:c>
    </x:row>
    <x:row r="405">
      <x:c r="A405" s="92" t="str">
        <x:v>PROC-0404</x:v>
      </x:c>
      <x:c r="B405" s="93" t="n">
        <x:v>46095</x:v>
      </x:c>
      <x:c r="C405" s="94" t="str">
        <x:v>Microsoft Ads</x:v>
      </x:c>
      <x:c r="D405" s="94" t="str">
        <x:v>英国</x:v>
      </x:c>
      <x:c r="E405" s="94" t="str">
        <x:v>竞品搜索</x:v>
      </x:c>
      <x:c r="F405" s="95" t="n">
        <x:v>21</x:v>
      </x:c>
      <x:c r="G405" s="95" t="n">
        <x:v>19</x:v>
      </x:c>
      <x:c r="H405" s="95" t="n">
        <x:v>13</x:v>
      </x:c>
      <x:c r="I405" s="95" t="n">
        <x:v>10</x:v>
      </x:c>
      <x:c r="J405" s="95" t="n">
        <x:v>5</x:v>
      </x:c>
      <x:c r="K405" s="95" t="n">
        <x:v>2</x:v>
      </x:c>
      <x:c r="L405" s="95" t="n">
        <x:v>0</x:v>
      </x:c>
      <x:c r="M405" s="96" t="n">
        <x:f>IFERROR(G405/F405,0)</x:f>
        <x:v>0.9047619047619048</x:v>
      </x:c>
      <x:c r="N405" s="96" t="n">
        <x:f>IFERROR(H405/G405,0)</x:f>
        <x:v>0.6842105263157895</x:v>
      </x:c>
      <x:c r="O405" s="96" t="n">
        <x:f>IFERROR(I405/H405,0)</x:f>
        <x:v>0.7692307692307693</x:v>
      </x:c>
      <x:c r="P405" s="96" t="n">
        <x:f>IFERROR(J405/I405,0)</x:f>
        <x:v>0.5</x:v>
      </x:c>
      <x:c r="Q405" s="96" t="n">
        <x:f>IFERROR(L405/J405,0)</x:f>
        <x:v>0</x:v>
      </x:c>
      <x:c r="R405" s="96" t="n">
        <x:f>IFERROR(L405/F405,0)</x:f>
        <x:v>0</x:v>
      </x:c>
      <x:c r="S405" s="95" t="n">
        <x:v>69</x:v>
      </x:c>
      <x:c r="T405" s="94" t="str">
        <x:v>末次点击7天</x:v>
      </x:c>
    </x:row>
    <x:row r="406">
      <x:c r="A406" s="92" t="str">
        <x:v>PROC-0405</x:v>
      </x:c>
      <x:c r="B406" s="93" t="n">
        <x:v>46096</x:v>
      </x:c>
      <x:c r="C406" s="94" t="str">
        <x:v>Microsoft Ads</x:v>
      </x:c>
      <x:c r="D406" s="94" t="str">
        <x:v>美国</x:v>
      </x:c>
      <x:c r="E406" s="94" t="str">
        <x:v>品牌搜索</x:v>
      </x:c>
      <x:c r="F406" s="95" t="n">
        <x:v>84</x:v>
      </x:c>
      <x:c r="G406" s="95" t="n">
        <x:v>74</x:v>
      </x:c>
      <x:c r="H406" s="95" t="n">
        <x:v>48</x:v>
      </x:c>
      <x:c r="I406" s="95" t="n">
        <x:v>39</x:v>
      </x:c>
      <x:c r="J406" s="95" t="n">
        <x:v>20</x:v>
      </x:c>
      <x:c r="K406" s="95" t="n">
        <x:v>5</x:v>
      </x:c>
      <x:c r="L406" s="95" t="n">
        <x:v>2</x:v>
      </x:c>
      <x:c r="M406" s="96" t="n">
        <x:f>IFERROR(G406/F406,0)</x:f>
        <x:v>0.8809523809523809</x:v>
      </x:c>
      <x:c r="N406" s="96" t="n">
        <x:f>IFERROR(H406/G406,0)</x:f>
        <x:v>0.6486486486486487</x:v>
      </x:c>
      <x:c r="O406" s="96" t="n">
        <x:f>IFERROR(I406/H406,0)</x:f>
        <x:v>0.8125</x:v>
      </x:c>
      <x:c r="P406" s="96" t="n">
        <x:f>IFERROR(J406/I406,0)</x:f>
        <x:v>0.5128205128205128</x:v>
      </x:c>
      <x:c r="Q406" s="96" t="n">
        <x:f>IFERROR(L406/J406,0)</x:f>
        <x:v>0.1</x:v>
      </x:c>
      <x:c r="R406" s="96" t="n">
        <x:f>IFERROR(L406/F406,0)</x:f>
        <x:v>0.023809523809523808</x:v>
      </x:c>
      <x:c r="S406" s="95" t="n">
        <x:v>108</x:v>
      </x:c>
      <x:c r="T406" s="94" t="str">
        <x:v>末次点击7天</x:v>
      </x:c>
    </x:row>
    <x:row r="407">
      <x:c r="A407" s="92" t="str">
        <x:v>PROC-0406</x:v>
      </x:c>
      <x:c r="B407" s="93" t="n">
        <x:v>46096</x:v>
      </x:c>
      <x:c r="C407" s="94" t="str">
        <x:v>Google Ads</x:v>
      </x:c>
      <x:c r="D407" s="94" t="str">
        <x:v>英国</x:v>
      </x:c>
      <x:c r="E407" s="94" t="str">
        <x:v>竞品搜索</x:v>
      </x:c>
      <x:c r="F407" s="95" t="n">
        <x:v>33</x:v>
      </x:c>
      <x:c r="G407" s="95" t="n">
        <x:v>30</x:v>
      </x:c>
      <x:c r="H407" s="95" t="n">
        <x:v>22</x:v>
      </x:c>
      <x:c r="I407" s="95" t="n">
        <x:v>19</x:v>
      </x:c>
      <x:c r="J407" s="95" t="n">
        <x:v>7</x:v>
      </x:c>
      <x:c r="K407" s="95" t="n">
        <x:v>2</x:v>
      </x:c>
      <x:c r="L407" s="95" t="n">
        <x:v>1</x:v>
      </x:c>
      <x:c r="M407" s="96" t="n">
        <x:f>IFERROR(G407/F407,0)</x:f>
        <x:v>0.9090909090909091</x:v>
      </x:c>
      <x:c r="N407" s="96" t="n">
        <x:f>IFERROR(H407/G407,0)</x:f>
        <x:v>0.7333333333333333</x:v>
      </x:c>
      <x:c r="O407" s="96" t="n">
        <x:f>IFERROR(I407/H407,0)</x:f>
        <x:v>0.8636363636363636</x:v>
      </x:c>
      <x:c r="P407" s="96" t="n">
        <x:f>IFERROR(J407/I407,0)</x:f>
        <x:v>0.3684210526315789</x:v>
      </x:c>
      <x:c r="Q407" s="96" t="n">
        <x:f>IFERROR(L407/J407,0)</x:f>
        <x:v>0.14285714285714285</x:v>
      </x:c>
      <x:c r="R407" s="96" t="n">
        <x:f>IFERROR(L407/F407,0)</x:f>
        <x:v>0.030303030303030304</x:v>
      </x:c>
      <x:c r="S407" s="95" t="n">
        <x:v>147</x:v>
      </x:c>
      <x:c r="T407" s="94" t="str">
        <x:v>末次点击7天</x:v>
      </x:c>
    </x:row>
    <x:row r="408">
      <x:c r="A408" s="92" t="str">
        <x:v>PROC-0407</x:v>
      </x:c>
      <x:c r="B408" s="93" t="n">
        <x:v>46096</x:v>
      </x:c>
      <x:c r="C408" s="94" t="str">
        <x:v>Google Ads</x:v>
      </x:c>
      <x:c r="D408" s="94" t="str">
        <x:v>美国</x:v>
      </x:c>
      <x:c r="E408" s="94" t="str">
        <x:v>通用搜索</x:v>
      </x:c>
      <x:c r="F408" s="95" t="n">
        <x:v>39</x:v>
      </x:c>
      <x:c r="G408" s="95" t="n">
        <x:v>36</x:v>
      </x:c>
      <x:c r="H408" s="95" t="n">
        <x:v>27</x:v>
      </x:c>
      <x:c r="I408" s="95" t="n">
        <x:v>22</x:v>
      </x:c>
      <x:c r="J408" s="95" t="n">
        <x:v>10</x:v>
      </x:c>
      <x:c r="K408" s="95" t="n">
        <x:v>2</x:v>
      </x:c>
      <x:c r="L408" s="95" t="n">
        <x:v>1</x:v>
      </x:c>
      <x:c r="M408" s="96" t="n">
        <x:f>IFERROR(G408/F408,0)</x:f>
        <x:v>0.9230769230769231</x:v>
      </x:c>
      <x:c r="N408" s="96" t="n">
        <x:f>IFERROR(H408/G408,0)</x:f>
        <x:v>0.75</x:v>
      </x:c>
      <x:c r="O408" s="96" t="n">
        <x:f>IFERROR(I408/H408,0)</x:f>
        <x:v>0.8148148148148148</x:v>
      </x:c>
      <x:c r="P408" s="96" t="n">
        <x:f>IFERROR(J408/I408,0)</x:f>
        <x:v>0.45454545454545453</x:v>
      </x:c>
      <x:c r="Q408" s="96" t="n">
        <x:f>IFERROR(L408/J408,0)</x:f>
        <x:v>0.1</x:v>
      </x:c>
      <x:c r="R408" s="96" t="n">
        <x:f>IFERROR(L408/F408,0)</x:f>
        <x:v>0.02564102564102564</x:v>
      </x:c>
      <x:c r="S408" s="95" t="n">
        <x:v>49</x:v>
      </x:c>
      <x:c r="T408" s="94" t="str">
        <x:v>末次点击7天</x:v>
      </x:c>
    </x:row>
    <x:row r="409">
      <x:c r="A409" s="92" t="str">
        <x:v>PROC-0408</x:v>
      </x:c>
      <x:c r="B409" s="93" t="n">
        <x:v>46096</x:v>
      </x:c>
      <x:c r="C409" s="94" t="str">
        <x:v>Microsoft Ads</x:v>
      </x:c>
      <x:c r="D409" s="94" t="str">
        <x:v>美国</x:v>
      </x:c>
      <x:c r="E409" s="94" t="str">
        <x:v>通用搜索</x:v>
      </x:c>
      <x:c r="F409" s="95" t="n">
        <x:v>44</x:v>
      </x:c>
      <x:c r="G409" s="95" t="n">
        <x:v>40</x:v>
      </x:c>
      <x:c r="H409" s="95" t="n">
        <x:v>29</x:v>
      </x:c>
      <x:c r="I409" s="95" t="n">
        <x:v>23</x:v>
      </x:c>
      <x:c r="J409" s="95" t="n">
        <x:v>9</x:v>
      </x:c>
      <x:c r="K409" s="95" t="n">
        <x:v>2</x:v>
      </x:c>
      <x:c r="L409" s="95" t="n">
        <x:v>1</x:v>
      </x:c>
      <x:c r="M409" s="96" t="n">
        <x:f>IFERROR(G409/F409,0)</x:f>
        <x:v>0.9090909090909091</x:v>
      </x:c>
      <x:c r="N409" s="96" t="n">
        <x:f>IFERROR(H409/G409,0)</x:f>
        <x:v>0.725</x:v>
      </x:c>
      <x:c r="O409" s="96" t="n">
        <x:f>IFERROR(I409/H409,0)</x:f>
        <x:v>0.7931034482758621</x:v>
      </x:c>
      <x:c r="P409" s="96" t="n">
        <x:f>IFERROR(J409/I409,0)</x:f>
        <x:v>0.391304347826087</x:v>
      </x:c>
      <x:c r="Q409" s="96" t="n">
        <x:f>IFERROR(L409/J409,0)</x:f>
        <x:v>0.1111111111111111</x:v>
      </x:c>
      <x:c r="R409" s="96" t="n">
        <x:f>IFERROR(L409/F409,0)</x:f>
        <x:v>0.022727272727272728</x:v>
      </x:c>
      <x:c r="S409" s="95" t="n">
        <x:v>66</x:v>
      </x:c>
      <x:c r="T409" s="94" t="str">
        <x:v>末次点击7天</x:v>
      </x:c>
    </x:row>
    <x:row r="410">
      <x:c r="A410" s="92" t="str">
        <x:v>PROC-0409</x:v>
      </x:c>
      <x:c r="B410" s="93" t="n">
        <x:v>46096</x:v>
      </x:c>
      <x:c r="C410" s="94" t="str">
        <x:v>Google Ads</x:v>
      </x:c>
      <x:c r="D410" s="94" t="str">
        <x:v>美国</x:v>
      </x:c>
      <x:c r="E410" s="94" t="str">
        <x:v>品牌搜索</x:v>
      </x:c>
      <x:c r="F410" s="95" t="n">
        <x:v>91</x:v>
      </x:c>
      <x:c r="G410" s="95" t="n">
        <x:v>82</x:v>
      </x:c>
      <x:c r="H410" s="95" t="n">
        <x:v>53</x:v>
      </x:c>
      <x:c r="I410" s="95" t="n">
        <x:v>44</x:v>
      </x:c>
      <x:c r="J410" s="95" t="n">
        <x:v>22</x:v>
      </x:c>
      <x:c r="K410" s="95" t="n">
        <x:v>6</x:v>
      </x:c>
      <x:c r="L410" s="95" t="n">
        <x:v>2</x:v>
      </x:c>
      <x:c r="M410" s="96" t="n">
        <x:f>IFERROR(G410/F410,0)</x:f>
        <x:v>0.9010989010989011</x:v>
      </x:c>
      <x:c r="N410" s="96" t="n">
        <x:f>IFERROR(H410/G410,0)</x:f>
        <x:v>0.6463414634146342</x:v>
      </x:c>
      <x:c r="O410" s="96" t="n">
        <x:f>IFERROR(I410/H410,0)</x:f>
        <x:v>0.8301886792452831</x:v>
      </x:c>
      <x:c r="P410" s="96" t="n">
        <x:f>IFERROR(J410/I410,0)</x:f>
        <x:v>0.5</x:v>
      </x:c>
      <x:c r="Q410" s="96" t="n">
        <x:f>IFERROR(L410/J410,0)</x:f>
        <x:v>0.09090909090909091</x:v>
      </x:c>
      <x:c r="R410" s="96" t="n">
        <x:f>IFERROR(L410/F410,0)</x:f>
        <x:v>0.02197802197802198</x:v>
      </x:c>
      <x:c r="S410" s="95" t="n">
        <x:v>60</x:v>
      </x:c>
      <x:c r="T410" s="94" t="str">
        <x:v>末次点击7天</x:v>
      </x:c>
    </x:row>
    <x:row r="411">
      <x:c r="A411" s="92" t="str">
        <x:v>PROC-0410</x:v>
      </x:c>
      <x:c r="B411" s="93" t="n">
        <x:v>46097</x:v>
      </x:c>
      <x:c r="C411" s="94" t="str">
        <x:v>Google Ads</x:v>
      </x:c>
      <x:c r="D411" s="94" t="str">
        <x:v>英国</x:v>
      </x:c>
      <x:c r="E411" s="94" t="str">
        <x:v>品牌搜索</x:v>
      </x:c>
      <x:c r="F411" s="95" t="n">
        <x:v>45</x:v>
      </x:c>
      <x:c r="G411" s="95" t="n">
        <x:v>41</x:v>
      </x:c>
      <x:c r="H411" s="95" t="n">
        <x:v>29</x:v>
      </x:c>
      <x:c r="I411" s="95" t="n">
        <x:v>24</x:v>
      </x:c>
      <x:c r="J411" s="95" t="n">
        <x:v>11</x:v>
      </x:c>
      <x:c r="K411" s="95" t="n">
        <x:v>2</x:v>
      </x:c>
      <x:c r="L411" s="95" t="n">
        <x:v>1</x:v>
      </x:c>
      <x:c r="M411" s="96" t="n">
        <x:f>IFERROR(G411/F411,0)</x:f>
        <x:v>0.9111111111111111</x:v>
      </x:c>
      <x:c r="N411" s="96" t="n">
        <x:f>IFERROR(H411/G411,0)</x:f>
        <x:v>0.7073170731707317</x:v>
      </x:c>
      <x:c r="O411" s="96" t="n">
        <x:f>IFERROR(I411/H411,0)</x:f>
        <x:v>0.8275862068965517</x:v>
      </x:c>
      <x:c r="P411" s="96" t="n">
        <x:f>IFERROR(J411/I411,0)</x:f>
        <x:v>0.4583333333333333</x:v>
      </x:c>
      <x:c r="Q411" s="96" t="n">
        <x:f>IFERROR(L411/J411,0)</x:f>
        <x:v>0.09090909090909091</x:v>
      </x:c>
      <x:c r="R411" s="96" t="n">
        <x:f>IFERROR(L411/F411,0)</x:f>
        <x:v>0.022222222222222223</x:v>
      </x:c>
      <x:c r="S411" s="95" t="n">
        <x:v>131</x:v>
      </x:c>
      <x:c r="T411" s="94" t="str">
        <x:v>末次点击7天</x:v>
      </x:c>
    </x:row>
    <x:row r="412">
      <x:c r="A412" s="92" t="str">
        <x:v>PROC-0411</x:v>
      </x:c>
      <x:c r="B412" s="93" t="n">
        <x:v>46097</x:v>
      </x:c>
      <x:c r="C412" s="94" t="str">
        <x:v>Google Ads</x:v>
      </x:c>
      <x:c r="D412" s="94" t="str">
        <x:v>英国</x:v>
      </x:c>
      <x:c r="E412" s="94" t="str">
        <x:v>通用搜索</x:v>
      </x:c>
      <x:c r="F412" s="95" t="n">
        <x:v>33</x:v>
      </x:c>
      <x:c r="G412" s="95" t="n">
        <x:v>29</x:v>
      </x:c>
      <x:c r="H412" s="95" t="n">
        <x:v>20</x:v>
      </x:c>
      <x:c r="I412" s="95" t="n">
        <x:v>17</x:v>
      </x:c>
      <x:c r="J412" s="95" t="n">
        <x:v>8</x:v>
      </x:c>
      <x:c r="K412" s="95" t="n">
        <x:v>3</x:v>
      </x:c>
      <x:c r="L412" s="95" t="n">
        <x:v>1</x:v>
      </x:c>
      <x:c r="M412" s="96" t="n">
        <x:f>IFERROR(G412/F412,0)</x:f>
        <x:v>0.8787878787878788</x:v>
      </x:c>
      <x:c r="N412" s="96" t="n">
        <x:f>IFERROR(H412/G412,0)</x:f>
        <x:v>0.6896551724137931</x:v>
      </x:c>
      <x:c r="O412" s="96" t="n">
        <x:f>IFERROR(I412/H412,0)</x:f>
        <x:v>0.85</x:v>
      </x:c>
      <x:c r="P412" s="96" t="n">
        <x:f>IFERROR(J412/I412,0)</x:f>
        <x:v>0.47058823529411764</x:v>
      </x:c>
      <x:c r="Q412" s="96" t="n">
        <x:f>IFERROR(L412/J412,0)</x:f>
        <x:v>0.125</x:v>
      </x:c>
      <x:c r="R412" s="96" t="n">
        <x:f>IFERROR(L412/F412,0)</x:f>
        <x:v>0.030303030303030304</x:v>
      </x:c>
      <x:c r="S412" s="95" t="n">
        <x:v>134</x:v>
      </x:c>
      <x:c r="T412" s="94" t="str">
        <x:v>末次点击7天</x:v>
      </x:c>
    </x:row>
    <x:row r="413">
      <x:c r="A413" s="92" t="str">
        <x:v>PROC-0412</x:v>
      </x:c>
      <x:c r="B413" s="93" t="n">
        <x:v>46097</x:v>
      </x:c>
      <x:c r="C413" s="94" t="str">
        <x:v>Microsoft Ads</x:v>
      </x:c>
      <x:c r="D413" s="94" t="str">
        <x:v>日本</x:v>
      </x:c>
      <x:c r="E413" s="94" t="str">
        <x:v>通用搜索</x:v>
      </x:c>
      <x:c r="F413" s="95" t="n">
        <x:v>35</x:v>
      </x:c>
      <x:c r="G413" s="95" t="n">
        <x:v>32</x:v>
      </x:c>
      <x:c r="H413" s="95" t="n">
        <x:v>22</x:v>
      </x:c>
      <x:c r="I413" s="95" t="n">
        <x:v>17</x:v>
      </x:c>
      <x:c r="J413" s="95" t="n">
        <x:v>7</x:v>
      </x:c>
      <x:c r="K413" s="95" t="n">
        <x:v>2</x:v>
      </x:c>
      <x:c r="L413" s="95" t="n">
        <x:v>1</x:v>
      </x:c>
      <x:c r="M413" s="96" t="n">
        <x:f>IFERROR(G413/F413,0)</x:f>
        <x:v>0.9142857142857143</x:v>
      </x:c>
      <x:c r="N413" s="96" t="n">
        <x:f>IFERROR(H413/G413,0)</x:f>
        <x:v>0.6875</x:v>
      </x:c>
      <x:c r="O413" s="96" t="n">
        <x:f>IFERROR(I413/H413,0)</x:f>
        <x:v>0.7727272727272727</x:v>
      </x:c>
      <x:c r="P413" s="96" t="n">
        <x:f>IFERROR(J413/I413,0)</x:f>
        <x:v>0.4117647058823529</x:v>
      </x:c>
      <x:c r="Q413" s="96" t="n">
        <x:f>IFERROR(L413/J413,0)</x:f>
        <x:v>0.14285714285714285</x:v>
      </x:c>
      <x:c r="R413" s="96" t="n">
        <x:f>IFERROR(L413/F413,0)</x:f>
        <x:v>0.02857142857142857</x:v>
      </x:c>
      <x:c r="S413" s="95" t="n">
        <x:v>152</x:v>
      </x:c>
      <x:c r="T413" s="94" t="str">
        <x:v>末次点击7天</x:v>
      </x:c>
    </x:row>
    <x:row r="414">
      <x:c r="A414" s="92" t="str">
        <x:v>PROC-0413</x:v>
      </x:c>
      <x:c r="B414" s="93" t="n">
        <x:v>46097</x:v>
      </x:c>
      <x:c r="C414" s="94" t="str">
        <x:v>Google Ads</x:v>
      </x:c>
      <x:c r="D414" s="94" t="str">
        <x:v>美国</x:v>
      </x:c>
      <x:c r="E414" s="94" t="str">
        <x:v>品牌搜索</x:v>
      </x:c>
      <x:c r="F414" s="95" t="n">
        <x:v>78</x:v>
      </x:c>
      <x:c r="G414" s="95" t="n">
        <x:v>72</x:v>
      </x:c>
      <x:c r="H414" s="95" t="n">
        <x:v>52</x:v>
      </x:c>
      <x:c r="I414" s="95" t="n">
        <x:v>41</x:v>
      </x:c>
      <x:c r="J414" s="95" t="n">
        <x:v>18</x:v>
      </x:c>
      <x:c r="K414" s="95" t="n">
        <x:v>5</x:v>
      </x:c>
      <x:c r="L414" s="95" t="n">
        <x:v>1</x:v>
      </x:c>
      <x:c r="M414" s="96" t="n">
        <x:f>IFERROR(G414/F414,0)</x:f>
        <x:v>0.9230769230769231</x:v>
      </x:c>
      <x:c r="N414" s="96" t="n">
        <x:f>IFERROR(H414/G414,0)</x:f>
        <x:v>0.7222222222222222</x:v>
      </x:c>
      <x:c r="O414" s="96" t="n">
        <x:f>IFERROR(I414/H414,0)</x:f>
        <x:v>0.7884615384615384</x:v>
      </x:c>
      <x:c r="P414" s="96" t="n">
        <x:f>IFERROR(J414/I414,0)</x:f>
        <x:v>0.43902439024390244</x:v>
      </x:c>
      <x:c r="Q414" s="96" t="n">
        <x:f>IFERROR(L414/J414,0)</x:f>
        <x:v>0.05555555555555555</x:v>
      </x:c>
      <x:c r="R414" s="96" t="n">
        <x:f>IFERROR(L414/F414,0)</x:f>
        <x:v>0.01282051282051282</x:v>
      </x:c>
      <x:c r="S414" s="95" t="n">
        <x:v>129</x:v>
      </x:c>
      <x:c r="T414" s="94" t="str">
        <x:v>末次点击7天</x:v>
      </x:c>
    </x:row>
    <x:row r="415">
      <x:c r="A415" s="92" t="str">
        <x:v>PROC-0414</x:v>
      </x:c>
      <x:c r="B415" s="93" t="n">
        <x:v>46097</x:v>
      </x:c>
      <x:c r="C415" s="94" t="str">
        <x:v>Google Ads</x:v>
      </x:c>
      <x:c r="D415" s="94" t="str">
        <x:v>德国</x:v>
      </x:c>
      <x:c r="E415" s="94" t="str">
        <x:v>购物广告</x:v>
      </x:c>
      <x:c r="F415" s="95" t="n">
        <x:v>48</x:v>
      </x:c>
      <x:c r="G415" s="95" t="n">
        <x:v>45</x:v>
      </x:c>
      <x:c r="H415" s="95" t="n">
        <x:v>35</x:v>
      </x:c>
      <x:c r="I415" s="95" t="n">
        <x:v>30</x:v>
      </x:c>
      <x:c r="J415" s="95" t="n">
        <x:v>13</x:v>
      </x:c>
      <x:c r="K415" s="95" t="n">
        <x:v>3</x:v>
      </x:c>
      <x:c r="L415" s="95" t="n">
        <x:v>1</x:v>
      </x:c>
      <x:c r="M415" s="96" t="n">
        <x:f>IFERROR(G415/F415,0)</x:f>
        <x:v>0.9375</x:v>
      </x:c>
      <x:c r="N415" s="96" t="n">
        <x:f>IFERROR(H415/G415,0)</x:f>
        <x:v>0.7777777777777778</x:v>
      </x:c>
      <x:c r="O415" s="96" t="n">
        <x:f>IFERROR(I415/H415,0)</x:f>
        <x:v>0.8571428571428571</x:v>
      </x:c>
      <x:c r="P415" s="96" t="n">
        <x:f>IFERROR(J415/I415,0)</x:f>
        <x:v>0.43333333333333335</x:v>
      </x:c>
      <x:c r="Q415" s="96" t="n">
        <x:f>IFERROR(L415/J415,0)</x:f>
        <x:v>0.07692307692307693</x:v>
      </x:c>
      <x:c r="R415" s="96" t="n">
        <x:f>IFERROR(L415/F415,0)</x:f>
        <x:v>0.020833333333333332</x:v>
      </x:c>
      <x:c r="S415" s="95" t="n">
        <x:v>154</x:v>
      </x:c>
      <x:c r="T415" s="94" t="str">
        <x:v>末次点击7天</x:v>
      </x:c>
    </x:row>
    <x:row r="416">
      <x:c r="A416" s="92" t="str">
        <x:v>PROC-0415</x:v>
      </x:c>
      <x:c r="B416" s="93" t="n">
        <x:v>46097</x:v>
      </x:c>
      <x:c r="C416" s="94" t="str">
        <x:v>Microsoft Ads</x:v>
      </x:c>
      <x:c r="D416" s="94" t="str">
        <x:v>美国</x:v>
      </x:c>
      <x:c r="E416" s="94" t="str">
        <x:v>通用搜索</x:v>
      </x:c>
      <x:c r="F416" s="95" t="n">
        <x:v>42</x:v>
      </x:c>
      <x:c r="G416" s="95" t="n">
        <x:v>40</x:v>
      </x:c>
      <x:c r="H416" s="95" t="n">
        <x:v>27</x:v>
      </x:c>
      <x:c r="I416" s="95" t="n">
        <x:v>23</x:v>
      </x:c>
      <x:c r="J416" s="95" t="n">
        <x:v>10</x:v>
      </x:c>
      <x:c r="K416" s="95" t="n">
        <x:v>3</x:v>
      </x:c>
      <x:c r="L416" s="95" t="n">
        <x:v>1</x:v>
      </x:c>
      <x:c r="M416" s="96" t="n">
        <x:f>IFERROR(G416/F416,0)</x:f>
        <x:v>0.9523809523809523</x:v>
      </x:c>
      <x:c r="N416" s="96" t="n">
        <x:f>IFERROR(H416/G416,0)</x:f>
        <x:v>0.675</x:v>
      </x:c>
      <x:c r="O416" s="96" t="n">
        <x:f>IFERROR(I416/H416,0)</x:f>
        <x:v>0.8518518518518519</x:v>
      </x:c>
      <x:c r="P416" s="96" t="n">
        <x:f>IFERROR(J416/I416,0)</x:f>
        <x:v>0.43478260869565216</x:v>
      </x:c>
      <x:c r="Q416" s="96" t="n">
        <x:f>IFERROR(L416/J416,0)</x:f>
        <x:v>0.1</x:v>
      </x:c>
      <x:c r="R416" s="96" t="n">
        <x:f>IFERROR(L416/F416,0)</x:f>
        <x:v>0.023809523809523808</x:v>
      </x:c>
      <x:c r="S416" s="95" t="n">
        <x:v>107</x:v>
      </x:c>
      <x:c r="T416" s="94" t="str">
        <x:v>末次点击7天</x:v>
      </x:c>
    </x:row>
    <x:row r="417">
      <x:c r="A417" s="92" t="str">
        <x:v>PROC-0416</x:v>
      </x:c>
      <x:c r="B417" s="93" t="n">
        <x:v>46098</x:v>
      </x:c>
      <x:c r="C417" s="94" t="str">
        <x:v>Google Ads</x:v>
      </x:c>
      <x:c r="D417" s="94" t="str">
        <x:v>德国</x:v>
      </x:c>
      <x:c r="E417" s="94" t="str">
        <x:v>品牌搜索</x:v>
      </x:c>
      <x:c r="F417" s="95" t="n">
        <x:v>81</x:v>
      </x:c>
      <x:c r="G417" s="95" t="n">
        <x:v>77</x:v>
      </x:c>
      <x:c r="H417" s="95" t="n">
        <x:v>50</x:v>
      </x:c>
      <x:c r="I417" s="95" t="n">
        <x:v>42</x:v>
      </x:c>
      <x:c r="J417" s="95" t="n">
        <x:v>22</x:v>
      </x:c>
      <x:c r="K417" s="95" t="n">
        <x:v>8</x:v>
      </x:c>
      <x:c r="L417" s="95" t="n">
        <x:v>2</x:v>
      </x:c>
      <x:c r="M417" s="96" t="n">
        <x:f>IFERROR(G417/F417,0)</x:f>
        <x:v>0.9506172839506173</x:v>
      </x:c>
      <x:c r="N417" s="96" t="n">
        <x:f>IFERROR(H417/G417,0)</x:f>
        <x:v>0.6493506493506493</x:v>
      </x:c>
      <x:c r="O417" s="96" t="n">
        <x:f>IFERROR(I417/H417,0)</x:f>
        <x:v>0.84</x:v>
      </x:c>
      <x:c r="P417" s="96" t="n">
        <x:f>IFERROR(J417/I417,0)</x:f>
        <x:v>0.5238095238095238</x:v>
      </x:c>
      <x:c r="Q417" s="96" t="n">
        <x:f>IFERROR(L417/J417,0)</x:f>
        <x:v>0.09090909090909091</x:v>
      </x:c>
      <x:c r="R417" s="96" t="n">
        <x:f>IFERROR(L417/F417,0)</x:f>
        <x:v>0.024691358024691357</x:v>
      </x:c>
      <x:c r="S417" s="95" t="n">
        <x:v>114</x:v>
      </x:c>
      <x:c r="T417" s="94" t="str">
        <x:v>末次点击7天</x:v>
      </x:c>
    </x:row>
    <x:row r="418">
      <x:c r="A418" s="92" t="str">
        <x:v>PROC-0417</x:v>
      </x:c>
      <x:c r="B418" s="93" t="n">
        <x:v>46098</x:v>
      </x:c>
      <x:c r="C418" s="94" t="str">
        <x:v>Microsoft Ads</x:v>
      </x:c>
      <x:c r="D418" s="94" t="str">
        <x:v>美国</x:v>
      </x:c>
      <x:c r="E418" s="94" t="str">
        <x:v>品牌搜索</x:v>
      </x:c>
      <x:c r="F418" s="95" t="n">
        <x:v>52</x:v>
      </x:c>
      <x:c r="G418" s="95" t="n">
        <x:v>47</x:v>
      </x:c>
      <x:c r="H418" s="95" t="n">
        <x:v>31</x:v>
      </x:c>
      <x:c r="I418" s="95" t="n">
        <x:v>27</x:v>
      </x:c>
      <x:c r="J418" s="95" t="n">
        <x:v>14</x:v>
      </x:c>
      <x:c r="K418" s="95" t="n">
        <x:v>4</x:v>
      </x:c>
      <x:c r="L418" s="95" t="n">
        <x:v>1</x:v>
      </x:c>
      <x:c r="M418" s="96" t="n">
        <x:f>IFERROR(G418/F418,0)</x:f>
        <x:v>0.9038461538461539</x:v>
      </x:c>
      <x:c r="N418" s="96" t="n">
        <x:f>IFERROR(H418/G418,0)</x:f>
        <x:v>0.6595744680851063</x:v>
      </x:c>
      <x:c r="O418" s="96" t="n">
        <x:f>IFERROR(I418/H418,0)</x:f>
        <x:v>0.8709677419354839</x:v>
      </x:c>
      <x:c r="P418" s="96" t="n">
        <x:f>IFERROR(J418/I418,0)</x:f>
        <x:v>0.5185185185185185</x:v>
      </x:c>
      <x:c r="Q418" s="96" t="n">
        <x:f>IFERROR(L418/J418,0)</x:f>
        <x:v>0.07142857142857142</x:v>
      </x:c>
      <x:c r="R418" s="96" t="n">
        <x:f>IFERROR(L418/F418,0)</x:f>
        <x:v>0.019230769230769232</x:v>
      </x:c>
      <x:c r="S418" s="95" t="n">
        <x:v>68</x:v>
      </x:c>
      <x:c r="T418" s="94" t="str">
        <x:v>末次点击7天</x:v>
      </x:c>
    </x:row>
    <x:row r="419">
      <x:c r="A419" s="92" t="str">
        <x:v>PROC-0418</x:v>
      </x:c>
      <x:c r="B419" s="93" t="n">
        <x:v>46098</x:v>
      </x:c>
      <x:c r="C419" s="94" t="str">
        <x:v>Google Ads</x:v>
      </x:c>
      <x:c r="D419" s="94" t="str">
        <x:v>德国</x:v>
      </x:c>
      <x:c r="E419" s="94" t="str">
        <x:v>购物广告</x:v>
      </x:c>
      <x:c r="F419" s="95" t="n">
        <x:v>66</x:v>
      </x:c>
      <x:c r="G419" s="95" t="n">
        <x:v>62</x:v>
      </x:c>
      <x:c r="H419" s="95" t="n">
        <x:v>45</x:v>
      </x:c>
      <x:c r="I419" s="95" t="n">
        <x:v>38</x:v>
      </x:c>
      <x:c r="J419" s="95" t="n">
        <x:v>18</x:v>
      </x:c>
      <x:c r="K419" s="95" t="n">
        <x:v>5</x:v>
      </x:c>
      <x:c r="L419" s="95" t="n">
        <x:v>1</x:v>
      </x:c>
      <x:c r="M419" s="96" t="n">
        <x:f>IFERROR(G419/F419,0)</x:f>
        <x:v>0.9393939393939394</x:v>
      </x:c>
      <x:c r="N419" s="96" t="n">
        <x:f>IFERROR(H419/G419,0)</x:f>
        <x:v>0.7258064516129032</x:v>
      </x:c>
      <x:c r="O419" s="96" t="n">
        <x:f>IFERROR(I419/H419,0)</x:f>
        <x:v>0.8444444444444444</x:v>
      </x:c>
      <x:c r="P419" s="96" t="n">
        <x:f>IFERROR(J419/I419,0)</x:f>
        <x:v>0.47368421052631576</x:v>
      </x:c>
      <x:c r="Q419" s="96" t="n">
        <x:f>IFERROR(L419/J419,0)</x:f>
        <x:v>0.05555555555555555</x:v>
      </x:c>
      <x:c r="R419" s="96" t="n">
        <x:f>IFERROR(L419/F419,0)</x:f>
        <x:v>0.015151515151515152</x:v>
      </x:c>
      <x:c r="S419" s="95" t="n">
        <x:v>119</x:v>
      </x:c>
      <x:c r="T419" s="94" t="str">
        <x:v>末次点击7天</x:v>
      </x:c>
    </x:row>
    <x:row r="420">
      <x:c r="A420" s="92" t="str">
        <x:v>PROC-0419</x:v>
      </x:c>
      <x:c r="B420" s="93" t="n">
        <x:v>46098</x:v>
      </x:c>
      <x:c r="C420" s="94" t="str">
        <x:v>Google Ads</x:v>
      </x:c>
      <x:c r="D420" s="94" t="str">
        <x:v>美国</x:v>
      </x:c>
      <x:c r="E420" s="94" t="str">
        <x:v>通用搜索</x:v>
      </x:c>
      <x:c r="F420" s="95" t="n">
        <x:v>53</x:v>
      </x:c>
      <x:c r="G420" s="95" t="n">
        <x:v>50</x:v>
      </x:c>
      <x:c r="H420" s="95" t="n">
        <x:v>34</x:v>
      </x:c>
      <x:c r="I420" s="95" t="n">
        <x:v>30</x:v>
      </x:c>
      <x:c r="J420" s="95" t="n">
        <x:v>11</x:v>
      </x:c>
      <x:c r="K420" s="95" t="n">
        <x:v>4</x:v>
      </x:c>
      <x:c r="L420" s="95" t="n">
        <x:v>1</x:v>
      </x:c>
      <x:c r="M420" s="96" t="n">
        <x:f>IFERROR(G420/F420,0)</x:f>
        <x:v>0.9433962264150944</x:v>
      </x:c>
      <x:c r="N420" s="96" t="n">
        <x:f>IFERROR(H420/G420,0)</x:f>
        <x:v>0.68</x:v>
      </x:c>
      <x:c r="O420" s="96" t="n">
        <x:f>IFERROR(I420/H420,0)</x:f>
        <x:v>0.8823529411764706</x:v>
      </x:c>
      <x:c r="P420" s="96" t="n">
        <x:f>IFERROR(J420/I420,0)</x:f>
        <x:v>0.36666666666666664</x:v>
      </x:c>
      <x:c r="Q420" s="96" t="n">
        <x:f>IFERROR(L420/J420,0)</x:f>
        <x:v>0.09090909090909091</x:v>
      </x:c>
      <x:c r="R420" s="96" t="n">
        <x:f>IFERROR(L420/F420,0)</x:f>
        <x:v>0.018867924528301886</x:v>
      </x:c>
      <x:c r="S420" s="95" t="n">
        <x:v>106</x:v>
      </x:c>
      <x:c r="T420" s="94" t="str">
        <x:v>末次点击7天</x:v>
      </x:c>
    </x:row>
    <x:row r="421">
      <x:c r="A421" s="92" t="str">
        <x:v>PROC-0420</x:v>
      </x:c>
      <x:c r="B421" s="93" t="n">
        <x:v>46098</x:v>
      </x:c>
      <x:c r="C421" s="94" t="str">
        <x:v>Google Ads</x:v>
      </x:c>
      <x:c r="D421" s="94" t="str">
        <x:v>美国</x:v>
      </x:c>
      <x:c r="E421" s="94" t="str">
        <x:v>购物广告</x:v>
      </x:c>
      <x:c r="F421" s="95" t="n">
        <x:v>56</x:v>
      </x:c>
      <x:c r="G421" s="95" t="n">
        <x:v>49</x:v>
      </x:c>
      <x:c r="H421" s="95" t="n">
        <x:v>36</x:v>
      </x:c>
      <x:c r="I421" s="95" t="n">
        <x:v>32</x:v>
      </x:c>
      <x:c r="J421" s="95" t="n">
        <x:v>13</x:v>
      </x:c>
      <x:c r="K421" s="95" t="n">
        <x:v>4</x:v>
      </x:c>
      <x:c r="L421" s="95" t="n">
        <x:v>1</x:v>
      </x:c>
      <x:c r="M421" s="96" t="n">
        <x:f>IFERROR(G421/F421,0)</x:f>
        <x:v>0.875</x:v>
      </x:c>
      <x:c r="N421" s="96" t="n">
        <x:f>IFERROR(H421/G421,0)</x:f>
        <x:v>0.7346938775510204</x:v>
      </x:c>
      <x:c r="O421" s="96" t="n">
        <x:f>IFERROR(I421/H421,0)</x:f>
        <x:v>0.8888888888888888</x:v>
      </x:c>
      <x:c r="P421" s="96" t="n">
        <x:f>IFERROR(J421/I421,0)</x:f>
        <x:v>0.40625</x:v>
      </x:c>
      <x:c r="Q421" s="96" t="n">
        <x:f>IFERROR(L421/J421,0)</x:f>
        <x:v>0.07692307692307693</x:v>
      </x:c>
      <x:c r="R421" s="96" t="n">
        <x:f>IFERROR(L421/F421,0)</x:f>
        <x:v>0.017857142857142856</x:v>
      </x:c>
      <x:c r="S421" s="95" t="n">
        <x:v>91</x:v>
      </x:c>
      <x:c r="T421" s="94" t="str">
        <x:v>末次点击7天</x:v>
      </x:c>
    </x:row>
    <x:row r="422">
      <x:c r="A422" s="92" t="str">
        <x:v>PROC-0421</x:v>
      </x:c>
      <x:c r="B422" s="93" t="n">
        <x:v>46099</x:v>
      </x:c>
      <x:c r="C422" s="94" t="str">
        <x:v>Google Ads</x:v>
      </x:c>
      <x:c r="D422" s="94" t="str">
        <x:v>英国</x:v>
      </x:c>
      <x:c r="E422" s="94" t="str">
        <x:v>购物广告</x:v>
      </x:c>
      <x:c r="F422" s="95" t="n">
        <x:v>43</x:v>
      </x:c>
      <x:c r="G422" s="95" t="n">
        <x:v>40</x:v>
      </x:c>
      <x:c r="H422" s="95" t="n">
        <x:v>27</x:v>
      </x:c>
      <x:c r="I422" s="95" t="n">
        <x:v>24</x:v>
      </x:c>
      <x:c r="J422" s="95" t="n">
        <x:v>11</x:v>
      </x:c>
      <x:c r="K422" s="95" t="n">
        <x:v>2</x:v>
      </x:c>
      <x:c r="L422" s="95" t="n">
        <x:v>1</x:v>
      </x:c>
      <x:c r="M422" s="96" t="n">
        <x:f>IFERROR(G422/F422,0)</x:f>
        <x:v>0.9302325581395349</x:v>
      </x:c>
      <x:c r="N422" s="96" t="n">
        <x:f>IFERROR(H422/G422,0)</x:f>
        <x:v>0.675</x:v>
      </x:c>
      <x:c r="O422" s="96" t="n">
        <x:f>IFERROR(I422/H422,0)</x:f>
        <x:v>0.8888888888888888</x:v>
      </x:c>
      <x:c r="P422" s="96" t="n">
        <x:f>IFERROR(J422/I422,0)</x:f>
        <x:v>0.4583333333333333</x:v>
      </x:c>
      <x:c r="Q422" s="96" t="n">
        <x:f>IFERROR(L422/J422,0)</x:f>
        <x:v>0.09090909090909091</x:v>
      </x:c>
      <x:c r="R422" s="96" t="n">
        <x:f>IFERROR(L422/F422,0)</x:f>
        <x:v>0.023255813953488372</x:v>
      </x:c>
      <x:c r="S422" s="95" t="n">
        <x:v>111</x:v>
      </x:c>
      <x:c r="T422" s="94" t="str">
        <x:v>末次点击7天</x:v>
      </x:c>
    </x:row>
    <x:row r="423">
      <x:c r="A423" s="92" t="str">
        <x:v>PROC-0422</x:v>
      </x:c>
      <x:c r="B423" s="93" t="n">
        <x:v>46099</x:v>
      </x:c>
      <x:c r="C423" s="94" t="str">
        <x:v>Microsoft Ads</x:v>
      </x:c>
      <x:c r="D423" s="94" t="str">
        <x:v>美国</x:v>
      </x:c>
      <x:c r="E423" s="94" t="str">
        <x:v>购物广告</x:v>
      </x:c>
      <x:c r="F423" s="95" t="n">
        <x:v>65</x:v>
      </x:c>
      <x:c r="G423" s="95" t="n">
        <x:v>58</x:v>
      </x:c>
      <x:c r="H423" s="95" t="n">
        <x:v>38</x:v>
      </x:c>
      <x:c r="I423" s="95" t="n">
        <x:v>35</x:v>
      </x:c>
      <x:c r="J423" s="95" t="n">
        <x:v>18</x:v>
      </x:c>
      <x:c r="K423" s="95" t="n">
        <x:v>4</x:v>
      </x:c>
      <x:c r="L423" s="95" t="n">
        <x:v>2</x:v>
      </x:c>
      <x:c r="M423" s="96" t="n">
        <x:f>IFERROR(G423/F423,0)</x:f>
        <x:v>0.8923076923076924</x:v>
      </x:c>
      <x:c r="N423" s="96" t="n">
        <x:f>IFERROR(H423/G423,0)</x:f>
        <x:v>0.6551724137931034</x:v>
      </x:c>
      <x:c r="O423" s="96" t="n">
        <x:f>IFERROR(I423/H423,0)</x:f>
        <x:v>0.9210526315789473</x:v>
      </x:c>
      <x:c r="P423" s="96" t="n">
        <x:f>IFERROR(J423/I423,0)</x:f>
        <x:v>0.5142857142857142</x:v>
      </x:c>
      <x:c r="Q423" s="96" t="n">
        <x:f>IFERROR(L423/J423,0)</x:f>
        <x:v>0.1111111111111111</x:v>
      </x:c>
      <x:c r="R423" s="96" t="n">
        <x:f>IFERROR(L423/F423,0)</x:f>
        <x:v>0.03076923076923077</x:v>
      </x:c>
      <x:c r="S423" s="95" t="n">
        <x:v>74</x:v>
      </x:c>
      <x:c r="T423" s="94" t="str">
        <x:v>末次点击7天</x:v>
      </x:c>
    </x:row>
    <x:row r="424">
      <x:c r="A424" s="92" t="str">
        <x:v>PROC-0423</x:v>
      </x:c>
      <x:c r="B424" s="93" t="n">
        <x:v>46099</x:v>
      </x:c>
      <x:c r="C424" s="94" t="str">
        <x:v>Google Ads</x:v>
      </x:c>
      <x:c r="D424" s="94" t="str">
        <x:v>美国</x:v>
      </x:c>
      <x:c r="E424" s="94" t="str">
        <x:v>品牌搜索</x:v>
      </x:c>
      <x:c r="F424" s="95" t="n">
        <x:v>73</x:v>
      </x:c>
      <x:c r="G424" s="95" t="n">
        <x:v>67</x:v>
      </x:c>
      <x:c r="H424" s="95" t="n">
        <x:v>43</x:v>
      </x:c>
      <x:c r="I424" s="95" t="n">
        <x:v>35</x:v>
      </x:c>
      <x:c r="J424" s="95" t="n">
        <x:v>17</x:v>
      </x:c>
      <x:c r="K424" s="95" t="n">
        <x:v>5</x:v>
      </x:c>
      <x:c r="L424" s="95" t="n">
        <x:v>2</x:v>
      </x:c>
      <x:c r="M424" s="96" t="n">
        <x:f>IFERROR(G424/F424,0)</x:f>
        <x:v>0.9178082191780822</x:v>
      </x:c>
      <x:c r="N424" s="96" t="n">
        <x:f>IFERROR(H424/G424,0)</x:f>
        <x:v>0.6417910447761194</x:v>
      </x:c>
      <x:c r="O424" s="96" t="n">
        <x:f>IFERROR(I424/H424,0)</x:f>
        <x:v>0.813953488372093</x:v>
      </x:c>
      <x:c r="P424" s="96" t="n">
        <x:f>IFERROR(J424/I424,0)</x:f>
        <x:v>0.4857142857142857</x:v>
      </x:c>
      <x:c r="Q424" s="96" t="n">
        <x:f>IFERROR(L424/J424,0)</x:f>
        <x:v>0.11764705882352941</x:v>
      </x:c>
      <x:c r="R424" s="96" t="n">
        <x:f>IFERROR(L424/F424,0)</x:f>
        <x:v>0.0273972602739726</x:v>
      </x:c>
      <x:c r="S424" s="95" t="n">
        <x:v>134</x:v>
      </x:c>
      <x:c r="T424" s="94" t="str">
        <x:v>末次点击7天</x:v>
      </x:c>
    </x:row>
    <x:row r="425">
      <x:c r="A425" s="92" t="str">
        <x:v>PROC-0424</x:v>
      </x:c>
      <x:c r="B425" s="93" t="n">
        <x:v>46099</x:v>
      </x:c>
      <x:c r="C425" s="94" t="str">
        <x:v>Microsoft Ads</x:v>
      </x:c>
      <x:c r="D425" s="94" t="str">
        <x:v>美国</x:v>
      </x:c>
      <x:c r="E425" s="94" t="str">
        <x:v>购物广告</x:v>
      </x:c>
      <x:c r="F425" s="95" t="n">
        <x:v>33</x:v>
      </x:c>
      <x:c r="G425" s="95" t="n">
        <x:v>30</x:v>
      </x:c>
      <x:c r="H425" s="95" t="n">
        <x:v>20</x:v>
      </x:c>
      <x:c r="I425" s="95" t="n">
        <x:v>18</x:v>
      </x:c>
      <x:c r="J425" s="95" t="n">
        <x:v>8</x:v>
      </x:c>
      <x:c r="K425" s="95" t="n">
        <x:v>3</x:v>
      </x:c>
      <x:c r="L425" s="95" t="n">
        <x:v>1</x:v>
      </x:c>
      <x:c r="M425" s="96" t="n">
        <x:f>IFERROR(G425/F425,0)</x:f>
        <x:v>0.9090909090909091</x:v>
      </x:c>
      <x:c r="N425" s="96" t="n">
        <x:f>IFERROR(H425/G425,0)</x:f>
        <x:v>0.6666666666666666</x:v>
      </x:c>
      <x:c r="O425" s="96" t="n">
        <x:f>IFERROR(I425/H425,0)</x:f>
        <x:v>0.9</x:v>
      </x:c>
      <x:c r="P425" s="96" t="n">
        <x:f>IFERROR(J425/I425,0)</x:f>
        <x:v>0.4444444444444444</x:v>
      </x:c>
      <x:c r="Q425" s="96" t="n">
        <x:f>IFERROR(L425/J425,0)</x:f>
        <x:v>0.125</x:v>
      </x:c>
      <x:c r="R425" s="96" t="n">
        <x:f>IFERROR(L425/F425,0)</x:f>
        <x:v>0.030303030303030304</x:v>
      </x:c>
      <x:c r="S425" s="95" t="n">
        <x:v>140</x:v>
      </x:c>
      <x:c r="T425" s="94" t="str">
        <x:v>末次点击7天</x:v>
      </x:c>
    </x:row>
    <x:row r="426">
      <x:c r="A426" s="92" t="str">
        <x:v>PROC-0425</x:v>
      </x:c>
      <x:c r="B426" s="93" t="n">
        <x:v>46099</x:v>
      </x:c>
      <x:c r="C426" s="94" t="str">
        <x:v>Microsoft Ads</x:v>
      </x:c>
      <x:c r="D426" s="94" t="str">
        <x:v>英国</x:v>
      </x:c>
      <x:c r="E426" s="94" t="str">
        <x:v>竞品搜索</x:v>
      </x:c>
      <x:c r="F426" s="95" t="n">
        <x:v>38</x:v>
      </x:c>
      <x:c r="G426" s="95" t="n">
        <x:v>37</x:v>
      </x:c>
      <x:c r="H426" s="95" t="n">
        <x:v>25</x:v>
      </x:c>
      <x:c r="I426" s="95" t="n">
        <x:v>21</x:v>
      </x:c>
      <x:c r="J426" s="95" t="n">
        <x:v>9</x:v>
      </x:c>
      <x:c r="K426" s="95" t="n">
        <x:v>2</x:v>
      </x:c>
      <x:c r="L426" s="95" t="n">
        <x:v>1</x:v>
      </x:c>
      <x:c r="M426" s="96" t="n">
        <x:f>IFERROR(G426/F426,0)</x:f>
        <x:v>0.9736842105263158</x:v>
      </x:c>
      <x:c r="N426" s="96" t="n">
        <x:f>IFERROR(H426/G426,0)</x:f>
        <x:v>0.6756756756756757</x:v>
      </x:c>
      <x:c r="O426" s="96" t="n">
        <x:f>IFERROR(I426/H426,0)</x:f>
        <x:v>0.84</x:v>
      </x:c>
      <x:c r="P426" s="96" t="n">
        <x:f>IFERROR(J426/I426,0)</x:f>
        <x:v>0.42857142857142855</x:v>
      </x:c>
      <x:c r="Q426" s="96" t="n">
        <x:f>IFERROR(L426/J426,0)</x:f>
        <x:v>0.1111111111111111</x:v>
      </x:c>
      <x:c r="R426" s="96" t="n">
        <x:f>IFERROR(L426/F426,0)</x:f>
        <x:v>0.02631578947368421</x:v>
      </x:c>
      <x:c r="S426" s="95" t="n">
        <x:v>53</x:v>
      </x:c>
      <x:c r="T426" s="94" t="str">
        <x:v>末次点击7天</x:v>
      </x:c>
    </x:row>
    <x:row r="427">
      <x:c r="A427" s="92" t="str">
        <x:v>PROC-0426</x:v>
      </x:c>
      <x:c r="B427" s="93" t="n">
        <x:v>46099</x:v>
      </x:c>
      <x:c r="C427" s="94" t="str">
        <x:v>Google Ads</x:v>
      </x:c>
      <x:c r="D427" s="94" t="str">
        <x:v>美国</x:v>
      </x:c>
      <x:c r="E427" s="94" t="str">
        <x:v>品牌搜索</x:v>
      </x:c>
      <x:c r="F427" s="95" t="n">
        <x:v>55</x:v>
      </x:c>
      <x:c r="G427" s="95" t="n">
        <x:v>49</x:v>
      </x:c>
      <x:c r="H427" s="95" t="n">
        <x:v>32</x:v>
      </x:c>
      <x:c r="I427" s="95" t="n">
        <x:v>26</x:v>
      </x:c>
      <x:c r="J427" s="95" t="n">
        <x:v>14</x:v>
      </x:c>
      <x:c r="K427" s="95" t="n">
        <x:v>4</x:v>
      </x:c>
      <x:c r="L427" s="95" t="n">
        <x:v>1</x:v>
      </x:c>
      <x:c r="M427" s="96" t="n">
        <x:f>IFERROR(G427/F427,0)</x:f>
        <x:v>0.8909090909090909</x:v>
      </x:c>
      <x:c r="N427" s="96" t="n">
        <x:f>IFERROR(H427/G427,0)</x:f>
        <x:v>0.6530612244897959</x:v>
      </x:c>
      <x:c r="O427" s="96" t="n">
        <x:f>IFERROR(I427/H427,0)</x:f>
        <x:v>0.8125</x:v>
      </x:c>
      <x:c r="P427" s="96" t="n">
        <x:f>IFERROR(J427/I427,0)</x:f>
        <x:v>0.5384615384615384</x:v>
      </x:c>
      <x:c r="Q427" s="96" t="n">
        <x:f>IFERROR(L427/J427,0)</x:f>
        <x:v>0.07142857142857142</x:v>
      </x:c>
      <x:c r="R427" s="96" t="n">
        <x:f>IFERROR(L427/F427,0)</x:f>
        <x:v>0.01818181818181818</x:v>
      </x:c>
      <x:c r="S427" s="95" t="n">
        <x:v>71</x:v>
      </x:c>
      <x:c r="T427" s="94" t="str">
        <x:v>末次点击7天</x:v>
      </x:c>
    </x:row>
    <x:row r="428">
      <x:c r="A428" s="92" t="str">
        <x:v>PROC-0427</x:v>
      </x:c>
      <x:c r="B428" s="93" t="n">
        <x:v>46100</x:v>
      </x:c>
      <x:c r="C428" s="94" t="str">
        <x:v>Google Ads</x:v>
      </x:c>
      <x:c r="D428" s="94" t="str">
        <x:v>美国</x:v>
      </x:c>
      <x:c r="E428" s="94" t="str">
        <x:v>竞品搜索</x:v>
      </x:c>
      <x:c r="F428" s="95" t="n">
        <x:v>31</x:v>
      </x:c>
      <x:c r="G428" s="95" t="n">
        <x:v>27</x:v>
      </x:c>
      <x:c r="H428" s="95" t="n">
        <x:v>20</x:v>
      </x:c>
      <x:c r="I428" s="95" t="n">
        <x:v>16</x:v>
      </x:c>
      <x:c r="J428" s="95" t="n">
        <x:v>6</x:v>
      </x:c>
      <x:c r="K428" s="95" t="n">
        <x:v>2</x:v>
      </x:c>
      <x:c r="L428" s="95" t="n">
        <x:v>0</x:v>
      </x:c>
      <x:c r="M428" s="96" t="n">
        <x:f>IFERROR(G428/F428,0)</x:f>
        <x:v>0.8709677419354839</x:v>
      </x:c>
      <x:c r="N428" s="96" t="n">
        <x:f>IFERROR(H428/G428,0)</x:f>
        <x:v>0.7407407407407407</x:v>
      </x:c>
      <x:c r="O428" s="96" t="n">
        <x:f>IFERROR(I428/H428,0)</x:f>
        <x:v>0.8</x:v>
      </x:c>
      <x:c r="P428" s="96" t="n">
        <x:f>IFERROR(J428/I428,0)</x:f>
        <x:v>0.375</x:v>
      </x:c>
      <x:c r="Q428" s="96" t="n">
        <x:f>IFERROR(L428/J428,0)</x:f>
        <x:v>0</x:v>
      </x:c>
      <x:c r="R428" s="96" t="n">
        <x:f>IFERROR(L428/F428,0)</x:f>
        <x:v>0</x:v>
      </x:c>
      <x:c r="S428" s="95" t="n">
        <x:v>46</x:v>
      </x:c>
      <x:c r="T428" s="94" t="str">
        <x:v>末次点击7天</x:v>
      </x:c>
    </x:row>
    <x:row r="429">
      <x:c r="A429" s="92" t="str">
        <x:v>PROC-0428</x:v>
      </x:c>
      <x:c r="B429" s="93" t="n">
        <x:v>46100</x:v>
      </x:c>
      <x:c r="C429" s="94" t="str">
        <x:v>Google Ads</x:v>
      </x:c>
      <x:c r="D429" s="94" t="str">
        <x:v>美国</x:v>
      </x:c>
      <x:c r="E429" s="94" t="str">
        <x:v>品牌搜索</x:v>
      </x:c>
      <x:c r="F429" s="95" t="n">
        <x:v>52</x:v>
      </x:c>
      <x:c r="G429" s="95" t="n">
        <x:v>49</x:v>
      </x:c>
      <x:c r="H429" s="95" t="n">
        <x:v>37</x:v>
      </x:c>
      <x:c r="I429" s="95" t="n">
        <x:v>32</x:v>
      </x:c>
      <x:c r="J429" s="95" t="n">
        <x:v>15</x:v>
      </x:c>
      <x:c r="K429" s="95" t="n">
        <x:v>4</x:v>
      </x:c>
      <x:c r="L429" s="95" t="n">
        <x:v>2</x:v>
      </x:c>
      <x:c r="M429" s="96" t="n">
        <x:f>IFERROR(G429/F429,0)</x:f>
        <x:v>0.9423076923076923</x:v>
      </x:c>
      <x:c r="N429" s="96" t="n">
        <x:f>IFERROR(H429/G429,0)</x:f>
        <x:v>0.7551020408163265</x:v>
      </x:c>
      <x:c r="O429" s="96" t="n">
        <x:f>IFERROR(I429/H429,0)</x:f>
        <x:v>0.8648648648648649</x:v>
      </x:c>
      <x:c r="P429" s="96" t="n">
        <x:f>IFERROR(J429/I429,0)</x:f>
        <x:v>0.46875</x:v>
      </x:c>
      <x:c r="Q429" s="96" t="n">
        <x:f>IFERROR(L429/J429,0)</x:f>
        <x:v>0.13333333333333333</x:v>
      </x:c>
      <x:c r="R429" s="96" t="n">
        <x:f>IFERROR(L429/F429,0)</x:f>
        <x:v>0.038461538461538464</x:v>
      </x:c>
      <x:c r="S429" s="95" t="n">
        <x:v>61</x:v>
      </x:c>
      <x:c r="T429" s="94" t="str">
        <x:v>末次点击7天</x:v>
      </x:c>
    </x:row>
    <x:row r="430">
      <x:c r="A430" s="92" t="str">
        <x:v>PROC-0429</x:v>
      </x:c>
      <x:c r="B430" s="93" t="n">
        <x:v>46100</x:v>
      </x:c>
      <x:c r="C430" s="94" t="str">
        <x:v>Microsoft Ads</x:v>
      </x:c>
      <x:c r="D430" s="94" t="str">
        <x:v>美国</x:v>
      </x:c>
      <x:c r="E430" s="94" t="str">
        <x:v>竞品搜索</x:v>
      </x:c>
      <x:c r="F430" s="95" t="n">
        <x:v>32</x:v>
      </x:c>
      <x:c r="G430" s="95" t="n">
        <x:v>29</x:v>
      </x:c>
      <x:c r="H430" s="95" t="n">
        <x:v>22</x:v>
      </x:c>
      <x:c r="I430" s="95" t="n">
        <x:v>18</x:v>
      </x:c>
      <x:c r="J430" s="95" t="n">
        <x:v>7</x:v>
      </x:c>
      <x:c r="K430" s="95" t="n">
        <x:v>2</x:v>
      </x:c>
      <x:c r="L430" s="95" t="n">
        <x:v>1</x:v>
      </x:c>
      <x:c r="M430" s="96" t="n">
        <x:f>IFERROR(G430/F430,0)</x:f>
        <x:v>0.90625</x:v>
      </x:c>
      <x:c r="N430" s="96" t="n">
        <x:f>IFERROR(H430/G430,0)</x:f>
        <x:v>0.7586206896551724</x:v>
      </x:c>
      <x:c r="O430" s="96" t="n">
        <x:f>IFERROR(I430/H430,0)</x:f>
        <x:v>0.8181818181818182</x:v>
      </x:c>
      <x:c r="P430" s="96" t="n">
        <x:f>IFERROR(J430/I430,0)</x:f>
        <x:v>0.3888888888888889</x:v>
      </x:c>
      <x:c r="Q430" s="96" t="n">
        <x:f>IFERROR(L430/J430,0)</x:f>
        <x:v>0.14285714285714285</x:v>
      </x:c>
      <x:c r="R430" s="96" t="n">
        <x:f>IFERROR(L430/F430,0)</x:f>
        <x:v>0.03125</x:v>
      </x:c>
      <x:c r="S430" s="95" t="n">
        <x:v>128</x:v>
      </x:c>
      <x:c r="T430" s="94" t="str">
        <x:v>末次点击7天</x:v>
      </x:c>
    </x:row>
    <x:row r="431">
      <x:c r="A431" s="92" t="str">
        <x:v>PROC-0430</x:v>
      </x:c>
      <x:c r="B431" s="93" t="n">
        <x:v>46100</x:v>
      </x:c>
      <x:c r="C431" s="94" t="str">
        <x:v>Microsoft Ads</x:v>
      </x:c>
      <x:c r="D431" s="94" t="str">
        <x:v>美国</x:v>
      </x:c>
      <x:c r="E431" s="94" t="str">
        <x:v>品牌搜索</x:v>
      </x:c>
      <x:c r="F431" s="95" t="n">
        <x:v>60</x:v>
      </x:c>
      <x:c r="G431" s="95" t="n">
        <x:v>57</x:v>
      </x:c>
      <x:c r="H431" s="95" t="n">
        <x:v>41</x:v>
      </x:c>
      <x:c r="I431" s="95" t="n">
        <x:v>33</x:v>
      </x:c>
      <x:c r="J431" s="95" t="n">
        <x:v>15</x:v>
      </x:c>
      <x:c r="K431" s="95" t="n">
        <x:v>4</x:v>
      </x:c>
      <x:c r="L431" s="95" t="n">
        <x:v>2</x:v>
      </x:c>
      <x:c r="M431" s="96" t="n">
        <x:f>IFERROR(G431/F431,0)</x:f>
        <x:v>0.95</x:v>
      </x:c>
      <x:c r="N431" s="96" t="n">
        <x:f>IFERROR(H431/G431,0)</x:f>
        <x:v>0.7192982456140351</x:v>
      </x:c>
      <x:c r="O431" s="96" t="n">
        <x:f>IFERROR(I431/H431,0)</x:f>
        <x:v>0.8048780487804879</x:v>
      </x:c>
      <x:c r="P431" s="96" t="n">
        <x:f>IFERROR(J431/I431,0)</x:f>
        <x:v>0.45454545454545453</x:v>
      </x:c>
      <x:c r="Q431" s="96" t="n">
        <x:f>IFERROR(L431/J431,0)</x:f>
        <x:v>0.13333333333333333</x:v>
      </x:c>
      <x:c r="R431" s="96" t="n">
        <x:f>IFERROR(L431/F431,0)</x:f>
        <x:v>0.03333333333333333</x:v>
      </x:c>
      <x:c r="S431" s="95" t="n">
        <x:v>122</x:v>
      </x:c>
      <x:c r="T431" s="94" t="str">
        <x:v>末次点击7天</x:v>
      </x:c>
    </x:row>
    <x:row r="432">
      <x:c r="A432" s="92" t="str">
        <x:v>PROC-0431</x:v>
      </x:c>
      <x:c r="B432" s="93" t="n">
        <x:v>46100</x:v>
      </x:c>
      <x:c r="C432" s="94" t="str">
        <x:v>Google Ads</x:v>
      </x:c>
      <x:c r="D432" s="94" t="str">
        <x:v>德国</x:v>
      </x:c>
      <x:c r="E432" s="94" t="str">
        <x:v>通用搜索</x:v>
      </x:c>
      <x:c r="F432" s="95" t="n">
        <x:v>43</x:v>
      </x:c>
      <x:c r="G432" s="95" t="n">
        <x:v>39</x:v>
      </x:c>
      <x:c r="H432" s="95" t="n">
        <x:v>27</x:v>
      </x:c>
      <x:c r="I432" s="95" t="n">
        <x:v>23</x:v>
      </x:c>
      <x:c r="J432" s="95" t="n">
        <x:v>10</x:v>
      </x:c>
      <x:c r="K432" s="95" t="n">
        <x:v>3</x:v>
      </x:c>
      <x:c r="L432" s="95" t="n">
        <x:v>1</x:v>
      </x:c>
      <x:c r="M432" s="96" t="n">
        <x:f>IFERROR(G432/F432,0)</x:f>
        <x:v>0.9069767441860465</x:v>
      </x:c>
      <x:c r="N432" s="96" t="n">
        <x:f>IFERROR(H432/G432,0)</x:f>
        <x:v>0.6923076923076923</x:v>
      </x:c>
      <x:c r="O432" s="96" t="n">
        <x:f>IFERROR(I432/H432,0)</x:f>
        <x:v>0.8518518518518519</x:v>
      </x:c>
      <x:c r="P432" s="96" t="n">
        <x:f>IFERROR(J432/I432,0)</x:f>
        <x:v>0.43478260869565216</x:v>
      </x:c>
      <x:c r="Q432" s="96" t="n">
        <x:f>IFERROR(L432/J432,0)</x:f>
        <x:v>0.1</x:v>
      </x:c>
      <x:c r="R432" s="96" t="n">
        <x:f>IFERROR(L432/F432,0)</x:f>
        <x:v>0.023255813953488372</x:v>
      </x:c>
      <x:c r="S432" s="95" t="n">
        <x:v>146</x:v>
      </x:c>
      <x:c r="T432" s="94" t="str">
        <x:v>末次点击7天</x:v>
      </x:c>
    </x:row>
    <x:row r="433">
      <x:c r="A433" s="92" t="str">
        <x:v>PROC-0432</x:v>
      </x:c>
      <x:c r="B433" s="93" t="n">
        <x:v>46101</x:v>
      </x:c>
      <x:c r="C433" s="94" t="str">
        <x:v>Google Ads</x:v>
      </x:c>
      <x:c r="D433" s="94" t="str">
        <x:v>英国</x:v>
      </x:c>
      <x:c r="E433" s="94" t="str">
        <x:v>品牌搜索</x:v>
      </x:c>
      <x:c r="F433" s="95" t="n">
        <x:v>74</x:v>
      </x:c>
      <x:c r="G433" s="95" t="n">
        <x:v>67</x:v>
      </x:c>
      <x:c r="H433" s="95" t="n">
        <x:v>42</x:v>
      </x:c>
      <x:c r="I433" s="95" t="n">
        <x:v>35</x:v>
      </x:c>
      <x:c r="J433" s="95" t="n">
        <x:v>18</x:v>
      </x:c>
      <x:c r="K433" s="95" t="n">
        <x:v>5</x:v>
      </x:c>
      <x:c r="L433" s="95" t="n">
        <x:v>2</x:v>
      </x:c>
      <x:c r="M433" s="96" t="n">
        <x:f>IFERROR(G433/F433,0)</x:f>
        <x:v>0.9054054054054054</x:v>
      </x:c>
      <x:c r="N433" s="96" t="n">
        <x:f>IFERROR(H433/G433,0)</x:f>
        <x:v>0.6268656716417911</x:v>
      </x:c>
      <x:c r="O433" s="96" t="n">
        <x:f>IFERROR(I433/H433,0)</x:f>
        <x:v>0.8333333333333334</x:v>
      </x:c>
      <x:c r="P433" s="96" t="n">
        <x:f>IFERROR(J433/I433,0)</x:f>
        <x:v>0.5142857142857142</x:v>
      </x:c>
      <x:c r="Q433" s="96" t="n">
        <x:f>IFERROR(L433/J433,0)</x:f>
        <x:v>0.1111111111111111</x:v>
      </x:c>
      <x:c r="R433" s="96" t="n">
        <x:f>IFERROR(L433/F433,0)</x:f>
        <x:v>0.02702702702702703</x:v>
      </x:c>
      <x:c r="S433" s="95" t="n">
        <x:v>130</x:v>
      </x:c>
      <x:c r="T433" s="94" t="str">
        <x:v>末次点击7天</x:v>
      </x:c>
    </x:row>
    <x:row r="434">
      <x:c r="A434" s="92" t="str">
        <x:v>PROC-0433</x:v>
      </x:c>
      <x:c r="B434" s="93" t="n">
        <x:v>46101</x:v>
      </x:c>
      <x:c r="C434" s="94" t="str">
        <x:v>Microsoft Ads</x:v>
      </x:c>
      <x:c r="D434" s="94" t="str">
        <x:v>日本</x:v>
      </x:c>
      <x:c r="E434" s="94" t="str">
        <x:v>通用搜索</x:v>
      </x:c>
      <x:c r="F434" s="95" t="n">
        <x:v>40</x:v>
      </x:c>
      <x:c r="G434" s="95" t="n">
        <x:v>38</x:v>
      </x:c>
      <x:c r="H434" s="95" t="n">
        <x:v>28</x:v>
      </x:c>
      <x:c r="I434" s="95" t="n">
        <x:v>22</x:v>
      </x:c>
      <x:c r="J434" s="95" t="n">
        <x:v>9</x:v>
      </x:c>
      <x:c r="K434" s="95" t="n">
        <x:v>2</x:v>
      </x:c>
      <x:c r="L434" s="95" t="n">
        <x:v>1</x:v>
      </x:c>
      <x:c r="M434" s="96" t="n">
        <x:f>IFERROR(G434/F434,0)</x:f>
        <x:v>0.95</x:v>
      </x:c>
      <x:c r="N434" s="96" t="n">
        <x:f>IFERROR(H434/G434,0)</x:f>
        <x:v>0.7368421052631579</x:v>
      </x:c>
      <x:c r="O434" s="96" t="n">
        <x:f>IFERROR(I434/H434,0)</x:f>
        <x:v>0.7857142857142857</x:v>
      </x:c>
      <x:c r="P434" s="96" t="n">
        <x:f>IFERROR(J434/I434,0)</x:f>
        <x:v>0.4090909090909091</x:v>
      </x:c>
      <x:c r="Q434" s="96" t="n">
        <x:f>IFERROR(L434/J434,0)</x:f>
        <x:v>0.1111111111111111</x:v>
      </x:c>
      <x:c r="R434" s="96" t="n">
        <x:f>IFERROR(L434/F434,0)</x:f>
        <x:v>0.025</x:v>
      </x:c>
      <x:c r="S434" s="95" t="n">
        <x:v>73</x:v>
      </x:c>
      <x:c r="T434" s="94" t="str">
        <x:v>末次点击7天</x:v>
      </x:c>
    </x:row>
    <x:row r="435">
      <x:c r="A435" s="92" t="str">
        <x:v>PROC-0434</x:v>
      </x:c>
      <x:c r="B435" s="93" t="n">
        <x:v>46101</x:v>
      </x:c>
      <x:c r="C435" s="94" t="str">
        <x:v>Google Ads</x:v>
      </x:c>
      <x:c r="D435" s="94" t="str">
        <x:v>德国</x:v>
      </x:c>
      <x:c r="E435" s="94" t="str">
        <x:v>通用搜索</x:v>
      </x:c>
      <x:c r="F435" s="95" t="n">
        <x:v>47</x:v>
      </x:c>
      <x:c r="G435" s="95" t="n">
        <x:v>44</x:v>
      </x:c>
      <x:c r="H435" s="95" t="n">
        <x:v>30</x:v>
      </x:c>
      <x:c r="I435" s="95" t="n">
        <x:v>24</x:v>
      </x:c>
      <x:c r="J435" s="95" t="n">
        <x:v>10</x:v>
      </x:c>
      <x:c r="K435" s="95" t="n">
        <x:v>3</x:v>
      </x:c>
      <x:c r="L435" s="95" t="n">
        <x:v>1</x:v>
      </x:c>
      <x:c r="M435" s="96" t="n">
        <x:f>IFERROR(G435/F435,0)</x:f>
        <x:v>0.9361702127659575</x:v>
      </x:c>
      <x:c r="N435" s="96" t="n">
        <x:f>IFERROR(H435/G435,0)</x:f>
        <x:v>0.6818181818181818</x:v>
      </x:c>
      <x:c r="O435" s="96" t="n">
        <x:f>IFERROR(I435/H435,0)</x:f>
        <x:v>0.8</x:v>
      </x:c>
      <x:c r="P435" s="96" t="n">
        <x:f>IFERROR(J435/I435,0)</x:f>
        <x:v>0.4166666666666667</x:v>
      </x:c>
      <x:c r="Q435" s="96" t="n">
        <x:f>IFERROR(L435/J435,0)</x:f>
        <x:v>0.1</x:v>
      </x:c>
      <x:c r="R435" s="96" t="n">
        <x:f>IFERROR(L435/F435,0)</x:f>
        <x:v>0.02127659574468085</x:v>
      </x:c>
      <x:c r="S435" s="95" t="n">
        <x:v>69</x:v>
      </x:c>
      <x:c r="T435" s="94" t="str">
        <x:v>末次点击7天</x:v>
      </x:c>
    </x:row>
    <x:row r="436">
      <x:c r="A436" s="92" t="str">
        <x:v>PROC-0435</x:v>
      </x:c>
      <x:c r="B436" s="93" t="n">
        <x:v>46101</x:v>
      </x:c>
      <x:c r="C436" s="94" t="str">
        <x:v>Google Ads</x:v>
      </x:c>
      <x:c r="D436" s="94" t="str">
        <x:v>英国</x:v>
      </x:c>
      <x:c r="E436" s="94" t="str">
        <x:v>通用搜索</x:v>
      </x:c>
      <x:c r="F436" s="95" t="n">
        <x:v>26</x:v>
      </x:c>
      <x:c r="G436" s="95" t="n">
        <x:v>24</x:v>
      </x:c>
      <x:c r="H436" s="95" t="n">
        <x:v>17</x:v>
      </x:c>
      <x:c r="I436" s="95" t="n">
        <x:v>15</x:v>
      </x:c>
      <x:c r="J436" s="95" t="n">
        <x:v>6</x:v>
      </x:c>
      <x:c r="K436" s="95" t="n">
        <x:v>2</x:v>
      </x:c>
      <x:c r="L436" s="95" t="n">
        <x:v>0</x:v>
      </x:c>
      <x:c r="M436" s="96" t="n">
        <x:f>IFERROR(G436/F436,0)</x:f>
        <x:v>0.9230769230769231</x:v>
      </x:c>
      <x:c r="N436" s="96" t="n">
        <x:f>IFERROR(H436/G436,0)</x:f>
        <x:v>0.7083333333333334</x:v>
      </x:c>
      <x:c r="O436" s="96" t="n">
        <x:f>IFERROR(I436/H436,0)</x:f>
        <x:v>0.8823529411764706</x:v>
      </x:c>
      <x:c r="P436" s="96" t="n">
        <x:f>IFERROR(J436/I436,0)</x:f>
        <x:v>0.4</x:v>
      </x:c>
      <x:c r="Q436" s="96" t="n">
        <x:f>IFERROR(L436/J436,0)</x:f>
        <x:v>0</x:v>
      </x:c>
      <x:c r="R436" s="96" t="n">
        <x:f>IFERROR(L436/F436,0)</x:f>
        <x:v>0</x:v>
      </x:c>
      <x:c r="S436" s="95" t="n">
        <x:v>129</x:v>
      </x:c>
      <x:c r="T436" s="94" t="str">
        <x:v>末次点击7天</x:v>
      </x:c>
    </x:row>
    <x:row r="437">
      <x:c r="A437" s="92" t="str">
        <x:v>PROC-0436</x:v>
      </x:c>
      <x:c r="B437" s="93" t="n">
        <x:v>46101</x:v>
      </x:c>
      <x:c r="C437" s="94" t="str">
        <x:v>Microsoft Ads</x:v>
      </x:c>
      <x:c r="D437" s="94" t="str">
        <x:v>德国</x:v>
      </x:c>
      <x:c r="E437" s="94" t="str">
        <x:v>通用搜索</x:v>
      </x:c>
      <x:c r="F437" s="95" t="n">
        <x:v>48</x:v>
      </x:c>
      <x:c r="G437" s="95" t="n">
        <x:v>46</x:v>
      </x:c>
      <x:c r="H437" s="95" t="n">
        <x:v>33</x:v>
      </x:c>
      <x:c r="I437" s="95" t="n">
        <x:v>28</x:v>
      </x:c>
      <x:c r="J437" s="95" t="n">
        <x:v>11</x:v>
      </x:c>
      <x:c r="K437" s="95" t="n">
        <x:v>3</x:v>
      </x:c>
      <x:c r="L437" s="95" t="n">
        <x:v>1</x:v>
      </x:c>
      <x:c r="M437" s="96" t="n">
        <x:f>IFERROR(G437/F437,0)</x:f>
        <x:v>0.9583333333333334</x:v>
      </x:c>
      <x:c r="N437" s="96" t="n">
        <x:f>IFERROR(H437/G437,0)</x:f>
        <x:v>0.717391304347826</x:v>
      </x:c>
      <x:c r="O437" s="96" t="n">
        <x:f>IFERROR(I437/H437,0)</x:f>
        <x:v>0.8484848484848485</x:v>
      </x:c>
      <x:c r="P437" s="96" t="n">
        <x:f>IFERROR(J437/I437,0)</x:f>
        <x:v>0.39285714285714285</x:v>
      </x:c>
      <x:c r="Q437" s="96" t="n">
        <x:f>IFERROR(L437/J437,0)</x:f>
        <x:v>0.09090909090909091</x:v>
      </x:c>
      <x:c r="R437" s="96" t="n">
        <x:f>IFERROR(L437/F437,0)</x:f>
        <x:v>0.020833333333333332</x:v>
      </x:c>
      <x:c r="S437" s="95" t="n">
        <x:v>56</x:v>
      </x:c>
      <x:c r="T437" s="94" t="str">
        <x:v>末次点击7天</x:v>
      </x:c>
    </x:row>
    <x:row r="438">
      <x:c r="A438" s="92" t="str">
        <x:v>PROC-0437</x:v>
      </x:c>
      <x:c r="B438" s="93" t="n">
        <x:v>46101</x:v>
      </x:c>
      <x:c r="C438" s="94" t="str">
        <x:v>Google Ads</x:v>
      </x:c>
      <x:c r="D438" s="94" t="str">
        <x:v>日本</x:v>
      </x:c>
      <x:c r="E438" s="94" t="str">
        <x:v>购物广告</x:v>
      </x:c>
      <x:c r="F438" s="95" t="n">
        <x:v>40</x:v>
      </x:c>
      <x:c r="G438" s="95" t="n">
        <x:v>38</x:v>
      </x:c>
      <x:c r="H438" s="95" t="n">
        <x:v>26</x:v>
      </x:c>
      <x:c r="I438" s="95" t="n">
        <x:v>23</x:v>
      </x:c>
      <x:c r="J438" s="95" t="n">
        <x:v>10</x:v>
      </x:c>
      <x:c r="K438" s="95" t="n">
        <x:v>3</x:v>
      </x:c>
      <x:c r="L438" s="95" t="n">
        <x:v>1</x:v>
      </x:c>
      <x:c r="M438" s="96" t="n">
        <x:f>IFERROR(G438/F438,0)</x:f>
        <x:v>0.95</x:v>
      </x:c>
      <x:c r="N438" s="96" t="n">
        <x:f>IFERROR(H438/G438,0)</x:f>
        <x:v>0.6842105263157895</x:v>
      </x:c>
      <x:c r="O438" s="96" t="n">
        <x:f>IFERROR(I438/H438,0)</x:f>
        <x:v>0.8846153846153846</x:v>
      </x:c>
      <x:c r="P438" s="96" t="n">
        <x:f>IFERROR(J438/I438,0)</x:f>
        <x:v>0.43478260869565216</x:v>
      </x:c>
      <x:c r="Q438" s="96" t="n">
        <x:f>IFERROR(L438/J438,0)</x:f>
        <x:v>0.1</x:v>
      </x:c>
      <x:c r="R438" s="96" t="n">
        <x:f>IFERROR(L438/F438,0)</x:f>
        <x:v>0.025</x:v>
      </x:c>
      <x:c r="S438" s="95" t="n">
        <x:v>103</x:v>
      </x:c>
      <x:c r="T438" s="94" t="str">
        <x:v>末次点击7天</x:v>
      </x:c>
    </x:row>
    <x:row r="439">
      <x:c r="A439" s="92" t="str">
        <x:v>PROC-0438</x:v>
      </x:c>
      <x:c r="B439" s="93" t="n">
        <x:v>46102</x:v>
      </x:c>
      <x:c r="C439" s="94" t="str">
        <x:v>Google Ads</x:v>
      </x:c>
      <x:c r="D439" s="94" t="str">
        <x:v>日本</x:v>
      </x:c>
      <x:c r="E439" s="94" t="str">
        <x:v>品牌搜索</x:v>
      </x:c>
      <x:c r="F439" s="95" t="n">
        <x:v>38</x:v>
      </x:c>
      <x:c r="G439" s="95" t="n">
        <x:v>35</x:v>
      </x:c>
      <x:c r="H439" s="95" t="n">
        <x:v>27</x:v>
      </x:c>
      <x:c r="I439" s="95" t="n">
        <x:v>22</x:v>
      </x:c>
      <x:c r="J439" s="95" t="n">
        <x:v>9</x:v>
      </x:c>
      <x:c r="K439" s="95" t="n">
        <x:v>2</x:v>
      </x:c>
      <x:c r="L439" s="95" t="n">
        <x:v>1</x:v>
      </x:c>
      <x:c r="M439" s="96" t="n">
        <x:f>IFERROR(G439/F439,0)</x:f>
        <x:v>0.9210526315789473</x:v>
      </x:c>
      <x:c r="N439" s="96" t="n">
        <x:f>IFERROR(H439/G439,0)</x:f>
        <x:v>0.7714285714285715</x:v>
      </x:c>
      <x:c r="O439" s="96" t="n">
        <x:f>IFERROR(I439/H439,0)</x:f>
        <x:v>0.8148148148148148</x:v>
      </x:c>
      <x:c r="P439" s="96" t="n">
        <x:f>IFERROR(J439/I439,0)</x:f>
        <x:v>0.4090909090909091</x:v>
      </x:c>
      <x:c r="Q439" s="96" t="n">
        <x:f>IFERROR(L439/J439,0)</x:f>
        <x:v>0.1111111111111111</x:v>
      </x:c>
      <x:c r="R439" s="96" t="n">
        <x:f>IFERROR(L439/F439,0)</x:f>
        <x:v>0.02631578947368421</x:v>
      </x:c>
      <x:c r="S439" s="95" t="n">
        <x:v>107</x:v>
      </x:c>
      <x:c r="T439" s="94" t="str">
        <x:v>末次点击7天</x:v>
      </x:c>
    </x:row>
    <x:row r="440">
      <x:c r="A440" s="92" t="str">
        <x:v>PROC-0439</x:v>
      </x:c>
      <x:c r="B440" s="93" t="n">
        <x:v>46102</x:v>
      </x:c>
      <x:c r="C440" s="94" t="str">
        <x:v>Google Ads</x:v>
      </x:c>
      <x:c r="D440" s="94" t="str">
        <x:v>英国</x:v>
      </x:c>
      <x:c r="E440" s="94" t="str">
        <x:v>品牌搜索</x:v>
      </x:c>
      <x:c r="F440" s="95" t="n">
        <x:v>60</x:v>
      </x:c>
      <x:c r="G440" s="95" t="n">
        <x:v>55</x:v>
      </x:c>
      <x:c r="H440" s="95" t="n">
        <x:v>42</x:v>
      </x:c>
      <x:c r="I440" s="95" t="n">
        <x:v>36</x:v>
      </x:c>
      <x:c r="J440" s="95" t="n">
        <x:v>17</x:v>
      </x:c>
      <x:c r="K440" s="95" t="n">
        <x:v>5</x:v>
      </x:c>
      <x:c r="L440" s="95" t="n">
        <x:v>2</x:v>
      </x:c>
      <x:c r="M440" s="96" t="n">
        <x:f>IFERROR(G440/F440,0)</x:f>
        <x:v>0.9166666666666666</x:v>
      </x:c>
      <x:c r="N440" s="96" t="n">
        <x:f>IFERROR(H440/G440,0)</x:f>
        <x:v>0.7636363636363637</x:v>
      </x:c>
      <x:c r="O440" s="96" t="n">
        <x:f>IFERROR(I440/H440,0)</x:f>
        <x:v>0.8571428571428571</x:v>
      </x:c>
      <x:c r="P440" s="96" t="n">
        <x:f>IFERROR(J440/I440,0)</x:f>
        <x:v>0.4722222222222222</x:v>
      </x:c>
      <x:c r="Q440" s="96" t="n">
        <x:f>IFERROR(L440/J440,0)</x:f>
        <x:v>0.11764705882352941</x:v>
      </x:c>
      <x:c r="R440" s="96" t="n">
        <x:f>IFERROR(L440/F440,0)</x:f>
        <x:v>0.03333333333333333</x:v>
      </x:c>
      <x:c r="S440" s="95" t="n">
        <x:v>61</x:v>
      </x:c>
      <x:c r="T440" s="94" t="str">
        <x:v>末次点击7天</x:v>
      </x:c>
    </x:row>
    <x:row r="441">
      <x:c r="A441" s="92" t="str">
        <x:v>PROC-0440</x:v>
      </x:c>
      <x:c r="B441" s="93" t="n">
        <x:v>46102</x:v>
      </x:c>
      <x:c r="C441" s="94" t="str">
        <x:v>Google Ads</x:v>
      </x:c>
      <x:c r="D441" s="94" t="str">
        <x:v>美国</x:v>
      </x:c>
      <x:c r="E441" s="94" t="str">
        <x:v>品牌搜索</x:v>
      </x:c>
      <x:c r="F441" s="95" t="n">
        <x:v>61</x:v>
      </x:c>
      <x:c r="G441" s="95" t="n">
        <x:v>55</x:v>
      </x:c>
      <x:c r="H441" s="95" t="n">
        <x:v>39</x:v>
      </x:c>
      <x:c r="I441" s="95" t="n">
        <x:v>33</x:v>
      </x:c>
      <x:c r="J441" s="95" t="n">
        <x:v>15</x:v>
      </x:c>
      <x:c r="K441" s="95" t="n">
        <x:v>4</x:v>
      </x:c>
      <x:c r="L441" s="95" t="n">
        <x:v>1</x:v>
      </x:c>
      <x:c r="M441" s="96" t="n">
        <x:f>IFERROR(G441/F441,0)</x:f>
        <x:v>0.9016393442622951</x:v>
      </x:c>
      <x:c r="N441" s="96" t="n">
        <x:f>IFERROR(H441/G441,0)</x:f>
        <x:v>0.7090909090909091</x:v>
      </x:c>
      <x:c r="O441" s="96" t="n">
        <x:f>IFERROR(I441/H441,0)</x:f>
        <x:v>0.8461538461538461</x:v>
      </x:c>
      <x:c r="P441" s="96" t="n">
        <x:f>IFERROR(J441/I441,0)</x:f>
        <x:v>0.45454545454545453</x:v>
      </x:c>
      <x:c r="Q441" s="96" t="n">
        <x:f>IFERROR(L441/J441,0)</x:f>
        <x:v>0.06666666666666667</x:v>
      </x:c>
      <x:c r="R441" s="96" t="n">
        <x:f>IFERROR(L441/F441,0)</x:f>
        <x:v>0.01639344262295082</x:v>
      </x:c>
      <x:c r="S441" s="95" t="n">
        <x:v>114</x:v>
      </x:c>
      <x:c r="T441" s="94" t="str">
        <x:v>末次点击7天</x:v>
      </x:c>
    </x:row>
    <x:row r="442">
      <x:c r="A442" s="92" t="str">
        <x:v>PROC-0441</x:v>
      </x:c>
      <x:c r="B442" s="93" t="n">
        <x:v>46102</x:v>
      </x:c>
      <x:c r="C442" s="94" t="str">
        <x:v>Google Ads</x:v>
      </x:c>
      <x:c r="D442" s="94" t="str">
        <x:v>英国</x:v>
      </x:c>
      <x:c r="E442" s="94" t="str">
        <x:v>品牌搜索</x:v>
      </x:c>
      <x:c r="F442" s="95" t="n">
        <x:v>59</x:v>
      </x:c>
      <x:c r="G442" s="95" t="n">
        <x:v>54</x:v>
      </x:c>
      <x:c r="H442" s="95" t="n">
        <x:v>35</x:v>
      </x:c>
      <x:c r="I442" s="95" t="n">
        <x:v>29</x:v>
      </x:c>
      <x:c r="J442" s="95" t="n">
        <x:v>14</x:v>
      </x:c>
      <x:c r="K442" s="95" t="n">
        <x:v>4</x:v>
      </x:c>
      <x:c r="L442" s="95" t="n">
        <x:v>1</x:v>
      </x:c>
      <x:c r="M442" s="96" t="n">
        <x:f>IFERROR(G442/F442,0)</x:f>
        <x:v>0.9152542372881356</x:v>
      </x:c>
      <x:c r="N442" s="96" t="n">
        <x:f>IFERROR(H442/G442,0)</x:f>
        <x:v>0.6481481481481481</x:v>
      </x:c>
      <x:c r="O442" s="96" t="n">
        <x:f>IFERROR(I442/H442,0)</x:f>
        <x:v>0.8285714285714286</x:v>
      </x:c>
      <x:c r="P442" s="96" t="n">
        <x:f>IFERROR(J442/I442,0)</x:f>
        <x:v>0.4827586206896552</x:v>
      </x:c>
      <x:c r="Q442" s="96" t="n">
        <x:f>IFERROR(L442/J442,0)</x:f>
        <x:v>0.07142857142857142</x:v>
      </x:c>
      <x:c r="R442" s="96" t="n">
        <x:f>IFERROR(L442/F442,0)</x:f>
        <x:v>0.01694915254237288</x:v>
      </x:c>
      <x:c r="S442" s="95" t="n">
        <x:v>112</x:v>
      </x:c>
      <x:c r="T442" s="94" t="str">
        <x:v>末次点击7天</x:v>
      </x:c>
    </x:row>
    <x:row r="443">
      <x:c r="A443" s="92" t="str">
        <x:v>PROC-0442</x:v>
      </x:c>
      <x:c r="B443" s="93" t="n">
        <x:v>46102</x:v>
      </x:c>
      <x:c r="C443" s="94" t="str">
        <x:v>Google Ads</x:v>
      </x:c>
      <x:c r="D443" s="94" t="str">
        <x:v>英国</x:v>
      </x:c>
      <x:c r="E443" s="94" t="str">
        <x:v>品牌搜索</x:v>
      </x:c>
      <x:c r="F443" s="95" t="n">
        <x:v>79</x:v>
      </x:c>
      <x:c r="G443" s="95" t="n">
        <x:v>70</x:v>
      </x:c>
      <x:c r="H443" s="95" t="n">
        <x:v>49</x:v>
      </x:c>
      <x:c r="I443" s="95" t="n">
        <x:v>41</x:v>
      </x:c>
      <x:c r="J443" s="95" t="n">
        <x:v>21</x:v>
      </x:c>
      <x:c r="K443" s="95" t="n">
        <x:v>5</x:v>
      </x:c>
      <x:c r="L443" s="95" t="n">
        <x:v>2</x:v>
      </x:c>
      <x:c r="M443" s="96" t="n">
        <x:f>IFERROR(G443/F443,0)</x:f>
        <x:v>0.8860759493670886</x:v>
      </x:c>
      <x:c r="N443" s="96" t="n">
        <x:f>IFERROR(H443/G443,0)</x:f>
        <x:v>0.7</x:v>
      </x:c>
      <x:c r="O443" s="96" t="n">
        <x:f>IFERROR(I443/H443,0)</x:f>
        <x:v>0.8367346938775511</x:v>
      </x:c>
      <x:c r="P443" s="96" t="n">
        <x:f>IFERROR(J443/I443,0)</x:f>
        <x:v>0.5121951219512195</x:v>
      </x:c>
      <x:c r="Q443" s="96" t="n">
        <x:f>IFERROR(L443/J443,0)</x:f>
        <x:v>0.09523809523809523</x:v>
      </x:c>
      <x:c r="R443" s="96" t="n">
        <x:f>IFERROR(L443/F443,0)</x:f>
        <x:v>0.02531645569620253</x:v>
      </x:c>
      <x:c r="S443" s="95" t="n">
        <x:v>145</x:v>
      </x:c>
      <x:c r="T443" s="94" t="str">
        <x:v>末次点击7天</x:v>
      </x:c>
    </x:row>
    <x:row r="444">
      <x:c r="A444" s="92" t="str">
        <x:v>PROC-0443</x:v>
      </x:c>
      <x:c r="B444" s="93" t="n">
        <x:v>46103</x:v>
      </x:c>
      <x:c r="C444" s="94" t="str">
        <x:v>Google Ads</x:v>
      </x:c>
      <x:c r="D444" s="94" t="str">
        <x:v>英国</x:v>
      </x:c>
      <x:c r="E444" s="94" t="str">
        <x:v>竞品搜索</x:v>
      </x:c>
      <x:c r="F444" s="95" t="n">
        <x:v>32</x:v>
      </x:c>
      <x:c r="G444" s="95" t="n">
        <x:v>29</x:v>
      </x:c>
      <x:c r="H444" s="95" t="n">
        <x:v>18</x:v>
      </x:c>
      <x:c r="I444" s="95" t="n">
        <x:v>15</x:v>
      </x:c>
      <x:c r="J444" s="95" t="n">
        <x:v>6</x:v>
      </x:c>
      <x:c r="K444" s="95" t="n">
        <x:v>1</x:v>
      </x:c>
      <x:c r="L444" s="95" t="n">
        <x:v>0</x:v>
      </x:c>
      <x:c r="M444" s="96" t="n">
        <x:f>IFERROR(G444/F444,0)</x:f>
        <x:v>0.90625</x:v>
      </x:c>
      <x:c r="N444" s="96" t="n">
        <x:f>IFERROR(H444/G444,0)</x:f>
        <x:v>0.6206896551724138</x:v>
      </x:c>
      <x:c r="O444" s="96" t="n">
        <x:f>IFERROR(I444/H444,0)</x:f>
        <x:v>0.8333333333333334</x:v>
      </x:c>
      <x:c r="P444" s="96" t="n">
        <x:f>IFERROR(J444/I444,0)</x:f>
        <x:v>0.4</x:v>
      </x:c>
      <x:c r="Q444" s="96" t="n">
        <x:f>IFERROR(L444/J444,0)</x:f>
        <x:v>0</x:v>
      </x:c>
      <x:c r="R444" s="96" t="n">
        <x:f>IFERROR(L444/F444,0)</x:f>
        <x:v>0</x:v>
      </x:c>
      <x:c r="S444" s="95" t="n">
        <x:v>145</x:v>
      </x:c>
      <x:c r="T444" s="94" t="str">
        <x:v>末次点击7天</x:v>
      </x:c>
    </x:row>
    <x:row r="445">
      <x:c r="A445" s="92" t="str">
        <x:v>PROC-0444</x:v>
      </x:c>
      <x:c r="B445" s="93" t="n">
        <x:v>46103</x:v>
      </x:c>
      <x:c r="C445" s="94" t="str">
        <x:v>Google Ads</x:v>
      </x:c>
      <x:c r="D445" s="94" t="str">
        <x:v>日本</x:v>
      </x:c>
      <x:c r="E445" s="94" t="str">
        <x:v>购物广告</x:v>
      </x:c>
      <x:c r="F445" s="95" t="n">
        <x:v>45</x:v>
      </x:c>
      <x:c r="G445" s="95" t="n">
        <x:v>41</x:v>
      </x:c>
      <x:c r="H445" s="95" t="n">
        <x:v>31</x:v>
      </x:c>
      <x:c r="I445" s="95" t="n">
        <x:v>26</x:v>
      </x:c>
      <x:c r="J445" s="95" t="n">
        <x:v>13</x:v>
      </x:c>
      <x:c r="K445" s="95" t="n">
        <x:v>4</x:v>
      </x:c>
      <x:c r="L445" s="95" t="n">
        <x:v>1</x:v>
      </x:c>
      <x:c r="M445" s="96" t="n">
        <x:f>IFERROR(G445/F445,0)</x:f>
        <x:v>0.9111111111111111</x:v>
      </x:c>
      <x:c r="N445" s="96" t="n">
        <x:f>IFERROR(H445/G445,0)</x:f>
        <x:v>0.7560975609756098</x:v>
      </x:c>
      <x:c r="O445" s="96" t="n">
        <x:f>IFERROR(I445/H445,0)</x:f>
        <x:v>0.8387096774193549</x:v>
      </x:c>
      <x:c r="P445" s="96" t="n">
        <x:f>IFERROR(J445/I445,0)</x:f>
        <x:v>0.5</x:v>
      </x:c>
      <x:c r="Q445" s="96" t="n">
        <x:f>IFERROR(L445/J445,0)</x:f>
        <x:v>0.07692307692307693</x:v>
      </x:c>
      <x:c r="R445" s="96" t="n">
        <x:f>IFERROR(L445/F445,0)</x:f>
        <x:v>0.022222222222222223</x:v>
      </x:c>
      <x:c r="S445" s="95" t="n">
        <x:v>107</x:v>
      </x:c>
      <x:c r="T445" s="94" t="str">
        <x:v>末次点击7天</x:v>
      </x:c>
    </x:row>
    <x:row r="446">
      <x:c r="A446" s="92" t="str">
        <x:v>PROC-0445</x:v>
      </x:c>
      <x:c r="B446" s="93" t="n">
        <x:v>46103</x:v>
      </x:c>
      <x:c r="C446" s="94" t="str">
        <x:v>Google Ads</x:v>
      </x:c>
      <x:c r="D446" s="94" t="str">
        <x:v>英国</x:v>
      </x:c>
      <x:c r="E446" s="94" t="str">
        <x:v>购物广告</x:v>
      </x:c>
      <x:c r="F446" s="95" t="n">
        <x:v>42</x:v>
      </x:c>
      <x:c r="G446" s="95" t="n">
        <x:v>38</x:v>
      </x:c>
      <x:c r="H446" s="95" t="n">
        <x:v>24</x:v>
      </x:c>
      <x:c r="I446" s="95" t="n">
        <x:v>22</x:v>
      </x:c>
      <x:c r="J446" s="95" t="n">
        <x:v>10</x:v>
      </x:c>
      <x:c r="K446" s="95" t="n">
        <x:v>2</x:v>
      </x:c>
      <x:c r="L446" s="95" t="n">
        <x:v>1</x:v>
      </x:c>
      <x:c r="M446" s="96" t="n">
        <x:f>IFERROR(G446/F446,0)</x:f>
        <x:v>0.9047619047619048</x:v>
      </x:c>
      <x:c r="N446" s="96" t="n">
        <x:f>IFERROR(H446/G446,0)</x:f>
        <x:v>0.631578947368421</x:v>
      </x:c>
      <x:c r="O446" s="96" t="n">
        <x:f>IFERROR(I446/H446,0)</x:f>
        <x:v>0.9166666666666666</x:v>
      </x:c>
      <x:c r="P446" s="96" t="n">
        <x:f>IFERROR(J446/I446,0)</x:f>
        <x:v>0.45454545454545453</x:v>
      </x:c>
      <x:c r="Q446" s="96" t="n">
        <x:f>IFERROR(L446/J446,0)</x:f>
        <x:v>0.1</x:v>
      </x:c>
      <x:c r="R446" s="96" t="n">
        <x:f>IFERROR(L446/F446,0)</x:f>
        <x:v>0.023809523809523808</x:v>
      </x:c>
      <x:c r="S446" s="95" t="n">
        <x:v>76</x:v>
      </x:c>
      <x:c r="T446" s="94" t="str">
        <x:v>末次点击7天</x:v>
      </x:c>
    </x:row>
    <x:row r="447">
      <x:c r="A447" s="92" t="str">
        <x:v>PROC-0446</x:v>
      </x:c>
      <x:c r="B447" s="93" t="n">
        <x:v>46103</x:v>
      </x:c>
      <x:c r="C447" s="94" t="str">
        <x:v>Google Ads</x:v>
      </x:c>
      <x:c r="D447" s="94" t="str">
        <x:v>美国</x:v>
      </x:c>
      <x:c r="E447" s="94" t="str">
        <x:v>通用搜索</x:v>
      </x:c>
      <x:c r="F447" s="95" t="n">
        <x:v>34</x:v>
      </x:c>
      <x:c r="G447" s="95" t="n">
        <x:v>30</x:v>
      </x:c>
      <x:c r="H447" s="95" t="n">
        <x:v>21</x:v>
      </x:c>
      <x:c r="I447" s="95" t="n">
        <x:v>18</x:v>
      </x:c>
      <x:c r="J447" s="95" t="n">
        <x:v>7</x:v>
      </x:c>
      <x:c r="K447" s="95" t="n">
        <x:v>2</x:v>
      </x:c>
      <x:c r="L447" s="95" t="n">
        <x:v>1</x:v>
      </x:c>
      <x:c r="M447" s="96" t="n">
        <x:f>IFERROR(G447/F447,0)</x:f>
        <x:v>0.8823529411764706</x:v>
      </x:c>
      <x:c r="N447" s="96" t="n">
        <x:f>IFERROR(H447/G447,0)</x:f>
        <x:v>0.7</x:v>
      </x:c>
      <x:c r="O447" s="96" t="n">
        <x:f>IFERROR(I447/H447,0)</x:f>
        <x:v>0.8571428571428571</x:v>
      </x:c>
      <x:c r="P447" s="96" t="n">
        <x:f>IFERROR(J447/I447,0)</x:f>
        <x:v>0.3888888888888889</x:v>
      </x:c>
      <x:c r="Q447" s="96" t="n">
        <x:f>IFERROR(L447/J447,0)</x:f>
        <x:v>0.14285714285714285</x:v>
      </x:c>
      <x:c r="R447" s="96" t="n">
        <x:f>IFERROR(L447/F447,0)</x:f>
        <x:v>0.029411764705882353</x:v>
      </x:c>
      <x:c r="S447" s="95" t="n">
        <x:v>109</x:v>
      </x:c>
      <x:c r="T447" s="94" t="str">
        <x:v>末次点击7天</x:v>
      </x:c>
    </x:row>
    <x:row r="448">
      <x:c r="A448" s="92" t="str">
        <x:v>PROC-0447</x:v>
      </x:c>
      <x:c r="B448" s="93" t="n">
        <x:v>46103</x:v>
      </x:c>
      <x:c r="C448" s="94" t="str">
        <x:v>Google Ads</x:v>
      </x:c>
      <x:c r="D448" s="94" t="str">
        <x:v>美国</x:v>
      </x:c>
      <x:c r="E448" s="94" t="str">
        <x:v>竞品搜索</x:v>
      </x:c>
      <x:c r="F448" s="95" t="n">
        <x:v>39</x:v>
      </x:c>
      <x:c r="G448" s="95" t="n">
        <x:v>37</x:v>
      </x:c>
      <x:c r="H448" s="95" t="n">
        <x:v>27</x:v>
      </x:c>
      <x:c r="I448" s="95" t="n">
        <x:v>23</x:v>
      </x:c>
      <x:c r="J448" s="95" t="n">
        <x:v>9</x:v>
      </x:c>
      <x:c r="K448" s="95" t="n">
        <x:v>2</x:v>
      </x:c>
      <x:c r="L448" s="95" t="n">
        <x:v>1</x:v>
      </x:c>
      <x:c r="M448" s="96" t="n">
        <x:f>IFERROR(G448/F448,0)</x:f>
        <x:v>0.9487179487179487</x:v>
      </x:c>
      <x:c r="N448" s="96" t="n">
        <x:f>IFERROR(H448/G448,0)</x:f>
        <x:v>0.7297297297297297</x:v>
      </x:c>
      <x:c r="O448" s="96" t="n">
        <x:f>IFERROR(I448/H448,0)</x:f>
        <x:v>0.8518518518518519</x:v>
      </x:c>
      <x:c r="P448" s="96" t="n">
        <x:f>IFERROR(J448/I448,0)</x:f>
        <x:v>0.391304347826087</x:v>
      </x:c>
      <x:c r="Q448" s="96" t="n">
        <x:f>IFERROR(L448/J448,0)</x:f>
        <x:v>0.1111111111111111</x:v>
      </x:c>
      <x:c r="R448" s="96" t="n">
        <x:f>IFERROR(L448/F448,0)</x:f>
        <x:v>0.02564102564102564</x:v>
      </x:c>
      <x:c r="S448" s="95" t="n">
        <x:v>52</x:v>
      </x:c>
      <x:c r="T448" s="94" t="str">
        <x:v>末次点击7天</x:v>
      </x:c>
    </x:row>
    <x:row r="449">
      <x:c r="A449" s="92" t="str">
        <x:v>PROC-0448</x:v>
      </x:c>
      <x:c r="B449" s="93" t="n">
        <x:v>46103</x:v>
      </x:c>
      <x:c r="C449" s="94" t="str">
        <x:v>Microsoft Ads</x:v>
      </x:c>
      <x:c r="D449" s="94" t="str">
        <x:v>美国</x:v>
      </x:c>
      <x:c r="E449" s="94" t="str">
        <x:v>通用搜索</x:v>
      </x:c>
      <x:c r="F449" s="95" t="n">
        <x:v>51</x:v>
      </x:c>
      <x:c r="G449" s="95" t="n">
        <x:v>49</x:v>
      </x:c>
      <x:c r="H449" s="95" t="n">
        <x:v>33</x:v>
      </x:c>
      <x:c r="I449" s="95" t="n">
        <x:v>28</x:v>
      </x:c>
      <x:c r="J449" s="95" t="n">
        <x:v>11</x:v>
      </x:c>
      <x:c r="K449" s="95" t="n">
        <x:v>3</x:v>
      </x:c>
      <x:c r="L449" s="95" t="n">
        <x:v>1</x:v>
      </x:c>
      <x:c r="M449" s="96" t="n">
        <x:f>IFERROR(G449/F449,0)</x:f>
        <x:v>0.9607843137254902</x:v>
      </x:c>
      <x:c r="N449" s="96" t="n">
        <x:f>IFERROR(H449/G449,0)</x:f>
        <x:v>0.673469387755102</x:v>
      </x:c>
      <x:c r="O449" s="96" t="n">
        <x:f>IFERROR(I449/H449,0)</x:f>
        <x:v>0.8484848484848485</x:v>
      </x:c>
      <x:c r="P449" s="96" t="n">
        <x:f>IFERROR(J449/I449,0)</x:f>
        <x:v>0.39285714285714285</x:v>
      </x:c>
      <x:c r="Q449" s="96" t="n">
        <x:f>IFERROR(L449/J449,0)</x:f>
        <x:v>0.09090909090909091</x:v>
      </x:c>
      <x:c r="R449" s="96" t="n">
        <x:f>IFERROR(L449/F449,0)</x:f>
        <x:v>0.0196078431372549</x:v>
      </x:c>
      <x:c r="S449" s="95" t="n">
        <x:v>86</x:v>
      </x:c>
      <x:c r="T449" s="94" t="str">
        <x:v>末次点击7天</x:v>
      </x:c>
    </x:row>
    <x:row r="450">
      <x:c r="A450" s="92" t="str">
        <x:v>PROC-0449</x:v>
      </x:c>
      <x:c r="B450" s="93" t="n">
        <x:v>46104</x:v>
      </x:c>
      <x:c r="C450" s="94" t="str">
        <x:v>Microsoft Ads</x:v>
      </x:c>
      <x:c r="D450" s="94" t="str">
        <x:v>日本</x:v>
      </x:c>
      <x:c r="E450" s="94" t="str">
        <x:v>通用搜索</x:v>
      </x:c>
      <x:c r="F450" s="95" t="n">
        <x:v>35</x:v>
      </x:c>
      <x:c r="G450" s="95" t="n">
        <x:v>31</x:v>
      </x:c>
      <x:c r="H450" s="95" t="n">
        <x:v>19</x:v>
      </x:c>
      <x:c r="I450" s="95" t="n">
        <x:v>16</x:v>
      </x:c>
      <x:c r="J450" s="95" t="n">
        <x:v>7</x:v>
      </x:c>
      <x:c r="K450" s="95" t="n">
        <x:v>2</x:v>
      </x:c>
      <x:c r="L450" s="95" t="n">
        <x:v>1</x:v>
      </x:c>
      <x:c r="M450" s="96" t="n">
        <x:f>IFERROR(G450/F450,0)</x:f>
        <x:v>0.8857142857142857</x:v>
      </x:c>
      <x:c r="N450" s="96" t="n">
        <x:f>IFERROR(H450/G450,0)</x:f>
        <x:v>0.6129032258064516</x:v>
      </x:c>
      <x:c r="O450" s="96" t="n">
        <x:f>IFERROR(I450/H450,0)</x:f>
        <x:v>0.8421052631578947</x:v>
      </x:c>
      <x:c r="P450" s="96" t="n">
        <x:f>IFERROR(J450/I450,0)</x:f>
        <x:v>0.4375</x:v>
      </x:c>
      <x:c r="Q450" s="96" t="n">
        <x:f>IFERROR(L450/J450,0)</x:f>
        <x:v>0.14285714285714285</x:v>
      </x:c>
      <x:c r="R450" s="96" t="n">
        <x:f>IFERROR(L450/F450,0)</x:f>
        <x:v>0.02857142857142857</x:v>
      </x:c>
      <x:c r="S450" s="95" t="n">
        <x:v>43</x:v>
      </x:c>
      <x:c r="T450" s="94" t="str">
        <x:v>末次点击7天</x:v>
      </x:c>
    </x:row>
    <x:row r="451">
      <x:c r="A451" s="92" t="str">
        <x:v>PROC-0450</x:v>
      </x:c>
      <x:c r="B451" s="93" t="n">
        <x:v>46104</x:v>
      </x:c>
      <x:c r="C451" s="94" t="str">
        <x:v>Google Ads</x:v>
      </x:c>
      <x:c r="D451" s="94" t="str">
        <x:v>德国</x:v>
      </x:c>
      <x:c r="E451" s="94" t="str">
        <x:v>竞品搜索</x:v>
      </x:c>
      <x:c r="F451" s="95" t="n">
        <x:v>32</x:v>
      </x:c>
      <x:c r="G451" s="95" t="n">
        <x:v>29</x:v>
      </x:c>
      <x:c r="H451" s="95" t="n">
        <x:v>20</x:v>
      </x:c>
      <x:c r="I451" s="95" t="n">
        <x:v>17</x:v>
      </x:c>
      <x:c r="J451" s="95" t="n">
        <x:v>7</x:v>
      </x:c>
      <x:c r="K451" s="95" t="n">
        <x:v>1</x:v>
      </x:c>
      <x:c r="L451" s="95" t="n">
        <x:v>1</x:v>
      </x:c>
      <x:c r="M451" s="96" t="n">
        <x:f>IFERROR(G451/F451,0)</x:f>
        <x:v>0.90625</x:v>
      </x:c>
      <x:c r="N451" s="96" t="n">
        <x:f>IFERROR(H451/G451,0)</x:f>
        <x:v>0.6896551724137931</x:v>
      </x:c>
      <x:c r="O451" s="96" t="n">
        <x:f>IFERROR(I451/H451,0)</x:f>
        <x:v>0.85</x:v>
      </x:c>
      <x:c r="P451" s="96" t="n">
        <x:f>IFERROR(J451/I451,0)</x:f>
        <x:v>0.4117647058823529</x:v>
      </x:c>
      <x:c r="Q451" s="96" t="n">
        <x:f>IFERROR(L451/J451,0)</x:f>
        <x:v>0.14285714285714285</x:v>
      </x:c>
      <x:c r="R451" s="96" t="n">
        <x:f>IFERROR(L451/F451,0)</x:f>
        <x:v>0.03125</x:v>
      </x:c>
      <x:c r="S451" s="95" t="n">
        <x:v>69</x:v>
      </x:c>
      <x:c r="T451" s="94" t="str">
        <x:v>末次点击7天</x:v>
      </x:c>
    </x:row>
    <x:row r="452">
      <x:c r="A452" s="92" t="str">
        <x:v>PROC-0451</x:v>
      </x:c>
      <x:c r="B452" s="93" t="n">
        <x:v>46104</x:v>
      </x:c>
      <x:c r="C452" s="94" t="str">
        <x:v>Google Ads</x:v>
      </x:c>
      <x:c r="D452" s="94" t="str">
        <x:v>英国</x:v>
      </x:c>
      <x:c r="E452" s="94" t="str">
        <x:v>品牌搜索</x:v>
      </x:c>
      <x:c r="F452" s="95" t="n">
        <x:v>89</x:v>
      </x:c>
      <x:c r="G452" s="95" t="n">
        <x:v>85</x:v>
      </x:c>
      <x:c r="H452" s="95" t="n">
        <x:v>62</x:v>
      </x:c>
      <x:c r="I452" s="95" t="n">
        <x:v>52</x:v>
      </x:c>
      <x:c r="J452" s="95" t="n">
        <x:v>25</x:v>
      </x:c>
      <x:c r="K452" s="95" t="n">
        <x:v>6</x:v>
      </x:c>
      <x:c r="L452" s="95" t="n">
        <x:v>2</x:v>
      </x:c>
      <x:c r="M452" s="96" t="n">
        <x:f>IFERROR(G452/F452,0)</x:f>
        <x:v>0.9550561797752809</x:v>
      </x:c>
      <x:c r="N452" s="96" t="n">
        <x:f>IFERROR(H452/G452,0)</x:f>
        <x:v>0.7294117647058823</x:v>
      </x:c>
      <x:c r="O452" s="96" t="n">
        <x:f>IFERROR(I452/H452,0)</x:f>
        <x:v>0.8387096774193549</x:v>
      </x:c>
      <x:c r="P452" s="96" t="n">
        <x:f>IFERROR(J452/I452,0)</x:f>
        <x:v>0.4807692307692308</x:v>
      </x:c>
      <x:c r="Q452" s="96" t="n">
        <x:f>IFERROR(L452/J452,0)</x:f>
        <x:v>0.08</x:v>
      </x:c>
      <x:c r="R452" s="96" t="n">
        <x:f>IFERROR(L452/F452,0)</x:f>
        <x:v>0.02247191011235955</x:v>
      </x:c>
      <x:c r="S452" s="95" t="n">
        <x:v>84</x:v>
      </x:c>
      <x:c r="T452" s="94" t="str">
        <x:v>末次点击7天</x:v>
      </x:c>
    </x:row>
    <x:row r="453">
      <x:c r="A453" s="92" t="str">
        <x:v>PROC-0452</x:v>
      </x:c>
      <x:c r="B453" s="93" t="n">
        <x:v>46104</x:v>
      </x:c>
      <x:c r="C453" s="94" t="str">
        <x:v>Microsoft Ads</x:v>
      </x:c>
      <x:c r="D453" s="94" t="str">
        <x:v>美国</x:v>
      </x:c>
      <x:c r="E453" s="94" t="str">
        <x:v>品牌搜索</x:v>
      </x:c>
      <x:c r="F453" s="95" t="n">
        <x:v>33</x:v>
      </x:c>
      <x:c r="G453" s="95" t="n">
        <x:v>29</x:v>
      </x:c>
      <x:c r="H453" s="95" t="n">
        <x:v>19</x:v>
      </x:c>
      <x:c r="I453" s="95" t="n">
        <x:v>16</x:v>
      </x:c>
      <x:c r="J453" s="95" t="n">
        <x:v>7</x:v>
      </x:c>
      <x:c r="K453" s="95" t="n">
        <x:v>2</x:v>
      </x:c>
      <x:c r="L453" s="95" t="n">
        <x:v>1</x:v>
      </x:c>
      <x:c r="M453" s="96" t="n">
        <x:f>IFERROR(G453/F453,0)</x:f>
        <x:v>0.8787878787878788</x:v>
      </x:c>
      <x:c r="N453" s="96" t="n">
        <x:f>IFERROR(H453/G453,0)</x:f>
        <x:v>0.6551724137931034</x:v>
      </x:c>
      <x:c r="O453" s="96" t="n">
        <x:f>IFERROR(I453/H453,0)</x:f>
        <x:v>0.8421052631578947</x:v>
      </x:c>
      <x:c r="P453" s="96" t="n">
        <x:f>IFERROR(J453/I453,0)</x:f>
        <x:v>0.4375</x:v>
      </x:c>
      <x:c r="Q453" s="96" t="n">
        <x:f>IFERROR(L453/J453,0)</x:f>
        <x:v>0.14285714285714285</x:v>
      </x:c>
      <x:c r="R453" s="96" t="n">
        <x:f>IFERROR(L453/F453,0)</x:f>
        <x:v>0.030303030303030304</x:v>
      </x:c>
      <x:c r="S453" s="95" t="n">
        <x:v>72</x:v>
      </x:c>
      <x:c r="T453" s="94" t="str">
        <x:v>末次点击7天</x:v>
      </x:c>
    </x:row>
    <x:row r="454">
      <x:c r="A454" s="92" t="str">
        <x:v>PROC-0453</x:v>
      </x:c>
      <x:c r="B454" s="93" t="n">
        <x:v>46104</x:v>
      </x:c>
      <x:c r="C454" s="94" t="str">
        <x:v>Microsoft Ads</x:v>
      </x:c>
      <x:c r="D454" s="94" t="str">
        <x:v>美国</x:v>
      </x:c>
      <x:c r="E454" s="94" t="str">
        <x:v>品牌搜索</x:v>
      </x:c>
      <x:c r="F454" s="95" t="n">
        <x:v>98</x:v>
      </x:c>
      <x:c r="G454" s="95" t="n">
        <x:v>88</x:v>
      </x:c>
      <x:c r="H454" s="95" t="n">
        <x:v>59</x:v>
      </x:c>
      <x:c r="I454" s="95" t="n">
        <x:v>49</x:v>
      </x:c>
      <x:c r="J454" s="95" t="n">
        <x:v>22</x:v>
      </x:c>
      <x:c r="K454" s="95" t="n">
        <x:v>4</x:v>
      </x:c>
      <x:c r="L454" s="95" t="n">
        <x:v>2</x:v>
      </x:c>
      <x:c r="M454" s="96" t="n">
        <x:f>IFERROR(G454/F454,0)</x:f>
        <x:v>0.8979591836734694</x:v>
      </x:c>
      <x:c r="N454" s="96" t="n">
        <x:f>IFERROR(H454/G454,0)</x:f>
        <x:v>0.6704545454545454</x:v>
      </x:c>
      <x:c r="O454" s="96" t="n">
        <x:f>IFERROR(I454/H454,0)</x:f>
        <x:v>0.8305084745762712</x:v>
      </x:c>
      <x:c r="P454" s="96" t="n">
        <x:f>IFERROR(J454/I454,0)</x:f>
        <x:v>0.4489795918367347</x:v>
      </x:c>
      <x:c r="Q454" s="96" t="n">
        <x:f>IFERROR(L454/J454,0)</x:f>
        <x:v>0.09090909090909091</x:v>
      </x:c>
      <x:c r="R454" s="96" t="n">
        <x:f>IFERROR(L454/F454,0)</x:f>
        <x:v>0.02040816326530612</x:v>
      </x:c>
      <x:c r="S454" s="95" t="n">
        <x:v>75</x:v>
      </x:c>
      <x:c r="T454" s="94" t="str">
        <x:v>末次点击7天</x:v>
      </x:c>
    </x:row>
    <x:row r="455">
      <x:c r="A455" s="92" t="str">
        <x:v>PROC-0454</x:v>
      </x:c>
      <x:c r="B455" s="93" t="n">
        <x:v>46104</x:v>
      </x:c>
      <x:c r="C455" s="94" t="str">
        <x:v>Google Ads</x:v>
      </x:c>
      <x:c r="D455" s="94" t="str">
        <x:v>英国</x:v>
      </x:c>
      <x:c r="E455" s="94" t="str">
        <x:v>购物广告</x:v>
      </x:c>
      <x:c r="F455" s="95" t="n">
        <x:v>53</x:v>
      </x:c>
      <x:c r="G455" s="95" t="n">
        <x:v>49</x:v>
      </x:c>
      <x:c r="H455" s="95" t="n">
        <x:v>35</x:v>
      </x:c>
      <x:c r="I455" s="95" t="n">
        <x:v>32</x:v>
      </x:c>
      <x:c r="J455" s="95" t="n">
        <x:v>16</x:v>
      </x:c>
      <x:c r="K455" s="95" t="n">
        <x:v>5</x:v>
      </x:c>
      <x:c r="L455" s="95" t="n">
        <x:v>1</x:v>
      </x:c>
      <x:c r="M455" s="96" t="n">
        <x:f>IFERROR(G455/F455,0)</x:f>
        <x:v>0.9245283018867925</x:v>
      </x:c>
      <x:c r="N455" s="96" t="n">
        <x:f>IFERROR(H455/G455,0)</x:f>
        <x:v>0.7142857142857143</x:v>
      </x:c>
      <x:c r="O455" s="96" t="n">
        <x:f>IFERROR(I455/H455,0)</x:f>
        <x:v>0.9142857142857143</x:v>
      </x:c>
      <x:c r="P455" s="96" t="n">
        <x:f>IFERROR(J455/I455,0)</x:f>
        <x:v>0.5</x:v>
      </x:c>
      <x:c r="Q455" s="96" t="n">
        <x:f>IFERROR(L455/J455,0)</x:f>
        <x:v>0.0625</x:v>
      </x:c>
      <x:c r="R455" s="96" t="n">
        <x:f>IFERROR(L455/F455,0)</x:f>
        <x:v>0.018867924528301886</x:v>
      </x:c>
      <x:c r="S455" s="95" t="n">
        <x:v>113</x:v>
      </x:c>
      <x:c r="T455" s="94" t="str">
        <x:v>末次点击7天</x:v>
      </x:c>
    </x:row>
    <x:row r="456">
      <x:c r="A456" s="92" t="str">
        <x:v>PROC-0455</x:v>
      </x:c>
      <x:c r="B456" s="93" t="n">
        <x:v>46105</x:v>
      </x:c>
      <x:c r="C456" s="94" t="str">
        <x:v>Google Ads</x:v>
      </x:c>
      <x:c r="D456" s="94" t="str">
        <x:v>美国</x:v>
      </x:c>
      <x:c r="E456" s="94" t="str">
        <x:v>购物广告</x:v>
      </x:c>
      <x:c r="F456" s="95" t="n">
        <x:v>48</x:v>
      </x:c>
      <x:c r="G456" s="95" t="n">
        <x:v>45</x:v>
      </x:c>
      <x:c r="H456" s="95" t="n">
        <x:v>28</x:v>
      </x:c>
      <x:c r="I456" s="95" t="n">
        <x:v>25</x:v>
      </x:c>
      <x:c r="J456" s="95" t="n">
        <x:v>11</x:v>
      </x:c>
      <x:c r="K456" s="95" t="n">
        <x:v>3</x:v>
      </x:c>
      <x:c r="L456" s="95" t="n">
        <x:v>1</x:v>
      </x:c>
      <x:c r="M456" s="96" t="n">
        <x:f>IFERROR(G456/F456,0)</x:f>
        <x:v>0.9375</x:v>
      </x:c>
      <x:c r="N456" s="96" t="n">
        <x:f>IFERROR(H456/G456,0)</x:f>
        <x:v>0.6222222222222222</x:v>
      </x:c>
      <x:c r="O456" s="96" t="n">
        <x:f>IFERROR(I456/H456,0)</x:f>
        <x:v>0.8928571428571429</x:v>
      </x:c>
      <x:c r="P456" s="96" t="n">
        <x:f>IFERROR(J456/I456,0)</x:f>
        <x:v>0.44</x:v>
      </x:c>
      <x:c r="Q456" s="96" t="n">
        <x:f>IFERROR(L456/J456,0)</x:f>
        <x:v>0.09090909090909091</x:v>
      </x:c>
      <x:c r="R456" s="96" t="n">
        <x:f>IFERROR(L456/F456,0)</x:f>
        <x:v>0.020833333333333332</x:v>
      </x:c>
      <x:c r="S456" s="95" t="n">
        <x:v>138</x:v>
      </x:c>
      <x:c r="T456" s="94" t="str">
        <x:v>末次点击7天</x:v>
      </x:c>
    </x:row>
    <x:row r="457">
      <x:c r="A457" s="92" t="str">
        <x:v>PROC-0456</x:v>
      </x:c>
      <x:c r="B457" s="93" t="n">
        <x:v>46105</x:v>
      </x:c>
      <x:c r="C457" s="94" t="str">
        <x:v>Google Ads</x:v>
      </x:c>
      <x:c r="D457" s="94" t="str">
        <x:v>美国</x:v>
      </x:c>
      <x:c r="E457" s="94" t="str">
        <x:v>购物广告</x:v>
      </x:c>
      <x:c r="F457" s="95" t="n">
        <x:v>38</x:v>
      </x:c>
      <x:c r="G457" s="95" t="n">
        <x:v>35</x:v>
      </x:c>
      <x:c r="H457" s="95" t="n">
        <x:v>25</x:v>
      </x:c>
      <x:c r="I457" s="95" t="n">
        <x:v>23</x:v>
      </x:c>
      <x:c r="J457" s="95" t="n">
        <x:v>11</x:v>
      </x:c>
      <x:c r="K457" s="95" t="n">
        <x:v>3</x:v>
      </x:c>
      <x:c r="L457" s="95" t="n">
        <x:v>1</x:v>
      </x:c>
      <x:c r="M457" s="96" t="n">
        <x:f>IFERROR(G457/F457,0)</x:f>
        <x:v>0.9210526315789473</x:v>
      </x:c>
      <x:c r="N457" s="96" t="n">
        <x:f>IFERROR(H457/G457,0)</x:f>
        <x:v>0.7142857142857143</x:v>
      </x:c>
      <x:c r="O457" s="96" t="n">
        <x:f>IFERROR(I457/H457,0)</x:f>
        <x:v>0.92</x:v>
      </x:c>
      <x:c r="P457" s="96" t="n">
        <x:f>IFERROR(J457/I457,0)</x:f>
        <x:v>0.4782608695652174</x:v>
      </x:c>
      <x:c r="Q457" s="96" t="n">
        <x:f>IFERROR(L457/J457,0)</x:f>
        <x:v>0.09090909090909091</x:v>
      </x:c>
      <x:c r="R457" s="96" t="n">
        <x:f>IFERROR(L457/F457,0)</x:f>
        <x:v>0.02631578947368421</x:v>
      </x:c>
      <x:c r="S457" s="95" t="n">
        <x:v>95</x:v>
      </x:c>
      <x:c r="T457" s="94" t="str">
        <x:v>末次点击7天</x:v>
      </x:c>
    </x:row>
    <x:row r="458">
      <x:c r="A458" s="92" t="str">
        <x:v>PROC-0457</x:v>
      </x:c>
      <x:c r="B458" s="93" t="n">
        <x:v>46105</x:v>
      </x:c>
      <x:c r="C458" s="94" t="str">
        <x:v>Microsoft Ads</x:v>
      </x:c>
      <x:c r="D458" s="94" t="str">
        <x:v>英国</x:v>
      </x:c>
      <x:c r="E458" s="94" t="str">
        <x:v>通用搜索</x:v>
      </x:c>
      <x:c r="F458" s="95" t="n">
        <x:v>49</x:v>
      </x:c>
      <x:c r="G458" s="95" t="n">
        <x:v>43</x:v>
      </x:c>
      <x:c r="H458" s="95" t="n">
        <x:v>31</x:v>
      </x:c>
      <x:c r="I458" s="95" t="n">
        <x:v>27</x:v>
      </x:c>
      <x:c r="J458" s="95" t="n">
        <x:v>12</x:v>
      </x:c>
      <x:c r="K458" s="95" t="n">
        <x:v>3</x:v>
      </x:c>
      <x:c r="L458" s="95" t="n">
        <x:v>1</x:v>
      </x:c>
      <x:c r="M458" s="96" t="n">
        <x:f>IFERROR(G458/F458,0)</x:f>
        <x:v>0.8775510204081632</x:v>
      </x:c>
      <x:c r="N458" s="96" t="n">
        <x:f>IFERROR(H458/G458,0)</x:f>
        <x:v>0.7209302325581395</x:v>
      </x:c>
      <x:c r="O458" s="96" t="n">
        <x:f>IFERROR(I458/H458,0)</x:f>
        <x:v>0.8709677419354839</x:v>
      </x:c>
      <x:c r="P458" s="96" t="n">
        <x:f>IFERROR(J458/I458,0)</x:f>
        <x:v>0.4444444444444444</x:v>
      </x:c>
      <x:c r="Q458" s="96" t="n">
        <x:f>IFERROR(L458/J458,0)</x:f>
        <x:v>0.08333333333333333</x:v>
      </x:c>
      <x:c r="R458" s="96" t="n">
        <x:f>IFERROR(L458/F458,0)</x:f>
        <x:v>0.02040816326530612</x:v>
      </x:c>
      <x:c r="S458" s="95" t="n">
        <x:v>88</x:v>
      </x:c>
      <x:c r="T458" s="94" t="str">
        <x:v>末次点击7天</x:v>
      </x:c>
    </x:row>
    <x:row r="459">
      <x:c r="A459" s="92" t="str">
        <x:v>PROC-0458</x:v>
      </x:c>
      <x:c r="B459" s="93" t="n">
        <x:v>46105</x:v>
      </x:c>
      <x:c r="C459" s="94" t="str">
        <x:v>Google Ads</x:v>
      </x:c>
      <x:c r="D459" s="94" t="str">
        <x:v>美国</x:v>
      </x:c>
      <x:c r="E459" s="94" t="str">
        <x:v>购物广告</x:v>
      </x:c>
      <x:c r="F459" s="95" t="n">
        <x:v>41</x:v>
      </x:c>
      <x:c r="G459" s="95" t="n">
        <x:v>36</x:v>
      </x:c>
      <x:c r="H459" s="95" t="n">
        <x:v>25</x:v>
      </x:c>
      <x:c r="I459" s="95" t="n">
        <x:v>23</x:v>
      </x:c>
      <x:c r="J459" s="95" t="n">
        <x:v>10</x:v>
      </x:c>
      <x:c r="K459" s="95" t="n">
        <x:v>3</x:v>
      </x:c>
      <x:c r="L459" s="95" t="n">
        <x:v>1</x:v>
      </x:c>
      <x:c r="M459" s="96" t="n">
        <x:f>IFERROR(G459/F459,0)</x:f>
        <x:v>0.8780487804878049</x:v>
      </x:c>
      <x:c r="N459" s="96" t="n">
        <x:f>IFERROR(H459/G459,0)</x:f>
        <x:v>0.6944444444444444</x:v>
      </x:c>
      <x:c r="O459" s="96" t="n">
        <x:f>IFERROR(I459/H459,0)</x:f>
        <x:v>0.92</x:v>
      </x:c>
      <x:c r="P459" s="96" t="n">
        <x:f>IFERROR(J459/I459,0)</x:f>
        <x:v>0.43478260869565216</x:v>
      </x:c>
      <x:c r="Q459" s="96" t="n">
        <x:f>IFERROR(L459/J459,0)</x:f>
        <x:v>0.1</x:v>
      </x:c>
      <x:c r="R459" s="96" t="n">
        <x:f>IFERROR(L459/F459,0)</x:f>
        <x:v>0.024390243902439025</x:v>
      </x:c>
      <x:c r="S459" s="95" t="n">
        <x:v>117</x:v>
      </x:c>
      <x:c r="T459" s="94" t="str">
        <x:v>末次点击7天</x:v>
      </x:c>
    </x:row>
    <x:row r="460">
      <x:c r="A460" s="92" t="str">
        <x:v>PROC-0459</x:v>
      </x:c>
      <x:c r="B460" s="93" t="n">
        <x:v>46105</x:v>
      </x:c>
      <x:c r="C460" s="94" t="str">
        <x:v>Google Ads</x:v>
      </x:c>
      <x:c r="D460" s="94" t="str">
        <x:v>英国</x:v>
      </x:c>
      <x:c r="E460" s="94" t="str">
        <x:v>品牌搜索</x:v>
      </x:c>
      <x:c r="F460" s="95" t="n">
        <x:v>57</x:v>
      </x:c>
      <x:c r="G460" s="95" t="n">
        <x:v>51</x:v>
      </x:c>
      <x:c r="H460" s="95" t="n">
        <x:v>33</x:v>
      </x:c>
      <x:c r="I460" s="95" t="n">
        <x:v>27</x:v>
      </x:c>
      <x:c r="J460" s="95" t="n">
        <x:v>14</x:v>
      </x:c>
      <x:c r="K460" s="95" t="n">
        <x:v>4</x:v>
      </x:c>
      <x:c r="L460" s="95" t="n">
        <x:v>1</x:v>
      </x:c>
      <x:c r="M460" s="96" t="n">
        <x:f>IFERROR(G460/F460,0)</x:f>
        <x:v>0.8947368421052632</x:v>
      </x:c>
      <x:c r="N460" s="96" t="n">
        <x:f>IFERROR(H460/G460,0)</x:f>
        <x:v>0.6470588235294118</x:v>
      </x:c>
      <x:c r="O460" s="96" t="n">
        <x:f>IFERROR(I460/H460,0)</x:f>
        <x:v>0.8181818181818182</x:v>
      </x:c>
      <x:c r="P460" s="96" t="n">
        <x:f>IFERROR(J460/I460,0)</x:f>
        <x:v>0.5185185185185185</x:v>
      </x:c>
      <x:c r="Q460" s="96" t="n">
        <x:f>IFERROR(L460/J460,0)</x:f>
        <x:v>0.07142857142857142</x:v>
      </x:c>
      <x:c r="R460" s="96" t="n">
        <x:f>IFERROR(L460/F460,0)</x:f>
        <x:v>0.017543859649122806</x:v>
      </x:c>
      <x:c r="S460" s="95" t="n">
        <x:v>106</x:v>
      </x:c>
      <x:c r="T460" s="94" t="str">
        <x:v>末次点击7天</x:v>
      </x:c>
    </x:row>
    <x:row r="461">
      <x:c r="A461" s="92" t="str">
        <x:v>PROC-0460</x:v>
      </x:c>
      <x:c r="B461" s="93" t="n">
        <x:v>46106</x:v>
      </x:c>
      <x:c r="C461" s="94" t="str">
        <x:v>Google Ads</x:v>
      </x:c>
      <x:c r="D461" s="94" t="str">
        <x:v>英国</x:v>
      </x:c>
      <x:c r="E461" s="94" t="str">
        <x:v>通用搜索</x:v>
      </x:c>
      <x:c r="F461" s="95" t="n">
        <x:v>27</x:v>
      </x:c>
      <x:c r="G461" s="95" t="n">
        <x:v>26</x:v>
      </x:c>
      <x:c r="H461" s="95" t="n">
        <x:v>17</x:v>
      </x:c>
      <x:c r="I461" s="95" t="n">
        <x:v>14</x:v>
      </x:c>
      <x:c r="J461" s="95" t="n">
        <x:v>6</x:v>
      </x:c>
      <x:c r="K461" s="95" t="n">
        <x:v>1</x:v>
      </x:c>
      <x:c r="L461" s="95" t="n">
        <x:v>1</x:v>
      </x:c>
      <x:c r="M461" s="96" t="n">
        <x:f>IFERROR(G461/F461,0)</x:f>
        <x:v>0.9629629629629629</x:v>
      </x:c>
      <x:c r="N461" s="96" t="n">
        <x:f>IFERROR(H461/G461,0)</x:f>
        <x:v>0.6538461538461539</x:v>
      </x:c>
      <x:c r="O461" s="96" t="n">
        <x:f>IFERROR(I461/H461,0)</x:f>
        <x:v>0.8235294117647058</x:v>
      </x:c>
      <x:c r="P461" s="96" t="n">
        <x:f>IFERROR(J461/I461,0)</x:f>
        <x:v>0.42857142857142855</x:v>
      </x:c>
      <x:c r="Q461" s="96" t="n">
        <x:f>IFERROR(L461/J461,0)</x:f>
        <x:v>0.16666666666666666</x:v>
      </x:c>
      <x:c r="R461" s="96" t="n">
        <x:f>IFERROR(L461/F461,0)</x:f>
        <x:v>0.037037037037037035</x:v>
      </x:c>
      <x:c r="S461" s="95" t="n">
        <x:v>78</x:v>
      </x:c>
      <x:c r="T461" s="94" t="str">
        <x:v>末次点击7天</x:v>
      </x:c>
    </x:row>
    <x:row r="462">
      <x:c r="A462" s="92" t="str">
        <x:v>PROC-0461</x:v>
      </x:c>
      <x:c r="B462" s="93" t="n">
        <x:v>46106</x:v>
      </x:c>
      <x:c r="C462" s="94" t="str">
        <x:v>Google Ads</x:v>
      </x:c>
      <x:c r="D462" s="94" t="str">
        <x:v>美国</x:v>
      </x:c>
      <x:c r="E462" s="94" t="str">
        <x:v>竞品搜索</x:v>
      </x:c>
      <x:c r="F462" s="95" t="n">
        <x:v>29</x:v>
      </x:c>
      <x:c r="G462" s="95" t="n">
        <x:v>25</x:v>
      </x:c>
      <x:c r="H462" s="95" t="n">
        <x:v>17</x:v>
      </x:c>
      <x:c r="I462" s="95" t="n">
        <x:v>14</x:v>
      </x:c>
      <x:c r="J462" s="95" t="n">
        <x:v>6</x:v>
      </x:c>
      <x:c r="K462" s="95" t="n">
        <x:v>2</x:v>
      </x:c>
      <x:c r="L462" s="95" t="n">
        <x:v>1</x:v>
      </x:c>
      <x:c r="M462" s="96" t="n">
        <x:f>IFERROR(G462/F462,0)</x:f>
        <x:v>0.8620689655172413</x:v>
      </x:c>
      <x:c r="N462" s="96" t="n">
        <x:f>IFERROR(H462/G462,0)</x:f>
        <x:v>0.68</x:v>
      </x:c>
      <x:c r="O462" s="96" t="n">
        <x:f>IFERROR(I462/H462,0)</x:f>
        <x:v>0.8235294117647058</x:v>
      </x:c>
      <x:c r="P462" s="96" t="n">
        <x:f>IFERROR(J462/I462,0)</x:f>
        <x:v>0.42857142857142855</x:v>
      </x:c>
      <x:c r="Q462" s="96" t="n">
        <x:f>IFERROR(L462/J462,0)</x:f>
        <x:v>0.16666666666666666</x:v>
      </x:c>
      <x:c r="R462" s="96" t="n">
        <x:f>IFERROR(L462/F462,0)</x:f>
        <x:v>0.034482758620689655</x:v>
      </x:c>
      <x:c r="S462" s="95" t="n">
        <x:v>51</x:v>
      </x:c>
      <x:c r="T462" s="94" t="str">
        <x:v>末次点击7天</x:v>
      </x:c>
    </x:row>
    <x:row r="463">
      <x:c r="A463" s="92" t="str">
        <x:v>PROC-0462</x:v>
      </x:c>
      <x:c r="B463" s="93" t="n">
        <x:v>46106</x:v>
      </x:c>
      <x:c r="C463" s="94" t="str">
        <x:v>Google Ads</x:v>
      </x:c>
      <x:c r="D463" s="94" t="str">
        <x:v>日本</x:v>
      </x:c>
      <x:c r="E463" s="94" t="str">
        <x:v>品牌搜索</x:v>
      </x:c>
      <x:c r="F463" s="95" t="n">
        <x:v>46</x:v>
      </x:c>
      <x:c r="G463" s="95" t="n">
        <x:v>41</x:v>
      </x:c>
      <x:c r="H463" s="95" t="n">
        <x:v>27</x:v>
      </x:c>
      <x:c r="I463" s="95" t="n">
        <x:v>22</x:v>
      </x:c>
      <x:c r="J463" s="95" t="n">
        <x:v>12</x:v>
      </x:c>
      <x:c r="K463" s="95" t="n">
        <x:v>4</x:v>
      </x:c>
      <x:c r="L463" s="95" t="n">
        <x:v>1</x:v>
      </x:c>
      <x:c r="M463" s="96" t="n">
        <x:f>IFERROR(G463/F463,0)</x:f>
        <x:v>0.8913043478260869</x:v>
      </x:c>
      <x:c r="N463" s="96" t="n">
        <x:f>IFERROR(H463/G463,0)</x:f>
        <x:v>0.6585365853658537</x:v>
      </x:c>
      <x:c r="O463" s="96" t="n">
        <x:f>IFERROR(I463/H463,0)</x:f>
        <x:v>0.8148148148148148</x:v>
      </x:c>
      <x:c r="P463" s="96" t="n">
        <x:f>IFERROR(J463/I463,0)</x:f>
        <x:v>0.5454545454545454</x:v>
      </x:c>
      <x:c r="Q463" s="96" t="n">
        <x:f>IFERROR(L463/J463,0)</x:f>
        <x:v>0.08333333333333333</x:v>
      </x:c>
      <x:c r="R463" s="96" t="n">
        <x:f>IFERROR(L463/F463,0)</x:f>
        <x:v>0.021739130434782608</x:v>
      </x:c>
      <x:c r="S463" s="95" t="n">
        <x:v>76</x:v>
      </x:c>
      <x:c r="T463" s="94" t="str">
        <x:v>末次点击7天</x:v>
      </x:c>
    </x:row>
    <x:row r="464">
      <x:c r="A464" s="92" t="str">
        <x:v>PROC-0463</x:v>
      </x:c>
      <x:c r="B464" s="93" t="n">
        <x:v>46106</x:v>
      </x:c>
      <x:c r="C464" s="94" t="str">
        <x:v>Microsoft Ads</x:v>
      </x:c>
      <x:c r="D464" s="94" t="str">
        <x:v>美国</x:v>
      </x:c>
      <x:c r="E464" s="94" t="str">
        <x:v>通用搜索</x:v>
      </x:c>
      <x:c r="F464" s="95" t="n">
        <x:v>47</x:v>
      </x:c>
      <x:c r="G464" s="95" t="n">
        <x:v>44</x:v>
      </x:c>
      <x:c r="H464" s="95" t="n">
        <x:v>28</x:v>
      </x:c>
      <x:c r="I464" s="95" t="n">
        <x:v>24</x:v>
      </x:c>
      <x:c r="J464" s="95" t="n">
        <x:v>11</x:v>
      </x:c>
      <x:c r="K464" s="95" t="n">
        <x:v>4</x:v>
      </x:c>
      <x:c r="L464" s="95" t="n">
        <x:v>1</x:v>
      </x:c>
      <x:c r="M464" s="96" t="n">
        <x:f>IFERROR(G464/F464,0)</x:f>
        <x:v>0.9361702127659575</x:v>
      </x:c>
      <x:c r="N464" s="96" t="n">
        <x:f>IFERROR(H464/G464,0)</x:f>
        <x:v>0.6363636363636364</x:v>
      </x:c>
      <x:c r="O464" s="96" t="n">
        <x:f>IFERROR(I464/H464,0)</x:f>
        <x:v>0.8571428571428571</x:v>
      </x:c>
      <x:c r="P464" s="96" t="n">
        <x:f>IFERROR(J464/I464,0)</x:f>
        <x:v>0.4583333333333333</x:v>
      </x:c>
      <x:c r="Q464" s="96" t="n">
        <x:f>IFERROR(L464/J464,0)</x:f>
        <x:v>0.09090909090909091</x:v>
      </x:c>
      <x:c r="R464" s="96" t="n">
        <x:f>IFERROR(L464/F464,0)</x:f>
        <x:v>0.02127659574468085</x:v>
      </x:c>
      <x:c r="S464" s="95" t="n">
        <x:v>124</x:v>
      </x:c>
      <x:c r="T464" s="94" t="str">
        <x:v>末次点击7天</x:v>
      </x:c>
    </x:row>
    <x:row r="465">
      <x:c r="A465" s="92" t="str">
        <x:v>PROC-0464</x:v>
      </x:c>
      <x:c r="B465" s="93" t="n">
        <x:v>46106</x:v>
      </x:c>
      <x:c r="C465" s="94" t="str">
        <x:v>Google Ads</x:v>
      </x:c>
      <x:c r="D465" s="94" t="str">
        <x:v>美国</x:v>
      </x:c>
      <x:c r="E465" s="94" t="str">
        <x:v>购物广告</x:v>
      </x:c>
      <x:c r="F465" s="95" t="n">
        <x:v>43</x:v>
      </x:c>
      <x:c r="G465" s="95" t="n">
        <x:v>40</x:v>
      </x:c>
      <x:c r="H465" s="95" t="n">
        <x:v>27</x:v>
      </x:c>
      <x:c r="I465" s="95" t="n">
        <x:v>25</x:v>
      </x:c>
      <x:c r="J465" s="95" t="n">
        <x:v>12</x:v>
      </x:c>
      <x:c r="K465" s="95" t="n">
        <x:v>4</x:v>
      </x:c>
      <x:c r="L465" s="95" t="n">
        <x:v>1</x:v>
      </x:c>
      <x:c r="M465" s="96" t="n">
        <x:f>IFERROR(G465/F465,0)</x:f>
        <x:v>0.9302325581395349</x:v>
      </x:c>
      <x:c r="N465" s="96" t="n">
        <x:f>IFERROR(H465/G465,0)</x:f>
        <x:v>0.675</x:v>
      </x:c>
      <x:c r="O465" s="96" t="n">
        <x:f>IFERROR(I465/H465,0)</x:f>
        <x:v>0.9259259259259259</x:v>
      </x:c>
      <x:c r="P465" s="96" t="n">
        <x:f>IFERROR(J465/I465,0)</x:f>
        <x:v>0.48</x:v>
      </x:c>
      <x:c r="Q465" s="96" t="n">
        <x:f>IFERROR(L465/J465,0)</x:f>
        <x:v>0.08333333333333333</x:v>
      </x:c>
      <x:c r="R465" s="96" t="n">
        <x:f>IFERROR(L465/F465,0)</x:f>
        <x:v>0.023255813953488372</x:v>
      </x:c>
      <x:c r="S465" s="95" t="n">
        <x:v>111</x:v>
      </x:c>
      <x:c r="T465" s="94" t="str">
        <x:v>末次点击7天</x:v>
      </x:c>
    </x:row>
    <x:row r="466">
      <x:c r="A466" s="92" t="str">
        <x:v>PROC-0465</x:v>
      </x:c>
      <x:c r="B466" s="93" t="n">
        <x:v>46106</x:v>
      </x:c>
      <x:c r="C466" s="94" t="str">
        <x:v>Google Ads</x:v>
      </x:c>
      <x:c r="D466" s="94" t="str">
        <x:v>英国</x:v>
      </x:c>
      <x:c r="E466" s="94" t="str">
        <x:v>购物广告</x:v>
      </x:c>
      <x:c r="F466" s="95" t="n">
        <x:v>32</x:v>
      </x:c>
      <x:c r="G466" s="95" t="n">
        <x:v>30</x:v>
      </x:c>
      <x:c r="H466" s="95" t="n">
        <x:v>23</x:v>
      </x:c>
      <x:c r="I466" s="95" t="n">
        <x:v>19</x:v>
      </x:c>
      <x:c r="J466" s="95" t="n">
        <x:v>8</x:v>
      </x:c>
      <x:c r="K466" s="95" t="n">
        <x:v>3</x:v>
      </x:c>
      <x:c r="L466" s="95" t="n">
        <x:v>1</x:v>
      </x:c>
      <x:c r="M466" s="96" t="n">
        <x:f>IFERROR(G466/F466,0)</x:f>
        <x:v>0.9375</x:v>
      </x:c>
      <x:c r="N466" s="96" t="n">
        <x:f>IFERROR(H466/G466,0)</x:f>
        <x:v>0.7666666666666667</x:v>
      </x:c>
      <x:c r="O466" s="96" t="n">
        <x:f>IFERROR(I466/H466,0)</x:f>
        <x:v>0.8260869565217391</x:v>
      </x:c>
      <x:c r="P466" s="96" t="n">
        <x:f>IFERROR(J466/I466,0)</x:f>
        <x:v>0.42105263157894735</x:v>
      </x:c>
      <x:c r="Q466" s="96" t="n">
        <x:f>IFERROR(L466/J466,0)</x:f>
        <x:v>0.125</x:v>
      </x:c>
      <x:c r="R466" s="96" t="n">
        <x:f>IFERROR(L466/F466,0)</x:f>
        <x:v>0.03125</x:v>
      </x:c>
      <x:c r="S466" s="95" t="n">
        <x:v>87</x:v>
      </x:c>
      <x:c r="T466" s="94" t="str">
        <x:v>末次点击7天</x:v>
      </x:c>
    </x:row>
    <x:row r="467">
      <x:c r="A467" s="92" t="str">
        <x:v>PROC-0466</x:v>
      </x:c>
      <x:c r="B467" s="93" t="n">
        <x:v>46107</x:v>
      </x:c>
      <x:c r="C467" s="94" t="str">
        <x:v>Microsoft Ads</x:v>
      </x:c>
      <x:c r="D467" s="94" t="str">
        <x:v>德国</x:v>
      </x:c>
      <x:c r="E467" s="94" t="str">
        <x:v>通用搜索</x:v>
      </x:c>
      <x:c r="F467" s="95" t="n">
        <x:v>34</x:v>
      </x:c>
      <x:c r="G467" s="95" t="n">
        <x:v>32</x:v>
      </x:c>
      <x:c r="H467" s="95" t="n">
        <x:v>22</x:v>
      </x:c>
      <x:c r="I467" s="95" t="n">
        <x:v>18</x:v>
      </x:c>
      <x:c r="J467" s="95" t="n">
        <x:v>7</x:v>
      </x:c>
      <x:c r="K467" s="95" t="n">
        <x:v>2</x:v>
      </x:c>
      <x:c r="L467" s="95" t="n">
        <x:v>1</x:v>
      </x:c>
      <x:c r="M467" s="96" t="n">
        <x:f>IFERROR(G467/F467,0)</x:f>
        <x:v>0.9411764705882353</x:v>
      </x:c>
      <x:c r="N467" s="96" t="n">
        <x:f>IFERROR(H467/G467,0)</x:f>
        <x:v>0.6875</x:v>
      </x:c>
      <x:c r="O467" s="96" t="n">
        <x:f>IFERROR(I467/H467,0)</x:f>
        <x:v>0.8181818181818182</x:v>
      </x:c>
      <x:c r="P467" s="96" t="n">
        <x:f>IFERROR(J467/I467,0)</x:f>
        <x:v>0.3888888888888889</x:v>
      </x:c>
      <x:c r="Q467" s="96" t="n">
        <x:f>IFERROR(L467/J467,0)</x:f>
        <x:v>0.14285714285714285</x:v>
      </x:c>
      <x:c r="R467" s="96" t="n">
        <x:f>IFERROR(L467/F467,0)</x:f>
        <x:v>0.029411764705882353</x:v>
      </x:c>
      <x:c r="S467" s="95" t="n">
        <x:v>91</x:v>
      </x:c>
      <x:c r="T467" s="94" t="str">
        <x:v>末次点击7天</x:v>
      </x:c>
    </x:row>
    <x:row r="468">
      <x:c r="A468" s="92" t="str">
        <x:v>PROC-0467</x:v>
      </x:c>
      <x:c r="B468" s="93" t="n">
        <x:v>46107</x:v>
      </x:c>
      <x:c r="C468" s="94" t="str">
        <x:v>Google Ads</x:v>
      </x:c>
      <x:c r="D468" s="94" t="str">
        <x:v>日本</x:v>
      </x:c>
      <x:c r="E468" s="94" t="str">
        <x:v>通用搜索</x:v>
      </x:c>
      <x:c r="F468" s="95" t="n">
        <x:v>39</x:v>
      </x:c>
      <x:c r="G468" s="95" t="n">
        <x:v>35</x:v>
      </x:c>
      <x:c r="H468" s="95" t="n">
        <x:v>28</x:v>
      </x:c>
      <x:c r="I468" s="95" t="n">
        <x:v>22</x:v>
      </x:c>
      <x:c r="J468" s="95" t="n">
        <x:v>9</x:v>
      </x:c>
      <x:c r="K468" s="95" t="n">
        <x:v>3</x:v>
      </x:c>
      <x:c r="L468" s="95" t="n">
        <x:v>1</x:v>
      </x:c>
      <x:c r="M468" s="96" t="n">
        <x:f>IFERROR(G468/F468,0)</x:f>
        <x:v>0.8974358974358975</x:v>
      </x:c>
      <x:c r="N468" s="96" t="n">
        <x:f>IFERROR(H468/G468,0)</x:f>
        <x:v>0.8</x:v>
      </x:c>
      <x:c r="O468" s="96" t="n">
        <x:f>IFERROR(I468/H468,0)</x:f>
        <x:v>0.7857142857142857</x:v>
      </x:c>
      <x:c r="P468" s="96" t="n">
        <x:f>IFERROR(J468/I468,0)</x:f>
        <x:v>0.4090909090909091</x:v>
      </x:c>
      <x:c r="Q468" s="96" t="n">
        <x:f>IFERROR(L468/J468,0)</x:f>
        <x:v>0.1111111111111111</x:v>
      </x:c>
      <x:c r="R468" s="96" t="n">
        <x:f>IFERROR(L468/F468,0)</x:f>
        <x:v>0.02564102564102564</x:v>
      </x:c>
      <x:c r="S468" s="95" t="n">
        <x:v>49</x:v>
      </x:c>
      <x:c r="T468" s="94" t="str">
        <x:v>末次点击7天</x:v>
      </x:c>
    </x:row>
    <x:row r="469">
      <x:c r="A469" s="92" t="str">
        <x:v>PROC-0468</x:v>
      </x:c>
      <x:c r="B469" s="93" t="n">
        <x:v>46107</x:v>
      </x:c>
      <x:c r="C469" s="94" t="str">
        <x:v>Microsoft Ads</x:v>
      </x:c>
      <x:c r="D469" s="94" t="str">
        <x:v>日本</x:v>
      </x:c>
      <x:c r="E469" s="94" t="str">
        <x:v>通用搜索</x:v>
      </x:c>
      <x:c r="F469" s="95" t="n">
        <x:v>19</x:v>
      </x:c>
      <x:c r="G469" s="95" t="n">
        <x:v>17</x:v>
      </x:c>
      <x:c r="H469" s="95" t="n">
        <x:v>12</x:v>
      </x:c>
      <x:c r="I469" s="95" t="n">
        <x:v>10</x:v>
      </x:c>
      <x:c r="J469" s="95" t="n">
        <x:v>4</x:v>
      </x:c>
      <x:c r="K469" s="95" t="n">
        <x:v>1</x:v>
      </x:c>
      <x:c r="L469" s="95" t="n">
        <x:v>0</x:v>
      </x:c>
      <x:c r="M469" s="96" t="n">
        <x:f>IFERROR(G469/F469,0)</x:f>
        <x:v>0.8947368421052632</x:v>
      </x:c>
      <x:c r="N469" s="96" t="n">
        <x:f>IFERROR(H469/G469,0)</x:f>
        <x:v>0.7058823529411765</x:v>
      </x:c>
      <x:c r="O469" s="96" t="n">
        <x:f>IFERROR(I469/H469,0)</x:f>
        <x:v>0.8333333333333334</x:v>
      </x:c>
      <x:c r="P469" s="96" t="n">
        <x:f>IFERROR(J469/I469,0)</x:f>
        <x:v>0.4</x:v>
      </x:c>
      <x:c r="Q469" s="96" t="n">
        <x:f>IFERROR(L469/J469,0)</x:f>
        <x:v>0</x:v>
      </x:c>
      <x:c r="R469" s="96" t="n">
        <x:f>IFERROR(L469/F469,0)</x:f>
        <x:v>0</x:v>
      </x:c>
      <x:c r="S469" s="95" t="n">
        <x:v>129</x:v>
      </x:c>
      <x:c r="T469" s="94" t="str">
        <x:v>末次点击7天</x:v>
      </x:c>
    </x:row>
    <x:row r="470">
      <x:c r="A470" s="92" t="str">
        <x:v>PROC-0469</x:v>
      </x:c>
      <x:c r="B470" s="93" t="n">
        <x:v>46107</x:v>
      </x:c>
      <x:c r="C470" s="94" t="str">
        <x:v>Google Ads</x:v>
      </x:c>
      <x:c r="D470" s="94" t="str">
        <x:v>美国</x:v>
      </x:c>
      <x:c r="E470" s="94" t="str">
        <x:v>竞品搜索</x:v>
      </x:c>
      <x:c r="F470" s="95" t="n">
        <x:v>27</x:v>
      </x:c>
      <x:c r="G470" s="95" t="n">
        <x:v>24</x:v>
      </x:c>
      <x:c r="H470" s="95" t="n">
        <x:v>17</x:v>
      </x:c>
      <x:c r="I470" s="95" t="n">
        <x:v>14</x:v>
      </x:c>
      <x:c r="J470" s="95" t="n">
        <x:v>5</x:v>
      </x:c>
      <x:c r="K470" s="95" t="n">
        <x:v>1</x:v>
      </x:c>
      <x:c r="L470" s="95" t="n">
        <x:v>0</x:v>
      </x:c>
      <x:c r="M470" s="96" t="n">
        <x:f>IFERROR(G470/F470,0)</x:f>
        <x:v>0.8888888888888888</x:v>
      </x:c>
      <x:c r="N470" s="96" t="n">
        <x:f>IFERROR(H470/G470,0)</x:f>
        <x:v>0.7083333333333334</x:v>
      </x:c>
      <x:c r="O470" s="96" t="n">
        <x:f>IFERROR(I470/H470,0)</x:f>
        <x:v>0.8235294117647058</x:v>
      </x:c>
      <x:c r="P470" s="96" t="n">
        <x:f>IFERROR(J470/I470,0)</x:f>
        <x:v>0.35714285714285715</x:v>
      </x:c>
      <x:c r="Q470" s="96" t="n">
        <x:f>IFERROR(L470/J470,0)</x:f>
        <x:v>0</x:v>
      </x:c>
      <x:c r="R470" s="96" t="n">
        <x:f>IFERROR(L470/F470,0)</x:f>
        <x:v>0</x:v>
      </x:c>
      <x:c r="S470" s="95" t="n">
        <x:v>113</x:v>
      </x:c>
      <x:c r="T470" s="94" t="str">
        <x:v>末次点击7天</x:v>
      </x:c>
    </x:row>
    <x:row r="471">
      <x:c r="A471" s="92" t="str">
        <x:v>PROC-0470</x:v>
      </x:c>
      <x:c r="B471" s="93" t="n">
        <x:v>46107</x:v>
      </x:c>
      <x:c r="C471" s="94" t="str">
        <x:v>Microsoft Ads</x:v>
      </x:c>
      <x:c r="D471" s="94" t="str">
        <x:v>美国</x:v>
      </x:c>
      <x:c r="E471" s="94" t="str">
        <x:v>通用搜索</x:v>
      </x:c>
      <x:c r="F471" s="95" t="n">
        <x:v>48</x:v>
      </x:c>
      <x:c r="G471" s="95" t="n">
        <x:v>44</x:v>
      </x:c>
      <x:c r="H471" s="95" t="n">
        <x:v>28</x:v>
      </x:c>
      <x:c r="I471" s="95" t="n">
        <x:v>24</x:v>
      </x:c>
      <x:c r="J471" s="95" t="n">
        <x:v>9</x:v>
      </x:c>
      <x:c r="K471" s="95" t="n">
        <x:v>2</x:v>
      </x:c>
      <x:c r="L471" s="95" t="n">
        <x:v>1</x:v>
      </x:c>
      <x:c r="M471" s="96" t="n">
        <x:f>IFERROR(G471/F471,0)</x:f>
        <x:v>0.9166666666666666</x:v>
      </x:c>
      <x:c r="N471" s="96" t="n">
        <x:f>IFERROR(H471/G471,0)</x:f>
        <x:v>0.6363636363636364</x:v>
      </x:c>
      <x:c r="O471" s="96" t="n">
        <x:f>IFERROR(I471/H471,0)</x:f>
        <x:v>0.8571428571428571</x:v>
      </x:c>
      <x:c r="P471" s="96" t="n">
        <x:f>IFERROR(J471/I471,0)</x:f>
        <x:v>0.375</x:v>
      </x:c>
      <x:c r="Q471" s="96" t="n">
        <x:f>IFERROR(L471/J471,0)</x:f>
        <x:v>0.1111111111111111</x:v>
      </x:c>
      <x:c r="R471" s="96" t="n">
        <x:f>IFERROR(L471/F471,0)</x:f>
        <x:v>0.020833333333333332</x:v>
      </x:c>
      <x:c r="S471" s="95" t="n">
        <x:v>79</x:v>
      </x:c>
      <x:c r="T471" s="94" t="str">
        <x:v>末次点击7天</x:v>
      </x:c>
    </x:row>
    <x:row r="472">
      <x:c r="A472" s="92" t="str">
        <x:v>PROC-0471</x:v>
      </x:c>
      <x:c r="B472" s="93" t="n">
        <x:v>46108</x:v>
      </x:c>
      <x:c r="C472" s="94" t="str">
        <x:v>Microsoft Ads</x:v>
      </x:c>
      <x:c r="D472" s="94" t="str">
        <x:v>英国</x:v>
      </x:c>
      <x:c r="E472" s="94" t="str">
        <x:v>购物广告</x:v>
      </x:c>
      <x:c r="F472" s="95" t="n">
        <x:v>35</x:v>
      </x:c>
      <x:c r="G472" s="95" t="n">
        <x:v>32</x:v>
      </x:c>
      <x:c r="H472" s="95" t="n">
        <x:v>24</x:v>
      </x:c>
      <x:c r="I472" s="95" t="n">
        <x:v>21</x:v>
      </x:c>
      <x:c r="J472" s="95" t="n">
        <x:v>9</x:v>
      </x:c>
      <x:c r="K472" s="95" t="n">
        <x:v>2</x:v>
      </x:c>
      <x:c r="L472" s="95" t="n">
        <x:v>1</x:v>
      </x:c>
      <x:c r="M472" s="96" t="n">
        <x:f>IFERROR(G472/F472,0)</x:f>
        <x:v>0.9142857142857143</x:v>
      </x:c>
      <x:c r="N472" s="96" t="n">
        <x:f>IFERROR(H472/G472,0)</x:f>
        <x:v>0.75</x:v>
      </x:c>
      <x:c r="O472" s="96" t="n">
        <x:f>IFERROR(I472/H472,0)</x:f>
        <x:v>0.875</x:v>
      </x:c>
      <x:c r="P472" s="96" t="n">
        <x:f>IFERROR(J472/I472,0)</x:f>
        <x:v>0.42857142857142855</x:v>
      </x:c>
      <x:c r="Q472" s="96" t="n">
        <x:f>IFERROR(L472/J472,0)</x:f>
        <x:v>0.1111111111111111</x:v>
      </x:c>
      <x:c r="R472" s="96" t="n">
        <x:f>IFERROR(L472/F472,0)</x:f>
        <x:v>0.02857142857142857</x:v>
      </x:c>
      <x:c r="S472" s="95" t="n">
        <x:v>125</x:v>
      </x:c>
      <x:c r="T472" s="94" t="str">
        <x:v>末次点击7天</x:v>
      </x:c>
    </x:row>
    <x:row r="473">
      <x:c r="A473" s="92" t="str">
        <x:v>PROC-0472</x:v>
      </x:c>
      <x:c r="B473" s="93" t="n">
        <x:v>46108</x:v>
      </x:c>
      <x:c r="C473" s="94" t="str">
        <x:v>Microsoft Ads</x:v>
      </x:c>
      <x:c r="D473" s="94" t="str">
        <x:v>美国</x:v>
      </x:c>
      <x:c r="E473" s="94" t="str">
        <x:v>通用搜索</x:v>
      </x:c>
      <x:c r="F473" s="95" t="n">
        <x:v>60</x:v>
      </x:c>
      <x:c r="G473" s="95" t="n">
        <x:v>54</x:v>
      </x:c>
      <x:c r="H473" s="95" t="n">
        <x:v>37</x:v>
      </x:c>
      <x:c r="I473" s="95" t="n">
        <x:v>32</x:v>
      </x:c>
      <x:c r="J473" s="95" t="n">
        <x:v>12</x:v>
      </x:c>
      <x:c r="K473" s="95" t="n">
        <x:v>3</x:v>
      </x:c>
      <x:c r="L473" s="95" t="n">
        <x:v>1</x:v>
      </x:c>
      <x:c r="M473" s="96" t="n">
        <x:f>IFERROR(G473/F473,0)</x:f>
        <x:v>0.9</x:v>
      </x:c>
      <x:c r="N473" s="96" t="n">
        <x:f>IFERROR(H473/G473,0)</x:f>
        <x:v>0.6851851851851852</x:v>
      </x:c>
      <x:c r="O473" s="96" t="n">
        <x:f>IFERROR(I473/H473,0)</x:f>
        <x:v>0.8648648648648649</x:v>
      </x:c>
      <x:c r="P473" s="96" t="n">
        <x:f>IFERROR(J473/I473,0)</x:f>
        <x:v>0.375</x:v>
      </x:c>
      <x:c r="Q473" s="96" t="n">
        <x:f>IFERROR(L473/J473,0)</x:f>
        <x:v>0.08333333333333333</x:v>
      </x:c>
      <x:c r="R473" s="96" t="n">
        <x:f>IFERROR(L473/F473,0)</x:f>
        <x:v>0.016666666666666666</x:v>
      </x:c>
      <x:c r="S473" s="95" t="n">
        <x:v>72</x:v>
      </x:c>
      <x:c r="T473" s="94" t="str">
        <x:v>末次点击7天</x:v>
      </x:c>
    </x:row>
    <x:row r="474">
      <x:c r="A474" s="92" t="str">
        <x:v>PROC-0473</x:v>
      </x:c>
      <x:c r="B474" s="93" t="n">
        <x:v>46108</x:v>
      </x:c>
      <x:c r="C474" s="94" t="str">
        <x:v>Google Ads</x:v>
      </x:c>
      <x:c r="D474" s="94" t="str">
        <x:v>美国</x:v>
      </x:c>
      <x:c r="E474" s="94" t="str">
        <x:v>购物广告</x:v>
      </x:c>
      <x:c r="F474" s="95" t="n">
        <x:v>71</x:v>
      </x:c>
      <x:c r="G474" s="95" t="n">
        <x:v>64</x:v>
      </x:c>
      <x:c r="H474" s="95" t="n">
        <x:v>43</x:v>
      </x:c>
      <x:c r="I474" s="95" t="n">
        <x:v>39</x:v>
      </x:c>
      <x:c r="J474" s="95" t="n">
        <x:v>19</x:v>
      </x:c>
      <x:c r="K474" s="95" t="n">
        <x:v>5</x:v>
      </x:c>
      <x:c r="L474" s="95" t="n">
        <x:v>1</x:v>
      </x:c>
      <x:c r="M474" s="96" t="n">
        <x:f>IFERROR(G474/F474,0)</x:f>
        <x:v>0.9014084507042254</x:v>
      </x:c>
      <x:c r="N474" s="96" t="n">
        <x:f>IFERROR(H474/G474,0)</x:f>
        <x:v>0.671875</x:v>
      </x:c>
      <x:c r="O474" s="96" t="n">
        <x:f>IFERROR(I474/H474,0)</x:f>
        <x:v>0.9069767441860465</x:v>
      </x:c>
      <x:c r="P474" s="96" t="n">
        <x:f>IFERROR(J474/I474,0)</x:f>
        <x:v>0.48717948717948717</x:v>
      </x:c>
      <x:c r="Q474" s="96" t="n">
        <x:f>IFERROR(L474/J474,0)</x:f>
        <x:v>0.05263157894736842</x:v>
      </x:c>
      <x:c r="R474" s="96" t="n">
        <x:f>IFERROR(L474/F474,0)</x:f>
        <x:v>0.014084507042253521</x:v>
      </x:c>
      <x:c r="S474" s="95" t="n">
        <x:v>45</x:v>
      </x:c>
      <x:c r="T474" s="94" t="str">
        <x:v>末次点击7天</x:v>
      </x:c>
    </x:row>
    <x:row r="475">
      <x:c r="A475" s="92" t="str">
        <x:v>PROC-0474</x:v>
      </x:c>
      <x:c r="B475" s="93" t="n">
        <x:v>46108</x:v>
      </x:c>
      <x:c r="C475" s="94" t="str">
        <x:v>Google Ads</x:v>
      </x:c>
      <x:c r="D475" s="94" t="str">
        <x:v>日本</x:v>
      </x:c>
      <x:c r="E475" s="94" t="str">
        <x:v>通用搜索</x:v>
      </x:c>
      <x:c r="F475" s="95" t="n">
        <x:v>29</x:v>
      </x:c>
      <x:c r="G475" s="95" t="n">
        <x:v>27</x:v>
      </x:c>
      <x:c r="H475" s="95" t="n">
        <x:v>18</x:v>
      </x:c>
      <x:c r="I475" s="95" t="n">
        <x:v>15</x:v>
      </x:c>
      <x:c r="J475" s="95" t="n">
        <x:v>6</x:v>
      </x:c>
      <x:c r="K475" s="95" t="n">
        <x:v>1</x:v>
      </x:c>
      <x:c r="L475" s="95" t="n">
        <x:v>0</x:v>
      </x:c>
      <x:c r="M475" s="96" t="n">
        <x:f>IFERROR(G475/F475,0)</x:f>
        <x:v>0.9310344827586207</x:v>
      </x:c>
      <x:c r="N475" s="96" t="n">
        <x:f>IFERROR(H475/G475,0)</x:f>
        <x:v>0.6666666666666666</x:v>
      </x:c>
      <x:c r="O475" s="96" t="n">
        <x:f>IFERROR(I475/H475,0)</x:f>
        <x:v>0.8333333333333334</x:v>
      </x:c>
      <x:c r="P475" s="96" t="n">
        <x:f>IFERROR(J475/I475,0)</x:f>
        <x:v>0.4</x:v>
      </x:c>
      <x:c r="Q475" s="96" t="n">
        <x:f>IFERROR(L475/J475,0)</x:f>
        <x:v>0</x:v>
      </x:c>
      <x:c r="R475" s="96" t="n">
        <x:f>IFERROR(L475/F475,0)</x:f>
        <x:v>0</x:v>
      </x:c>
      <x:c r="S475" s="95" t="n">
        <x:v>125</x:v>
      </x:c>
      <x:c r="T475" s="94" t="str">
        <x:v>末次点击7天</x:v>
      </x:c>
    </x:row>
    <x:row r="476">
      <x:c r="A476" s="92" t="str">
        <x:v>PROC-0475</x:v>
      </x:c>
      <x:c r="B476" s="93" t="n">
        <x:v>46108</x:v>
      </x:c>
      <x:c r="C476" s="94" t="str">
        <x:v>Microsoft Ads</x:v>
      </x:c>
      <x:c r="D476" s="94" t="str">
        <x:v>日本</x:v>
      </x:c>
      <x:c r="E476" s="94" t="str">
        <x:v>通用搜索</x:v>
      </x:c>
      <x:c r="F476" s="95" t="n">
        <x:v>26</x:v>
      </x:c>
      <x:c r="G476" s="95" t="n">
        <x:v>25</x:v>
      </x:c>
      <x:c r="H476" s="95" t="n">
        <x:v>18</x:v>
      </x:c>
      <x:c r="I476" s="95" t="n">
        <x:v>15</x:v>
      </x:c>
      <x:c r="J476" s="95" t="n">
        <x:v>6</x:v>
      </x:c>
      <x:c r="K476" s="95" t="n">
        <x:v>2</x:v>
      </x:c>
      <x:c r="L476" s="95" t="n">
        <x:v>1</x:v>
      </x:c>
      <x:c r="M476" s="96" t="n">
        <x:f>IFERROR(G476/F476,0)</x:f>
        <x:v>0.9615384615384616</x:v>
      </x:c>
      <x:c r="N476" s="96" t="n">
        <x:f>IFERROR(H476/G476,0)</x:f>
        <x:v>0.72</x:v>
      </x:c>
      <x:c r="O476" s="96" t="n">
        <x:f>IFERROR(I476/H476,0)</x:f>
        <x:v>0.8333333333333334</x:v>
      </x:c>
      <x:c r="P476" s="96" t="n">
        <x:f>IFERROR(J476/I476,0)</x:f>
        <x:v>0.4</x:v>
      </x:c>
      <x:c r="Q476" s="96" t="n">
        <x:f>IFERROR(L476/J476,0)</x:f>
        <x:v>0.16666666666666666</x:v>
      </x:c>
      <x:c r="R476" s="96" t="n">
        <x:f>IFERROR(L476/F476,0)</x:f>
        <x:v>0.038461538461538464</x:v>
      </x:c>
      <x:c r="S476" s="95" t="n">
        <x:v>142</x:v>
      </x:c>
      <x:c r="T476" s="94" t="str">
        <x:v>末次点击7天</x:v>
      </x:c>
    </x:row>
    <x:row r="477">
      <x:c r="A477" s="92" t="str">
        <x:v>PROC-0476</x:v>
      </x:c>
      <x:c r="B477" s="93" t="n">
        <x:v>46108</x:v>
      </x:c>
      <x:c r="C477" s="94" t="str">
        <x:v>Google Ads</x:v>
      </x:c>
      <x:c r="D477" s="94" t="str">
        <x:v>德国</x:v>
      </x:c>
      <x:c r="E477" s="94" t="str">
        <x:v>竞品搜索</x:v>
      </x:c>
      <x:c r="F477" s="95" t="n">
        <x:v>23</x:v>
      </x:c>
      <x:c r="G477" s="95" t="n">
        <x:v>21</x:v>
      </x:c>
      <x:c r="H477" s="95" t="n">
        <x:v>16</x:v>
      </x:c>
      <x:c r="I477" s="95" t="n">
        <x:v>13</x:v>
      </x:c>
      <x:c r="J477" s="95" t="n">
        <x:v>6</x:v>
      </x:c>
      <x:c r="K477" s="95" t="n">
        <x:v>2</x:v>
      </x:c>
      <x:c r="L477" s="95" t="n">
        <x:v>0</x:v>
      </x:c>
      <x:c r="M477" s="96" t="n">
        <x:f>IFERROR(G477/F477,0)</x:f>
        <x:v>0.9130434782608695</x:v>
      </x:c>
      <x:c r="N477" s="96" t="n">
        <x:f>IFERROR(H477/G477,0)</x:f>
        <x:v>0.7619047619047619</x:v>
      </x:c>
      <x:c r="O477" s="96" t="n">
        <x:f>IFERROR(I477/H477,0)</x:f>
        <x:v>0.8125</x:v>
      </x:c>
      <x:c r="P477" s="96" t="n">
        <x:f>IFERROR(J477/I477,0)</x:f>
        <x:v>0.46153846153846156</x:v>
      </x:c>
      <x:c r="Q477" s="96" t="n">
        <x:f>IFERROR(L477/J477,0)</x:f>
        <x:v>0</x:v>
      </x:c>
      <x:c r="R477" s="96" t="n">
        <x:f>IFERROR(L477/F477,0)</x:f>
        <x:v>0</x:v>
      </x:c>
      <x:c r="S477" s="95" t="n">
        <x:v>119</x:v>
      </x:c>
      <x:c r="T477" s="94" t="str">
        <x:v>末次点击7天</x:v>
      </x:c>
    </x:row>
    <x:row r="478">
      <x:c r="A478" s="92" t="str">
        <x:v>PROC-0477</x:v>
      </x:c>
      <x:c r="B478" s="93" t="n">
        <x:v>46109</x:v>
      </x:c>
      <x:c r="C478" s="94" t="str">
        <x:v>Google Ads</x:v>
      </x:c>
      <x:c r="D478" s="94" t="str">
        <x:v>美国</x:v>
      </x:c>
      <x:c r="E478" s="94" t="str">
        <x:v>通用搜索</x:v>
      </x:c>
      <x:c r="F478" s="95" t="n">
        <x:v>23</x:v>
      </x:c>
      <x:c r="G478" s="95" t="n">
        <x:v>21</x:v>
      </x:c>
      <x:c r="H478" s="95" t="n">
        <x:v>15</x:v>
      </x:c>
      <x:c r="I478" s="95" t="n">
        <x:v>12</x:v>
      </x:c>
      <x:c r="J478" s="95" t="n">
        <x:v>5</x:v>
      </x:c>
      <x:c r="K478" s="95" t="n">
        <x:v>1</x:v>
      </x:c>
      <x:c r="L478" s="95" t="n">
        <x:v>0</x:v>
      </x:c>
      <x:c r="M478" s="96" t="n">
        <x:f>IFERROR(G478/F478,0)</x:f>
        <x:v>0.9130434782608695</x:v>
      </x:c>
      <x:c r="N478" s="96" t="n">
        <x:f>IFERROR(H478/G478,0)</x:f>
        <x:v>0.7142857142857143</x:v>
      </x:c>
      <x:c r="O478" s="96" t="n">
        <x:f>IFERROR(I478/H478,0)</x:f>
        <x:v>0.8</x:v>
      </x:c>
      <x:c r="P478" s="96" t="n">
        <x:f>IFERROR(J478/I478,0)</x:f>
        <x:v>0.4166666666666667</x:v>
      </x:c>
      <x:c r="Q478" s="96" t="n">
        <x:f>IFERROR(L478/J478,0)</x:f>
        <x:v>0</x:v>
      </x:c>
      <x:c r="R478" s="96" t="n">
        <x:f>IFERROR(L478/F478,0)</x:f>
        <x:v>0</x:v>
      </x:c>
      <x:c r="S478" s="95" t="n">
        <x:v>155</x:v>
      </x:c>
      <x:c r="T478" s="94" t="str">
        <x:v>末次点击7天</x:v>
      </x:c>
    </x:row>
    <x:row r="479">
      <x:c r="A479" s="92" t="str">
        <x:v>PROC-0478</x:v>
      </x:c>
      <x:c r="B479" s="93" t="n">
        <x:v>46109</x:v>
      </x:c>
      <x:c r="C479" s="94" t="str">
        <x:v>Google Ads</x:v>
      </x:c>
      <x:c r="D479" s="94" t="str">
        <x:v>德国</x:v>
      </x:c>
      <x:c r="E479" s="94" t="str">
        <x:v>品牌搜索</x:v>
      </x:c>
      <x:c r="F479" s="95" t="n">
        <x:v>87</x:v>
      </x:c>
      <x:c r="G479" s="95" t="n">
        <x:v>82</x:v>
      </x:c>
      <x:c r="H479" s="95" t="n">
        <x:v>56</x:v>
      </x:c>
      <x:c r="I479" s="95" t="n">
        <x:v>45</x:v>
      </x:c>
      <x:c r="J479" s="95" t="n">
        <x:v>19</x:v>
      </x:c>
      <x:c r="K479" s="95" t="n">
        <x:v>4</x:v>
      </x:c>
      <x:c r="L479" s="95" t="n">
        <x:v>2</x:v>
      </x:c>
      <x:c r="M479" s="96" t="n">
        <x:f>IFERROR(G479/F479,0)</x:f>
        <x:v>0.9425287356321839</x:v>
      </x:c>
      <x:c r="N479" s="96" t="n">
        <x:f>IFERROR(H479/G479,0)</x:f>
        <x:v>0.6829268292682927</x:v>
      </x:c>
      <x:c r="O479" s="96" t="n">
        <x:f>IFERROR(I479/H479,0)</x:f>
        <x:v>0.8035714285714286</x:v>
      </x:c>
      <x:c r="P479" s="96" t="n">
        <x:f>IFERROR(J479/I479,0)</x:f>
        <x:v>0.4222222222222222</x:v>
      </x:c>
      <x:c r="Q479" s="96" t="n">
        <x:f>IFERROR(L479/J479,0)</x:f>
        <x:v>0.10526315789473684</x:v>
      </x:c>
      <x:c r="R479" s="96" t="n">
        <x:f>IFERROR(L479/F479,0)</x:f>
        <x:v>0.022988505747126436</x:v>
      </x:c>
      <x:c r="S479" s="95" t="n">
        <x:v>95</x:v>
      </x:c>
      <x:c r="T479" s="94" t="str">
        <x:v>末次点击7天</x:v>
      </x:c>
    </x:row>
    <x:row r="480">
      <x:c r="A480" s="92" t="str">
        <x:v>PROC-0479</x:v>
      </x:c>
      <x:c r="B480" s="93" t="n">
        <x:v>46109</x:v>
      </x:c>
      <x:c r="C480" s="94" t="str">
        <x:v>Google Ads</x:v>
      </x:c>
      <x:c r="D480" s="94" t="str">
        <x:v>日本</x:v>
      </x:c>
      <x:c r="E480" s="94" t="str">
        <x:v>品牌搜索</x:v>
      </x:c>
      <x:c r="F480" s="95" t="n">
        <x:v>58</x:v>
      </x:c>
      <x:c r="G480" s="95" t="n">
        <x:v>54</x:v>
      </x:c>
      <x:c r="H480" s="95" t="n">
        <x:v>38</x:v>
      </x:c>
      <x:c r="I480" s="95" t="n">
        <x:v>31</x:v>
      </x:c>
      <x:c r="J480" s="95" t="n">
        <x:v>15</x:v>
      </x:c>
      <x:c r="K480" s="95" t="n">
        <x:v>4</x:v>
      </x:c>
      <x:c r="L480" s="95" t="n">
        <x:v>1</x:v>
      </x:c>
      <x:c r="M480" s="96" t="n">
        <x:f>IFERROR(G480/F480,0)</x:f>
        <x:v>0.9310344827586207</x:v>
      </x:c>
      <x:c r="N480" s="96" t="n">
        <x:f>IFERROR(H480/G480,0)</x:f>
        <x:v>0.7037037037037037</x:v>
      </x:c>
      <x:c r="O480" s="96" t="n">
        <x:f>IFERROR(I480/H480,0)</x:f>
        <x:v>0.8157894736842105</x:v>
      </x:c>
      <x:c r="P480" s="96" t="n">
        <x:f>IFERROR(J480/I480,0)</x:f>
        <x:v>0.4838709677419355</x:v>
      </x:c>
      <x:c r="Q480" s="96" t="n">
        <x:f>IFERROR(L480/J480,0)</x:f>
        <x:v>0.06666666666666667</x:v>
      </x:c>
      <x:c r="R480" s="96" t="n">
        <x:f>IFERROR(L480/F480,0)</x:f>
        <x:v>0.017241379310344827</x:v>
      </x:c>
      <x:c r="S480" s="95" t="n">
        <x:v>137</x:v>
      </x:c>
      <x:c r="T480" s="94" t="str">
        <x:v>末次点击7天</x:v>
      </x:c>
    </x:row>
    <x:row r="481">
      <x:c r="A481" s="92" t="str">
        <x:v>PROC-0480</x:v>
      </x:c>
      <x:c r="B481" s="93" t="n">
        <x:v>46109</x:v>
      </x:c>
      <x:c r="C481" s="94" t="str">
        <x:v>Microsoft Ads</x:v>
      </x:c>
      <x:c r="D481" s="94" t="str">
        <x:v>美国</x:v>
      </x:c>
      <x:c r="E481" s="94" t="str">
        <x:v>通用搜索</x:v>
      </x:c>
      <x:c r="F481" s="95" t="n">
        <x:v>44</x:v>
      </x:c>
      <x:c r="G481" s="95" t="n">
        <x:v>41</x:v>
      </x:c>
      <x:c r="H481" s="95" t="n">
        <x:v>27</x:v>
      </x:c>
      <x:c r="I481" s="95" t="n">
        <x:v>23</x:v>
      </x:c>
      <x:c r="J481" s="95" t="n">
        <x:v>9</x:v>
      </x:c>
      <x:c r="K481" s="95" t="n">
        <x:v>3</x:v>
      </x:c>
      <x:c r="L481" s="95" t="n">
        <x:v>1</x:v>
      </x:c>
      <x:c r="M481" s="96" t="n">
        <x:f>IFERROR(G481/F481,0)</x:f>
        <x:v>0.9318181818181818</x:v>
      </x:c>
      <x:c r="N481" s="96" t="n">
        <x:f>IFERROR(H481/G481,0)</x:f>
        <x:v>0.6585365853658537</x:v>
      </x:c>
      <x:c r="O481" s="96" t="n">
        <x:f>IFERROR(I481/H481,0)</x:f>
        <x:v>0.8518518518518519</x:v>
      </x:c>
      <x:c r="P481" s="96" t="n">
        <x:f>IFERROR(J481/I481,0)</x:f>
        <x:v>0.391304347826087</x:v>
      </x:c>
      <x:c r="Q481" s="96" t="n">
        <x:f>IFERROR(L481/J481,0)</x:f>
        <x:v>0.1111111111111111</x:v>
      </x:c>
      <x:c r="R481" s="96" t="n">
        <x:f>IFERROR(L481/F481,0)</x:f>
        <x:v>0.022727272727272728</x:v>
      </x:c>
      <x:c r="S481" s="95" t="n">
        <x:v>46</x:v>
      </x:c>
      <x:c r="T481" s="94" t="str">
        <x:v>末次点击7天</x:v>
      </x:c>
    </x:row>
    <x:row r="482">
      <x:c r="A482" s="92" t="str">
        <x:v>PROC-0481</x:v>
      </x:c>
      <x:c r="B482" s="93" t="n">
        <x:v>46109</x:v>
      </x:c>
      <x:c r="C482" s="94" t="str">
        <x:v>Microsoft Ads</x:v>
      </x:c>
      <x:c r="D482" s="94" t="str">
        <x:v>英国</x:v>
      </x:c>
      <x:c r="E482" s="94" t="str">
        <x:v>竞品搜索</x:v>
      </x:c>
      <x:c r="F482" s="95" t="n">
        <x:v>35</x:v>
      </x:c>
      <x:c r="G482" s="95" t="n">
        <x:v>32</x:v>
      </x:c>
      <x:c r="H482" s="95" t="n">
        <x:v>22</x:v>
      </x:c>
      <x:c r="I482" s="95" t="n">
        <x:v>18</x:v>
      </x:c>
      <x:c r="J482" s="95" t="n">
        <x:v>7</x:v>
      </x:c>
      <x:c r="K482" s="95" t="n">
        <x:v>2</x:v>
      </x:c>
      <x:c r="L482" s="95" t="n">
        <x:v>1</x:v>
      </x:c>
      <x:c r="M482" s="96" t="n">
        <x:f>IFERROR(G482/F482,0)</x:f>
        <x:v>0.9142857142857143</x:v>
      </x:c>
      <x:c r="N482" s="96" t="n">
        <x:f>IFERROR(H482/G482,0)</x:f>
        <x:v>0.6875</x:v>
      </x:c>
      <x:c r="O482" s="96" t="n">
        <x:f>IFERROR(I482/H482,0)</x:f>
        <x:v>0.8181818181818182</x:v>
      </x:c>
      <x:c r="P482" s="96" t="n">
        <x:f>IFERROR(J482/I482,0)</x:f>
        <x:v>0.3888888888888889</x:v>
      </x:c>
      <x:c r="Q482" s="96" t="n">
        <x:f>IFERROR(L482/J482,0)</x:f>
        <x:v>0.14285714285714285</x:v>
      </x:c>
      <x:c r="R482" s="96" t="n">
        <x:f>IFERROR(L482/F482,0)</x:f>
        <x:v>0.02857142857142857</x:v>
      </x:c>
      <x:c r="S482" s="95" t="n">
        <x:v>114</x:v>
      </x:c>
      <x:c r="T482" s="94" t="str">
        <x:v>末次点击7天</x:v>
      </x:c>
    </x:row>
    <x:row r="483">
      <x:c r="A483" s="92" t="str">
        <x:v>PROC-0482</x:v>
      </x:c>
      <x:c r="B483" s="93" t="n">
        <x:v>46110</x:v>
      </x:c>
      <x:c r="C483" s="94" t="str">
        <x:v>Google Ads</x:v>
      </x:c>
      <x:c r="D483" s="94" t="str">
        <x:v>美国</x:v>
      </x:c>
      <x:c r="E483" s="94" t="str">
        <x:v>购物广告</x:v>
      </x:c>
      <x:c r="F483" s="95" t="n">
        <x:v>71</x:v>
      </x:c>
      <x:c r="G483" s="95" t="n">
        <x:v>67</x:v>
      </x:c>
      <x:c r="H483" s="95" t="n">
        <x:v>43</x:v>
      </x:c>
      <x:c r="I483" s="95" t="n">
        <x:v>36</x:v>
      </x:c>
      <x:c r="J483" s="95" t="n">
        <x:v>15</x:v>
      </x:c>
      <x:c r="K483" s="95" t="n">
        <x:v>5</x:v>
      </x:c>
      <x:c r="L483" s="95" t="n">
        <x:v>1</x:v>
      </x:c>
      <x:c r="M483" s="96" t="n">
        <x:f>IFERROR(G483/F483,0)</x:f>
        <x:v>0.9436619718309859</x:v>
      </x:c>
      <x:c r="N483" s="96" t="n">
        <x:f>IFERROR(H483/G483,0)</x:f>
        <x:v>0.6417910447761194</x:v>
      </x:c>
      <x:c r="O483" s="96" t="n">
        <x:f>IFERROR(I483/H483,0)</x:f>
        <x:v>0.8372093023255814</x:v>
      </x:c>
      <x:c r="P483" s="96" t="n">
        <x:f>IFERROR(J483/I483,0)</x:f>
        <x:v>0.4166666666666667</x:v>
      </x:c>
      <x:c r="Q483" s="96" t="n">
        <x:f>IFERROR(L483/J483,0)</x:f>
        <x:v>0.06666666666666667</x:v>
      </x:c>
      <x:c r="R483" s="96" t="n">
        <x:f>IFERROR(L483/F483,0)</x:f>
        <x:v>0.014084507042253521</x:v>
      </x:c>
      <x:c r="S483" s="95" t="n">
        <x:v>76</x:v>
      </x:c>
      <x:c r="T483" s="94" t="str">
        <x:v>末次点击7天</x:v>
      </x:c>
    </x:row>
    <x:row r="484">
      <x:c r="A484" s="92" t="str">
        <x:v>PROC-0483</x:v>
      </x:c>
      <x:c r="B484" s="93" t="n">
        <x:v>46110</x:v>
      </x:c>
      <x:c r="C484" s="94" t="str">
        <x:v>Microsoft Ads</x:v>
      </x:c>
      <x:c r="D484" s="94" t="str">
        <x:v>英国</x:v>
      </x:c>
      <x:c r="E484" s="94" t="str">
        <x:v>购物广告</x:v>
      </x:c>
      <x:c r="F484" s="95" t="n">
        <x:v>52</x:v>
      </x:c>
      <x:c r="G484" s="95" t="n">
        <x:v>48</x:v>
      </x:c>
      <x:c r="H484" s="95" t="n">
        <x:v>30</x:v>
      </x:c>
      <x:c r="I484" s="95" t="n">
        <x:v>27</x:v>
      </x:c>
      <x:c r="J484" s="95" t="n">
        <x:v>13</x:v>
      </x:c>
      <x:c r="K484" s="95" t="n">
        <x:v>3</x:v>
      </x:c>
      <x:c r="L484" s="95" t="n">
        <x:v>1</x:v>
      </x:c>
      <x:c r="M484" s="96" t="n">
        <x:f>IFERROR(G484/F484,0)</x:f>
        <x:v>0.9230769230769231</x:v>
      </x:c>
      <x:c r="N484" s="96" t="n">
        <x:f>IFERROR(H484/G484,0)</x:f>
        <x:v>0.625</x:v>
      </x:c>
      <x:c r="O484" s="96" t="n">
        <x:f>IFERROR(I484/H484,0)</x:f>
        <x:v>0.9</x:v>
      </x:c>
      <x:c r="P484" s="96" t="n">
        <x:f>IFERROR(J484/I484,0)</x:f>
        <x:v>0.48148148148148145</x:v>
      </x:c>
      <x:c r="Q484" s="96" t="n">
        <x:f>IFERROR(L484/J484,0)</x:f>
        <x:v>0.07692307692307693</x:v>
      </x:c>
      <x:c r="R484" s="96" t="n">
        <x:f>IFERROR(L484/F484,0)</x:f>
        <x:v>0.019230769230769232</x:v>
      </x:c>
      <x:c r="S484" s="95" t="n">
        <x:v>50</x:v>
      </x:c>
      <x:c r="T484" s="94" t="str">
        <x:v>末次点击7天</x:v>
      </x:c>
    </x:row>
    <x:row r="485">
      <x:c r="A485" s="92" t="str">
        <x:v>PROC-0484</x:v>
      </x:c>
      <x:c r="B485" s="93" t="n">
        <x:v>46110</x:v>
      </x:c>
      <x:c r="C485" s="94" t="str">
        <x:v>Microsoft Ads</x:v>
      </x:c>
      <x:c r="D485" s="94" t="str">
        <x:v>美国</x:v>
      </x:c>
      <x:c r="E485" s="94" t="str">
        <x:v>通用搜索</x:v>
      </x:c>
      <x:c r="F485" s="95" t="n">
        <x:v>49</x:v>
      </x:c>
      <x:c r="G485" s="95" t="n">
        <x:v>45</x:v>
      </x:c>
      <x:c r="H485" s="95" t="n">
        <x:v>32</x:v>
      </x:c>
      <x:c r="I485" s="95" t="n">
        <x:v>27</x:v>
      </x:c>
      <x:c r="J485" s="95" t="n">
        <x:v>10</x:v>
      </x:c>
      <x:c r="K485" s="95" t="n">
        <x:v>3</x:v>
      </x:c>
      <x:c r="L485" s="95" t="n">
        <x:v>1</x:v>
      </x:c>
      <x:c r="M485" s="96" t="n">
        <x:f>IFERROR(G485/F485,0)</x:f>
        <x:v>0.9183673469387755</x:v>
      </x:c>
      <x:c r="N485" s="96" t="n">
        <x:f>IFERROR(H485/G485,0)</x:f>
        <x:v>0.7111111111111111</x:v>
      </x:c>
      <x:c r="O485" s="96" t="n">
        <x:f>IFERROR(I485/H485,0)</x:f>
        <x:v>0.84375</x:v>
      </x:c>
      <x:c r="P485" s="96" t="n">
        <x:f>IFERROR(J485/I485,0)</x:f>
        <x:v>0.37037037037037035</x:v>
      </x:c>
      <x:c r="Q485" s="96" t="n">
        <x:f>IFERROR(L485/J485,0)</x:f>
        <x:v>0.1</x:v>
      </x:c>
      <x:c r="R485" s="96" t="n">
        <x:f>IFERROR(L485/F485,0)</x:f>
        <x:v>0.02040816326530612</x:v>
      </x:c>
      <x:c r="S485" s="95" t="n">
        <x:v>54</x:v>
      </x:c>
      <x:c r="T485" s="94" t="str">
        <x:v>末次点击7天</x:v>
      </x:c>
    </x:row>
    <x:row r="486">
      <x:c r="A486" s="92" t="str">
        <x:v>PROC-0485</x:v>
      </x:c>
      <x:c r="B486" s="93" t="n">
        <x:v>46110</x:v>
      </x:c>
      <x:c r="C486" s="94" t="str">
        <x:v>Microsoft Ads</x:v>
      </x:c>
      <x:c r="D486" s="94" t="str">
        <x:v>美国</x:v>
      </x:c>
      <x:c r="E486" s="94" t="str">
        <x:v>通用搜索</x:v>
      </x:c>
      <x:c r="F486" s="95" t="n">
        <x:v>39</x:v>
      </x:c>
      <x:c r="G486" s="95" t="n">
        <x:v>35</x:v>
      </x:c>
      <x:c r="H486" s="95" t="n">
        <x:v>25</x:v>
      </x:c>
      <x:c r="I486" s="95" t="n">
        <x:v>21</x:v>
      </x:c>
      <x:c r="J486" s="95" t="n">
        <x:v>8</x:v>
      </x:c>
      <x:c r="K486" s="95" t="n">
        <x:v>2</x:v>
      </x:c>
      <x:c r="L486" s="95" t="n">
        <x:v>1</x:v>
      </x:c>
      <x:c r="M486" s="96" t="n">
        <x:f>IFERROR(G486/F486,0)</x:f>
        <x:v>0.8974358974358975</x:v>
      </x:c>
      <x:c r="N486" s="96" t="n">
        <x:f>IFERROR(H486/G486,0)</x:f>
        <x:v>0.7142857142857143</x:v>
      </x:c>
      <x:c r="O486" s="96" t="n">
        <x:f>IFERROR(I486/H486,0)</x:f>
        <x:v>0.84</x:v>
      </x:c>
      <x:c r="P486" s="96" t="n">
        <x:f>IFERROR(J486/I486,0)</x:f>
        <x:v>0.38095238095238093</x:v>
      </x:c>
      <x:c r="Q486" s="96" t="n">
        <x:f>IFERROR(L486/J486,0)</x:f>
        <x:v>0.125</x:v>
      </x:c>
      <x:c r="R486" s="96" t="n">
        <x:f>IFERROR(L486/F486,0)</x:f>
        <x:v>0.02564102564102564</x:v>
      </x:c>
      <x:c r="S486" s="95" t="n">
        <x:v>133</x:v>
      </x:c>
      <x:c r="T486" s="94" t="str">
        <x:v>末次点击7天</x:v>
      </x:c>
    </x:row>
    <x:row r="487">
      <x:c r="A487" s="92" t="str">
        <x:v>PROC-0486</x:v>
      </x:c>
      <x:c r="B487" s="93" t="n">
        <x:v>46110</x:v>
      </x:c>
      <x:c r="C487" s="94" t="str">
        <x:v>Google Ads</x:v>
      </x:c>
      <x:c r="D487" s="94" t="str">
        <x:v>德国</x:v>
      </x:c>
      <x:c r="E487" s="94" t="str">
        <x:v>竞品搜索</x:v>
      </x:c>
      <x:c r="F487" s="95" t="n">
        <x:v>19</x:v>
      </x:c>
      <x:c r="G487" s="95" t="n">
        <x:v>17</x:v>
      </x:c>
      <x:c r="H487" s="95" t="n">
        <x:v>12</x:v>
      </x:c>
      <x:c r="I487" s="95" t="n">
        <x:v>10</x:v>
      </x:c>
      <x:c r="J487" s="95" t="n">
        <x:v>5</x:v>
      </x:c>
      <x:c r="K487" s="95" t="n">
        <x:v>2</x:v>
      </x:c>
      <x:c r="L487" s="95" t="n">
        <x:v>0</x:v>
      </x:c>
      <x:c r="M487" s="96" t="n">
        <x:f>IFERROR(G487/F487,0)</x:f>
        <x:v>0.8947368421052632</x:v>
      </x:c>
      <x:c r="N487" s="96" t="n">
        <x:f>IFERROR(H487/G487,0)</x:f>
        <x:v>0.7058823529411765</x:v>
      </x:c>
      <x:c r="O487" s="96" t="n">
        <x:f>IFERROR(I487/H487,0)</x:f>
        <x:v>0.8333333333333334</x:v>
      </x:c>
      <x:c r="P487" s="96" t="n">
        <x:f>IFERROR(J487/I487,0)</x:f>
        <x:v>0.5</x:v>
      </x:c>
      <x:c r="Q487" s="96" t="n">
        <x:f>IFERROR(L487/J487,0)</x:f>
        <x:v>0</x:v>
      </x:c>
      <x:c r="R487" s="96" t="n">
        <x:f>IFERROR(L487/F487,0)</x:f>
        <x:v>0</x:v>
      </x:c>
      <x:c r="S487" s="95" t="n">
        <x:v>153</x:v>
      </x:c>
      <x:c r="T487" s="94" t="str">
        <x:v>末次点击7天</x:v>
      </x:c>
    </x:row>
    <x:row r="488">
      <x:c r="A488" s="92" t="str">
        <x:v>PROC-0487</x:v>
      </x:c>
      <x:c r="B488" s="93" t="n">
        <x:v>46110</x:v>
      </x:c>
      <x:c r="C488" s="94" t="str">
        <x:v>Google Ads</x:v>
      </x:c>
      <x:c r="D488" s="94" t="str">
        <x:v>日本</x:v>
      </x:c>
      <x:c r="E488" s="94" t="str">
        <x:v>购物广告</x:v>
      </x:c>
      <x:c r="F488" s="95" t="n">
        <x:v>76</x:v>
      </x:c>
      <x:c r="G488" s="95" t="n">
        <x:v>70</x:v>
      </x:c>
      <x:c r="H488" s="95" t="n">
        <x:v>47</x:v>
      </x:c>
      <x:c r="I488" s="95" t="n">
        <x:v>40</x:v>
      </x:c>
      <x:c r="J488" s="95" t="n">
        <x:v>18</x:v>
      </x:c>
      <x:c r="K488" s="95" t="n">
        <x:v>4</x:v>
      </x:c>
      <x:c r="L488" s="95" t="n">
        <x:v>2</x:v>
      </x:c>
      <x:c r="M488" s="96" t="n">
        <x:f>IFERROR(G488/F488,0)</x:f>
        <x:v>0.9210526315789473</x:v>
      </x:c>
      <x:c r="N488" s="96" t="n">
        <x:f>IFERROR(H488/G488,0)</x:f>
        <x:v>0.6714285714285714</x:v>
      </x:c>
      <x:c r="O488" s="96" t="n">
        <x:f>IFERROR(I488/H488,0)</x:f>
        <x:v>0.851063829787234</x:v>
      </x:c>
      <x:c r="P488" s="96" t="n">
        <x:f>IFERROR(J488/I488,0)</x:f>
        <x:v>0.45</x:v>
      </x:c>
      <x:c r="Q488" s="96" t="n">
        <x:f>IFERROR(L488/J488,0)</x:f>
        <x:v>0.1111111111111111</x:v>
      </x:c>
      <x:c r="R488" s="96" t="n">
        <x:f>IFERROR(L488/F488,0)</x:f>
        <x:v>0.02631578947368421</x:v>
      </x:c>
      <x:c r="S488" s="95" t="n">
        <x:v>67</x:v>
      </x:c>
      <x:c r="T488" s="94" t="str">
        <x:v>末次点击7天</x:v>
      </x:c>
    </x:row>
    <x:row r="489">
      <x:c r="A489" s="92" t="str">
        <x:v>PROC-0488</x:v>
      </x:c>
      <x:c r="B489" s="93" t="n">
        <x:v>46111</x:v>
      </x:c>
      <x:c r="C489" s="94" t="str">
        <x:v>Microsoft Ads</x:v>
      </x:c>
      <x:c r="D489" s="94" t="str">
        <x:v>英国</x:v>
      </x:c>
      <x:c r="E489" s="94" t="str">
        <x:v>竞品搜索</x:v>
      </x:c>
      <x:c r="F489" s="95" t="n">
        <x:v>29</x:v>
      </x:c>
      <x:c r="G489" s="95" t="n">
        <x:v>28</x:v>
      </x:c>
      <x:c r="H489" s="95" t="n">
        <x:v>18</x:v>
      </x:c>
      <x:c r="I489" s="95" t="n">
        <x:v>14</x:v>
      </x:c>
      <x:c r="J489" s="95" t="n">
        <x:v>6</x:v>
      </x:c>
      <x:c r="K489" s="95" t="n">
        <x:v>1</x:v>
      </x:c>
      <x:c r="L489" s="95" t="n">
        <x:v>0</x:v>
      </x:c>
      <x:c r="M489" s="96" t="n">
        <x:f>IFERROR(G489/F489,0)</x:f>
        <x:v>0.9655172413793104</x:v>
      </x:c>
      <x:c r="N489" s="96" t="n">
        <x:f>IFERROR(H489/G489,0)</x:f>
        <x:v>0.6428571428571429</x:v>
      </x:c>
      <x:c r="O489" s="96" t="n">
        <x:f>IFERROR(I489/H489,0)</x:f>
        <x:v>0.7777777777777778</x:v>
      </x:c>
      <x:c r="P489" s="96" t="n">
        <x:f>IFERROR(J489/I489,0)</x:f>
        <x:v>0.42857142857142855</x:v>
      </x:c>
      <x:c r="Q489" s="96" t="n">
        <x:f>IFERROR(L489/J489,0)</x:f>
        <x:v>0</x:v>
      </x:c>
      <x:c r="R489" s="96" t="n">
        <x:f>IFERROR(L489/F489,0)</x:f>
        <x:v>0</x:v>
      </x:c>
      <x:c r="S489" s="95" t="n">
        <x:v>89</x:v>
      </x:c>
      <x:c r="T489" s="94" t="str">
        <x:v>末次点击7天</x:v>
      </x:c>
    </x:row>
    <x:row r="490">
      <x:c r="A490" s="92" t="str">
        <x:v>PROC-0489</x:v>
      </x:c>
      <x:c r="B490" s="93" t="n">
        <x:v>46111</x:v>
      </x:c>
      <x:c r="C490" s="94" t="str">
        <x:v>Google Ads</x:v>
      </x:c>
      <x:c r="D490" s="94" t="str">
        <x:v>美国</x:v>
      </x:c>
      <x:c r="E490" s="94" t="str">
        <x:v>竞品搜索</x:v>
      </x:c>
      <x:c r="F490" s="95" t="n">
        <x:v>19</x:v>
      </x:c>
      <x:c r="G490" s="95" t="n">
        <x:v>17</x:v>
      </x:c>
      <x:c r="H490" s="95" t="n">
        <x:v>12</x:v>
      </x:c>
      <x:c r="I490" s="95" t="n">
        <x:v>10</x:v>
      </x:c>
      <x:c r="J490" s="95" t="n">
        <x:v>4</x:v>
      </x:c>
      <x:c r="K490" s="95" t="n">
        <x:v>1</x:v>
      </x:c>
      <x:c r="L490" s="95" t="n">
        <x:v>0</x:v>
      </x:c>
      <x:c r="M490" s="96" t="n">
        <x:f>IFERROR(G490/F490,0)</x:f>
        <x:v>0.8947368421052632</x:v>
      </x:c>
      <x:c r="N490" s="96" t="n">
        <x:f>IFERROR(H490/G490,0)</x:f>
        <x:v>0.7058823529411765</x:v>
      </x:c>
      <x:c r="O490" s="96" t="n">
        <x:f>IFERROR(I490/H490,0)</x:f>
        <x:v>0.8333333333333334</x:v>
      </x:c>
      <x:c r="P490" s="96" t="n">
        <x:f>IFERROR(J490/I490,0)</x:f>
        <x:v>0.4</x:v>
      </x:c>
      <x:c r="Q490" s="96" t="n">
        <x:f>IFERROR(L490/J490,0)</x:f>
        <x:v>0</x:v>
      </x:c>
      <x:c r="R490" s="96" t="n">
        <x:f>IFERROR(L490/F490,0)</x:f>
        <x:v>0</x:v>
      </x:c>
      <x:c r="S490" s="95" t="n">
        <x:v>85</x:v>
      </x:c>
      <x:c r="T490" s="94" t="str">
        <x:v>末次点击7天</x:v>
      </x:c>
    </x:row>
    <x:row r="491">
      <x:c r="A491" s="92" t="str">
        <x:v>PROC-0490</x:v>
      </x:c>
      <x:c r="B491" s="93" t="n">
        <x:v>46111</x:v>
      </x:c>
      <x:c r="C491" s="94" t="str">
        <x:v>Google Ads</x:v>
      </x:c>
      <x:c r="D491" s="94" t="str">
        <x:v>英国</x:v>
      </x:c>
      <x:c r="E491" s="94" t="str">
        <x:v>通用搜索</x:v>
      </x:c>
      <x:c r="F491" s="95" t="n">
        <x:v>29</x:v>
      </x:c>
      <x:c r="G491" s="95" t="n">
        <x:v>26</x:v>
      </x:c>
      <x:c r="H491" s="95" t="n">
        <x:v>20</x:v>
      </x:c>
      <x:c r="I491" s="95" t="n">
        <x:v>17</x:v>
      </x:c>
      <x:c r="J491" s="95" t="n">
        <x:v>6</x:v>
      </x:c>
      <x:c r="K491" s="95" t="n">
        <x:v>1</x:v>
      </x:c>
      <x:c r="L491" s="95" t="n">
        <x:v>0</x:v>
      </x:c>
      <x:c r="M491" s="96" t="n">
        <x:f>IFERROR(G491/F491,0)</x:f>
        <x:v>0.896551724137931</x:v>
      </x:c>
      <x:c r="N491" s="96" t="n">
        <x:f>IFERROR(H491/G491,0)</x:f>
        <x:v>0.7692307692307693</x:v>
      </x:c>
      <x:c r="O491" s="96" t="n">
        <x:f>IFERROR(I491/H491,0)</x:f>
        <x:v>0.85</x:v>
      </x:c>
      <x:c r="P491" s="96" t="n">
        <x:f>IFERROR(J491/I491,0)</x:f>
        <x:v>0.35294117647058826</x:v>
      </x:c>
      <x:c r="Q491" s="96" t="n">
        <x:f>IFERROR(L491/J491,0)</x:f>
        <x:v>0</x:v>
      </x:c>
      <x:c r="R491" s="96" t="n">
        <x:f>IFERROR(L491/F491,0)</x:f>
        <x:v>0</x:v>
      </x:c>
      <x:c r="S491" s="95" t="n">
        <x:v>68</x:v>
      </x:c>
      <x:c r="T491" s="94" t="str">
        <x:v>末次点击7天</x:v>
      </x:c>
    </x:row>
    <x:row r="492">
      <x:c r="A492" s="92" t="str">
        <x:v>PROC-0491</x:v>
      </x:c>
      <x:c r="B492" s="93" t="n">
        <x:v>46111</x:v>
      </x:c>
      <x:c r="C492" s="94" t="str">
        <x:v>Google Ads</x:v>
      </x:c>
      <x:c r="D492" s="94" t="str">
        <x:v>美国</x:v>
      </x:c>
      <x:c r="E492" s="94" t="str">
        <x:v>购物广告</x:v>
      </x:c>
      <x:c r="F492" s="95" t="n">
        <x:v>45</x:v>
      </x:c>
      <x:c r="G492" s="95" t="n">
        <x:v>42</x:v>
      </x:c>
      <x:c r="H492" s="95" t="n">
        <x:v>28</x:v>
      </x:c>
      <x:c r="I492" s="95" t="n">
        <x:v>26</x:v>
      </x:c>
      <x:c r="J492" s="95" t="n">
        <x:v>11</x:v>
      </x:c>
      <x:c r="K492" s="95" t="n">
        <x:v>4</x:v>
      </x:c>
      <x:c r="L492" s="95" t="n">
        <x:v>1</x:v>
      </x:c>
      <x:c r="M492" s="96" t="n">
        <x:f>IFERROR(G492/F492,0)</x:f>
        <x:v>0.9333333333333333</x:v>
      </x:c>
      <x:c r="N492" s="96" t="n">
        <x:f>IFERROR(H492/G492,0)</x:f>
        <x:v>0.6666666666666666</x:v>
      </x:c>
      <x:c r="O492" s="96" t="n">
        <x:f>IFERROR(I492/H492,0)</x:f>
        <x:v>0.9285714285714286</x:v>
      </x:c>
      <x:c r="P492" s="96" t="n">
        <x:f>IFERROR(J492/I492,0)</x:f>
        <x:v>0.4230769230769231</x:v>
      </x:c>
      <x:c r="Q492" s="96" t="n">
        <x:f>IFERROR(L492/J492,0)</x:f>
        <x:v>0.09090909090909091</x:v>
      </x:c>
      <x:c r="R492" s="96" t="n">
        <x:f>IFERROR(L492/F492,0)</x:f>
        <x:v>0.022222222222222223</x:v>
      </x:c>
      <x:c r="S492" s="95" t="n">
        <x:v>46</x:v>
      </x:c>
      <x:c r="T492" s="94" t="str">
        <x:v>末次点击7天</x:v>
      </x:c>
    </x:row>
    <x:row r="493">
      <x:c r="A493" s="92" t="str">
        <x:v>PROC-0492</x:v>
      </x:c>
      <x:c r="B493" s="93" t="n">
        <x:v>46111</x:v>
      </x:c>
      <x:c r="C493" s="94" t="str">
        <x:v>Microsoft Ads</x:v>
      </x:c>
      <x:c r="D493" s="94" t="str">
        <x:v>美国</x:v>
      </x:c>
      <x:c r="E493" s="94" t="str">
        <x:v>购物广告</x:v>
      </x:c>
      <x:c r="F493" s="95" t="n">
        <x:v>34</x:v>
      </x:c>
      <x:c r="G493" s="95" t="n">
        <x:v>31</x:v>
      </x:c>
      <x:c r="H493" s="95" t="n">
        <x:v>23</x:v>
      </x:c>
      <x:c r="I493" s="95" t="n">
        <x:v>21</x:v>
      </x:c>
      <x:c r="J493" s="95" t="n">
        <x:v>10</x:v>
      </x:c>
      <x:c r="K493" s="95" t="n">
        <x:v>3</x:v>
      </x:c>
      <x:c r="L493" s="95" t="n">
        <x:v>1</x:v>
      </x:c>
      <x:c r="M493" s="96" t="n">
        <x:f>IFERROR(G493/F493,0)</x:f>
        <x:v>0.9117647058823529</x:v>
      </x:c>
      <x:c r="N493" s="96" t="n">
        <x:f>IFERROR(H493/G493,0)</x:f>
        <x:v>0.7419354838709677</x:v>
      </x:c>
      <x:c r="O493" s="96" t="n">
        <x:f>IFERROR(I493/H493,0)</x:f>
        <x:v>0.9130434782608695</x:v>
      </x:c>
      <x:c r="P493" s="96" t="n">
        <x:f>IFERROR(J493/I493,0)</x:f>
        <x:v>0.47619047619047616</x:v>
      </x:c>
      <x:c r="Q493" s="96" t="n">
        <x:f>IFERROR(L493/J493,0)</x:f>
        <x:v>0.1</x:v>
      </x:c>
      <x:c r="R493" s="96" t="n">
        <x:f>IFERROR(L493/F493,0)</x:f>
        <x:v>0.029411764705882353</x:v>
      </x:c>
      <x:c r="S493" s="95" t="n">
        <x:v>69</x:v>
      </x:c>
      <x:c r="T493" s="94" t="str">
        <x:v>末次点击7天</x:v>
      </x:c>
    </x:row>
    <x:row r="494">
      <x:c r="A494" s="92" t="str">
        <x:v>PROC-0493</x:v>
      </x:c>
      <x:c r="B494" s="93" t="n">
        <x:v>46112</x:v>
      </x:c>
      <x:c r="C494" s="94" t="str">
        <x:v>Google Ads</x:v>
      </x:c>
      <x:c r="D494" s="94" t="str">
        <x:v>德国</x:v>
      </x:c>
      <x:c r="E494" s="94" t="str">
        <x:v>通用搜索</x:v>
      </x:c>
      <x:c r="F494" s="95" t="n">
        <x:v>42</x:v>
      </x:c>
      <x:c r="G494" s="95" t="n">
        <x:v>39</x:v>
      </x:c>
      <x:c r="H494" s="95" t="n">
        <x:v>27</x:v>
      </x:c>
      <x:c r="I494" s="95" t="n">
        <x:v>23</x:v>
      </x:c>
      <x:c r="J494" s="95" t="n">
        <x:v>9</x:v>
      </x:c>
      <x:c r="K494" s="95" t="n">
        <x:v>2</x:v>
      </x:c>
      <x:c r="L494" s="95" t="n">
        <x:v>1</x:v>
      </x:c>
      <x:c r="M494" s="96" t="n">
        <x:f>IFERROR(G494/F494,0)</x:f>
        <x:v>0.9285714285714286</x:v>
      </x:c>
      <x:c r="N494" s="96" t="n">
        <x:f>IFERROR(H494/G494,0)</x:f>
        <x:v>0.6923076923076923</x:v>
      </x:c>
      <x:c r="O494" s="96" t="n">
        <x:f>IFERROR(I494/H494,0)</x:f>
        <x:v>0.8518518518518519</x:v>
      </x:c>
      <x:c r="P494" s="96" t="n">
        <x:f>IFERROR(J494/I494,0)</x:f>
        <x:v>0.391304347826087</x:v>
      </x:c>
      <x:c r="Q494" s="96" t="n">
        <x:f>IFERROR(L494/J494,0)</x:f>
        <x:v>0.1111111111111111</x:v>
      </x:c>
      <x:c r="R494" s="96" t="n">
        <x:f>IFERROR(L494/F494,0)</x:f>
        <x:v>0.023809523809523808</x:v>
      </x:c>
      <x:c r="S494" s="95" t="n">
        <x:v>132</x:v>
      </x:c>
      <x:c r="T494" s="94" t="str">
        <x:v>末次点击7天</x:v>
      </x:c>
    </x:row>
    <x:row r="495">
      <x:c r="A495" s="92" t="str">
        <x:v>PROC-0494</x:v>
      </x:c>
      <x:c r="B495" s="93" t="n">
        <x:v>46112</x:v>
      </x:c>
      <x:c r="C495" s="94" t="str">
        <x:v>Google Ads</x:v>
      </x:c>
      <x:c r="D495" s="94" t="str">
        <x:v>英国</x:v>
      </x:c>
      <x:c r="E495" s="94" t="str">
        <x:v>品牌搜索</x:v>
      </x:c>
      <x:c r="F495" s="95" t="n">
        <x:v>41</x:v>
      </x:c>
      <x:c r="G495" s="95" t="n">
        <x:v>36</x:v>
      </x:c>
      <x:c r="H495" s="95" t="n">
        <x:v>24</x:v>
      </x:c>
      <x:c r="I495" s="95" t="n">
        <x:v>20</x:v>
      </x:c>
      <x:c r="J495" s="95" t="n">
        <x:v>10</x:v>
      </x:c>
      <x:c r="K495" s="95" t="n">
        <x:v>3</x:v>
      </x:c>
      <x:c r="L495" s="95" t="n">
        <x:v>1</x:v>
      </x:c>
      <x:c r="M495" s="96" t="n">
        <x:f>IFERROR(G495/F495,0)</x:f>
        <x:v>0.8780487804878049</x:v>
      </x:c>
      <x:c r="N495" s="96" t="n">
        <x:f>IFERROR(H495/G495,0)</x:f>
        <x:v>0.6666666666666666</x:v>
      </x:c>
      <x:c r="O495" s="96" t="n">
        <x:f>IFERROR(I495/H495,0)</x:f>
        <x:v>0.8333333333333334</x:v>
      </x:c>
      <x:c r="P495" s="96" t="n">
        <x:f>IFERROR(J495/I495,0)</x:f>
        <x:v>0.5</x:v>
      </x:c>
      <x:c r="Q495" s="96" t="n">
        <x:f>IFERROR(L495/J495,0)</x:f>
        <x:v>0.1</x:v>
      </x:c>
      <x:c r="R495" s="96" t="n">
        <x:f>IFERROR(L495/F495,0)</x:f>
        <x:v>0.024390243902439025</x:v>
      </x:c>
      <x:c r="S495" s="95" t="n">
        <x:v>150</x:v>
      </x:c>
      <x:c r="T495" s="94" t="str">
        <x:v>末次点击7天</x:v>
      </x:c>
    </x:row>
    <x:row r="496">
      <x:c r="A496" s="92" t="str">
        <x:v>PROC-0495</x:v>
      </x:c>
      <x:c r="B496" s="93" t="n">
        <x:v>46112</x:v>
      </x:c>
      <x:c r="C496" s="94" t="str">
        <x:v>Google Ads</x:v>
      </x:c>
      <x:c r="D496" s="94" t="str">
        <x:v>德国</x:v>
      </x:c>
      <x:c r="E496" s="94" t="str">
        <x:v>通用搜索</x:v>
      </x:c>
      <x:c r="F496" s="95" t="n">
        <x:v>31</x:v>
      </x:c>
      <x:c r="G496" s="95" t="n">
        <x:v>29</x:v>
      </x:c>
      <x:c r="H496" s="95" t="n">
        <x:v>20</x:v>
      </x:c>
      <x:c r="I496" s="95" t="n">
        <x:v>16</x:v>
      </x:c>
      <x:c r="J496" s="95" t="n">
        <x:v>7</x:v>
      </x:c>
      <x:c r="K496" s="95" t="n">
        <x:v>2</x:v>
      </x:c>
      <x:c r="L496" s="95" t="n">
        <x:v>0</x:v>
      </x:c>
      <x:c r="M496" s="96" t="n">
        <x:f>IFERROR(G496/F496,0)</x:f>
        <x:v>0.9354838709677419</x:v>
      </x:c>
      <x:c r="N496" s="96" t="n">
        <x:f>IFERROR(H496/G496,0)</x:f>
        <x:v>0.6896551724137931</x:v>
      </x:c>
      <x:c r="O496" s="96" t="n">
        <x:f>IFERROR(I496/H496,0)</x:f>
        <x:v>0.8</x:v>
      </x:c>
      <x:c r="P496" s="96" t="n">
        <x:f>IFERROR(J496/I496,0)</x:f>
        <x:v>0.4375</x:v>
      </x:c>
      <x:c r="Q496" s="96" t="n">
        <x:f>IFERROR(L496/J496,0)</x:f>
        <x:v>0</x:v>
      </x:c>
      <x:c r="R496" s="96" t="n">
        <x:f>IFERROR(L496/F496,0)</x:f>
        <x:v>0</x:v>
      </x:c>
      <x:c r="S496" s="95" t="n">
        <x:v>44</x:v>
      </x:c>
      <x:c r="T496" s="94" t="str">
        <x:v>末次点击7天</x:v>
      </x:c>
    </x:row>
    <x:row r="497">
      <x:c r="A497" s="92" t="str">
        <x:v>PROC-0496</x:v>
      </x:c>
      <x:c r="B497" s="93" t="n">
        <x:v>46112</x:v>
      </x:c>
      <x:c r="C497" s="94" t="str">
        <x:v>Google Ads</x:v>
      </x:c>
      <x:c r="D497" s="94" t="str">
        <x:v>美国</x:v>
      </x:c>
      <x:c r="E497" s="94" t="str">
        <x:v>竞品搜索</x:v>
      </x:c>
      <x:c r="F497" s="95" t="n">
        <x:v>40</x:v>
      </x:c>
      <x:c r="G497" s="95" t="n">
        <x:v>35</x:v>
      </x:c>
      <x:c r="H497" s="95" t="n">
        <x:v>23</x:v>
      </x:c>
      <x:c r="I497" s="95" t="n">
        <x:v>20</x:v>
      </x:c>
      <x:c r="J497" s="95" t="n">
        <x:v>9</x:v>
      </x:c>
      <x:c r="K497" s="95" t="n">
        <x:v>2</x:v>
      </x:c>
      <x:c r="L497" s="95" t="n">
        <x:v>1</x:v>
      </x:c>
      <x:c r="M497" s="96" t="n">
        <x:f>IFERROR(G497/F497,0)</x:f>
        <x:v>0.875</x:v>
      </x:c>
      <x:c r="N497" s="96" t="n">
        <x:f>IFERROR(H497/G497,0)</x:f>
        <x:v>0.6571428571428571</x:v>
      </x:c>
      <x:c r="O497" s="96" t="n">
        <x:f>IFERROR(I497/H497,0)</x:f>
        <x:v>0.8695652173913043</x:v>
      </x:c>
      <x:c r="P497" s="96" t="n">
        <x:f>IFERROR(J497/I497,0)</x:f>
        <x:v>0.45</x:v>
      </x:c>
      <x:c r="Q497" s="96" t="n">
        <x:f>IFERROR(L497/J497,0)</x:f>
        <x:v>0.1111111111111111</x:v>
      </x:c>
      <x:c r="R497" s="96" t="n">
        <x:f>IFERROR(L497/F497,0)</x:f>
        <x:v>0.025</x:v>
      </x:c>
      <x:c r="S497" s="95" t="n">
        <x:v>123</x:v>
      </x:c>
      <x:c r="T497" s="94" t="str">
        <x:v>末次点击7天</x:v>
      </x:c>
    </x:row>
    <x:row r="498">
      <x:c r="A498" s="92" t="str">
        <x:v>PROC-0497</x:v>
      </x:c>
      <x:c r="B498" s="93" t="n">
        <x:v>46112</x:v>
      </x:c>
      <x:c r="C498" s="94" t="str">
        <x:v>Google Ads</x:v>
      </x:c>
      <x:c r="D498" s="94" t="str">
        <x:v>美国</x:v>
      </x:c>
      <x:c r="E498" s="94" t="str">
        <x:v>通用搜索</x:v>
      </x:c>
      <x:c r="F498" s="95" t="n">
        <x:v>41</x:v>
      </x:c>
      <x:c r="G498" s="95" t="n">
        <x:v>39</x:v>
      </x:c>
      <x:c r="H498" s="95" t="n">
        <x:v>27</x:v>
      </x:c>
      <x:c r="I498" s="95" t="n">
        <x:v>22</x:v>
      </x:c>
      <x:c r="J498" s="95" t="n">
        <x:v>9</x:v>
      </x:c>
      <x:c r="K498" s="95" t="n">
        <x:v>3</x:v>
      </x:c>
      <x:c r="L498" s="95" t="n">
        <x:v>1</x:v>
      </x:c>
      <x:c r="M498" s="96" t="n">
        <x:f>IFERROR(G498/F498,0)</x:f>
        <x:v>0.9512195121951219</x:v>
      </x:c>
      <x:c r="N498" s="96" t="n">
        <x:f>IFERROR(H498/G498,0)</x:f>
        <x:v>0.6923076923076923</x:v>
      </x:c>
      <x:c r="O498" s="96" t="n">
        <x:f>IFERROR(I498/H498,0)</x:f>
        <x:v>0.8148148148148148</x:v>
      </x:c>
      <x:c r="P498" s="96" t="n">
        <x:f>IFERROR(J498/I498,0)</x:f>
        <x:v>0.4090909090909091</x:v>
      </x:c>
      <x:c r="Q498" s="96" t="n">
        <x:f>IFERROR(L498/J498,0)</x:f>
        <x:v>0.1111111111111111</x:v>
      </x:c>
      <x:c r="R498" s="96" t="n">
        <x:f>IFERROR(L498/F498,0)</x:f>
        <x:v>0.024390243902439025</x:v>
      </x:c>
      <x:c r="S498" s="95" t="n">
        <x:v>106</x:v>
      </x:c>
      <x:c r="T498" s="94" t="str">
        <x:v>末次点击7天</x:v>
      </x:c>
    </x:row>
    <x:row r="499">
      <x:c r="A499" s="92" t="str">
        <x:v>PROC-0498</x:v>
      </x:c>
      <x:c r="B499" s="93" t="n">
        <x:v>46112</x:v>
      </x:c>
      <x:c r="C499" s="94" t="str">
        <x:v>Microsoft Ads</x:v>
      </x:c>
      <x:c r="D499" s="94" t="str">
        <x:v>日本</x:v>
      </x:c>
      <x:c r="E499" s="94" t="str">
        <x:v>通用搜索</x:v>
      </x:c>
      <x:c r="F499" s="95" t="n">
        <x:v>37</x:v>
      </x:c>
      <x:c r="G499" s="95" t="n">
        <x:v>35</x:v>
      </x:c>
      <x:c r="H499" s="95" t="n">
        <x:v>26</x:v>
      </x:c>
      <x:c r="I499" s="95" t="n">
        <x:v>22</x:v>
      </x:c>
      <x:c r="J499" s="95" t="n">
        <x:v>10</x:v>
      </x:c>
      <x:c r="K499" s="95" t="n">
        <x:v>3</x:v>
      </x:c>
      <x:c r="L499" s="95" t="n">
        <x:v>1</x:v>
      </x:c>
      <x:c r="M499" s="96" t="n">
        <x:f>IFERROR(G499/F499,0)</x:f>
        <x:v>0.9459459459459459</x:v>
      </x:c>
      <x:c r="N499" s="96" t="n">
        <x:f>IFERROR(H499/G499,0)</x:f>
        <x:v>0.7428571428571429</x:v>
      </x:c>
      <x:c r="O499" s="96" t="n">
        <x:f>IFERROR(I499/H499,0)</x:f>
        <x:v>0.8461538461538461</x:v>
      </x:c>
      <x:c r="P499" s="96" t="n">
        <x:f>IFERROR(J499/I499,0)</x:f>
        <x:v>0.45454545454545453</x:v>
      </x:c>
      <x:c r="Q499" s="96" t="n">
        <x:f>IFERROR(L499/J499,0)</x:f>
        <x:v>0.1</x:v>
      </x:c>
      <x:c r="R499" s="96" t="n">
        <x:f>IFERROR(L499/F499,0)</x:f>
        <x:v>0.02702702702702703</x:v>
      </x:c>
      <x:c r="S499" s="95" t="n">
        <x:v>74</x:v>
      </x:c>
      <x:c r="T499" s="94" t="str">
        <x:v>末次点击7天</x:v>
      </x:c>
    </x:row>
    <x:row r="500">
      <x:c r="A500" s="92" t="str">
        <x:v>PROC-0499</x:v>
      </x:c>
      <x:c r="B500" s="93" t="n">
        <x:v>46113</x:v>
      </x:c>
      <x:c r="C500" s="94" t="str">
        <x:v>Google Ads</x:v>
      </x:c>
      <x:c r="D500" s="94" t="str">
        <x:v>美国</x:v>
      </x:c>
      <x:c r="E500" s="94" t="str">
        <x:v>购物广告</x:v>
      </x:c>
      <x:c r="F500" s="95" t="n">
        <x:v>45</x:v>
      </x:c>
      <x:c r="G500" s="95" t="n">
        <x:v>43</x:v>
      </x:c>
      <x:c r="H500" s="95" t="n">
        <x:v>27</x:v>
      </x:c>
      <x:c r="I500" s="95" t="n">
        <x:v>24</x:v>
      </x:c>
      <x:c r="J500" s="95" t="n">
        <x:v>10</x:v>
      </x:c>
      <x:c r="K500" s="95" t="n">
        <x:v>2</x:v>
      </x:c>
      <x:c r="L500" s="95" t="n">
        <x:v>1</x:v>
      </x:c>
      <x:c r="M500" s="96" t="n">
        <x:f>IFERROR(G500/F500,0)</x:f>
        <x:v>0.9555555555555556</x:v>
      </x:c>
      <x:c r="N500" s="96" t="n">
        <x:f>IFERROR(H500/G500,0)</x:f>
        <x:v>0.627906976744186</x:v>
      </x:c>
      <x:c r="O500" s="96" t="n">
        <x:f>IFERROR(I500/H500,0)</x:f>
        <x:v>0.8888888888888888</x:v>
      </x:c>
      <x:c r="P500" s="96" t="n">
        <x:f>IFERROR(J500/I500,0)</x:f>
        <x:v>0.4166666666666667</x:v>
      </x:c>
      <x:c r="Q500" s="96" t="n">
        <x:f>IFERROR(L500/J500,0)</x:f>
        <x:v>0.1</x:v>
      </x:c>
      <x:c r="R500" s="96" t="n">
        <x:f>IFERROR(L500/F500,0)</x:f>
        <x:v>0.022222222222222223</x:v>
      </x:c>
      <x:c r="S500" s="95" t="n">
        <x:v>87</x:v>
      </x:c>
      <x:c r="T500" s="94" t="str">
        <x:v>末次点击7天</x:v>
      </x:c>
    </x:row>
    <x:row r="501">
      <x:c r="A501" s="92" t="str">
        <x:v>PROC-0500</x:v>
      </x:c>
      <x:c r="B501" s="93" t="n">
        <x:v>46113</x:v>
      </x:c>
      <x:c r="C501" s="94" t="str">
        <x:v>Google Ads</x:v>
      </x:c>
      <x:c r="D501" s="94" t="str">
        <x:v>日本</x:v>
      </x:c>
      <x:c r="E501" s="94" t="str">
        <x:v>通用搜索</x:v>
      </x:c>
      <x:c r="F501" s="95" t="n">
        <x:v>31</x:v>
      </x:c>
      <x:c r="G501" s="95" t="n">
        <x:v>27</x:v>
      </x:c>
      <x:c r="H501" s="95" t="n">
        <x:v>18</x:v>
      </x:c>
      <x:c r="I501" s="95" t="n">
        <x:v>15</x:v>
      </x:c>
      <x:c r="J501" s="95" t="n">
        <x:v>5</x:v>
      </x:c>
      <x:c r="K501" s="95" t="n">
        <x:v>1</x:v>
      </x:c>
      <x:c r="L501" s="95" t="n">
        <x:v>0</x:v>
      </x:c>
      <x:c r="M501" s="96" t="n">
        <x:f>IFERROR(G501/F501,0)</x:f>
        <x:v>0.8709677419354839</x:v>
      </x:c>
      <x:c r="N501" s="96" t="n">
        <x:f>IFERROR(H501/G501,0)</x:f>
        <x:v>0.6666666666666666</x:v>
      </x:c>
      <x:c r="O501" s="96" t="n">
        <x:f>IFERROR(I501/H501,0)</x:f>
        <x:v>0.8333333333333334</x:v>
      </x:c>
      <x:c r="P501" s="96" t="n">
        <x:f>IFERROR(J501/I501,0)</x:f>
        <x:v>0.3333333333333333</x:v>
      </x:c>
      <x:c r="Q501" s="96" t="n">
        <x:f>IFERROR(L501/J501,0)</x:f>
        <x:v>0</x:v>
      </x:c>
      <x:c r="R501" s="96" t="n">
        <x:f>IFERROR(L501/F501,0)</x:f>
        <x:v>0</x:v>
      </x:c>
      <x:c r="S501" s="95" t="n">
        <x:v>145</x:v>
      </x:c>
      <x:c r="T501" s="94" t="str">
        <x:v>末次点击7天</x:v>
      </x:c>
    </x:row>
    <x:row r="502">
      <x:c r="A502" s="92" t="str">
        <x:v>PROC-0501</x:v>
      </x:c>
      <x:c r="B502" s="93" t="n">
        <x:v>46113</x:v>
      </x:c>
      <x:c r="C502" s="94" t="str">
        <x:v>Google Ads</x:v>
      </x:c>
      <x:c r="D502" s="94" t="str">
        <x:v>美国</x:v>
      </x:c>
      <x:c r="E502" s="94" t="str">
        <x:v>品牌搜索</x:v>
      </x:c>
      <x:c r="F502" s="95" t="n">
        <x:v>70</x:v>
      </x:c>
      <x:c r="G502" s="95" t="n">
        <x:v>65</x:v>
      </x:c>
      <x:c r="H502" s="95" t="n">
        <x:v>50</x:v>
      </x:c>
      <x:c r="I502" s="95" t="n">
        <x:v>40</x:v>
      </x:c>
      <x:c r="J502" s="95" t="n">
        <x:v>21</x:v>
      </x:c>
      <x:c r="K502" s="95" t="n">
        <x:v>6</x:v>
      </x:c>
      <x:c r="L502" s="95" t="n">
        <x:v>2</x:v>
      </x:c>
      <x:c r="M502" s="96" t="n">
        <x:f>IFERROR(G502/F502,0)</x:f>
        <x:v>0.9285714285714286</x:v>
      </x:c>
      <x:c r="N502" s="96" t="n">
        <x:f>IFERROR(H502/G502,0)</x:f>
        <x:v>0.7692307692307693</x:v>
      </x:c>
      <x:c r="O502" s="96" t="n">
        <x:f>IFERROR(I502/H502,0)</x:f>
        <x:v>0.8</x:v>
      </x:c>
      <x:c r="P502" s="96" t="n">
        <x:f>IFERROR(J502/I502,0)</x:f>
        <x:v>0.525</x:v>
      </x:c>
      <x:c r="Q502" s="96" t="n">
        <x:f>IFERROR(L502/J502,0)</x:f>
        <x:v>0.09523809523809523</x:v>
      </x:c>
      <x:c r="R502" s="96" t="n">
        <x:f>IFERROR(L502/F502,0)</x:f>
        <x:v>0.02857142857142857</x:v>
      </x:c>
      <x:c r="S502" s="95" t="n">
        <x:v>112</x:v>
      </x:c>
      <x:c r="T502" s="94" t="str">
        <x:v>末次点击7天</x:v>
      </x:c>
    </x:row>
    <x:row r="503">
      <x:c r="A503" s="92" t="str">
        <x:v>PROC-0502</x:v>
      </x:c>
      <x:c r="B503" s="93" t="n">
        <x:v>46113</x:v>
      </x:c>
      <x:c r="C503" s="94" t="str">
        <x:v>Google Ads</x:v>
      </x:c>
      <x:c r="D503" s="94" t="str">
        <x:v>美国</x:v>
      </x:c>
      <x:c r="E503" s="94" t="str">
        <x:v>竞品搜索</x:v>
      </x:c>
      <x:c r="F503" s="95" t="n">
        <x:v>28</x:v>
      </x:c>
      <x:c r="G503" s="95" t="n">
        <x:v>27</x:v>
      </x:c>
      <x:c r="H503" s="95" t="n">
        <x:v>19</x:v>
      </x:c>
      <x:c r="I503" s="95" t="n">
        <x:v>16</x:v>
      </x:c>
      <x:c r="J503" s="95" t="n">
        <x:v>7</x:v>
      </x:c>
      <x:c r="K503" s="95" t="n">
        <x:v>2</x:v>
      </x:c>
      <x:c r="L503" s="95" t="n">
        <x:v>0</x:v>
      </x:c>
      <x:c r="M503" s="96" t="n">
        <x:f>IFERROR(G503/F503,0)</x:f>
        <x:v>0.9642857142857143</x:v>
      </x:c>
      <x:c r="N503" s="96" t="n">
        <x:f>IFERROR(H503/G503,0)</x:f>
        <x:v>0.7037037037037037</x:v>
      </x:c>
      <x:c r="O503" s="96" t="n">
        <x:f>IFERROR(I503/H503,0)</x:f>
        <x:v>0.8421052631578947</x:v>
      </x:c>
      <x:c r="P503" s="96" t="n">
        <x:f>IFERROR(J503/I503,0)</x:f>
        <x:v>0.4375</x:v>
      </x:c>
      <x:c r="Q503" s="96" t="n">
        <x:f>IFERROR(L503/J503,0)</x:f>
        <x:v>0</x:v>
      </x:c>
      <x:c r="R503" s="96" t="n">
        <x:f>IFERROR(L503/F503,0)</x:f>
        <x:v>0</x:v>
      </x:c>
      <x:c r="S503" s="95" t="n">
        <x:v>149</x:v>
      </x:c>
      <x:c r="T503" s="94" t="str">
        <x:v>末次点击7天</x:v>
      </x:c>
    </x:row>
    <x:row r="504">
      <x:c r="A504" s="92" t="str">
        <x:v>PROC-0503</x:v>
      </x:c>
      <x:c r="B504" s="93" t="n">
        <x:v>46113</x:v>
      </x:c>
      <x:c r="C504" s="94" t="str">
        <x:v>Google Ads</x:v>
      </x:c>
      <x:c r="D504" s="94" t="str">
        <x:v>美国</x:v>
      </x:c>
      <x:c r="E504" s="94" t="str">
        <x:v>品牌搜索</x:v>
      </x:c>
      <x:c r="F504" s="95" t="n">
        <x:v>57</x:v>
      </x:c>
      <x:c r="G504" s="95" t="n">
        <x:v>53</x:v>
      </x:c>
      <x:c r="H504" s="95" t="n">
        <x:v>33</x:v>
      </x:c>
      <x:c r="I504" s="95" t="n">
        <x:v>28</x:v>
      </x:c>
      <x:c r="J504" s="95" t="n">
        <x:v>14</x:v>
      </x:c>
      <x:c r="K504" s="95" t="n">
        <x:v>3</x:v>
      </x:c>
      <x:c r="L504" s="95" t="n">
        <x:v>1</x:v>
      </x:c>
      <x:c r="M504" s="96" t="n">
        <x:f>IFERROR(G504/F504,0)</x:f>
        <x:v>0.9298245614035088</x:v>
      </x:c>
      <x:c r="N504" s="96" t="n">
        <x:f>IFERROR(H504/G504,0)</x:f>
        <x:v>0.6226415094339622</x:v>
      </x:c>
      <x:c r="O504" s="96" t="n">
        <x:f>IFERROR(I504/H504,0)</x:f>
        <x:v>0.8484848484848485</x:v>
      </x:c>
      <x:c r="P504" s="96" t="n">
        <x:f>IFERROR(J504/I504,0)</x:f>
        <x:v>0.5</x:v>
      </x:c>
      <x:c r="Q504" s="96" t="n">
        <x:f>IFERROR(L504/J504,0)</x:f>
        <x:v>0.07142857142857142</x:v>
      </x:c>
      <x:c r="R504" s="96" t="n">
        <x:f>IFERROR(L504/F504,0)</x:f>
        <x:v>0.017543859649122806</x:v>
      </x:c>
      <x:c r="S504" s="95" t="n">
        <x:v>143</x:v>
      </x:c>
      <x:c r="T504" s="94" t="str">
        <x:v>末次点击7天</x:v>
      </x:c>
    </x:row>
    <x:row r="505">
      <x:c r="A505" s="92" t="str">
        <x:v>PROC-0504</x:v>
      </x:c>
      <x:c r="B505" s="93" t="n">
        <x:v>46114</x:v>
      </x:c>
      <x:c r="C505" s="94" t="str">
        <x:v>Google Ads</x:v>
      </x:c>
      <x:c r="D505" s="94" t="str">
        <x:v>美国</x:v>
      </x:c>
      <x:c r="E505" s="94" t="str">
        <x:v>竞品搜索</x:v>
      </x:c>
      <x:c r="F505" s="95" t="n">
        <x:v>20</x:v>
      </x:c>
      <x:c r="G505" s="95" t="n">
        <x:v>18</x:v>
      </x:c>
      <x:c r="H505" s="95" t="n">
        <x:v>11</x:v>
      </x:c>
      <x:c r="I505" s="95" t="n">
        <x:v>9</x:v>
      </x:c>
      <x:c r="J505" s="95" t="n">
        <x:v>4</x:v>
      </x:c>
      <x:c r="K505" s="95" t="n">
        <x:v>1</x:v>
      </x:c>
      <x:c r="L505" s="95" t="n">
        <x:v>0</x:v>
      </x:c>
      <x:c r="M505" s="96" t="n">
        <x:f>IFERROR(G505/F505,0)</x:f>
        <x:v>0.9</x:v>
      </x:c>
      <x:c r="N505" s="96" t="n">
        <x:f>IFERROR(H505/G505,0)</x:f>
        <x:v>0.6111111111111112</x:v>
      </x:c>
      <x:c r="O505" s="96" t="n">
        <x:f>IFERROR(I505/H505,0)</x:f>
        <x:v>0.8181818181818182</x:v>
      </x:c>
      <x:c r="P505" s="96" t="n">
        <x:f>IFERROR(J505/I505,0)</x:f>
        <x:v>0.4444444444444444</x:v>
      </x:c>
      <x:c r="Q505" s="96" t="n">
        <x:f>IFERROR(L505/J505,0)</x:f>
        <x:v>0</x:v>
      </x:c>
      <x:c r="R505" s="96" t="n">
        <x:f>IFERROR(L505/F505,0)</x:f>
        <x:v>0</x:v>
      </x:c>
      <x:c r="S505" s="95" t="n">
        <x:v>152</x:v>
      </x:c>
      <x:c r="T505" s="94" t="str">
        <x:v>末次点击7天</x:v>
      </x:c>
    </x:row>
    <x:row r="506">
      <x:c r="A506" s="92" t="str">
        <x:v>PROC-0505</x:v>
      </x:c>
      <x:c r="B506" s="93" t="n">
        <x:v>46114</x:v>
      </x:c>
      <x:c r="C506" s="94" t="str">
        <x:v>Google Ads</x:v>
      </x:c>
      <x:c r="D506" s="94" t="str">
        <x:v>德国</x:v>
      </x:c>
      <x:c r="E506" s="94" t="str">
        <x:v>竞品搜索</x:v>
      </x:c>
      <x:c r="F506" s="95" t="n">
        <x:v>32</x:v>
      </x:c>
      <x:c r="G506" s="95" t="n">
        <x:v>30</x:v>
      </x:c>
      <x:c r="H506" s="95" t="n">
        <x:v>19</x:v>
      </x:c>
      <x:c r="I506" s="95" t="n">
        <x:v>16</x:v>
      </x:c>
      <x:c r="J506" s="95" t="n">
        <x:v>7</x:v>
      </x:c>
      <x:c r="K506" s="95" t="n">
        <x:v>1</x:v>
      </x:c>
      <x:c r="L506" s="95" t="n">
        <x:v>0</x:v>
      </x:c>
      <x:c r="M506" s="96" t="n">
        <x:f>IFERROR(G506/F506,0)</x:f>
        <x:v>0.9375</x:v>
      </x:c>
      <x:c r="N506" s="96" t="n">
        <x:f>IFERROR(H506/G506,0)</x:f>
        <x:v>0.6333333333333333</x:v>
      </x:c>
      <x:c r="O506" s="96" t="n">
        <x:f>IFERROR(I506/H506,0)</x:f>
        <x:v>0.8421052631578947</x:v>
      </x:c>
      <x:c r="P506" s="96" t="n">
        <x:f>IFERROR(J506/I506,0)</x:f>
        <x:v>0.4375</x:v>
      </x:c>
      <x:c r="Q506" s="96" t="n">
        <x:f>IFERROR(L506/J506,0)</x:f>
        <x:v>0</x:v>
      </x:c>
      <x:c r="R506" s="96" t="n">
        <x:f>IFERROR(L506/F506,0)</x:f>
        <x:v>0</x:v>
      </x:c>
      <x:c r="S506" s="95" t="n">
        <x:v>50</x:v>
      </x:c>
      <x:c r="T506" s="94" t="str">
        <x:v>末次点击7天</x:v>
      </x:c>
    </x:row>
    <x:row r="507">
      <x:c r="A507" s="92" t="str">
        <x:v>PROC-0506</x:v>
      </x:c>
      <x:c r="B507" s="93" t="n">
        <x:v>46114</x:v>
      </x:c>
      <x:c r="C507" s="94" t="str">
        <x:v>Google Ads</x:v>
      </x:c>
      <x:c r="D507" s="94" t="str">
        <x:v>美国</x:v>
      </x:c>
      <x:c r="E507" s="94" t="str">
        <x:v>通用搜索</x:v>
      </x:c>
      <x:c r="F507" s="95" t="n">
        <x:v>40</x:v>
      </x:c>
      <x:c r="G507" s="95" t="n">
        <x:v>37</x:v>
      </x:c>
      <x:c r="H507" s="95" t="n">
        <x:v>26</x:v>
      </x:c>
      <x:c r="I507" s="95" t="n">
        <x:v>22</x:v>
      </x:c>
      <x:c r="J507" s="95" t="n">
        <x:v>8</x:v>
      </x:c>
      <x:c r="K507" s="95" t="n">
        <x:v>2</x:v>
      </x:c>
      <x:c r="L507" s="95" t="n">
        <x:v>1</x:v>
      </x:c>
      <x:c r="M507" s="96" t="n">
        <x:f>IFERROR(G507/F507,0)</x:f>
        <x:v>0.925</x:v>
      </x:c>
      <x:c r="N507" s="96" t="n">
        <x:f>IFERROR(H507/G507,0)</x:f>
        <x:v>0.7027027027027027</x:v>
      </x:c>
      <x:c r="O507" s="96" t="n">
        <x:f>IFERROR(I507/H507,0)</x:f>
        <x:v>0.8461538461538461</x:v>
      </x:c>
      <x:c r="P507" s="96" t="n">
        <x:f>IFERROR(J507/I507,0)</x:f>
        <x:v>0.36363636363636365</x:v>
      </x:c>
      <x:c r="Q507" s="96" t="n">
        <x:f>IFERROR(L507/J507,0)</x:f>
        <x:v>0.125</x:v>
      </x:c>
      <x:c r="R507" s="96" t="n">
        <x:f>IFERROR(L507/F507,0)</x:f>
        <x:v>0.025</x:v>
      </x:c>
      <x:c r="S507" s="95" t="n">
        <x:v>98</x:v>
      </x:c>
      <x:c r="T507" s="94" t="str">
        <x:v>末次点击7天</x:v>
      </x:c>
    </x:row>
    <x:row r="508">
      <x:c r="A508" s="92" t="str">
        <x:v>PROC-0507</x:v>
      </x:c>
      <x:c r="B508" s="93" t="n">
        <x:v>46114</x:v>
      </x:c>
      <x:c r="C508" s="94" t="str">
        <x:v>Google Ads</x:v>
      </x:c>
      <x:c r="D508" s="94" t="str">
        <x:v>美国</x:v>
      </x:c>
      <x:c r="E508" s="94" t="str">
        <x:v>通用搜索</x:v>
      </x:c>
      <x:c r="F508" s="95" t="n">
        <x:v>42</x:v>
      </x:c>
      <x:c r="G508" s="95" t="n">
        <x:v>38</x:v>
      </x:c>
      <x:c r="H508" s="95" t="n">
        <x:v>26</x:v>
      </x:c>
      <x:c r="I508" s="95" t="n">
        <x:v>22</x:v>
      </x:c>
      <x:c r="J508" s="95" t="n">
        <x:v>10</x:v>
      </x:c>
      <x:c r="K508" s="95" t="n">
        <x:v>2</x:v>
      </x:c>
      <x:c r="L508" s="95" t="n">
        <x:v>1</x:v>
      </x:c>
      <x:c r="M508" s="96" t="n">
        <x:f>IFERROR(G508/F508,0)</x:f>
        <x:v>0.9047619047619048</x:v>
      </x:c>
      <x:c r="N508" s="96" t="n">
        <x:f>IFERROR(H508/G508,0)</x:f>
        <x:v>0.6842105263157895</x:v>
      </x:c>
      <x:c r="O508" s="96" t="n">
        <x:f>IFERROR(I508/H508,0)</x:f>
        <x:v>0.8461538461538461</x:v>
      </x:c>
      <x:c r="P508" s="96" t="n">
        <x:f>IFERROR(J508/I508,0)</x:f>
        <x:v>0.45454545454545453</x:v>
      </x:c>
      <x:c r="Q508" s="96" t="n">
        <x:f>IFERROR(L508/J508,0)</x:f>
        <x:v>0.1</x:v>
      </x:c>
      <x:c r="R508" s="96" t="n">
        <x:f>IFERROR(L508/F508,0)</x:f>
        <x:v>0.023809523809523808</x:v>
      </x:c>
      <x:c r="S508" s="95" t="n">
        <x:v>73</x:v>
      </x:c>
      <x:c r="T508" s="94" t="str">
        <x:v>末次点击7天</x:v>
      </x:c>
    </x:row>
    <x:row r="509">
      <x:c r="A509" s="92" t="str">
        <x:v>PROC-0508</x:v>
      </x:c>
      <x:c r="B509" s="93" t="n">
        <x:v>46114</x:v>
      </x:c>
      <x:c r="C509" s="94" t="str">
        <x:v>Google Ads</x:v>
      </x:c>
      <x:c r="D509" s="94" t="str">
        <x:v>美国</x:v>
      </x:c>
      <x:c r="E509" s="94" t="str">
        <x:v>购物广告</x:v>
      </x:c>
      <x:c r="F509" s="95" t="n">
        <x:v>30</x:v>
      </x:c>
      <x:c r="G509" s="95" t="n">
        <x:v>27</x:v>
      </x:c>
      <x:c r="H509" s="95" t="n">
        <x:v>19</x:v>
      </x:c>
      <x:c r="I509" s="95" t="n">
        <x:v>16</x:v>
      </x:c>
      <x:c r="J509" s="95" t="n">
        <x:v>7</x:v>
      </x:c>
      <x:c r="K509" s="95" t="n">
        <x:v>2</x:v>
      </x:c>
      <x:c r="L509" s="95" t="n">
        <x:v>1</x:v>
      </x:c>
      <x:c r="M509" s="96" t="n">
        <x:f>IFERROR(G509/F509,0)</x:f>
        <x:v>0.9</x:v>
      </x:c>
      <x:c r="N509" s="96" t="n">
        <x:f>IFERROR(H509/G509,0)</x:f>
        <x:v>0.7037037037037037</x:v>
      </x:c>
      <x:c r="O509" s="96" t="n">
        <x:f>IFERROR(I509/H509,0)</x:f>
        <x:v>0.8421052631578947</x:v>
      </x:c>
      <x:c r="P509" s="96" t="n">
        <x:f>IFERROR(J509/I509,0)</x:f>
        <x:v>0.4375</x:v>
      </x:c>
      <x:c r="Q509" s="96" t="n">
        <x:f>IFERROR(L509/J509,0)</x:f>
        <x:v>0.14285714285714285</x:v>
      </x:c>
      <x:c r="R509" s="96" t="n">
        <x:f>IFERROR(L509/F509,0)</x:f>
        <x:v>0.03333333333333333</x:v>
      </x:c>
      <x:c r="S509" s="95" t="n">
        <x:v>76</x:v>
      </x:c>
      <x:c r="T509" s="94" t="str">
        <x:v>末次点击7天</x:v>
      </x:c>
    </x:row>
    <x:row r="510">
      <x:c r="A510" s="92" t="str">
        <x:v>PROC-0509</x:v>
      </x:c>
      <x:c r="B510" s="93" t="n">
        <x:v>46114</x:v>
      </x:c>
      <x:c r="C510" s="94" t="str">
        <x:v>Google Ads</x:v>
      </x:c>
      <x:c r="D510" s="94" t="str">
        <x:v>德国</x:v>
      </x:c>
      <x:c r="E510" s="94" t="str">
        <x:v>购物广告</x:v>
      </x:c>
      <x:c r="F510" s="95" t="n">
        <x:v>41</x:v>
      </x:c>
      <x:c r="G510" s="95" t="n">
        <x:v>39</x:v>
      </x:c>
      <x:c r="H510" s="95" t="n">
        <x:v>29</x:v>
      </x:c>
      <x:c r="I510" s="95" t="n">
        <x:v>26</x:v>
      </x:c>
      <x:c r="J510" s="95" t="n">
        <x:v>13</x:v>
      </x:c>
      <x:c r="K510" s="95" t="n">
        <x:v>4</x:v>
      </x:c>
      <x:c r="L510" s="95" t="n">
        <x:v>1</x:v>
      </x:c>
      <x:c r="M510" s="96" t="n">
        <x:f>IFERROR(G510/F510,0)</x:f>
        <x:v>0.9512195121951219</x:v>
      </x:c>
      <x:c r="N510" s="96" t="n">
        <x:f>IFERROR(H510/G510,0)</x:f>
        <x:v>0.7435897435897436</x:v>
      </x:c>
      <x:c r="O510" s="96" t="n">
        <x:f>IFERROR(I510/H510,0)</x:f>
        <x:v>0.896551724137931</x:v>
      </x:c>
      <x:c r="P510" s="96" t="n">
        <x:f>IFERROR(J510/I510,0)</x:f>
        <x:v>0.5</x:v>
      </x:c>
      <x:c r="Q510" s="96" t="n">
        <x:f>IFERROR(L510/J510,0)</x:f>
        <x:v>0.07692307692307693</x:v>
      </x:c>
      <x:c r="R510" s="96" t="n">
        <x:f>IFERROR(L510/F510,0)</x:f>
        <x:v>0.024390243902439025</x:v>
      </x:c>
      <x:c r="S510" s="95" t="n">
        <x:v>102</x:v>
      </x:c>
      <x:c r="T510" s="94" t="str">
        <x:v>末次点击7天</x:v>
      </x:c>
    </x:row>
    <x:row r="511">
      <x:c r="A511" s="92" t="str">
        <x:v>PROC-0510</x:v>
      </x:c>
      <x:c r="B511" s="93" t="n">
        <x:v>46115</x:v>
      </x:c>
      <x:c r="C511" s="94" t="str">
        <x:v>Google Ads</x:v>
      </x:c>
      <x:c r="D511" s="94" t="str">
        <x:v>美国</x:v>
      </x:c>
      <x:c r="E511" s="94" t="str">
        <x:v>通用搜索</x:v>
      </x:c>
      <x:c r="F511" s="95" t="n">
        <x:v>49</x:v>
      </x:c>
      <x:c r="G511" s="95" t="n">
        <x:v>44</x:v>
      </x:c>
      <x:c r="H511" s="95" t="n">
        <x:v>28</x:v>
      </x:c>
      <x:c r="I511" s="95" t="n">
        <x:v>23</x:v>
      </x:c>
      <x:c r="J511" s="95" t="n">
        <x:v>10</x:v>
      </x:c>
      <x:c r="K511" s="95" t="n">
        <x:v>2</x:v>
      </x:c>
      <x:c r="L511" s="95" t="n">
        <x:v>1</x:v>
      </x:c>
      <x:c r="M511" s="96" t="n">
        <x:f>IFERROR(G511/F511,0)</x:f>
        <x:v>0.8979591836734694</x:v>
      </x:c>
      <x:c r="N511" s="96" t="n">
        <x:f>IFERROR(H511/G511,0)</x:f>
        <x:v>0.6363636363636364</x:v>
      </x:c>
      <x:c r="O511" s="96" t="n">
        <x:f>IFERROR(I511/H511,0)</x:f>
        <x:v>0.8214285714285714</x:v>
      </x:c>
      <x:c r="P511" s="96" t="n">
        <x:f>IFERROR(J511/I511,0)</x:f>
        <x:v>0.43478260869565216</x:v>
      </x:c>
      <x:c r="Q511" s="96" t="n">
        <x:f>IFERROR(L511/J511,0)</x:f>
        <x:v>0.1</x:v>
      </x:c>
      <x:c r="R511" s="96" t="n">
        <x:f>IFERROR(L511/F511,0)</x:f>
        <x:v>0.02040816326530612</x:v>
      </x:c>
      <x:c r="S511" s="95" t="n">
        <x:v>124</x:v>
      </x:c>
      <x:c r="T511" s="94" t="str">
        <x:v>末次点击7天</x:v>
      </x:c>
    </x:row>
    <x:row r="512">
      <x:c r="A512" s="92" t="str">
        <x:v>PROC-0511</x:v>
      </x:c>
      <x:c r="B512" s="93" t="n">
        <x:v>46115</x:v>
      </x:c>
      <x:c r="C512" s="94" t="str">
        <x:v>Microsoft Ads</x:v>
      </x:c>
      <x:c r="D512" s="94" t="str">
        <x:v>英国</x:v>
      </x:c>
      <x:c r="E512" s="94" t="str">
        <x:v>购物广告</x:v>
      </x:c>
      <x:c r="F512" s="95" t="n">
        <x:v>42</x:v>
      </x:c>
      <x:c r="G512" s="95" t="n">
        <x:v>38</x:v>
      </x:c>
      <x:c r="H512" s="95" t="n">
        <x:v>24</x:v>
      </x:c>
      <x:c r="I512" s="95" t="n">
        <x:v>20</x:v>
      </x:c>
      <x:c r="J512" s="95" t="n">
        <x:v>8</x:v>
      </x:c>
      <x:c r="K512" s="95" t="n">
        <x:v>2</x:v>
      </x:c>
      <x:c r="L512" s="95" t="n">
        <x:v>1</x:v>
      </x:c>
      <x:c r="M512" s="96" t="n">
        <x:f>IFERROR(G512/F512,0)</x:f>
        <x:v>0.9047619047619048</x:v>
      </x:c>
      <x:c r="N512" s="96" t="n">
        <x:f>IFERROR(H512/G512,0)</x:f>
        <x:v>0.631578947368421</x:v>
      </x:c>
      <x:c r="O512" s="96" t="n">
        <x:f>IFERROR(I512/H512,0)</x:f>
        <x:v>0.8333333333333334</x:v>
      </x:c>
      <x:c r="P512" s="96" t="n">
        <x:f>IFERROR(J512/I512,0)</x:f>
        <x:v>0.4</x:v>
      </x:c>
      <x:c r="Q512" s="96" t="n">
        <x:f>IFERROR(L512/J512,0)</x:f>
        <x:v>0.125</x:v>
      </x:c>
      <x:c r="R512" s="96" t="n">
        <x:f>IFERROR(L512/F512,0)</x:f>
        <x:v>0.023809523809523808</x:v>
      </x:c>
      <x:c r="S512" s="95" t="n">
        <x:v>57</x:v>
      </x:c>
      <x:c r="T512" s="94" t="str">
        <x:v>末次点击7天</x:v>
      </x:c>
    </x:row>
    <x:row r="513">
      <x:c r="A513" s="92" t="str">
        <x:v>PROC-0512</x:v>
      </x:c>
      <x:c r="B513" s="93" t="n">
        <x:v>46115</x:v>
      </x:c>
      <x:c r="C513" s="94" t="str">
        <x:v>Microsoft Ads</x:v>
      </x:c>
      <x:c r="D513" s="94" t="str">
        <x:v>美国</x:v>
      </x:c>
      <x:c r="E513" s="94" t="str">
        <x:v>通用搜索</x:v>
      </x:c>
      <x:c r="F513" s="95" t="n">
        <x:v>34</x:v>
      </x:c>
      <x:c r="G513" s="95" t="n">
        <x:v>32</x:v>
      </x:c>
      <x:c r="H513" s="95" t="n">
        <x:v>22</x:v>
      </x:c>
      <x:c r="I513" s="95" t="n">
        <x:v>18</x:v>
      </x:c>
      <x:c r="J513" s="95" t="n">
        <x:v>7</x:v>
      </x:c>
      <x:c r="K513" s="95" t="n">
        <x:v>2</x:v>
      </x:c>
      <x:c r="L513" s="95" t="n">
        <x:v>1</x:v>
      </x:c>
      <x:c r="M513" s="96" t="n">
        <x:f>IFERROR(G513/F513,0)</x:f>
        <x:v>0.9411764705882353</x:v>
      </x:c>
      <x:c r="N513" s="96" t="n">
        <x:f>IFERROR(H513/G513,0)</x:f>
        <x:v>0.6875</x:v>
      </x:c>
      <x:c r="O513" s="96" t="n">
        <x:f>IFERROR(I513/H513,0)</x:f>
        <x:v>0.8181818181818182</x:v>
      </x:c>
      <x:c r="P513" s="96" t="n">
        <x:f>IFERROR(J513/I513,0)</x:f>
        <x:v>0.3888888888888889</x:v>
      </x:c>
      <x:c r="Q513" s="96" t="n">
        <x:f>IFERROR(L513/J513,0)</x:f>
        <x:v>0.14285714285714285</x:v>
      </x:c>
      <x:c r="R513" s="96" t="n">
        <x:f>IFERROR(L513/F513,0)</x:f>
        <x:v>0.029411764705882353</x:v>
      </x:c>
      <x:c r="S513" s="95" t="n">
        <x:v>131</x:v>
      </x:c>
      <x:c r="T513" s="94" t="str">
        <x:v>末次点击7天</x:v>
      </x:c>
    </x:row>
    <x:row r="514">
      <x:c r="A514" s="92" t="str">
        <x:v>PROC-0513</x:v>
      </x:c>
      <x:c r="B514" s="93" t="n">
        <x:v>46115</x:v>
      </x:c>
      <x:c r="C514" s="94" t="str">
        <x:v>Microsoft Ads</x:v>
      </x:c>
      <x:c r="D514" s="94" t="str">
        <x:v>美国</x:v>
      </x:c>
      <x:c r="E514" s="94" t="str">
        <x:v>购物广告</x:v>
      </x:c>
      <x:c r="F514" s="95" t="n">
        <x:v>43</x:v>
      </x:c>
      <x:c r="G514" s="95" t="n">
        <x:v>38</x:v>
      </x:c>
      <x:c r="H514" s="95" t="n">
        <x:v>28</x:v>
      </x:c>
      <x:c r="I514" s="95" t="n">
        <x:v>24</x:v>
      </x:c>
      <x:c r="J514" s="95" t="n">
        <x:v>11</x:v>
      </x:c>
      <x:c r="K514" s="95" t="n">
        <x:v>3</x:v>
      </x:c>
      <x:c r="L514" s="95" t="n">
        <x:v>1</x:v>
      </x:c>
      <x:c r="M514" s="96" t="n">
        <x:f>IFERROR(G514/F514,0)</x:f>
        <x:v>0.8837209302325582</x:v>
      </x:c>
      <x:c r="N514" s="96" t="n">
        <x:f>IFERROR(H514/G514,0)</x:f>
        <x:v>0.7368421052631579</x:v>
      </x:c>
      <x:c r="O514" s="96" t="n">
        <x:f>IFERROR(I514/H514,0)</x:f>
        <x:v>0.8571428571428571</x:v>
      </x:c>
      <x:c r="P514" s="96" t="n">
        <x:f>IFERROR(J514/I514,0)</x:f>
        <x:v>0.4583333333333333</x:v>
      </x:c>
      <x:c r="Q514" s="96" t="n">
        <x:f>IFERROR(L514/J514,0)</x:f>
        <x:v>0.09090909090909091</x:v>
      </x:c>
      <x:c r="R514" s="96" t="n">
        <x:f>IFERROR(L514/F514,0)</x:f>
        <x:v>0.023255813953488372</x:v>
      </x:c>
      <x:c r="S514" s="95" t="n">
        <x:v>51</x:v>
      </x:c>
      <x:c r="T514" s="94" t="str">
        <x:v>末次点击7天</x:v>
      </x:c>
    </x:row>
    <x:row r="515">
      <x:c r="A515" s="92" t="str">
        <x:v>PROC-0514</x:v>
      </x:c>
      <x:c r="B515" s="93" t="n">
        <x:v>46115</x:v>
      </x:c>
      <x:c r="C515" s="94" t="str">
        <x:v>Google Ads</x:v>
      </x:c>
      <x:c r="D515" s="94" t="str">
        <x:v>美国</x:v>
      </x:c>
      <x:c r="E515" s="94" t="str">
        <x:v>通用搜索</x:v>
      </x:c>
      <x:c r="F515" s="95" t="n">
        <x:v>32</x:v>
      </x:c>
      <x:c r="G515" s="95" t="n">
        <x:v>28</x:v>
      </x:c>
      <x:c r="H515" s="95" t="n">
        <x:v>18</x:v>
      </x:c>
      <x:c r="I515" s="95" t="n">
        <x:v>14</x:v>
      </x:c>
      <x:c r="J515" s="95" t="n">
        <x:v>6</x:v>
      </x:c>
      <x:c r="K515" s="95" t="n">
        <x:v>2</x:v>
      </x:c>
      <x:c r="L515" s="95" t="n">
        <x:v>0</x:v>
      </x:c>
      <x:c r="M515" s="96" t="n">
        <x:f>IFERROR(G515/F515,0)</x:f>
        <x:v>0.875</x:v>
      </x:c>
      <x:c r="N515" s="96" t="n">
        <x:f>IFERROR(H515/G515,0)</x:f>
        <x:v>0.6428571428571429</x:v>
      </x:c>
      <x:c r="O515" s="96" t="n">
        <x:f>IFERROR(I515/H515,0)</x:f>
        <x:v>0.7777777777777778</x:v>
      </x:c>
      <x:c r="P515" s="96" t="n">
        <x:f>IFERROR(J515/I515,0)</x:f>
        <x:v>0.42857142857142855</x:v>
      </x:c>
      <x:c r="Q515" s="96" t="n">
        <x:f>IFERROR(L515/J515,0)</x:f>
        <x:v>0</x:v>
      </x:c>
      <x:c r="R515" s="96" t="n">
        <x:f>IFERROR(L515/F515,0)</x:f>
        <x:v>0</x:v>
      </x:c>
      <x:c r="S515" s="95" t="n">
        <x:v>87</x:v>
      </x:c>
      <x:c r="T515" s="94" t="str">
        <x:v>末次点击7天</x:v>
      </x:c>
    </x:row>
    <x:row r="516">
      <x:c r="A516" s="92" t="str">
        <x:v>PROC-0515</x:v>
      </x:c>
      <x:c r="B516" s="93" t="n">
        <x:v>46116</x:v>
      </x:c>
      <x:c r="C516" s="94" t="str">
        <x:v>Google Ads</x:v>
      </x:c>
      <x:c r="D516" s="94" t="str">
        <x:v>日本</x:v>
      </x:c>
      <x:c r="E516" s="94" t="str">
        <x:v>通用搜索</x:v>
      </x:c>
      <x:c r="F516" s="95" t="n">
        <x:v>29</x:v>
      </x:c>
      <x:c r="G516" s="95" t="n">
        <x:v>27</x:v>
      </x:c>
      <x:c r="H516" s="95" t="n">
        <x:v>20</x:v>
      </x:c>
      <x:c r="I516" s="95" t="n">
        <x:v>17</x:v>
      </x:c>
      <x:c r="J516" s="95" t="n">
        <x:v>7</x:v>
      </x:c>
      <x:c r="K516" s="95" t="n">
        <x:v>2</x:v>
      </x:c>
      <x:c r="L516" s="95" t="n">
        <x:v>1</x:v>
      </x:c>
      <x:c r="M516" s="96" t="n">
        <x:f>IFERROR(G516/F516,0)</x:f>
        <x:v>0.9310344827586207</x:v>
      </x:c>
      <x:c r="N516" s="96" t="n">
        <x:f>IFERROR(H516/G516,0)</x:f>
        <x:v>0.7407407407407407</x:v>
      </x:c>
      <x:c r="O516" s="96" t="n">
        <x:f>IFERROR(I516/H516,0)</x:f>
        <x:v>0.85</x:v>
      </x:c>
      <x:c r="P516" s="96" t="n">
        <x:f>IFERROR(J516/I516,0)</x:f>
        <x:v>0.4117647058823529</x:v>
      </x:c>
      <x:c r="Q516" s="96" t="n">
        <x:f>IFERROR(L516/J516,0)</x:f>
        <x:v>0.14285714285714285</x:v>
      </x:c>
      <x:c r="R516" s="96" t="n">
        <x:f>IFERROR(L516/F516,0)</x:f>
        <x:v>0.034482758620689655</x:v>
      </x:c>
      <x:c r="S516" s="95" t="n">
        <x:v>92</x:v>
      </x:c>
      <x:c r="T516" s="94" t="str">
        <x:v>末次点击7天</x:v>
      </x:c>
    </x:row>
    <x:row r="517">
      <x:c r="A517" s="92" t="str">
        <x:v>PROC-0516</x:v>
      </x:c>
      <x:c r="B517" s="93" t="n">
        <x:v>46116</x:v>
      </x:c>
      <x:c r="C517" s="94" t="str">
        <x:v>Google Ads</x:v>
      </x:c>
      <x:c r="D517" s="94" t="str">
        <x:v>美国</x:v>
      </x:c>
      <x:c r="E517" s="94" t="str">
        <x:v>购物广告</x:v>
      </x:c>
      <x:c r="F517" s="95" t="n">
        <x:v>48</x:v>
      </x:c>
      <x:c r="G517" s="95" t="n">
        <x:v>42</x:v>
      </x:c>
      <x:c r="H517" s="95" t="n">
        <x:v>26</x:v>
      </x:c>
      <x:c r="I517" s="95" t="n">
        <x:v>23</x:v>
      </x:c>
      <x:c r="J517" s="95" t="n">
        <x:v>10</x:v>
      </x:c>
      <x:c r="K517" s="95" t="n">
        <x:v>3</x:v>
      </x:c>
      <x:c r="L517" s="95" t="n">
        <x:v>1</x:v>
      </x:c>
      <x:c r="M517" s="96" t="n">
        <x:f>IFERROR(G517/F517,0)</x:f>
        <x:v>0.875</x:v>
      </x:c>
      <x:c r="N517" s="96" t="n">
        <x:f>IFERROR(H517/G517,0)</x:f>
        <x:v>0.6190476190476191</x:v>
      </x:c>
      <x:c r="O517" s="96" t="n">
        <x:f>IFERROR(I517/H517,0)</x:f>
        <x:v>0.8846153846153846</x:v>
      </x:c>
      <x:c r="P517" s="96" t="n">
        <x:f>IFERROR(J517/I517,0)</x:f>
        <x:v>0.43478260869565216</x:v>
      </x:c>
      <x:c r="Q517" s="96" t="n">
        <x:f>IFERROR(L517/J517,0)</x:f>
        <x:v>0.1</x:v>
      </x:c>
      <x:c r="R517" s="96" t="n">
        <x:f>IFERROR(L517/F517,0)</x:f>
        <x:v>0.020833333333333332</x:v>
      </x:c>
      <x:c r="S517" s="95" t="n">
        <x:v>66</x:v>
      </x:c>
      <x:c r="T517" s="94" t="str">
        <x:v>末次点击7天</x:v>
      </x:c>
    </x:row>
    <x:row r="518">
      <x:c r="A518" s="92" t="str">
        <x:v>PROC-0517</x:v>
      </x:c>
      <x:c r="B518" s="93" t="n">
        <x:v>46116</x:v>
      </x:c>
      <x:c r="C518" s="94" t="str">
        <x:v>Google Ads</x:v>
      </x:c>
      <x:c r="D518" s="94" t="str">
        <x:v>德国</x:v>
      </x:c>
      <x:c r="E518" s="94" t="str">
        <x:v>竞品搜索</x:v>
      </x:c>
      <x:c r="F518" s="95" t="n">
        <x:v>26</x:v>
      </x:c>
      <x:c r="G518" s="95" t="n">
        <x:v>24</x:v>
      </x:c>
      <x:c r="H518" s="95" t="n">
        <x:v>18</x:v>
      </x:c>
      <x:c r="I518" s="95" t="n">
        <x:v>14</x:v>
      </x:c>
      <x:c r="J518" s="95" t="n">
        <x:v>6</x:v>
      </x:c>
      <x:c r="K518" s="95" t="n">
        <x:v>2</x:v>
      </x:c>
      <x:c r="L518" s="95" t="n">
        <x:v>0</x:v>
      </x:c>
      <x:c r="M518" s="96" t="n">
        <x:f>IFERROR(G518/F518,0)</x:f>
        <x:v>0.9230769230769231</x:v>
      </x:c>
      <x:c r="N518" s="96" t="n">
        <x:f>IFERROR(H518/G518,0)</x:f>
        <x:v>0.75</x:v>
      </x:c>
      <x:c r="O518" s="96" t="n">
        <x:f>IFERROR(I518/H518,0)</x:f>
        <x:v>0.7777777777777778</x:v>
      </x:c>
      <x:c r="P518" s="96" t="n">
        <x:f>IFERROR(J518/I518,0)</x:f>
        <x:v>0.42857142857142855</x:v>
      </x:c>
      <x:c r="Q518" s="96" t="n">
        <x:f>IFERROR(L518/J518,0)</x:f>
        <x:v>0</x:v>
      </x:c>
      <x:c r="R518" s="96" t="n">
        <x:f>IFERROR(L518/F518,0)</x:f>
        <x:v>0</x:v>
      </x:c>
      <x:c r="S518" s="95" t="n">
        <x:v>65</x:v>
      </x:c>
      <x:c r="T518" s="94" t="str">
        <x:v>末次点击7天</x:v>
      </x:c>
    </x:row>
    <x:row r="519">
      <x:c r="A519" s="92" t="str">
        <x:v>PROC-0518</x:v>
      </x:c>
      <x:c r="B519" s="93" t="n">
        <x:v>46116</x:v>
      </x:c>
      <x:c r="C519" s="94" t="str">
        <x:v>Microsoft Ads</x:v>
      </x:c>
      <x:c r="D519" s="94" t="str">
        <x:v>美国</x:v>
      </x:c>
      <x:c r="E519" s="94" t="str">
        <x:v>购物广告</x:v>
      </x:c>
      <x:c r="F519" s="95" t="n">
        <x:v>47</x:v>
      </x:c>
      <x:c r="G519" s="95" t="n">
        <x:v>43</x:v>
      </x:c>
      <x:c r="H519" s="95" t="n">
        <x:v>30</x:v>
      </x:c>
      <x:c r="I519" s="95" t="n">
        <x:v>26</x:v>
      </x:c>
      <x:c r="J519" s="95" t="n">
        <x:v>13</x:v>
      </x:c>
      <x:c r="K519" s="95" t="n">
        <x:v>4</x:v>
      </x:c>
      <x:c r="L519" s="95" t="n">
        <x:v>1</x:v>
      </x:c>
      <x:c r="M519" s="96" t="n">
        <x:f>IFERROR(G519/F519,0)</x:f>
        <x:v>0.9148936170212766</x:v>
      </x:c>
      <x:c r="N519" s="96" t="n">
        <x:f>IFERROR(H519/G519,0)</x:f>
        <x:v>0.6976744186046512</x:v>
      </x:c>
      <x:c r="O519" s="96" t="n">
        <x:f>IFERROR(I519/H519,0)</x:f>
        <x:v>0.8666666666666667</x:v>
      </x:c>
      <x:c r="P519" s="96" t="n">
        <x:f>IFERROR(J519/I519,0)</x:f>
        <x:v>0.5</x:v>
      </x:c>
      <x:c r="Q519" s="96" t="n">
        <x:f>IFERROR(L519/J519,0)</x:f>
        <x:v>0.07692307692307693</x:v>
      </x:c>
      <x:c r="R519" s="96" t="n">
        <x:f>IFERROR(L519/F519,0)</x:f>
        <x:v>0.02127659574468085</x:v>
      </x:c>
      <x:c r="S519" s="95" t="n">
        <x:v>82</x:v>
      </x:c>
      <x:c r="T519" s="94" t="str">
        <x:v>末次点击7天</x:v>
      </x:c>
    </x:row>
    <x:row r="520">
      <x:c r="A520" s="92" t="str">
        <x:v>PROC-0519</x:v>
      </x:c>
      <x:c r="B520" s="93" t="n">
        <x:v>46116</x:v>
      </x:c>
      <x:c r="C520" s="94" t="str">
        <x:v>Google Ads</x:v>
      </x:c>
      <x:c r="D520" s="94" t="str">
        <x:v>德国</x:v>
      </x:c>
      <x:c r="E520" s="94" t="str">
        <x:v>通用搜索</x:v>
      </x:c>
      <x:c r="F520" s="95" t="n">
        <x:v>38</x:v>
      </x:c>
      <x:c r="G520" s="95" t="n">
        <x:v>36</x:v>
      </x:c>
      <x:c r="H520" s="95" t="n">
        <x:v>25</x:v>
      </x:c>
      <x:c r="I520" s="95" t="n">
        <x:v>22</x:v>
      </x:c>
      <x:c r="J520" s="95" t="n">
        <x:v>9</x:v>
      </x:c>
      <x:c r="K520" s="95" t="n">
        <x:v>2</x:v>
      </x:c>
      <x:c r="L520" s="95" t="n">
        <x:v>1</x:v>
      </x:c>
      <x:c r="M520" s="96" t="n">
        <x:f>IFERROR(G520/F520,0)</x:f>
        <x:v>0.9473684210526315</x:v>
      </x:c>
      <x:c r="N520" s="96" t="n">
        <x:f>IFERROR(H520/G520,0)</x:f>
        <x:v>0.6944444444444444</x:v>
      </x:c>
      <x:c r="O520" s="96" t="n">
        <x:f>IFERROR(I520/H520,0)</x:f>
        <x:v>0.88</x:v>
      </x:c>
      <x:c r="P520" s="96" t="n">
        <x:f>IFERROR(J520/I520,0)</x:f>
        <x:v>0.4090909090909091</x:v>
      </x:c>
      <x:c r="Q520" s="96" t="n">
        <x:f>IFERROR(L520/J520,0)</x:f>
        <x:v>0.1111111111111111</x:v>
      </x:c>
      <x:c r="R520" s="96" t="n">
        <x:f>IFERROR(L520/F520,0)</x:f>
        <x:v>0.02631578947368421</x:v>
      </x:c>
      <x:c r="S520" s="95" t="n">
        <x:v>90</x:v>
      </x:c>
      <x:c r="T520" s="94" t="str">
        <x:v>末次点击7天</x:v>
      </x:c>
    </x:row>
    <x:row r="521">
      <x:c r="A521" s="92" t="str">
        <x:v>PROC-0520</x:v>
      </x:c>
      <x:c r="B521" s="93" t="n">
        <x:v>46116</x:v>
      </x:c>
      <x:c r="C521" s="94" t="str">
        <x:v>Microsoft Ads</x:v>
      </x:c>
      <x:c r="D521" s="94" t="str">
        <x:v>美国</x:v>
      </x:c>
      <x:c r="E521" s="94" t="str">
        <x:v>品牌搜索</x:v>
      </x:c>
      <x:c r="F521" s="95" t="n">
        <x:v>65</x:v>
      </x:c>
      <x:c r="G521" s="95" t="n">
        <x:v>63</x:v>
      </x:c>
      <x:c r="H521" s="95" t="n">
        <x:v>45</x:v>
      </x:c>
      <x:c r="I521" s="95" t="n">
        <x:v>39</x:v>
      </x:c>
      <x:c r="J521" s="95" t="n">
        <x:v>21</x:v>
      </x:c>
      <x:c r="K521" s="95" t="n">
        <x:v>6</x:v>
      </x:c>
      <x:c r="L521" s="95" t="n">
        <x:v>2</x:v>
      </x:c>
      <x:c r="M521" s="96" t="n">
        <x:f>IFERROR(G521/F521,0)</x:f>
        <x:v>0.9692307692307692</x:v>
      </x:c>
      <x:c r="N521" s="96" t="n">
        <x:f>IFERROR(H521/G521,0)</x:f>
        <x:v>0.7142857142857143</x:v>
      </x:c>
      <x:c r="O521" s="96" t="n">
        <x:f>IFERROR(I521/H521,0)</x:f>
        <x:v>0.8666666666666667</x:v>
      </x:c>
      <x:c r="P521" s="96" t="n">
        <x:f>IFERROR(J521/I521,0)</x:f>
        <x:v>0.5384615384615384</x:v>
      </x:c>
      <x:c r="Q521" s="96" t="n">
        <x:f>IFERROR(L521/J521,0)</x:f>
        <x:v>0.09523809523809523</x:v>
      </x:c>
      <x:c r="R521" s="96" t="n">
        <x:f>IFERROR(L521/F521,0)</x:f>
        <x:v>0.03076923076923077</x:v>
      </x:c>
      <x:c r="S521" s="95" t="n">
        <x:v>113</x:v>
      </x:c>
      <x:c r="T521" s="94" t="str">
        <x:v>末次点击7天</x:v>
      </x:c>
    </x:row>
    <x:row r="522">
      <x:c r="A522" s="92" t="str">
        <x:v>PROC-0521</x:v>
      </x:c>
      <x:c r="B522" s="93" t="n">
        <x:v>46117</x:v>
      </x:c>
      <x:c r="C522" s="94" t="str">
        <x:v>Google Ads</x:v>
      </x:c>
      <x:c r="D522" s="94" t="str">
        <x:v>美国</x:v>
      </x:c>
      <x:c r="E522" s="94" t="str">
        <x:v>竞品搜索</x:v>
      </x:c>
      <x:c r="F522" s="95" t="n">
        <x:v>18</x:v>
      </x:c>
      <x:c r="G522" s="95" t="n">
        <x:v>16</x:v>
      </x:c>
      <x:c r="H522" s="95" t="n">
        <x:v>10</x:v>
      </x:c>
      <x:c r="I522" s="95" t="n">
        <x:v>9</x:v>
      </x:c>
      <x:c r="J522" s="95" t="n">
        <x:v>4</x:v>
      </x:c>
      <x:c r="K522" s="95" t="n">
        <x:v>1</x:v>
      </x:c>
      <x:c r="L522" s="95" t="n">
        <x:v>0</x:v>
      </x:c>
      <x:c r="M522" s="96" t="n">
        <x:f>IFERROR(G522/F522,0)</x:f>
        <x:v>0.8888888888888888</x:v>
      </x:c>
      <x:c r="N522" s="96" t="n">
        <x:f>IFERROR(H522/G522,0)</x:f>
        <x:v>0.625</x:v>
      </x:c>
      <x:c r="O522" s="96" t="n">
        <x:f>IFERROR(I522/H522,0)</x:f>
        <x:v>0.9</x:v>
      </x:c>
      <x:c r="P522" s="96" t="n">
        <x:f>IFERROR(J522/I522,0)</x:f>
        <x:v>0.4444444444444444</x:v>
      </x:c>
      <x:c r="Q522" s="96" t="n">
        <x:f>IFERROR(L522/J522,0)</x:f>
        <x:v>0</x:v>
      </x:c>
      <x:c r="R522" s="96" t="n">
        <x:f>IFERROR(L522/F522,0)</x:f>
        <x:v>0</x:v>
      </x:c>
      <x:c r="S522" s="95" t="n">
        <x:v>125</x:v>
      </x:c>
      <x:c r="T522" s="94" t="str">
        <x:v>末次点击7天</x:v>
      </x:c>
    </x:row>
    <x:row r="523">
      <x:c r="A523" s="92" t="str">
        <x:v>PROC-0522</x:v>
      </x:c>
      <x:c r="B523" s="93" t="n">
        <x:v>46117</x:v>
      </x:c>
      <x:c r="C523" s="94" t="str">
        <x:v>Google Ads</x:v>
      </x:c>
      <x:c r="D523" s="94" t="str">
        <x:v>美国</x:v>
      </x:c>
      <x:c r="E523" s="94" t="str">
        <x:v>竞品搜索</x:v>
      </x:c>
      <x:c r="F523" s="95" t="n">
        <x:v>20</x:v>
      </x:c>
      <x:c r="G523" s="95" t="n">
        <x:v>18</x:v>
      </x:c>
      <x:c r="H523" s="95" t="n">
        <x:v>13</x:v>
      </x:c>
      <x:c r="I523" s="95" t="n">
        <x:v>11</x:v>
      </x:c>
      <x:c r="J523" s="95" t="n">
        <x:v>5</x:v>
      </x:c>
      <x:c r="K523" s="95" t="n">
        <x:v>1</x:v>
      </x:c>
      <x:c r="L523" s="95" t="n">
        <x:v>0</x:v>
      </x:c>
      <x:c r="M523" s="96" t="n">
        <x:f>IFERROR(G523/F523,0)</x:f>
        <x:v>0.9</x:v>
      </x:c>
      <x:c r="N523" s="96" t="n">
        <x:f>IFERROR(H523/G523,0)</x:f>
        <x:v>0.7222222222222222</x:v>
      </x:c>
      <x:c r="O523" s="96" t="n">
        <x:f>IFERROR(I523/H523,0)</x:f>
        <x:v>0.8461538461538461</x:v>
      </x:c>
      <x:c r="P523" s="96" t="n">
        <x:f>IFERROR(J523/I523,0)</x:f>
        <x:v>0.45454545454545453</x:v>
      </x:c>
      <x:c r="Q523" s="96" t="n">
        <x:f>IFERROR(L523/J523,0)</x:f>
        <x:v>0</x:v>
      </x:c>
      <x:c r="R523" s="96" t="n">
        <x:f>IFERROR(L523/F523,0)</x:f>
        <x:v>0</x:v>
      </x:c>
      <x:c r="S523" s="95" t="n">
        <x:v>152</x:v>
      </x:c>
      <x:c r="T523" s="94" t="str">
        <x:v>末次点击7天</x:v>
      </x:c>
    </x:row>
    <x:row r="524">
      <x:c r="A524" s="92" t="str">
        <x:v>PROC-0523</x:v>
      </x:c>
      <x:c r="B524" s="93" t="n">
        <x:v>46117</x:v>
      </x:c>
      <x:c r="C524" s="94" t="str">
        <x:v>Google Ads</x:v>
      </x:c>
      <x:c r="D524" s="94" t="str">
        <x:v>日本</x:v>
      </x:c>
      <x:c r="E524" s="94" t="str">
        <x:v>竞品搜索</x:v>
      </x:c>
      <x:c r="F524" s="95" t="n">
        <x:v>16</x:v>
      </x:c>
      <x:c r="G524" s="95" t="n">
        <x:v>15</x:v>
      </x:c>
      <x:c r="H524" s="95" t="n">
        <x:v>10</x:v>
      </x:c>
      <x:c r="I524" s="95" t="n">
        <x:v>8</x:v>
      </x:c>
      <x:c r="J524" s="95" t="n">
        <x:v>3</x:v>
      </x:c>
      <x:c r="K524" s="95" t="n">
        <x:v>1</x:v>
      </x:c>
      <x:c r="L524" s="95" t="n">
        <x:v>0</x:v>
      </x:c>
      <x:c r="M524" s="96" t="n">
        <x:f>IFERROR(G524/F524,0)</x:f>
        <x:v>0.9375</x:v>
      </x:c>
      <x:c r="N524" s="96" t="n">
        <x:f>IFERROR(H524/G524,0)</x:f>
        <x:v>0.6666666666666666</x:v>
      </x:c>
      <x:c r="O524" s="96" t="n">
        <x:f>IFERROR(I524/H524,0)</x:f>
        <x:v>0.8</x:v>
      </x:c>
      <x:c r="P524" s="96" t="n">
        <x:f>IFERROR(J524/I524,0)</x:f>
        <x:v>0.375</x:v>
      </x:c>
      <x:c r="Q524" s="96" t="n">
        <x:f>IFERROR(L524/J524,0)</x:f>
        <x:v>0</x:v>
      </x:c>
      <x:c r="R524" s="96" t="n">
        <x:f>IFERROR(L524/F524,0)</x:f>
        <x:v>0</x:v>
      </x:c>
      <x:c r="S524" s="95" t="n">
        <x:v>152</x:v>
      </x:c>
      <x:c r="T524" s="94" t="str">
        <x:v>末次点击7天</x:v>
      </x:c>
    </x:row>
    <x:row r="525">
      <x:c r="A525" s="92" t="str">
        <x:v>PROC-0524</x:v>
      </x:c>
      <x:c r="B525" s="93" t="n">
        <x:v>46117</x:v>
      </x:c>
      <x:c r="C525" s="94" t="str">
        <x:v>Microsoft Ads</x:v>
      </x:c>
      <x:c r="D525" s="94" t="str">
        <x:v>日本</x:v>
      </x:c>
      <x:c r="E525" s="94" t="str">
        <x:v>通用搜索</x:v>
      </x:c>
      <x:c r="F525" s="95" t="n">
        <x:v>39</x:v>
      </x:c>
      <x:c r="G525" s="95" t="n">
        <x:v>37</x:v>
      </x:c>
      <x:c r="H525" s="95" t="n">
        <x:v>24</x:v>
      </x:c>
      <x:c r="I525" s="95" t="n">
        <x:v>19</x:v>
      </x:c>
      <x:c r="J525" s="95" t="n">
        <x:v>8</x:v>
      </x:c>
      <x:c r="K525" s="95" t="n">
        <x:v>2</x:v>
      </x:c>
      <x:c r="L525" s="95" t="n">
        <x:v>1</x:v>
      </x:c>
      <x:c r="M525" s="96" t="n">
        <x:f>IFERROR(G525/F525,0)</x:f>
        <x:v>0.9487179487179487</x:v>
      </x:c>
      <x:c r="N525" s="96" t="n">
        <x:f>IFERROR(H525/G525,0)</x:f>
        <x:v>0.6486486486486487</x:v>
      </x:c>
      <x:c r="O525" s="96" t="n">
        <x:f>IFERROR(I525/H525,0)</x:f>
        <x:v>0.7916666666666666</x:v>
      </x:c>
      <x:c r="P525" s="96" t="n">
        <x:f>IFERROR(J525/I525,0)</x:f>
        <x:v>0.42105263157894735</x:v>
      </x:c>
      <x:c r="Q525" s="96" t="n">
        <x:f>IFERROR(L525/J525,0)</x:f>
        <x:v>0.125</x:v>
      </x:c>
      <x:c r="R525" s="96" t="n">
        <x:f>IFERROR(L525/F525,0)</x:f>
        <x:v>0.02564102564102564</x:v>
      </x:c>
      <x:c r="S525" s="95" t="n">
        <x:v>92</x:v>
      </x:c>
      <x:c r="T525" s="94" t="str">
        <x:v>末次点击7天</x:v>
      </x:c>
    </x:row>
    <x:row r="526">
      <x:c r="A526" s="92" t="str">
        <x:v>PROC-0525</x:v>
      </x:c>
      <x:c r="B526" s="93" t="n">
        <x:v>46117</x:v>
      </x:c>
      <x:c r="C526" s="94" t="str">
        <x:v>Google Ads</x:v>
      </x:c>
      <x:c r="D526" s="94" t="str">
        <x:v>美国</x:v>
      </x:c>
      <x:c r="E526" s="94" t="str">
        <x:v>品牌搜索</x:v>
      </x:c>
      <x:c r="F526" s="95" t="n">
        <x:v>100</x:v>
      </x:c>
      <x:c r="G526" s="95" t="n">
        <x:v>90</x:v>
      </x:c>
      <x:c r="H526" s="95" t="n">
        <x:v>66</x:v>
      </x:c>
      <x:c r="I526" s="95" t="n">
        <x:v>56</x:v>
      </x:c>
      <x:c r="J526" s="95" t="n">
        <x:v>29</x:v>
      </x:c>
      <x:c r="K526" s="95" t="n">
        <x:v>7</x:v>
      </x:c>
      <x:c r="L526" s="95" t="n">
        <x:v>2</x:v>
      </x:c>
      <x:c r="M526" s="96" t="n">
        <x:f>IFERROR(G526/F526,0)</x:f>
        <x:v>0.9</x:v>
      </x:c>
      <x:c r="N526" s="96" t="n">
        <x:f>IFERROR(H526/G526,0)</x:f>
        <x:v>0.7333333333333333</x:v>
      </x:c>
      <x:c r="O526" s="96" t="n">
        <x:f>IFERROR(I526/H526,0)</x:f>
        <x:v>0.8484848484848485</x:v>
      </x:c>
      <x:c r="P526" s="96" t="n">
        <x:f>IFERROR(J526/I526,0)</x:f>
        <x:v>0.5178571428571429</x:v>
      </x:c>
      <x:c r="Q526" s="96" t="n">
        <x:f>IFERROR(L526/J526,0)</x:f>
        <x:v>0.06896551724137931</x:v>
      </x:c>
      <x:c r="R526" s="96" t="n">
        <x:f>IFERROR(L526/F526,0)</x:f>
        <x:v>0.02</x:v>
      </x:c>
      <x:c r="S526" s="95" t="n">
        <x:v>82</x:v>
      </x:c>
      <x:c r="T526" s="94" t="str">
        <x:v>末次点击7天</x:v>
      </x:c>
    </x:row>
    <x:row r="527">
      <x:c r="A527" s="92" t="str">
        <x:v>PROC-0526</x:v>
      </x:c>
      <x:c r="B527" s="93" t="n">
        <x:v>46118</x:v>
      </x:c>
      <x:c r="C527" s="94" t="str">
        <x:v>Google Ads</x:v>
      </x:c>
      <x:c r="D527" s="94" t="str">
        <x:v>德国</x:v>
      </x:c>
      <x:c r="E527" s="94" t="str">
        <x:v>购物广告</x:v>
      </x:c>
      <x:c r="F527" s="95" t="n">
        <x:v>63</x:v>
      </x:c>
      <x:c r="G527" s="95" t="n">
        <x:v>56</x:v>
      </x:c>
      <x:c r="H527" s="95" t="n">
        <x:v>43</x:v>
      </x:c>
      <x:c r="I527" s="95" t="n">
        <x:v>37</x:v>
      </x:c>
      <x:c r="J527" s="95" t="n">
        <x:v>18</x:v>
      </x:c>
      <x:c r="K527" s="95" t="n">
        <x:v>5</x:v>
      </x:c>
      <x:c r="L527" s="95" t="n">
        <x:v>1</x:v>
      </x:c>
      <x:c r="M527" s="96" t="n">
        <x:f>IFERROR(G527/F527,0)</x:f>
        <x:v>0.8888888888888888</x:v>
      </x:c>
      <x:c r="N527" s="96" t="n">
        <x:f>IFERROR(H527/G527,0)</x:f>
        <x:v>0.7678571428571429</x:v>
      </x:c>
      <x:c r="O527" s="96" t="n">
        <x:f>IFERROR(I527/H527,0)</x:f>
        <x:v>0.8604651162790697</x:v>
      </x:c>
      <x:c r="P527" s="96" t="n">
        <x:f>IFERROR(J527/I527,0)</x:f>
        <x:v>0.4864864864864865</x:v>
      </x:c>
      <x:c r="Q527" s="96" t="n">
        <x:f>IFERROR(L527/J527,0)</x:f>
        <x:v>0.05555555555555555</x:v>
      </x:c>
      <x:c r="R527" s="96" t="n">
        <x:f>IFERROR(L527/F527,0)</x:f>
        <x:v>0.015873015873015872</x:v>
      </x:c>
      <x:c r="S527" s="95" t="n">
        <x:v>113</x:v>
      </x:c>
      <x:c r="T527" s="94" t="str">
        <x:v>末次点击7天</x:v>
      </x:c>
    </x:row>
    <x:row r="528">
      <x:c r="A528" s="92" t="str">
        <x:v>PROC-0527</x:v>
      </x:c>
      <x:c r="B528" s="93" t="n">
        <x:v>46118</x:v>
      </x:c>
      <x:c r="C528" s="94" t="str">
        <x:v>Google Ads</x:v>
      </x:c>
      <x:c r="D528" s="94" t="str">
        <x:v>英国</x:v>
      </x:c>
      <x:c r="E528" s="94" t="str">
        <x:v>品牌搜索</x:v>
      </x:c>
      <x:c r="F528" s="95" t="n">
        <x:v>45</x:v>
      </x:c>
      <x:c r="G528" s="95" t="n">
        <x:v>40</x:v>
      </x:c>
      <x:c r="H528" s="95" t="n">
        <x:v>26</x:v>
      </x:c>
      <x:c r="I528" s="95" t="n">
        <x:v>21</x:v>
      </x:c>
      <x:c r="J528" s="95" t="n">
        <x:v>10</x:v>
      </x:c>
      <x:c r="K528" s="95" t="n">
        <x:v>3</x:v>
      </x:c>
      <x:c r="L528" s="95" t="n">
        <x:v>1</x:v>
      </x:c>
      <x:c r="M528" s="96" t="n">
        <x:f>IFERROR(G528/F528,0)</x:f>
        <x:v>0.8888888888888888</x:v>
      </x:c>
      <x:c r="N528" s="96" t="n">
        <x:f>IFERROR(H528/G528,0)</x:f>
        <x:v>0.65</x:v>
      </x:c>
      <x:c r="O528" s="96" t="n">
        <x:f>IFERROR(I528/H528,0)</x:f>
        <x:v>0.8076923076923077</x:v>
      </x:c>
      <x:c r="P528" s="96" t="n">
        <x:f>IFERROR(J528/I528,0)</x:f>
        <x:v>0.47619047619047616</x:v>
      </x:c>
      <x:c r="Q528" s="96" t="n">
        <x:f>IFERROR(L528/J528,0)</x:f>
        <x:v>0.1</x:v>
      </x:c>
      <x:c r="R528" s="96" t="n">
        <x:f>IFERROR(L528/F528,0)</x:f>
        <x:v>0.022222222222222223</x:v>
      </x:c>
      <x:c r="S528" s="95" t="n">
        <x:v>47</x:v>
      </x:c>
      <x:c r="T528" s="94" t="str">
        <x:v>末次点击7天</x:v>
      </x:c>
    </x:row>
    <x:row r="529">
      <x:c r="A529" s="92" t="str">
        <x:v>PROC-0528</x:v>
      </x:c>
      <x:c r="B529" s="93" t="n">
        <x:v>46118</x:v>
      </x:c>
      <x:c r="C529" s="94" t="str">
        <x:v>Microsoft Ads</x:v>
      </x:c>
      <x:c r="D529" s="94" t="str">
        <x:v>美国</x:v>
      </x:c>
      <x:c r="E529" s="94" t="str">
        <x:v>购物广告</x:v>
      </x:c>
      <x:c r="F529" s="95" t="n">
        <x:v>58</x:v>
      </x:c>
      <x:c r="G529" s="95" t="n">
        <x:v>56</x:v>
      </x:c>
      <x:c r="H529" s="95" t="n">
        <x:v>44</x:v>
      </x:c>
      <x:c r="I529" s="95" t="n">
        <x:v>40</x:v>
      </x:c>
      <x:c r="J529" s="95" t="n">
        <x:v>17</x:v>
      </x:c>
      <x:c r="K529" s="95" t="n">
        <x:v>5</x:v>
      </x:c>
      <x:c r="L529" s="95" t="n">
        <x:v>2</x:v>
      </x:c>
      <x:c r="M529" s="96" t="n">
        <x:f>IFERROR(G529/F529,0)</x:f>
        <x:v>0.9655172413793104</x:v>
      </x:c>
      <x:c r="N529" s="96" t="n">
        <x:f>IFERROR(H529/G529,0)</x:f>
        <x:v>0.7857142857142857</x:v>
      </x:c>
      <x:c r="O529" s="96" t="n">
        <x:f>IFERROR(I529/H529,0)</x:f>
        <x:v>0.9090909090909091</x:v>
      </x:c>
      <x:c r="P529" s="96" t="n">
        <x:f>IFERROR(J529/I529,0)</x:f>
        <x:v>0.425</x:v>
      </x:c>
      <x:c r="Q529" s="96" t="n">
        <x:f>IFERROR(L529/J529,0)</x:f>
        <x:v>0.11764705882352941</x:v>
      </x:c>
      <x:c r="R529" s="96" t="n">
        <x:f>IFERROR(L529/F529,0)</x:f>
        <x:v>0.034482758620689655</x:v>
      </x:c>
      <x:c r="S529" s="95" t="n">
        <x:v>50</x:v>
      </x:c>
      <x:c r="T529" s="94" t="str">
        <x:v>末次点击7天</x:v>
      </x:c>
    </x:row>
    <x:row r="530">
      <x:c r="A530" s="92" t="str">
        <x:v>PROC-0529</x:v>
      </x:c>
      <x:c r="B530" s="93" t="n">
        <x:v>46118</x:v>
      </x:c>
      <x:c r="C530" s="94" t="str">
        <x:v>Microsoft Ads</x:v>
      </x:c>
      <x:c r="D530" s="94" t="str">
        <x:v>英国</x:v>
      </x:c>
      <x:c r="E530" s="94" t="str">
        <x:v>品牌搜索</x:v>
      </x:c>
      <x:c r="F530" s="95" t="n">
        <x:v>42</x:v>
      </x:c>
      <x:c r="G530" s="95" t="n">
        <x:v>40</x:v>
      </x:c>
      <x:c r="H530" s="95" t="n">
        <x:v>25</x:v>
      </x:c>
      <x:c r="I530" s="95" t="n">
        <x:v>21</x:v>
      </x:c>
      <x:c r="J530" s="95" t="n">
        <x:v>11</x:v>
      </x:c>
      <x:c r="K530" s="95" t="n">
        <x:v>2</x:v>
      </x:c>
      <x:c r="L530" s="95" t="n">
        <x:v>1</x:v>
      </x:c>
      <x:c r="M530" s="96" t="n">
        <x:f>IFERROR(G530/F530,0)</x:f>
        <x:v>0.9523809523809523</x:v>
      </x:c>
      <x:c r="N530" s="96" t="n">
        <x:f>IFERROR(H530/G530,0)</x:f>
        <x:v>0.625</x:v>
      </x:c>
      <x:c r="O530" s="96" t="n">
        <x:f>IFERROR(I530/H530,0)</x:f>
        <x:v>0.84</x:v>
      </x:c>
      <x:c r="P530" s="96" t="n">
        <x:f>IFERROR(J530/I530,0)</x:f>
        <x:v>0.5238095238095238</x:v>
      </x:c>
      <x:c r="Q530" s="96" t="n">
        <x:f>IFERROR(L530/J530,0)</x:f>
        <x:v>0.09090909090909091</x:v>
      </x:c>
      <x:c r="R530" s="96" t="n">
        <x:f>IFERROR(L530/F530,0)</x:f>
        <x:v>0.023809523809523808</x:v>
      </x:c>
      <x:c r="S530" s="95" t="n">
        <x:v>56</x:v>
      </x:c>
      <x:c r="T530" s="94" t="str">
        <x:v>末次点击7天</x:v>
      </x:c>
    </x:row>
    <x:row r="531">
      <x:c r="A531" s="92" t="str">
        <x:v>PROC-0530</x:v>
      </x:c>
      <x:c r="B531" s="93" t="n">
        <x:v>46118</x:v>
      </x:c>
      <x:c r="C531" s="94" t="str">
        <x:v>Google Ads</x:v>
      </x:c>
      <x:c r="D531" s="94" t="str">
        <x:v>美国</x:v>
      </x:c>
      <x:c r="E531" s="94" t="str">
        <x:v>通用搜索</x:v>
      </x:c>
      <x:c r="F531" s="95" t="n">
        <x:v>58</x:v>
      </x:c>
      <x:c r="G531" s="95" t="n">
        <x:v>52</x:v>
      </x:c>
      <x:c r="H531" s="95" t="n">
        <x:v>36</x:v>
      </x:c>
      <x:c r="I531" s="95" t="n">
        <x:v>29</x:v>
      </x:c>
      <x:c r="J531" s="95" t="n">
        <x:v>13</x:v>
      </x:c>
      <x:c r="K531" s="95" t="n">
        <x:v>4</x:v>
      </x:c>
      <x:c r="L531" s="95" t="n">
        <x:v>1</x:v>
      </x:c>
      <x:c r="M531" s="96" t="n">
        <x:f>IFERROR(G531/F531,0)</x:f>
        <x:v>0.896551724137931</x:v>
      </x:c>
      <x:c r="N531" s="96" t="n">
        <x:f>IFERROR(H531/G531,0)</x:f>
        <x:v>0.6923076923076923</x:v>
      </x:c>
      <x:c r="O531" s="96" t="n">
        <x:f>IFERROR(I531/H531,0)</x:f>
        <x:v>0.8055555555555556</x:v>
      </x:c>
      <x:c r="P531" s="96" t="n">
        <x:f>IFERROR(J531/I531,0)</x:f>
        <x:v>0.4482758620689655</x:v>
      </x:c>
      <x:c r="Q531" s="96" t="n">
        <x:f>IFERROR(L531/J531,0)</x:f>
        <x:v>0.07692307692307693</x:v>
      </x:c>
      <x:c r="R531" s="96" t="n">
        <x:f>IFERROR(L531/F531,0)</x:f>
        <x:v>0.017241379310344827</x:v>
      </x:c>
      <x:c r="S531" s="95" t="n">
        <x:v>119</x:v>
      </x:c>
      <x:c r="T531" s="94" t="str">
        <x:v>末次点击7天</x:v>
      </x:c>
    </x:row>
    <x:row r="532">
      <x:c r="A532" s="92" t="str">
        <x:v>PROC-0531</x:v>
      </x:c>
      <x:c r="B532" s="93" t="n">
        <x:v>46118</x:v>
      </x:c>
      <x:c r="C532" s="94" t="str">
        <x:v>Google Ads</x:v>
      </x:c>
      <x:c r="D532" s="94" t="str">
        <x:v>日本</x:v>
      </x:c>
      <x:c r="E532" s="94" t="str">
        <x:v>通用搜索</x:v>
      </x:c>
      <x:c r="F532" s="95" t="n">
        <x:v>28</x:v>
      </x:c>
      <x:c r="G532" s="95" t="n">
        <x:v>27</x:v>
      </x:c>
      <x:c r="H532" s="95" t="n">
        <x:v>21</x:v>
      </x:c>
      <x:c r="I532" s="95" t="n">
        <x:v>17</x:v>
      </x:c>
      <x:c r="J532" s="95" t="n">
        <x:v>7</x:v>
      </x:c>
      <x:c r="K532" s="95" t="n">
        <x:v>1</x:v>
      </x:c>
      <x:c r="L532" s="95" t="n">
        <x:v>1</x:v>
      </x:c>
      <x:c r="M532" s="96" t="n">
        <x:f>IFERROR(G532/F532,0)</x:f>
        <x:v>0.9642857142857143</x:v>
      </x:c>
      <x:c r="N532" s="96" t="n">
        <x:f>IFERROR(H532/G532,0)</x:f>
        <x:v>0.7777777777777778</x:v>
      </x:c>
      <x:c r="O532" s="96" t="n">
        <x:f>IFERROR(I532/H532,0)</x:f>
        <x:v>0.8095238095238095</x:v>
      </x:c>
      <x:c r="P532" s="96" t="n">
        <x:f>IFERROR(J532/I532,0)</x:f>
        <x:v>0.4117647058823529</x:v>
      </x:c>
      <x:c r="Q532" s="96" t="n">
        <x:f>IFERROR(L532/J532,0)</x:f>
        <x:v>0.14285714285714285</x:v>
      </x:c>
      <x:c r="R532" s="96" t="n">
        <x:f>IFERROR(L532/F532,0)</x:f>
        <x:v>0.03571428571428571</x:v>
      </x:c>
      <x:c r="S532" s="95" t="n">
        <x:v>91</x:v>
      </x:c>
      <x:c r="T532" s="94" t="str">
        <x:v>末次点击7天</x:v>
      </x:c>
    </x:row>
    <x:row r="533">
      <x:c r="A533" s="92" t="str">
        <x:v>PROC-0532</x:v>
      </x:c>
      <x:c r="B533" s="93" t="n">
        <x:v>46119</x:v>
      </x:c>
      <x:c r="C533" s="94" t="str">
        <x:v>Google Ads</x:v>
      </x:c>
      <x:c r="D533" s="94" t="str">
        <x:v>美国</x:v>
      </x:c>
      <x:c r="E533" s="94" t="str">
        <x:v>竞品搜索</x:v>
      </x:c>
      <x:c r="F533" s="95" t="n">
        <x:v>26</x:v>
      </x:c>
      <x:c r="G533" s="95" t="n">
        <x:v>24</x:v>
      </x:c>
      <x:c r="H533" s="95" t="n">
        <x:v>16</x:v>
      </x:c>
      <x:c r="I533" s="95" t="n">
        <x:v>13</x:v>
      </x:c>
      <x:c r="J533" s="95" t="n">
        <x:v>6</x:v>
      </x:c>
      <x:c r="K533" s="95" t="n">
        <x:v>2</x:v>
      </x:c>
      <x:c r="L533" s="95" t="n">
        <x:v>0</x:v>
      </x:c>
      <x:c r="M533" s="96" t="n">
        <x:f>IFERROR(G533/F533,0)</x:f>
        <x:v>0.9230769230769231</x:v>
      </x:c>
      <x:c r="N533" s="96" t="n">
        <x:f>IFERROR(H533/G533,0)</x:f>
        <x:v>0.6666666666666666</x:v>
      </x:c>
      <x:c r="O533" s="96" t="n">
        <x:f>IFERROR(I533/H533,0)</x:f>
        <x:v>0.8125</x:v>
      </x:c>
      <x:c r="P533" s="96" t="n">
        <x:f>IFERROR(J533/I533,0)</x:f>
        <x:v>0.46153846153846156</x:v>
      </x:c>
      <x:c r="Q533" s="96" t="n">
        <x:f>IFERROR(L533/J533,0)</x:f>
        <x:v>0</x:v>
      </x:c>
      <x:c r="R533" s="96" t="n">
        <x:f>IFERROR(L533/F533,0)</x:f>
        <x:v>0</x:v>
      </x:c>
      <x:c r="S533" s="95" t="n">
        <x:v>108</x:v>
      </x:c>
      <x:c r="T533" s="94" t="str">
        <x:v>末次点击7天</x:v>
      </x:c>
    </x:row>
    <x:row r="534">
      <x:c r="A534" s="92" t="str">
        <x:v>PROC-0533</x:v>
      </x:c>
      <x:c r="B534" s="93" t="n">
        <x:v>46119</x:v>
      </x:c>
      <x:c r="C534" s="94" t="str">
        <x:v>Google Ads</x:v>
      </x:c>
      <x:c r="D534" s="94" t="str">
        <x:v>美国</x:v>
      </x:c>
      <x:c r="E534" s="94" t="str">
        <x:v>品牌搜索</x:v>
      </x:c>
      <x:c r="F534" s="95" t="n">
        <x:v>68</x:v>
      </x:c>
      <x:c r="G534" s="95" t="n">
        <x:v>65</x:v>
      </x:c>
      <x:c r="H534" s="95" t="n">
        <x:v>48</x:v>
      </x:c>
      <x:c r="I534" s="95" t="n">
        <x:v>40</x:v>
      </x:c>
      <x:c r="J534" s="95" t="n">
        <x:v>20</x:v>
      </x:c>
      <x:c r="K534" s="95" t="n">
        <x:v>7</x:v>
      </x:c>
      <x:c r="L534" s="95" t="n">
        <x:v>2</x:v>
      </x:c>
      <x:c r="M534" s="96" t="n">
        <x:f>IFERROR(G534/F534,0)</x:f>
        <x:v>0.9558823529411765</x:v>
      </x:c>
      <x:c r="N534" s="96" t="n">
        <x:f>IFERROR(H534/G534,0)</x:f>
        <x:v>0.7384615384615385</x:v>
      </x:c>
      <x:c r="O534" s="96" t="n">
        <x:f>IFERROR(I534/H534,0)</x:f>
        <x:v>0.8333333333333334</x:v>
      </x:c>
      <x:c r="P534" s="96" t="n">
        <x:f>IFERROR(J534/I534,0)</x:f>
        <x:v>0.5</x:v>
      </x:c>
      <x:c r="Q534" s="96" t="n">
        <x:f>IFERROR(L534/J534,0)</x:f>
        <x:v>0.1</x:v>
      </x:c>
      <x:c r="R534" s="96" t="n">
        <x:f>IFERROR(L534/F534,0)</x:f>
        <x:v>0.029411764705882353</x:v>
      </x:c>
      <x:c r="S534" s="95" t="n">
        <x:v>138</x:v>
      </x:c>
      <x:c r="T534" s="94" t="str">
        <x:v>末次点击7天</x:v>
      </x:c>
    </x:row>
    <x:row r="535">
      <x:c r="A535" s="92" t="str">
        <x:v>PROC-0534</x:v>
      </x:c>
      <x:c r="B535" s="93" t="n">
        <x:v>46119</x:v>
      </x:c>
      <x:c r="C535" s="94" t="str">
        <x:v>Google Ads</x:v>
      </x:c>
      <x:c r="D535" s="94" t="str">
        <x:v>美国</x:v>
      </x:c>
      <x:c r="E535" s="94" t="str">
        <x:v>通用搜索</x:v>
      </x:c>
      <x:c r="F535" s="95" t="n">
        <x:v>47</x:v>
      </x:c>
      <x:c r="G535" s="95" t="n">
        <x:v>42</x:v>
      </x:c>
      <x:c r="H535" s="95" t="n">
        <x:v>30</x:v>
      </x:c>
      <x:c r="I535" s="95" t="n">
        <x:v>24</x:v>
      </x:c>
      <x:c r="J535" s="95" t="n">
        <x:v>10</x:v>
      </x:c>
      <x:c r="K535" s="95" t="n">
        <x:v>3</x:v>
      </x:c>
      <x:c r="L535" s="95" t="n">
        <x:v>1</x:v>
      </x:c>
      <x:c r="M535" s="96" t="n">
        <x:f>IFERROR(G535/F535,0)</x:f>
        <x:v>0.8936170212765957</x:v>
      </x:c>
      <x:c r="N535" s="96" t="n">
        <x:f>IFERROR(H535/G535,0)</x:f>
        <x:v>0.7142857142857143</x:v>
      </x:c>
      <x:c r="O535" s="96" t="n">
        <x:f>IFERROR(I535/H535,0)</x:f>
        <x:v>0.8</x:v>
      </x:c>
      <x:c r="P535" s="96" t="n">
        <x:f>IFERROR(J535/I535,0)</x:f>
        <x:v>0.4166666666666667</x:v>
      </x:c>
      <x:c r="Q535" s="96" t="n">
        <x:f>IFERROR(L535/J535,0)</x:f>
        <x:v>0.1</x:v>
      </x:c>
      <x:c r="R535" s="96" t="n">
        <x:f>IFERROR(L535/F535,0)</x:f>
        <x:v>0.02127659574468085</x:v>
      </x:c>
      <x:c r="S535" s="95" t="n">
        <x:v>97</x:v>
      </x:c>
      <x:c r="T535" s="94" t="str">
        <x:v>末次点击7天</x:v>
      </x:c>
    </x:row>
    <x:row r="536">
      <x:c r="A536" s="92" t="str">
        <x:v>PROC-0535</x:v>
      </x:c>
      <x:c r="B536" s="93" t="n">
        <x:v>46119</x:v>
      </x:c>
      <x:c r="C536" s="94" t="str">
        <x:v>Google Ads</x:v>
      </x:c>
      <x:c r="D536" s="94" t="str">
        <x:v>美国</x:v>
      </x:c>
      <x:c r="E536" s="94" t="str">
        <x:v>竞品搜索</x:v>
      </x:c>
      <x:c r="F536" s="95" t="n">
        <x:v>37</x:v>
      </x:c>
      <x:c r="G536" s="95" t="n">
        <x:v>33</x:v>
      </x:c>
      <x:c r="H536" s="95" t="n">
        <x:v>24</x:v>
      </x:c>
      <x:c r="I536" s="95" t="n">
        <x:v>20</x:v>
      </x:c>
      <x:c r="J536" s="95" t="n">
        <x:v>8</x:v>
      </x:c>
      <x:c r="K536" s="95" t="n">
        <x:v>2</x:v>
      </x:c>
      <x:c r="L536" s="95" t="n">
        <x:v>1</x:v>
      </x:c>
      <x:c r="M536" s="96" t="n">
        <x:f>IFERROR(G536/F536,0)</x:f>
        <x:v>0.8918918918918919</x:v>
      </x:c>
      <x:c r="N536" s="96" t="n">
        <x:f>IFERROR(H536/G536,0)</x:f>
        <x:v>0.7272727272727273</x:v>
      </x:c>
      <x:c r="O536" s="96" t="n">
        <x:f>IFERROR(I536/H536,0)</x:f>
        <x:v>0.8333333333333334</x:v>
      </x:c>
      <x:c r="P536" s="96" t="n">
        <x:f>IFERROR(J536/I536,0)</x:f>
        <x:v>0.4</x:v>
      </x:c>
      <x:c r="Q536" s="96" t="n">
        <x:f>IFERROR(L536/J536,0)</x:f>
        <x:v>0.125</x:v>
      </x:c>
      <x:c r="R536" s="96" t="n">
        <x:f>IFERROR(L536/F536,0)</x:f>
        <x:v>0.02702702702702703</x:v>
      </x:c>
      <x:c r="S536" s="95" t="n">
        <x:v>61</x:v>
      </x:c>
      <x:c r="T536" s="94" t="str">
        <x:v>末次点击7天</x:v>
      </x:c>
    </x:row>
    <x:row r="537">
      <x:c r="A537" s="92" t="str">
        <x:v>PROC-0536</x:v>
      </x:c>
      <x:c r="B537" s="93" t="n">
        <x:v>46119</x:v>
      </x:c>
      <x:c r="C537" s="94" t="str">
        <x:v>Microsoft Ads</x:v>
      </x:c>
      <x:c r="D537" s="94" t="str">
        <x:v>英国</x:v>
      </x:c>
      <x:c r="E537" s="94" t="str">
        <x:v>竞品搜索</x:v>
      </x:c>
      <x:c r="F537" s="95" t="n">
        <x:v>17</x:v>
      </x:c>
      <x:c r="G537" s="95" t="n">
        <x:v>16</x:v>
      </x:c>
      <x:c r="H537" s="95" t="n">
        <x:v>10</x:v>
      </x:c>
      <x:c r="I537" s="95" t="n">
        <x:v>8</x:v>
      </x:c>
      <x:c r="J537" s="95" t="n">
        <x:v>4</x:v>
      </x:c>
      <x:c r="K537" s="95" t="n">
        <x:v>1</x:v>
      </x:c>
      <x:c r="L537" s="95" t="n">
        <x:v>0</x:v>
      </x:c>
      <x:c r="M537" s="96" t="n">
        <x:f>IFERROR(G537/F537,0)</x:f>
        <x:v>0.9411764705882353</x:v>
      </x:c>
      <x:c r="N537" s="96" t="n">
        <x:f>IFERROR(H537/G537,0)</x:f>
        <x:v>0.625</x:v>
      </x:c>
      <x:c r="O537" s="96" t="n">
        <x:f>IFERROR(I537/H537,0)</x:f>
        <x:v>0.8</x:v>
      </x:c>
      <x:c r="P537" s="96" t="n">
        <x:f>IFERROR(J537/I537,0)</x:f>
        <x:v>0.5</x:v>
      </x:c>
      <x:c r="Q537" s="96" t="n">
        <x:f>IFERROR(L537/J537,0)</x:f>
        <x:v>0</x:v>
      </x:c>
      <x:c r="R537" s="96" t="n">
        <x:f>IFERROR(L537/F537,0)</x:f>
        <x:v>0</x:v>
      </x:c>
      <x:c r="S537" s="95" t="n">
        <x:v>45</x:v>
      </x:c>
      <x:c r="T537" s="94" t="str">
        <x:v>末次点击7天</x:v>
      </x:c>
    </x:row>
    <x:row r="538">
      <x:c r="A538" s="92" t="str">
        <x:v>PROC-0537</x:v>
      </x:c>
      <x:c r="B538" s="93" t="n">
        <x:v>46120</x:v>
      </x:c>
      <x:c r="C538" s="94" t="str">
        <x:v>Microsoft Ads</x:v>
      </x:c>
      <x:c r="D538" s="94" t="str">
        <x:v>日本</x:v>
      </x:c>
      <x:c r="E538" s="94" t="str">
        <x:v>购物广告</x:v>
      </x:c>
      <x:c r="F538" s="95" t="n">
        <x:v>62</x:v>
      </x:c>
      <x:c r="G538" s="95" t="n">
        <x:v>58</x:v>
      </x:c>
      <x:c r="H538" s="95" t="n">
        <x:v>37</x:v>
      </x:c>
      <x:c r="I538" s="95" t="n">
        <x:v>32</x:v>
      </x:c>
      <x:c r="J538" s="95" t="n">
        <x:v>15</x:v>
      </x:c>
      <x:c r="K538" s="95" t="n">
        <x:v>5</x:v>
      </x:c>
      <x:c r="L538" s="95" t="n">
        <x:v>2</x:v>
      </x:c>
      <x:c r="M538" s="96" t="n">
        <x:f>IFERROR(G538/F538,0)</x:f>
        <x:v>0.9354838709677419</x:v>
      </x:c>
      <x:c r="N538" s="96" t="n">
        <x:f>IFERROR(H538/G538,0)</x:f>
        <x:v>0.6379310344827587</x:v>
      </x:c>
      <x:c r="O538" s="96" t="n">
        <x:f>IFERROR(I538/H538,0)</x:f>
        <x:v>0.8648648648648649</x:v>
      </x:c>
      <x:c r="P538" s="96" t="n">
        <x:f>IFERROR(J538/I538,0)</x:f>
        <x:v>0.46875</x:v>
      </x:c>
      <x:c r="Q538" s="96" t="n">
        <x:f>IFERROR(L538/J538,0)</x:f>
        <x:v>0.13333333333333333</x:v>
      </x:c>
      <x:c r="R538" s="96" t="n">
        <x:f>IFERROR(L538/F538,0)</x:f>
        <x:v>0.03225806451612903</x:v>
      </x:c>
      <x:c r="S538" s="95" t="n">
        <x:v>43</x:v>
      </x:c>
      <x:c r="T538" s="94" t="str">
        <x:v>末次点击7天</x:v>
      </x:c>
    </x:row>
    <x:row r="539">
      <x:c r="A539" s="92" t="str">
        <x:v>PROC-0538</x:v>
      </x:c>
      <x:c r="B539" s="93" t="n">
        <x:v>46120</x:v>
      </x:c>
      <x:c r="C539" s="94" t="str">
        <x:v>Google Ads</x:v>
      </x:c>
      <x:c r="D539" s="94" t="str">
        <x:v>德国</x:v>
      </x:c>
      <x:c r="E539" s="94" t="str">
        <x:v>通用搜索</x:v>
      </x:c>
      <x:c r="F539" s="95" t="n">
        <x:v>52</x:v>
      </x:c>
      <x:c r="G539" s="95" t="n">
        <x:v>49</x:v>
      </x:c>
      <x:c r="H539" s="95" t="n">
        <x:v>38</x:v>
      </x:c>
      <x:c r="I539" s="95" t="n">
        <x:v>31</x:v>
      </x:c>
      <x:c r="J539" s="95" t="n">
        <x:v>12</x:v>
      </x:c>
      <x:c r="K539" s="95" t="n">
        <x:v>4</x:v>
      </x:c>
      <x:c r="L539" s="95" t="n">
        <x:v>1</x:v>
      </x:c>
      <x:c r="M539" s="96" t="n">
        <x:f>IFERROR(G539/F539,0)</x:f>
        <x:v>0.9423076923076923</x:v>
      </x:c>
      <x:c r="N539" s="96" t="n">
        <x:f>IFERROR(H539/G539,0)</x:f>
        <x:v>0.7755102040816326</x:v>
      </x:c>
      <x:c r="O539" s="96" t="n">
        <x:f>IFERROR(I539/H539,0)</x:f>
        <x:v>0.8157894736842105</x:v>
      </x:c>
      <x:c r="P539" s="96" t="n">
        <x:f>IFERROR(J539/I539,0)</x:f>
        <x:v>0.3870967741935484</x:v>
      </x:c>
      <x:c r="Q539" s="96" t="n">
        <x:f>IFERROR(L539/J539,0)</x:f>
        <x:v>0.08333333333333333</x:v>
      </x:c>
      <x:c r="R539" s="96" t="n">
        <x:f>IFERROR(L539/F539,0)</x:f>
        <x:v>0.019230769230769232</x:v>
      </x:c>
      <x:c r="S539" s="95" t="n">
        <x:v>112</x:v>
      </x:c>
      <x:c r="T539" s="94" t="str">
        <x:v>末次点击7天</x:v>
      </x:c>
    </x:row>
    <x:row r="540">
      <x:c r="A540" s="92" t="str">
        <x:v>PROC-0539</x:v>
      </x:c>
      <x:c r="B540" s="93" t="n">
        <x:v>46120</x:v>
      </x:c>
      <x:c r="C540" s="94" t="str">
        <x:v>Microsoft Ads</x:v>
      </x:c>
      <x:c r="D540" s="94" t="str">
        <x:v>英国</x:v>
      </x:c>
      <x:c r="E540" s="94" t="str">
        <x:v>购物广告</x:v>
      </x:c>
      <x:c r="F540" s="95" t="n">
        <x:v>56</x:v>
      </x:c>
      <x:c r="G540" s="95" t="n">
        <x:v>51</x:v>
      </x:c>
      <x:c r="H540" s="95" t="n">
        <x:v>39</x:v>
      </x:c>
      <x:c r="I540" s="95" t="n">
        <x:v>34</x:v>
      </x:c>
      <x:c r="J540" s="95" t="n">
        <x:v>17</x:v>
      </x:c>
      <x:c r="K540" s="95" t="n">
        <x:v>5</x:v>
      </x:c>
      <x:c r="L540" s="95" t="n">
        <x:v>1</x:v>
      </x:c>
      <x:c r="M540" s="96" t="n">
        <x:f>IFERROR(G540/F540,0)</x:f>
        <x:v>0.9107142857142857</x:v>
      </x:c>
      <x:c r="N540" s="96" t="n">
        <x:f>IFERROR(H540/G540,0)</x:f>
        <x:v>0.7647058823529411</x:v>
      </x:c>
      <x:c r="O540" s="96" t="n">
        <x:f>IFERROR(I540/H540,0)</x:f>
        <x:v>0.8717948717948718</x:v>
      </x:c>
      <x:c r="P540" s="96" t="n">
        <x:f>IFERROR(J540/I540,0)</x:f>
        <x:v>0.5</x:v>
      </x:c>
      <x:c r="Q540" s="96" t="n">
        <x:f>IFERROR(L540/J540,0)</x:f>
        <x:v>0.058823529411764705</x:v>
      </x:c>
      <x:c r="R540" s="96" t="n">
        <x:f>IFERROR(L540/F540,0)</x:f>
        <x:v>0.017857142857142856</x:v>
      </x:c>
      <x:c r="S540" s="95" t="n">
        <x:v>149</x:v>
      </x:c>
      <x:c r="T540" s="94" t="str">
        <x:v>末次点击7天</x:v>
      </x:c>
    </x:row>
    <x:row r="541">
      <x:c r="A541" s="92" t="str">
        <x:v>PROC-0540</x:v>
      </x:c>
      <x:c r="B541" s="93" t="n">
        <x:v>46120</x:v>
      </x:c>
      <x:c r="C541" s="94" t="str">
        <x:v>Microsoft Ads</x:v>
      </x:c>
      <x:c r="D541" s="94" t="str">
        <x:v>德国</x:v>
      </x:c>
      <x:c r="E541" s="94" t="str">
        <x:v>竞品搜索</x:v>
      </x:c>
      <x:c r="F541" s="95" t="n">
        <x:v>21</x:v>
      </x:c>
      <x:c r="G541" s="95" t="n">
        <x:v>20</x:v>
      </x:c>
      <x:c r="H541" s="95" t="n">
        <x:v>14</x:v>
      </x:c>
      <x:c r="I541" s="95" t="n">
        <x:v>12</x:v>
      </x:c>
      <x:c r="J541" s="95" t="n">
        <x:v>5</x:v>
      </x:c>
      <x:c r="K541" s="95" t="n">
        <x:v>1</x:v>
      </x:c>
      <x:c r="L541" s="95" t="n">
        <x:v>0</x:v>
      </x:c>
      <x:c r="M541" s="96" t="n">
        <x:f>IFERROR(G541/F541,0)</x:f>
        <x:v>0.9523809523809523</x:v>
      </x:c>
      <x:c r="N541" s="96" t="n">
        <x:f>IFERROR(H541/G541,0)</x:f>
        <x:v>0.7</x:v>
      </x:c>
      <x:c r="O541" s="96" t="n">
        <x:f>IFERROR(I541/H541,0)</x:f>
        <x:v>0.8571428571428571</x:v>
      </x:c>
      <x:c r="P541" s="96" t="n">
        <x:f>IFERROR(J541/I541,0)</x:f>
        <x:v>0.4166666666666667</x:v>
      </x:c>
      <x:c r="Q541" s="96" t="n">
        <x:f>IFERROR(L541/J541,0)</x:f>
        <x:v>0</x:v>
      </x:c>
      <x:c r="R541" s="96" t="n">
        <x:f>IFERROR(L541/F541,0)</x:f>
        <x:v>0</x:v>
      </x:c>
      <x:c r="S541" s="95" t="n">
        <x:v>98</x:v>
      </x:c>
      <x:c r="T541" s="94" t="str">
        <x:v>末次点击7天</x:v>
      </x:c>
    </x:row>
    <x:row r="542">
      <x:c r="A542" s="92" t="str">
        <x:v>PROC-0541</x:v>
      </x:c>
      <x:c r="B542" s="93" t="n">
        <x:v>46120</x:v>
      </x:c>
      <x:c r="C542" s="94" t="str">
        <x:v>Google Ads</x:v>
      </x:c>
      <x:c r="D542" s="94" t="str">
        <x:v>英国</x:v>
      </x:c>
      <x:c r="E542" s="94" t="str">
        <x:v>购物广告</x:v>
      </x:c>
      <x:c r="F542" s="95" t="n">
        <x:v>38</x:v>
      </x:c>
      <x:c r="G542" s="95" t="n">
        <x:v>35</x:v>
      </x:c>
      <x:c r="H542" s="95" t="n">
        <x:v>24</x:v>
      </x:c>
      <x:c r="I542" s="95" t="n">
        <x:v>22</x:v>
      </x:c>
      <x:c r="J542" s="95" t="n">
        <x:v>11</x:v>
      </x:c>
      <x:c r="K542" s="95" t="n">
        <x:v>4</x:v>
      </x:c>
      <x:c r="L542" s="95" t="n">
        <x:v>1</x:v>
      </x:c>
      <x:c r="M542" s="96" t="n">
        <x:f>IFERROR(G542/F542,0)</x:f>
        <x:v>0.9210526315789473</x:v>
      </x:c>
      <x:c r="N542" s="96" t="n">
        <x:f>IFERROR(H542/G542,0)</x:f>
        <x:v>0.6857142857142857</x:v>
      </x:c>
      <x:c r="O542" s="96" t="n">
        <x:f>IFERROR(I542/H542,0)</x:f>
        <x:v>0.9166666666666666</x:v>
      </x:c>
      <x:c r="P542" s="96" t="n">
        <x:f>IFERROR(J542/I542,0)</x:f>
        <x:v>0.5</x:v>
      </x:c>
      <x:c r="Q542" s="96" t="n">
        <x:f>IFERROR(L542/J542,0)</x:f>
        <x:v>0.09090909090909091</x:v>
      </x:c>
      <x:c r="R542" s="96" t="n">
        <x:f>IFERROR(L542/F542,0)</x:f>
        <x:v>0.02631578947368421</x:v>
      </x:c>
      <x:c r="S542" s="95" t="n">
        <x:v>141</x:v>
      </x:c>
      <x:c r="T542" s="94" t="str">
        <x:v>末次点击7天</x:v>
      </x:c>
    </x:row>
    <x:row r="543">
      <x:c r="A543" s="92" t="str">
        <x:v>PROC-0542</x:v>
      </x:c>
      <x:c r="B543" s="93" t="n">
        <x:v>46120</x:v>
      </x:c>
      <x:c r="C543" s="94" t="str">
        <x:v>Google Ads</x:v>
      </x:c>
      <x:c r="D543" s="94" t="str">
        <x:v>英国</x:v>
      </x:c>
      <x:c r="E543" s="94" t="str">
        <x:v>通用搜索</x:v>
      </x:c>
      <x:c r="F543" s="95" t="n">
        <x:v>44</x:v>
      </x:c>
      <x:c r="G543" s="95" t="n">
        <x:v>41</x:v>
      </x:c>
      <x:c r="H543" s="95" t="n">
        <x:v>28</x:v>
      </x:c>
      <x:c r="I543" s="95" t="n">
        <x:v>24</x:v>
      </x:c>
      <x:c r="J543" s="95" t="n">
        <x:v>10</x:v>
      </x:c>
      <x:c r="K543" s="95" t="n">
        <x:v>3</x:v>
      </x:c>
      <x:c r="L543" s="95" t="n">
        <x:v>1</x:v>
      </x:c>
      <x:c r="M543" s="96" t="n">
        <x:f>IFERROR(G543/F543,0)</x:f>
        <x:v>0.9318181818181818</x:v>
      </x:c>
      <x:c r="N543" s="96" t="n">
        <x:f>IFERROR(H543/G543,0)</x:f>
        <x:v>0.6829268292682927</x:v>
      </x:c>
      <x:c r="O543" s="96" t="n">
        <x:f>IFERROR(I543/H543,0)</x:f>
        <x:v>0.8571428571428571</x:v>
      </x:c>
      <x:c r="P543" s="96" t="n">
        <x:f>IFERROR(J543/I543,0)</x:f>
        <x:v>0.4166666666666667</x:v>
      </x:c>
      <x:c r="Q543" s="96" t="n">
        <x:f>IFERROR(L543/J543,0)</x:f>
        <x:v>0.1</x:v>
      </x:c>
      <x:c r="R543" s="96" t="n">
        <x:f>IFERROR(L543/F543,0)</x:f>
        <x:v>0.022727272727272728</x:v>
      </x:c>
      <x:c r="S543" s="95" t="n">
        <x:v>68</x:v>
      </x:c>
      <x:c r="T543" s="94" t="str">
        <x:v>末次点击7天</x:v>
      </x:c>
    </x:row>
    <x:row r="544">
      <x:c r="A544" s="92" t="str">
        <x:v>PROC-0543</x:v>
      </x:c>
      <x:c r="B544" s="93" t="n">
        <x:v>46121</x:v>
      </x:c>
      <x:c r="C544" s="94" t="str">
        <x:v>Google Ads</x:v>
      </x:c>
      <x:c r="D544" s="94" t="str">
        <x:v>美国</x:v>
      </x:c>
      <x:c r="E544" s="94" t="str">
        <x:v>通用搜索</x:v>
      </x:c>
      <x:c r="F544" s="95" t="n">
        <x:v>52</x:v>
      </x:c>
      <x:c r="G544" s="95" t="n">
        <x:v>48</x:v>
      </x:c>
      <x:c r="H544" s="95" t="n">
        <x:v>35</x:v>
      </x:c>
      <x:c r="I544" s="95" t="n">
        <x:v>28</x:v>
      </x:c>
      <x:c r="J544" s="95" t="n">
        <x:v>10</x:v>
      </x:c>
      <x:c r="K544" s="95" t="n">
        <x:v>3</x:v>
      </x:c>
      <x:c r="L544" s="95" t="n">
        <x:v>1</x:v>
      </x:c>
      <x:c r="M544" s="96" t="n">
        <x:f>IFERROR(G544/F544,0)</x:f>
        <x:v>0.9230769230769231</x:v>
      </x:c>
      <x:c r="N544" s="96" t="n">
        <x:f>IFERROR(H544/G544,0)</x:f>
        <x:v>0.7291666666666666</x:v>
      </x:c>
      <x:c r="O544" s="96" t="n">
        <x:f>IFERROR(I544/H544,0)</x:f>
        <x:v>0.8</x:v>
      </x:c>
      <x:c r="P544" s="96" t="n">
        <x:f>IFERROR(J544/I544,0)</x:f>
        <x:v>0.35714285714285715</x:v>
      </x:c>
      <x:c r="Q544" s="96" t="n">
        <x:f>IFERROR(L544/J544,0)</x:f>
        <x:v>0.1</x:v>
      </x:c>
      <x:c r="R544" s="96" t="n">
        <x:f>IFERROR(L544/F544,0)</x:f>
        <x:v>0.019230769230769232</x:v>
      </x:c>
      <x:c r="S544" s="95" t="n">
        <x:v>68</x:v>
      </x:c>
      <x:c r="T544" s="94" t="str">
        <x:v>末次点击7天</x:v>
      </x:c>
    </x:row>
    <x:row r="545">
      <x:c r="A545" s="92" t="str">
        <x:v>PROC-0544</x:v>
      </x:c>
      <x:c r="B545" s="93" t="n">
        <x:v>46121</x:v>
      </x:c>
      <x:c r="C545" s="94" t="str">
        <x:v>Google Ads</x:v>
      </x:c>
      <x:c r="D545" s="94" t="str">
        <x:v>美国</x:v>
      </x:c>
      <x:c r="E545" s="94" t="str">
        <x:v>竞品搜索</x:v>
      </x:c>
      <x:c r="F545" s="95" t="n">
        <x:v>24</x:v>
      </x:c>
      <x:c r="G545" s="95" t="n">
        <x:v>22</x:v>
      </x:c>
      <x:c r="H545" s="95" t="n">
        <x:v>15</x:v>
      </x:c>
      <x:c r="I545" s="95" t="n">
        <x:v>12</x:v>
      </x:c>
      <x:c r="J545" s="95" t="n">
        <x:v>5</x:v>
      </x:c>
      <x:c r="K545" s="95" t="n">
        <x:v>1</x:v>
      </x:c>
      <x:c r="L545" s="95" t="n">
        <x:v>0</x:v>
      </x:c>
      <x:c r="M545" s="96" t="n">
        <x:f>IFERROR(G545/F545,0)</x:f>
        <x:v>0.9166666666666666</x:v>
      </x:c>
      <x:c r="N545" s="96" t="n">
        <x:f>IFERROR(H545/G545,0)</x:f>
        <x:v>0.6818181818181818</x:v>
      </x:c>
      <x:c r="O545" s="96" t="n">
        <x:f>IFERROR(I545/H545,0)</x:f>
        <x:v>0.8</x:v>
      </x:c>
      <x:c r="P545" s="96" t="n">
        <x:f>IFERROR(J545/I545,0)</x:f>
        <x:v>0.4166666666666667</x:v>
      </x:c>
      <x:c r="Q545" s="96" t="n">
        <x:f>IFERROR(L545/J545,0)</x:f>
        <x:v>0</x:v>
      </x:c>
      <x:c r="R545" s="96" t="n">
        <x:f>IFERROR(L545/F545,0)</x:f>
        <x:v>0</x:v>
      </x:c>
      <x:c r="S545" s="95" t="n">
        <x:v>90</x:v>
      </x:c>
      <x:c r="T545" s="94" t="str">
        <x:v>末次点击7天</x:v>
      </x:c>
    </x:row>
    <x:row r="546">
      <x:c r="A546" s="92" t="str">
        <x:v>PROC-0545</x:v>
      </x:c>
      <x:c r="B546" s="93" t="n">
        <x:v>46121</x:v>
      </x:c>
      <x:c r="C546" s="94" t="str">
        <x:v>Microsoft Ads</x:v>
      </x:c>
      <x:c r="D546" s="94" t="str">
        <x:v>德国</x:v>
      </x:c>
      <x:c r="E546" s="94" t="str">
        <x:v>竞品搜索</x:v>
      </x:c>
      <x:c r="F546" s="95" t="n">
        <x:v>16</x:v>
      </x:c>
      <x:c r="G546" s="95" t="n">
        <x:v>15</x:v>
      </x:c>
      <x:c r="H546" s="95" t="n">
        <x:v>11</x:v>
      </x:c>
      <x:c r="I546" s="95" t="n">
        <x:v>9</x:v>
      </x:c>
      <x:c r="J546" s="95" t="n">
        <x:v>3</x:v>
      </x:c>
      <x:c r="K546" s="95" t="n">
        <x:v>1</x:v>
      </x:c>
      <x:c r="L546" s="95" t="n">
        <x:v>0</x:v>
      </x:c>
      <x:c r="M546" s="96" t="n">
        <x:f>IFERROR(G546/F546,0)</x:f>
        <x:v>0.9375</x:v>
      </x:c>
      <x:c r="N546" s="96" t="n">
        <x:f>IFERROR(H546/G546,0)</x:f>
        <x:v>0.7333333333333333</x:v>
      </x:c>
      <x:c r="O546" s="96" t="n">
        <x:f>IFERROR(I546/H546,0)</x:f>
        <x:v>0.8181818181818182</x:v>
      </x:c>
      <x:c r="P546" s="96" t="n">
        <x:f>IFERROR(J546/I546,0)</x:f>
        <x:v>0.3333333333333333</x:v>
      </x:c>
      <x:c r="Q546" s="96" t="n">
        <x:f>IFERROR(L546/J546,0)</x:f>
        <x:v>0</x:v>
      </x:c>
      <x:c r="R546" s="96" t="n">
        <x:f>IFERROR(L546/F546,0)</x:f>
        <x:v>0</x:v>
      </x:c>
      <x:c r="S546" s="95" t="n">
        <x:v>70</x:v>
      </x:c>
      <x:c r="T546" s="94" t="str">
        <x:v>末次点击7天</x:v>
      </x:c>
    </x:row>
    <x:row r="547">
      <x:c r="A547" s="92" t="str">
        <x:v>PROC-0546</x:v>
      </x:c>
      <x:c r="B547" s="93" t="n">
        <x:v>46121</x:v>
      </x:c>
      <x:c r="C547" s="94" t="str">
        <x:v>Microsoft Ads</x:v>
      </x:c>
      <x:c r="D547" s="94" t="str">
        <x:v>美国</x:v>
      </x:c>
      <x:c r="E547" s="94" t="str">
        <x:v>通用搜索</x:v>
      </x:c>
      <x:c r="F547" s="95" t="n">
        <x:v>51</x:v>
      </x:c>
      <x:c r="G547" s="95" t="n">
        <x:v>47</x:v>
      </x:c>
      <x:c r="H547" s="95" t="n">
        <x:v>32</x:v>
      </x:c>
      <x:c r="I547" s="95" t="n">
        <x:v>27</x:v>
      </x:c>
      <x:c r="J547" s="95" t="n">
        <x:v>11</x:v>
      </x:c>
      <x:c r="K547" s="95" t="n">
        <x:v>2</x:v>
      </x:c>
      <x:c r="L547" s="95" t="n">
        <x:v>1</x:v>
      </x:c>
      <x:c r="M547" s="96" t="n">
        <x:f>IFERROR(G547/F547,0)</x:f>
        <x:v>0.9215686274509803</x:v>
      </x:c>
      <x:c r="N547" s="96" t="n">
        <x:f>IFERROR(H547/G547,0)</x:f>
        <x:v>0.6808510638297872</x:v>
      </x:c>
      <x:c r="O547" s="96" t="n">
        <x:f>IFERROR(I547/H547,0)</x:f>
        <x:v>0.84375</x:v>
      </x:c>
      <x:c r="P547" s="96" t="n">
        <x:f>IFERROR(J547/I547,0)</x:f>
        <x:v>0.4074074074074074</x:v>
      </x:c>
      <x:c r="Q547" s="96" t="n">
        <x:f>IFERROR(L547/J547,0)</x:f>
        <x:v>0.09090909090909091</x:v>
      </x:c>
      <x:c r="R547" s="96" t="n">
        <x:f>IFERROR(L547/F547,0)</x:f>
        <x:v>0.0196078431372549</x:v>
      </x:c>
      <x:c r="S547" s="95" t="n">
        <x:v>139</x:v>
      </x:c>
      <x:c r="T547" s="94" t="str">
        <x:v>末次点击7天</x:v>
      </x:c>
    </x:row>
    <x:row r="548">
      <x:c r="A548" s="92" t="str">
        <x:v>PROC-0547</x:v>
      </x:c>
      <x:c r="B548" s="93" t="n">
        <x:v>46121</x:v>
      </x:c>
      <x:c r="C548" s="94" t="str">
        <x:v>Microsoft Ads</x:v>
      </x:c>
      <x:c r="D548" s="94" t="str">
        <x:v>英国</x:v>
      </x:c>
      <x:c r="E548" s="94" t="str">
        <x:v>购物广告</x:v>
      </x:c>
      <x:c r="F548" s="95" t="n">
        <x:v>68</x:v>
      </x:c>
      <x:c r="G548" s="95" t="n">
        <x:v>63</x:v>
      </x:c>
      <x:c r="H548" s="95" t="n">
        <x:v>46</x:v>
      </x:c>
      <x:c r="I548" s="95" t="n">
        <x:v>41</x:v>
      </x:c>
      <x:c r="J548" s="95" t="n">
        <x:v>20</x:v>
      </x:c>
      <x:c r="K548" s="95" t="n">
        <x:v>5</x:v>
      </x:c>
      <x:c r="L548" s="95" t="n">
        <x:v>2</x:v>
      </x:c>
      <x:c r="M548" s="96" t="n">
        <x:f>IFERROR(G548/F548,0)</x:f>
        <x:v>0.9264705882352942</x:v>
      </x:c>
      <x:c r="N548" s="96" t="n">
        <x:f>IFERROR(H548/G548,0)</x:f>
        <x:v>0.7301587301587301</x:v>
      </x:c>
      <x:c r="O548" s="96" t="n">
        <x:f>IFERROR(I548/H548,0)</x:f>
        <x:v>0.8913043478260869</x:v>
      </x:c>
      <x:c r="P548" s="96" t="n">
        <x:f>IFERROR(J548/I548,0)</x:f>
        <x:v>0.4878048780487805</x:v>
      </x:c>
      <x:c r="Q548" s="96" t="n">
        <x:f>IFERROR(L548/J548,0)</x:f>
        <x:v>0.1</x:v>
      </x:c>
      <x:c r="R548" s="96" t="n">
        <x:f>IFERROR(L548/F548,0)</x:f>
        <x:v>0.029411764705882353</x:v>
      </x:c>
      <x:c r="S548" s="95" t="n">
        <x:v>144</x:v>
      </x:c>
      <x:c r="T548" s="94" t="str">
        <x:v>末次点击7天</x:v>
      </x:c>
    </x:row>
    <x:row r="549">
      <x:c r="A549" s="92" t="str">
        <x:v>PROC-0548</x:v>
      </x:c>
      <x:c r="B549" s="93" t="n">
        <x:v>46122</x:v>
      </x:c>
      <x:c r="C549" s="94" t="str">
        <x:v>Google Ads</x:v>
      </x:c>
      <x:c r="D549" s="94" t="str">
        <x:v>美国</x:v>
      </x:c>
      <x:c r="E549" s="94" t="str">
        <x:v>购物广告</x:v>
      </x:c>
      <x:c r="F549" s="95" t="n">
        <x:v>73</x:v>
      </x:c>
      <x:c r="G549" s="95" t="n">
        <x:v>68</x:v>
      </x:c>
      <x:c r="H549" s="95" t="n">
        <x:v>45</x:v>
      </x:c>
      <x:c r="I549" s="95" t="n">
        <x:v>41</x:v>
      </x:c>
      <x:c r="J549" s="95" t="n">
        <x:v>19</x:v>
      </x:c>
      <x:c r="K549" s="95" t="n">
        <x:v>6</x:v>
      </x:c>
      <x:c r="L549" s="95" t="n">
        <x:v>2</x:v>
      </x:c>
      <x:c r="M549" s="96" t="n">
        <x:f>IFERROR(G549/F549,0)</x:f>
        <x:v>0.9315068493150684</x:v>
      </x:c>
      <x:c r="N549" s="96" t="n">
        <x:f>IFERROR(H549/G549,0)</x:f>
        <x:v>0.6617647058823529</x:v>
      </x:c>
      <x:c r="O549" s="96" t="n">
        <x:f>IFERROR(I549/H549,0)</x:f>
        <x:v>0.9111111111111111</x:v>
      </x:c>
      <x:c r="P549" s="96" t="n">
        <x:f>IFERROR(J549/I549,0)</x:f>
        <x:v>0.4634146341463415</x:v>
      </x:c>
      <x:c r="Q549" s="96" t="n">
        <x:f>IFERROR(L549/J549,0)</x:f>
        <x:v>0.10526315789473684</x:v>
      </x:c>
      <x:c r="R549" s="96" t="n">
        <x:f>IFERROR(L549/F549,0)</x:f>
        <x:v>0.0273972602739726</x:v>
      </x:c>
      <x:c r="S549" s="95" t="n">
        <x:v>145</x:v>
      </x:c>
      <x:c r="T549" s="94" t="str">
        <x:v>末次点击7天</x:v>
      </x:c>
    </x:row>
    <x:row r="550">
      <x:c r="A550" s="92" t="str">
        <x:v>PROC-0549</x:v>
      </x:c>
      <x:c r="B550" s="93" t="n">
        <x:v>46122</x:v>
      </x:c>
      <x:c r="C550" s="94" t="str">
        <x:v>Google Ads</x:v>
      </x:c>
      <x:c r="D550" s="94" t="str">
        <x:v>美国</x:v>
      </x:c>
      <x:c r="E550" s="94" t="str">
        <x:v>竞品搜索</x:v>
      </x:c>
      <x:c r="F550" s="95" t="n">
        <x:v>22</x:v>
      </x:c>
      <x:c r="G550" s="95" t="n">
        <x:v>19</x:v>
      </x:c>
      <x:c r="H550" s="95" t="n">
        <x:v>12</x:v>
      </x:c>
      <x:c r="I550" s="95" t="n">
        <x:v>10</x:v>
      </x:c>
      <x:c r="J550" s="95" t="n">
        <x:v>4</x:v>
      </x:c>
      <x:c r="K550" s="95" t="n">
        <x:v>1</x:v>
      </x:c>
      <x:c r="L550" s="95" t="n">
        <x:v>0</x:v>
      </x:c>
      <x:c r="M550" s="96" t="n">
        <x:f>IFERROR(G550/F550,0)</x:f>
        <x:v>0.8636363636363636</x:v>
      </x:c>
      <x:c r="N550" s="96" t="n">
        <x:f>IFERROR(H550/G550,0)</x:f>
        <x:v>0.631578947368421</x:v>
      </x:c>
      <x:c r="O550" s="96" t="n">
        <x:f>IFERROR(I550/H550,0)</x:f>
        <x:v>0.8333333333333334</x:v>
      </x:c>
      <x:c r="P550" s="96" t="n">
        <x:f>IFERROR(J550/I550,0)</x:f>
        <x:v>0.4</x:v>
      </x:c>
      <x:c r="Q550" s="96" t="n">
        <x:f>IFERROR(L550/J550,0)</x:f>
        <x:v>0</x:v>
      </x:c>
      <x:c r="R550" s="96" t="n">
        <x:f>IFERROR(L550/F550,0)</x:f>
        <x:v>0</x:v>
      </x:c>
      <x:c r="S550" s="95" t="n">
        <x:v>106</x:v>
      </x:c>
      <x:c r="T550" s="94" t="str">
        <x:v>末次点击7天</x:v>
      </x:c>
    </x:row>
    <x:row r="551">
      <x:c r="A551" s="92" t="str">
        <x:v>PROC-0550</x:v>
      </x:c>
      <x:c r="B551" s="93" t="n">
        <x:v>46122</x:v>
      </x:c>
      <x:c r="C551" s="94" t="str">
        <x:v>Google Ads</x:v>
      </x:c>
      <x:c r="D551" s="94" t="str">
        <x:v>德国</x:v>
      </x:c>
      <x:c r="E551" s="94" t="str">
        <x:v>通用搜索</x:v>
      </x:c>
      <x:c r="F551" s="95" t="n">
        <x:v>56</x:v>
      </x:c>
      <x:c r="G551" s="95" t="n">
        <x:v>52</x:v>
      </x:c>
      <x:c r="H551" s="95" t="n">
        <x:v>36</x:v>
      </x:c>
      <x:c r="I551" s="95" t="n">
        <x:v>29</x:v>
      </x:c>
      <x:c r="J551" s="95" t="n">
        <x:v>11</x:v>
      </x:c>
      <x:c r="K551" s="95" t="n">
        <x:v>3</x:v>
      </x:c>
      <x:c r="L551" s="95" t="n">
        <x:v>1</x:v>
      </x:c>
      <x:c r="M551" s="96" t="n">
        <x:f>IFERROR(G551/F551,0)</x:f>
        <x:v>0.9285714285714286</x:v>
      </x:c>
      <x:c r="N551" s="96" t="n">
        <x:f>IFERROR(H551/G551,0)</x:f>
        <x:v>0.6923076923076923</x:v>
      </x:c>
      <x:c r="O551" s="96" t="n">
        <x:f>IFERROR(I551/H551,0)</x:f>
        <x:v>0.8055555555555556</x:v>
      </x:c>
      <x:c r="P551" s="96" t="n">
        <x:f>IFERROR(J551/I551,0)</x:f>
        <x:v>0.3793103448275862</x:v>
      </x:c>
      <x:c r="Q551" s="96" t="n">
        <x:f>IFERROR(L551/J551,0)</x:f>
        <x:v>0.09090909090909091</x:v>
      </x:c>
      <x:c r="R551" s="96" t="n">
        <x:f>IFERROR(L551/F551,0)</x:f>
        <x:v>0.017857142857142856</x:v>
      </x:c>
      <x:c r="S551" s="95" t="n">
        <x:v>146</x:v>
      </x:c>
      <x:c r="T551" s="94" t="str">
        <x:v>末次点击7天</x:v>
      </x:c>
    </x:row>
    <x:row r="552">
      <x:c r="A552" s="92" t="str">
        <x:v>PROC-0551</x:v>
      </x:c>
      <x:c r="B552" s="93" t="n">
        <x:v>46122</x:v>
      </x:c>
      <x:c r="C552" s="94" t="str">
        <x:v>Microsoft Ads</x:v>
      </x:c>
      <x:c r="D552" s="94" t="str">
        <x:v>美国</x:v>
      </x:c>
      <x:c r="E552" s="94" t="str">
        <x:v>购物广告</x:v>
      </x:c>
      <x:c r="F552" s="95" t="n">
        <x:v>63</x:v>
      </x:c>
      <x:c r="G552" s="95" t="n">
        <x:v>56</x:v>
      </x:c>
      <x:c r="H552" s="95" t="n">
        <x:v>40</x:v>
      </x:c>
      <x:c r="I552" s="95" t="n">
        <x:v>36</x:v>
      </x:c>
      <x:c r="J552" s="95" t="n">
        <x:v>16</x:v>
      </x:c>
      <x:c r="K552" s="95" t="n">
        <x:v>4</x:v>
      </x:c>
      <x:c r="L552" s="95" t="n">
        <x:v>1</x:v>
      </x:c>
      <x:c r="M552" s="96" t="n">
        <x:f>IFERROR(G552/F552,0)</x:f>
        <x:v>0.8888888888888888</x:v>
      </x:c>
      <x:c r="N552" s="96" t="n">
        <x:f>IFERROR(H552/G552,0)</x:f>
        <x:v>0.7142857142857143</x:v>
      </x:c>
      <x:c r="O552" s="96" t="n">
        <x:f>IFERROR(I552/H552,0)</x:f>
        <x:v>0.9</x:v>
      </x:c>
      <x:c r="P552" s="96" t="n">
        <x:f>IFERROR(J552/I552,0)</x:f>
        <x:v>0.4444444444444444</x:v>
      </x:c>
      <x:c r="Q552" s="96" t="n">
        <x:f>IFERROR(L552/J552,0)</x:f>
        <x:v>0.0625</x:v>
      </x:c>
      <x:c r="R552" s="96" t="n">
        <x:f>IFERROR(L552/F552,0)</x:f>
        <x:v>0.015873015873015872</x:v>
      </x:c>
      <x:c r="S552" s="95" t="n">
        <x:v>51</x:v>
      </x:c>
      <x:c r="T552" s="94" t="str">
        <x:v>末次点击7天</x:v>
      </x:c>
    </x:row>
    <x:row r="553">
      <x:c r="A553" s="92" t="str">
        <x:v>PROC-0552</x:v>
      </x:c>
      <x:c r="B553" s="93" t="n">
        <x:v>46122</x:v>
      </x:c>
      <x:c r="C553" s="94" t="str">
        <x:v>Microsoft Ads</x:v>
      </x:c>
      <x:c r="D553" s="94" t="str">
        <x:v>英国</x:v>
      </x:c>
      <x:c r="E553" s="94" t="str">
        <x:v>购物广告</x:v>
      </x:c>
      <x:c r="F553" s="95" t="n">
        <x:v>60</x:v>
      </x:c>
      <x:c r="G553" s="95" t="n">
        <x:v>57</x:v>
      </x:c>
      <x:c r="H553" s="95" t="n">
        <x:v>42</x:v>
      </x:c>
      <x:c r="I553" s="95" t="n">
        <x:v>37</x:v>
      </x:c>
      <x:c r="J553" s="95" t="n">
        <x:v>15</x:v>
      </x:c>
      <x:c r="K553" s="95" t="n">
        <x:v>4</x:v>
      </x:c>
      <x:c r="L553" s="95" t="n">
        <x:v>1</x:v>
      </x:c>
      <x:c r="M553" s="96" t="n">
        <x:f>IFERROR(G553/F553,0)</x:f>
        <x:v>0.95</x:v>
      </x:c>
      <x:c r="N553" s="96" t="n">
        <x:f>IFERROR(H553/G553,0)</x:f>
        <x:v>0.7368421052631579</x:v>
      </x:c>
      <x:c r="O553" s="96" t="n">
        <x:f>IFERROR(I553/H553,0)</x:f>
        <x:v>0.8809523809523809</x:v>
      </x:c>
      <x:c r="P553" s="96" t="n">
        <x:f>IFERROR(J553/I553,0)</x:f>
        <x:v>0.40540540540540543</x:v>
      </x:c>
      <x:c r="Q553" s="96" t="n">
        <x:f>IFERROR(L553/J553,0)</x:f>
        <x:v>0.06666666666666667</x:v>
      </x:c>
      <x:c r="R553" s="96" t="n">
        <x:f>IFERROR(L553/F553,0)</x:f>
        <x:v>0.016666666666666666</x:v>
      </x:c>
      <x:c r="S553" s="95" t="n">
        <x:v>44</x:v>
      </x:c>
      <x:c r="T553" s="94" t="str">
        <x:v>末次点击7天</x:v>
      </x:c>
    </x:row>
    <x:row r="554">
      <x:c r="A554" s="92" t="str">
        <x:v>PROC-0553</x:v>
      </x:c>
      <x:c r="B554" s="93" t="n">
        <x:v>46122</x:v>
      </x:c>
      <x:c r="C554" s="94" t="str">
        <x:v>Google Ads</x:v>
      </x:c>
      <x:c r="D554" s="94" t="str">
        <x:v>美国</x:v>
      </x:c>
      <x:c r="E554" s="94" t="str">
        <x:v>通用搜索</x:v>
      </x:c>
      <x:c r="F554" s="95" t="n">
        <x:v>37</x:v>
      </x:c>
      <x:c r="G554" s="95" t="n">
        <x:v>35</x:v>
      </x:c>
      <x:c r="H554" s="95" t="n">
        <x:v>28</x:v>
      </x:c>
      <x:c r="I554" s="95" t="n">
        <x:v>23</x:v>
      </x:c>
      <x:c r="J554" s="95" t="n">
        <x:v>10</x:v>
      </x:c>
      <x:c r="K554" s="95" t="n">
        <x:v>3</x:v>
      </x:c>
      <x:c r="L554" s="95" t="n">
        <x:v>1</x:v>
      </x:c>
      <x:c r="M554" s="96" t="n">
        <x:f>IFERROR(G554/F554,0)</x:f>
        <x:v>0.9459459459459459</x:v>
      </x:c>
      <x:c r="N554" s="96" t="n">
        <x:f>IFERROR(H554/G554,0)</x:f>
        <x:v>0.8</x:v>
      </x:c>
      <x:c r="O554" s="96" t="n">
        <x:f>IFERROR(I554/H554,0)</x:f>
        <x:v>0.8214285714285714</x:v>
      </x:c>
      <x:c r="P554" s="96" t="n">
        <x:f>IFERROR(J554/I554,0)</x:f>
        <x:v>0.43478260869565216</x:v>
      </x:c>
      <x:c r="Q554" s="96" t="n">
        <x:f>IFERROR(L554/J554,0)</x:f>
        <x:v>0.1</x:v>
      </x:c>
      <x:c r="R554" s="96" t="n">
        <x:f>IFERROR(L554/F554,0)</x:f>
        <x:v>0.02702702702702703</x:v>
      </x:c>
      <x:c r="S554" s="95" t="n">
        <x:v>114</x:v>
      </x:c>
      <x:c r="T554" s="94" t="str">
        <x:v>末次点击7天</x:v>
      </x:c>
    </x:row>
    <x:row r="555">
      <x:c r="A555" s="92" t="str">
        <x:v>PROC-0554</x:v>
      </x:c>
      <x:c r="B555" s="93" t="n">
        <x:v>46123</x:v>
      </x:c>
      <x:c r="C555" s="94" t="str">
        <x:v>Microsoft Ads</x:v>
      </x:c>
      <x:c r="D555" s="94" t="str">
        <x:v>英国</x:v>
      </x:c>
      <x:c r="E555" s="94" t="str">
        <x:v>购物广告</x:v>
      </x:c>
      <x:c r="F555" s="95" t="n">
        <x:v>54</x:v>
      </x:c>
      <x:c r="G555" s="95" t="n">
        <x:v>48</x:v>
      </x:c>
      <x:c r="H555" s="95" t="n">
        <x:v>38</x:v>
      </x:c>
      <x:c r="I555" s="95" t="n">
        <x:v>34</x:v>
      </x:c>
      <x:c r="J555" s="95" t="n">
        <x:v>15</x:v>
      </x:c>
      <x:c r="K555" s="95" t="n">
        <x:v>5</x:v>
      </x:c>
      <x:c r="L555" s="95" t="n">
        <x:v>1</x:v>
      </x:c>
      <x:c r="M555" s="96" t="n">
        <x:f>IFERROR(G555/F555,0)</x:f>
        <x:v>0.8888888888888888</x:v>
      </x:c>
      <x:c r="N555" s="96" t="n">
        <x:f>IFERROR(H555/G555,0)</x:f>
        <x:v>0.7916666666666666</x:v>
      </x:c>
      <x:c r="O555" s="96" t="n">
        <x:f>IFERROR(I555/H555,0)</x:f>
        <x:v>0.8947368421052632</x:v>
      </x:c>
      <x:c r="P555" s="96" t="n">
        <x:f>IFERROR(J555/I555,0)</x:f>
        <x:v>0.4411764705882353</x:v>
      </x:c>
      <x:c r="Q555" s="96" t="n">
        <x:f>IFERROR(L555/J555,0)</x:f>
        <x:v>0.06666666666666667</x:v>
      </x:c>
      <x:c r="R555" s="96" t="n">
        <x:f>IFERROR(L555/F555,0)</x:f>
        <x:v>0.018518518518518517</x:v>
      </x:c>
      <x:c r="S555" s="95" t="n">
        <x:v>43</x:v>
      </x:c>
      <x:c r="T555" s="94" t="str">
        <x:v>末次点击7天</x:v>
      </x:c>
    </x:row>
    <x:row r="556">
      <x:c r="A556" s="92" t="str">
        <x:v>PROC-0555</x:v>
      </x:c>
      <x:c r="B556" s="93" t="n">
        <x:v>46123</x:v>
      </x:c>
      <x:c r="C556" s="94" t="str">
        <x:v>Google Ads</x:v>
      </x:c>
      <x:c r="D556" s="94" t="str">
        <x:v>美国</x:v>
      </x:c>
      <x:c r="E556" s="94" t="str">
        <x:v>通用搜索</x:v>
      </x:c>
      <x:c r="F556" s="95" t="n">
        <x:v>27</x:v>
      </x:c>
      <x:c r="G556" s="95" t="n">
        <x:v>24</x:v>
      </x:c>
      <x:c r="H556" s="95" t="n">
        <x:v>17</x:v>
      </x:c>
      <x:c r="I556" s="95" t="n">
        <x:v>14</x:v>
      </x:c>
      <x:c r="J556" s="95" t="n">
        <x:v>6</x:v>
      </x:c>
      <x:c r="K556" s="95" t="n">
        <x:v>2</x:v>
      </x:c>
      <x:c r="L556" s="95" t="n">
        <x:v>0</x:v>
      </x:c>
      <x:c r="M556" s="96" t="n">
        <x:f>IFERROR(G556/F556,0)</x:f>
        <x:v>0.8888888888888888</x:v>
      </x:c>
      <x:c r="N556" s="96" t="n">
        <x:f>IFERROR(H556/G556,0)</x:f>
        <x:v>0.7083333333333334</x:v>
      </x:c>
      <x:c r="O556" s="96" t="n">
        <x:f>IFERROR(I556/H556,0)</x:f>
        <x:v>0.8235294117647058</x:v>
      </x:c>
      <x:c r="P556" s="96" t="n">
        <x:f>IFERROR(J556/I556,0)</x:f>
        <x:v>0.42857142857142855</x:v>
      </x:c>
      <x:c r="Q556" s="96" t="n">
        <x:f>IFERROR(L556/J556,0)</x:f>
        <x:v>0</x:v>
      </x:c>
      <x:c r="R556" s="96" t="n">
        <x:f>IFERROR(L556/F556,0)</x:f>
        <x:v>0</x:v>
      </x:c>
      <x:c r="S556" s="95" t="n">
        <x:v>92</x:v>
      </x:c>
      <x:c r="T556" s="94" t="str">
        <x:v>末次点击7天</x:v>
      </x:c>
    </x:row>
    <x:row r="557">
      <x:c r="A557" s="92" t="str">
        <x:v>PROC-0556</x:v>
      </x:c>
      <x:c r="B557" s="93" t="n">
        <x:v>46123</x:v>
      </x:c>
      <x:c r="C557" s="94" t="str">
        <x:v>Microsoft Ads</x:v>
      </x:c>
      <x:c r="D557" s="94" t="str">
        <x:v>美国</x:v>
      </x:c>
      <x:c r="E557" s="94" t="str">
        <x:v>购物广告</x:v>
      </x:c>
      <x:c r="F557" s="95" t="n">
        <x:v>43</x:v>
      </x:c>
      <x:c r="G557" s="95" t="n">
        <x:v>40</x:v>
      </x:c>
      <x:c r="H557" s="95" t="n">
        <x:v>32</x:v>
      </x:c>
      <x:c r="I557" s="95" t="n">
        <x:v>28</x:v>
      </x:c>
      <x:c r="J557" s="95" t="n">
        <x:v>12</x:v>
      </x:c>
      <x:c r="K557" s="95" t="n">
        <x:v>3</x:v>
      </x:c>
      <x:c r="L557" s="95" t="n">
        <x:v>1</x:v>
      </x:c>
      <x:c r="M557" s="96" t="n">
        <x:f>IFERROR(G557/F557,0)</x:f>
        <x:v>0.9302325581395349</x:v>
      </x:c>
      <x:c r="N557" s="96" t="n">
        <x:f>IFERROR(H557/G557,0)</x:f>
        <x:v>0.8</x:v>
      </x:c>
      <x:c r="O557" s="96" t="n">
        <x:f>IFERROR(I557/H557,0)</x:f>
        <x:v>0.875</x:v>
      </x:c>
      <x:c r="P557" s="96" t="n">
        <x:f>IFERROR(J557/I557,0)</x:f>
        <x:v>0.42857142857142855</x:v>
      </x:c>
      <x:c r="Q557" s="96" t="n">
        <x:f>IFERROR(L557/J557,0)</x:f>
        <x:v>0.08333333333333333</x:v>
      </x:c>
      <x:c r="R557" s="96" t="n">
        <x:f>IFERROR(L557/F557,0)</x:f>
        <x:v>0.023255813953488372</x:v>
      </x:c>
      <x:c r="S557" s="95" t="n">
        <x:v>67</x:v>
      </x:c>
      <x:c r="T557" s="94" t="str">
        <x:v>末次点击7天</x:v>
      </x:c>
    </x:row>
    <x:row r="558">
      <x:c r="A558" s="92" t="str">
        <x:v>PROC-0557</x:v>
      </x:c>
      <x:c r="B558" s="93" t="n">
        <x:v>46123</x:v>
      </x:c>
      <x:c r="C558" s="94" t="str">
        <x:v>Google Ads</x:v>
      </x:c>
      <x:c r="D558" s="94" t="str">
        <x:v>美国</x:v>
      </x:c>
      <x:c r="E558" s="94" t="str">
        <x:v>购物广告</x:v>
      </x:c>
      <x:c r="F558" s="95" t="n">
        <x:v>59</x:v>
      </x:c>
      <x:c r="G558" s="95" t="n">
        <x:v>54</x:v>
      </x:c>
      <x:c r="H558" s="95" t="n">
        <x:v>37</x:v>
      </x:c>
      <x:c r="I558" s="95" t="n">
        <x:v>33</x:v>
      </x:c>
      <x:c r="J558" s="95" t="n">
        <x:v>16</x:v>
      </x:c>
      <x:c r="K558" s="95" t="n">
        <x:v>5</x:v>
      </x:c>
      <x:c r="L558" s="95" t="n">
        <x:v>1</x:v>
      </x:c>
      <x:c r="M558" s="96" t="n">
        <x:f>IFERROR(G558/F558,0)</x:f>
        <x:v>0.9152542372881356</x:v>
      </x:c>
      <x:c r="N558" s="96" t="n">
        <x:f>IFERROR(H558/G558,0)</x:f>
        <x:v>0.6851851851851852</x:v>
      </x:c>
      <x:c r="O558" s="96" t="n">
        <x:f>IFERROR(I558/H558,0)</x:f>
        <x:v>0.8918918918918919</x:v>
      </x:c>
      <x:c r="P558" s="96" t="n">
        <x:f>IFERROR(J558/I558,0)</x:f>
        <x:v>0.48484848484848486</x:v>
      </x:c>
      <x:c r="Q558" s="96" t="n">
        <x:f>IFERROR(L558/J558,0)</x:f>
        <x:v>0.0625</x:v>
      </x:c>
      <x:c r="R558" s="96" t="n">
        <x:f>IFERROR(L558/F558,0)</x:f>
        <x:v>0.01694915254237288</x:v>
      </x:c>
      <x:c r="S558" s="95" t="n">
        <x:v>155</x:v>
      </x:c>
      <x:c r="T558" s="94" t="str">
        <x:v>末次点击7天</x:v>
      </x:c>
    </x:row>
    <x:row r="559">
      <x:c r="A559" s="92" t="str">
        <x:v>PROC-0558</x:v>
      </x:c>
      <x:c r="B559" s="93" t="n">
        <x:v>46123</x:v>
      </x:c>
      <x:c r="C559" s="94" t="str">
        <x:v>Google Ads</x:v>
      </x:c>
      <x:c r="D559" s="94" t="str">
        <x:v>德国</x:v>
      </x:c>
      <x:c r="E559" s="94" t="str">
        <x:v>竞品搜索</x:v>
      </x:c>
      <x:c r="F559" s="95" t="n">
        <x:v>28</x:v>
      </x:c>
      <x:c r="G559" s="95" t="n">
        <x:v>25</x:v>
      </x:c>
      <x:c r="H559" s="95" t="n">
        <x:v>18</x:v>
      </x:c>
      <x:c r="I559" s="95" t="n">
        <x:v>14</x:v>
      </x:c>
      <x:c r="J559" s="95" t="n">
        <x:v>6</x:v>
      </x:c>
      <x:c r="K559" s="95" t="n">
        <x:v>2</x:v>
      </x:c>
      <x:c r="L559" s="95" t="n">
        <x:v>0</x:v>
      </x:c>
      <x:c r="M559" s="96" t="n">
        <x:f>IFERROR(G559/F559,0)</x:f>
        <x:v>0.8928571428571429</x:v>
      </x:c>
      <x:c r="N559" s="96" t="n">
        <x:f>IFERROR(H559/G559,0)</x:f>
        <x:v>0.72</x:v>
      </x:c>
      <x:c r="O559" s="96" t="n">
        <x:f>IFERROR(I559/H559,0)</x:f>
        <x:v>0.7777777777777778</x:v>
      </x:c>
      <x:c r="P559" s="96" t="n">
        <x:f>IFERROR(J559/I559,0)</x:f>
        <x:v>0.42857142857142855</x:v>
      </x:c>
      <x:c r="Q559" s="96" t="n">
        <x:f>IFERROR(L559/J559,0)</x:f>
        <x:v>0</x:v>
      </x:c>
      <x:c r="R559" s="96" t="n">
        <x:f>IFERROR(L559/F559,0)</x:f>
        <x:v>0</x:v>
      </x:c>
      <x:c r="S559" s="95" t="n">
        <x:v>98</x:v>
      </x:c>
      <x:c r="T559" s="94" t="str">
        <x:v>末次点击7天</x:v>
      </x:c>
    </x:row>
    <x:row r="560">
      <x:c r="A560" s="92" t="str">
        <x:v>PROC-0559</x:v>
      </x:c>
      <x:c r="B560" s="93" t="n">
        <x:v>46123</x:v>
      </x:c>
      <x:c r="C560" s="94" t="str">
        <x:v>Microsoft Ads</x:v>
      </x:c>
      <x:c r="D560" s="94" t="str">
        <x:v>英国</x:v>
      </x:c>
      <x:c r="E560" s="94" t="str">
        <x:v>品牌搜索</x:v>
      </x:c>
      <x:c r="F560" s="95" t="n">
        <x:v>54</x:v>
      </x:c>
      <x:c r="G560" s="95" t="n">
        <x:v>50</x:v>
      </x:c>
      <x:c r="H560" s="95" t="n">
        <x:v>34</x:v>
      </x:c>
      <x:c r="I560" s="95" t="n">
        <x:v>27</x:v>
      </x:c>
      <x:c r="J560" s="95" t="n">
        <x:v>14</x:v>
      </x:c>
      <x:c r="K560" s="95" t="n">
        <x:v>5</x:v>
      </x:c>
      <x:c r="L560" s="95" t="n">
        <x:v>2</x:v>
      </x:c>
      <x:c r="M560" s="96" t="n">
        <x:f>IFERROR(G560/F560,0)</x:f>
        <x:v>0.9259259259259259</x:v>
      </x:c>
      <x:c r="N560" s="96" t="n">
        <x:f>IFERROR(H560/G560,0)</x:f>
        <x:v>0.68</x:v>
      </x:c>
      <x:c r="O560" s="96" t="n">
        <x:f>IFERROR(I560/H560,0)</x:f>
        <x:v>0.7941176470588235</x:v>
      </x:c>
      <x:c r="P560" s="96" t="n">
        <x:f>IFERROR(J560/I560,0)</x:f>
        <x:v>0.5185185185185185</x:v>
      </x:c>
      <x:c r="Q560" s="96" t="n">
        <x:f>IFERROR(L560/J560,0)</x:f>
        <x:v>0.14285714285714285</x:v>
      </x:c>
      <x:c r="R560" s="96" t="n">
        <x:f>IFERROR(L560/F560,0)</x:f>
        <x:v>0.037037037037037035</x:v>
      </x:c>
      <x:c r="S560" s="95" t="n">
        <x:v>136</x:v>
      </x:c>
      <x:c r="T560" s="94" t="str">
        <x:v>末次点击7天</x:v>
      </x:c>
    </x:row>
    <x:row r="561">
      <x:c r="A561" s="92" t="str">
        <x:v>PROC-0560</x:v>
      </x:c>
      <x:c r="B561" s="93" t="n">
        <x:v>46124</x:v>
      </x:c>
      <x:c r="C561" s="94" t="str">
        <x:v>Google Ads</x:v>
      </x:c>
      <x:c r="D561" s="94" t="str">
        <x:v>美国</x:v>
      </x:c>
      <x:c r="E561" s="94" t="str">
        <x:v>通用搜索</x:v>
      </x:c>
      <x:c r="F561" s="95" t="n">
        <x:v>31</x:v>
      </x:c>
      <x:c r="G561" s="95" t="n">
        <x:v>28</x:v>
      </x:c>
      <x:c r="H561" s="95" t="n">
        <x:v>20</x:v>
      </x:c>
      <x:c r="I561" s="95" t="n">
        <x:v>17</x:v>
      </x:c>
      <x:c r="J561" s="95" t="n">
        <x:v>7</x:v>
      </x:c>
      <x:c r="K561" s="95" t="n">
        <x:v>2</x:v>
      </x:c>
      <x:c r="L561" s="95" t="n">
        <x:v>1</x:v>
      </x:c>
      <x:c r="M561" s="96" t="n">
        <x:f>IFERROR(G561/F561,0)</x:f>
        <x:v>0.9032258064516129</x:v>
      </x:c>
      <x:c r="N561" s="96" t="n">
        <x:f>IFERROR(H561/G561,0)</x:f>
        <x:v>0.7142857142857143</x:v>
      </x:c>
      <x:c r="O561" s="96" t="n">
        <x:f>IFERROR(I561/H561,0)</x:f>
        <x:v>0.85</x:v>
      </x:c>
      <x:c r="P561" s="96" t="n">
        <x:f>IFERROR(J561/I561,0)</x:f>
        <x:v>0.4117647058823529</x:v>
      </x:c>
      <x:c r="Q561" s="96" t="n">
        <x:f>IFERROR(L561/J561,0)</x:f>
        <x:v>0.14285714285714285</x:v>
      </x:c>
      <x:c r="R561" s="96" t="n">
        <x:f>IFERROR(L561/F561,0)</x:f>
        <x:v>0.03225806451612903</x:v>
      </x:c>
      <x:c r="S561" s="95" t="n">
        <x:v>118</x:v>
      </x:c>
      <x:c r="T561" s="94" t="str">
        <x:v>末次点击7天</x:v>
      </x:c>
    </x:row>
    <x:row r="562">
      <x:c r="A562" s="92" t="str">
        <x:v>PROC-0561</x:v>
      </x:c>
      <x:c r="B562" s="93" t="n">
        <x:v>46124</x:v>
      </x:c>
      <x:c r="C562" s="94" t="str">
        <x:v>Google Ads</x:v>
      </x:c>
      <x:c r="D562" s="94" t="str">
        <x:v>美国</x:v>
      </x:c>
      <x:c r="E562" s="94" t="str">
        <x:v>通用搜索</x:v>
      </x:c>
      <x:c r="F562" s="95" t="n">
        <x:v>37</x:v>
      </x:c>
      <x:c r="G562" s="95" t="n">
        <x:v>32</x:v>
      </x:c>
      <x:c r="H562" s="95" t="n">
        <x:v>21</x:v>
      </x:c>
      <x:c r="I562" s="95" t="n">
        <x:v>17</x:v>
      </x:c>
      <x:c r="J562" s="95" t="n">
        <x:v>6</x:v>
      </x:c>
      <x:c r="K562" s="95" t="n">
        <x:v>2</x:v>
      </x:c>
      <x:c r="L562" s="95" t="n">
        <x:v>0</x:v>
      </x:c>
      <x:c r="M562" s="96" t="n">
        <x:f>IFERROR(G562/F562,0)</x:f>
        <x:v>0.8648648648648649</x:v>
      </x:c>
      <x:c r="N562" s="96" t="n">
        <x:f>IFERROR(H562/G562,0)</x:f>
        <x:v>0.65625</x:v>
      </x:c>
      <x:c r="O562" s="96" t="n">
        <x:f>IFERROR(I562/H562,0)</x:f>
        <x:v>0.8095238095238095</x:v>
      </x:c>
      <x:c r="P562" s="96" t="n">
        <x:f>IFERROR(J562/I562,0)</x:f>
        <x:v>0.35294117647058826</x:v>
      </x:c>
      <x:c r="Q562" s="96" t="n">
        <x:f>IFERROR(L562/J562,0)</x:f>
        <x:v>0</x:v>
      </x:c>
      <x:c r="R562" s="96" t="n">
        <x:f>IFERROR(L562/F562,0)</x:f>
        <x:v>0</x:v>
      </x:c>
      <x:c r="S562" s="95" t="n">
        <x:v>53</x:v>
      </x:c>
      <x:c r="T562" s="94" t="str">
        <x:v>末次点击7天</x:v>
      </x:c>
    </x:row>
    <x:row r="563">
      <x:c r="A563" s="92" t="str">
        <x:v>PROC-0562</x:v>
      </x:c>
      <x:c r="B563" s="93" t="n">
        <x:v>46124</x:v>
      </x:c>
      <x:c r="C563" s="94" t="str">
        <x:v>Google Ads</x:v>
      </x:c>
      <x:c r="D563" s="94" t="str">
        <x:v>德国</x:v>
      </x:c>
      <x:c r="E563" s="94" t="str">
        <x:v>购物广告</x:v>
      </x:c>
      <x:c r="F563" s="95" t="n">
        <x:v>54</x:v>
      </x:c>
      <x:c r="G563" s="95" t="n">
        <x:v>48</x:v>
      </x:c>
      <x:c r="H563" s="95" t="n">
        <x:v>38</x:v>
      </x:c>
      <x:c r="I563" s="95" t="n">
        <x:v>32</x:v>
      </x:c>
      <x:c r="J563" s="95" t="n">
        <x:v>14</x:v>
      </x:c>
      <x:c r="K563" s="95" t="n">
        <x:v>4</x:v>
      </x:c>
      <x:c r="L563" s="95" t="n">
        <x:v>1</x:v>
      </x:c>
      <x:c r="M563" s="96" t="n">
        <x:f>IFERROR(G563/F563,0)</x:f>
        <x:v>0.8888888888888888</x:v>
      </x:c>
      <x:c r="N563" s="96" t="n">
        <x:f>IFERROR(H563/G563,0)</x:f>
        <x:v>0.7916666666666666</x:v>
      </x:c>
      <x:c r="O563" s="96" t="n">
        <x:f>IFERROR(I563/H563,0)</x:f>
        <x:v>0.8421052631578947</x:v>
      </x:c>
      <x:c r="P563" s="96" t="n">
        <x:f>IFERROR(J563/I563,0)</x:f>
        <x:v>0.4375</x:v>
      </x:c>
      <x:c r="Q563" s="96" t="n">
        <x:f>IFERROR(L563/J563,0)</x:f>
        <x:v>0.07142857142857142</x:v>
      </x:c>
      <x:c r="R563" s="96" t="n">
        <x:f>IFERROR(L563/F563,0)</x:f>
        <x:v>0.018518518518518517</x:v>
      </x:c>
      <x:c r="S563" s="95" t="n">
        <x:v>56</x:v>
      </x:c>
      <x:c r="T563" s="94" t="str">
        <x:v>末次点击7天</x:v>
      </x:c>
    </x:row>
    <x:row r="564">
      <x:c r="A564" s="92" t="str">
        <x:v>PROC-0563</x:v>
      </x:c>
      <x:c r="B564" s="93" t="n">
        <x:v>46124</x:v>
      </x:c>
      <x:c r="C564" s="94" t="str">
        <x:v>Microsoft Ads</x:v>
      </x:c>
      <x:c r="D564" s="94" t="str">
        <x:v>美国</x:v>
      </x:c>
      <x:c r="E564" s="94" t="str">
        <x:v>购物广告</x:v>
      </x:c>
      <x:c r="F564" s="95" t="n">
        <x:v>52</x:v>
      </x:c>
      <x:c r="G564" s="95" t="n">
        <x:v>50</x:v>
      </x:c>
      <x:c r="H564" s="95" t="n">
        <x:v>39</x:v>
      </x:c>
      <x:c r="I564" s="95" t="n">
        <x:v>34</x:v>
      </x:c>
      <x:c r="J564" s="95" t="n">
        <x:v>17</x:v>
      </x:c>
      <x:c r="K564" s="95" t="n">
        <x:v>4</x:v>
      </x:c>
      <x:c r="L564" s="95" t="n">
        <x:v>2</x:v>
      </x:c>
      <x:c r="M564" s="96" t="n">
        <x:f>IFERROR(G564/F564,0)</x:f>
        <x:v>0.9615384615384616</x:v>
      </x:c>
      <x:c r="N564" s="96" t="n">
        <x:f>IFERROR(H564/G564,0)</x:f>
        <x:v>0.78</x:v>
      </x:c>
      <x:c r="O564" s="96" t="n">
        <x:f>IFERROR(I564/H564,0)</x:f>
        <x:v>0.8717948717948718</x:v>
      </x:c>
      <x:c r="P564" s="96" t="n">
        <x:f>IFERROR(J564/I564,0)</x:f>
        <x:v>0.5</x:v>
      </x:c>
      <x:c r="Q564" s="96" t="n">
        <x:f>IFERROR(L564/J564,0)</x:f>
        <x:v>0.11764705882352941</x:v>
      </x:c>
      <x:c r="R564" s="96" t="n">
        <x:f>IFERROR(L564/F564,0)</x:f>
        <x:v>0.038461538461538464</x:v>
      </x:c>
      <x:c r="S564" s="95" t="n">
        <x:v>56</x:v>
      </x:c>
      <x:c r="T564" s="94" t="str">
        <x:v>末次点击7天</x:v>
      </x:c>
    </x:row>
    <x:row r="565">
      <x:c r="A565" s="92" t="str">
        <x:v>PROC-0564</x:v>
      </x:c>
      <x:c r="B565" s="93" t="n">
        <x:v>46124</x:v>
      </x:c>
      <x:c r="C565" s="94" t="str">
        <x:v>Google Ads</x:v>
      </x:c>
      <x:c r="D565" s="94" t="str">
        <x:v>日本</x:v>
      </x:c>
      <x:c r="E565" s="94" t="str">
        <x:v>通用搜索</x:v>
      </x:c>
      <x:c r="F565" s="95" t="n">
        <x:v>40</x:v>
      </x:c>
      <x:c r="G565" s="95" t="n">
        <x:v>37</x:v>
      </x:c>
      <x:c r="H565" s="95" t="n">
        <x:v>25</x:v>
      </x:c>
      <x:c r="I565" s="95" t="n">
        <x:v>22</x:v>
      </x:c>
      <x:c r="J565" s="95" t="n">
        <x:v>9</x:v>
      </x:c>
      <x:c r="K565" s="95" t="n">
        <x:v>2</x:v>
      </x:c>
      <x:c r="L565" s="95" t="n">
        <x:v>1</x:v>
      </x:c>
      <x:c r="M565" s="96" t="n">
        <x:f>IFERROR(G565/F565,0)</x:f>
        <x:v>0.925</x:v>
      </x:c>
      <x:c r="N565" s="96" t="n">
        <x:f>IFERROR(H565/G565,0)</x:f>
        <x:v>0.6756756756756757</x:v>
      </x:c>
      <x:c r="O565" s="96" t="n">
        <x:f>IFERROR(I565/H565,0)</x:f>
        <x:v>0.88</x:v>
      </x:c>
      <x:c r="P565" s="96" t="n">
        <x:f>IFERROR(J565/I565,0)</x:f>
        <x:v>0.4090909090909091</x:v>
      </x:c>
      <x:c r="Q565" s="96" t="n">
        <x:f>IFERROR(L565/J565,0)</x:f>
        <x:v>0.1111111111111111</x:v>
      </x:c>
      <x:c r="R565" s="96" t="n">
        <x:f>IFERROR(L565/F565,0)</x:f>
        <x:v>0.025</x:v>
      </x:c>
      <x:c r="S565" s="95" t="n">
        <x:v>88</x:v>
      </x:c>
      <x:c r="T565" s="94" t="str">
        <x:v>末次点击7天</x:v>
      </x:c>
    </x:row>
    <x:row r="566">
      <x:c r="A566" s="92" t="str">
        <x:v>PROC-0565</x:v>
      </x:c>
      <x:c r="B566" s="93" t="n">
        <x:v>46125</x:v>
      </x:c>
      <x:c r="C566" s="94" t="str">
        <x:v>Microsoft Ads</x:v>
      </x:c>
      <x:c r="D566" s="94" t="str">
        <x:v>美国</x:v>
      </x:c>
      <x:c r="E566" s="94" t="str">
        <x:v>竞品搜索</x:v>
      </x:c>
      <x:c r="F566" s="95" t="n">
        <x:v>36</x:v>
      </x:c>
      <x:c r="G566" s="95" t="n">
        <x:v>33</x:v>
      </x:c>
      <x:c r="H566" s="95" t="n">
        <x:v>21</x:v>
      </x:c>
      <x:c r="I566" s="95" t="n">
        <x:v>18</x:v>
      </x:c>
      <x:c r="J566" s="95" t="n">
        <x:v>8</x:v>
      </x:c>
      <x:c r="K566" s="95" t="n">
        <x:v>2</x:v>
      </x:c>
      <x:c r="L566" s="95" t="n">
        <x:v>1</x:v>
      </x:c>
      <x:c r="M566" s="96" t="n">
        <x:f>IFERROR(G566/F566,0)</x:f>
        <x:v>0.9166666666666666</x:v>
      </x:c>
      <x:c r="N566" s="96" t="n">
        <x:f>IFERROR(H566/G566,0)</x:f>
        <x:v>0.6363636363636364</x:v>
      </x:c>
      <x:c r="O566" s="96" t="n">
        <x:f>IFERROR(I566/H566,0)</x:f>
        <x:v>0.8571428571428571</x:v>
      </x:c>
      <x:c r="P566" s="96" t="n">
        <x:f>IFERROR(J566/I566,0)</x:f>
        <x:v>0.4444444444444444</x:v>
      </x:c>
      <x:c r="Q566" s="96" t="n">
        <x:f>IFERROR(L566/J566,0)</x:f>
        <x:v>0.125</x:v>
      </x:c>
      <x:c r="R566" s="96" t="n">
        <x:f>IFERROR(L566/F566,0)</x:f>
        <x:v>0.027777777777777776</x:v>
      </x:c>
      <x:c r="S566" s="95" t="n">
        <x:v>140</x:v>
      </x:c>
      <x:c r="T566" s="94" t="str">
        <x:v>末次点击7天</x:v>
      </x:c>
    </x:row>
    <x:row r="567">
      <x:c r="A567" s="92" t="str">
        <x:v>PROC-0566</x:v>
      </x:c>
      <x:c r="B567" s="93" t="n">
        <x:v>46125</x:v>
      </x:c>
      <x:c r="C567" s="94" t="str">
        <x:v>Google Ads</x:v>
      </x:c>
      <x:c r="D567" s="94" t="str">
        <x:v>德国</x:v>
      </x:c>
      <x:c r="E567" s="94" t="str">
        <x:v>购物广告</x:v>
      </x:c>
      <x:c r="F567" s="95" t="n">
        <x:v>48</x:v>
      </x:c>
      <x:c r="G567" s="95" t="n">
        <x:v>45</x:v>
      </x:c>
      <x:c r="H567" s="95" t="n">
        <x:v>33</x:v>
      </x:c>
      <x:c r="I567" s="95" t="n">
        <x:v>30</x:v>
      </x:c>
      <x:c r="J567" s="95" t="n">
        <x:v>13</x:v>
      </x:c>
      <x:c r="K567" s="95" t="n">
        <x:v>4</x:v>
      </x:c>
      <x:c r="L567" s="95" t="n">
        <x:v>1</x:v>
      </x:c>
      <x:c r="M567" s="96" t="n">
        <x:f>IFERROR(G567/F567,0)</x:f>
        <x:v>0.9375</x:v>
      </x:c>
      <x:c r="N567" s="96" t="n">
        <x:f>IFERROR(H567/G567,0)</x:f>
        <x:v>0.7333333333333333</x:v>
      </x:c>
      <x:c r="O567" s="96" t="n">
        <x:f>IFERROR(I567/H567,0)</x:f>
        <x:v>0.9090909090909091</x:v>
      </x:c>
      <x:c r="P567" s="96" t="n">
        <x:f>IFERROR(J567/I567,0)</x:f>
        <x:v>0.43333333333333335</x:v>
      </x:c>
      <x:c r="Q567" s="96" t="n">
        <x:f>IFERROR(L567/J567,0)</x:f>
        <x:v>0.07692307692307693</x:v>
      </x:c>
      <x:c r="R567" s="96" t="n">
        <x:f>IFERROR(L567/F567,0)</x:f>
        <x:v>0.020833333333333332</x:v>
      </x:c>
      <x:c r="S567" s="95" t="n">
        <x:v>88</x:v>
      </x:c>
      <x:c r="T567" s="94" t="str">
        <x:v>末次点击7天</x:v>
      </x:c>
    </x:row>
    <x:row r="568">
      <x:c r="A568" s="92" t="str">
        <x:v>PROC-0567</x:v>
      </x:c>
      <x:c r="B568" s="93" t="n">
        <x:v>46125</x:v>
      </x:c>
      <x:c r="C568" s="94" t="str">
        <x:v>Microsoft Ads</x:v>
      </x:c>
      <x:c r="D568" s="94" t="str">
        <x:v>德国</x:v>
      </x:c>
      <x:c r="E568" s="94" t="str">
        <x:v>品牌搜索</x:v>
      </x:c>
      <x:c r="F568" s="95" t="n">
        <x:v>60</x:v>
      </x:c>
      <x:c r="G568" s="95" t="n">
        <x:v>56</x:v>
      </x:c>
      <x:c r="H568" s="95" t="n">
        <x:v>36</x:v>
      </x:c>
      <x:c r="I568" s="95" t="n">
        <x:v>31</x:v>
      </x:c>
      <x:c r="J568" s="95" t="n">
        <x:v>15</x:v>
      </x:c>
      <x:c r="K568" s="95" t="n">
        <x:v>5</x:v>
      </x:c>
      <x:c r="L568" s="95" t="n">
        <x:v>2</x:v>
      </x:c>
      <x:c r="M568" s="96" t="n">
        <x:f>IFERROR(G568/F568,0)</x:f>
        <x:v>0.9333333333333333</x:v>
      </x:c>
      <x:c r="N568" s="96" t="n">
        <x:f>IFERROR(H568/G568,0)</x:f>
        <x:v>0.6428571428571429</x:v>
      </x:c>
      <x:c r="O568" s="96" t="n">
        <x:f>IFERROR(I568/H568,0)</x:f>
        <x:v>0.8611111111111112</x:v>
      </x:c>
      <x:c r="P568" s="96" t="n">
        <x:f>IFERROR(J568/I568,0)</x:f>
        <x:v>0.4838709677419355</x:v>
      </x:c>
      <x:c r="Q568" s="96" t="n">
        <x:f>IFERROR(L568/J568,0)</x:f>
        <x:v>0.13333333333333333</x:v>
      </x:c>
      <x:c r="R568" s="96" t="n">
        <x:f>IFERROR(L568/F568,0)</x:f>
        <x:v>0.03333333333333333</x:v>
      </x:c>
      <x:c r="S568" s="95" t="n">
        <x:v>130</x:v>
      </x:c>
      <x:c r="T568" s="94" t="str">
        <x:v>末次点击7天</x:v>
      </x:c>
    </x:row>
    <x:row r="569">
      <x:c r="A569" s="92" t="str">
        <x:v>PROC-0568</x:v>
      </x:c>
      <x:c r="B569" s="93" t="n">
        <x:v>46125</x:v>
      </x:c>
      <x:c r="C569" s="94" t="str">
        <x:v>Microsoft Ads</x:v>
      </x:c>
      <x:c r="D569" s="94" t="str">
        <x:v>英国</x:v>
      </x:c>
      <x:c r="E569" s="94" t="str">
        <x:v>通用搜索</x:v>
      </x:c>
      <x:c r="F569" s="95" t="n">
        <x:v>32</x:v>
      </x:c>
      <x:c r="G569" s="95" t="n">
        <x:v>29</x:v>
      </x:c>
      <x:c r="H569" s="95" t="n">
        <x:v>21</x:v>
      </x:c>
      <x:c r="I569" s="95" t="n">
        <x:v>17</x:v>
      </x:c>
      <x:c r="J569" s="95" t="n">
        <x:v>7</x:v>
      </x:c>
      <x:c r="K569" s="95" t="n">
        <x:v>2</x:v>
      </x:c>
      <x:c r="L569" s="95" t="n">
        <x:v>1</x:v>
      </x:c>
      <x:c r="M569" s="96" t="n">
        <x:f>IFERROR(G569/F569,0)</x:f>
        <x:v>0.90625</x:v>
      </x:c>
      <x:c r="N569" s="96" t="n">
        <x:f>IFERROR(H569/G569,0)</x:f>
        <x:v>0.7241379310344828</x:v>
      </x:c>
      <x:c r="O569" s="96" t="n">
        <x:f>IFERROR(I569/H569,0)</x:f>
        <x:v>0.8095238095238095</x:v>
      </x:c>
      <x:c r="P569" s="96" t="n">
        <x:f>IFERROR(J569/I569,0)</x:f>
        <x:v>0.4117647058823529</x:v>
      </x:c>
      <x:c r="Q569" s="96" t="n">
        <x:f>IFERROR(L569/J569,0)</x:f>
        <x:v>0.14285714285714285</x:v>
      </x:c>
      <x:c r="R569" s="96" t="n">
        <x:f>IFERROR(L569/F569,0)</x:f>
        <x:v>0.03125</x:v>
      </x:c>
      <x:c r="S569" s="95" t="n">
        <x:v>62</x:v>
      </x:c>
      <x:c r="T569" s="94" t="str">
        <x:v>末次点击7天</x:v>
      </x:c>
    </x:row>
    <x:row r="570">
      <x:c r="A570" s="92" t="str">
        <x:v>PROC-0569</x:v>
      </x:c>
      <x:c r="B570" s="93" t="n">
        <x:v>46125</x:v>
      </x:c>
      <x:c r="C570" s="94" t="str">
        <x:v>Google Ads</x:v>
      </x:c>
      <x:c r="D570" s="94" t="str">
        <x:v>日本</x:v>
      </x:c>
      <x:c r="E570" s="94" t="str">
        <x:v>通用搜索</x:v>
      </x:c>
      <x:c r="F570" s="95" t="n">
        <x:v>25</x:v>
      </x:c>
      <x:c r="G570" s="95" t="n">
        <x:v>24</x:v>
      </x:c>
      <x:c r="H570" s="95" t="n">
        <x:v>16</x:v>
      </x:c>
      <x:c r="I570" s="95" t="n">
        <x:v>14</x:v>
      </x:c>
      <x:c r="J570" s="95" t="n">
        <x:v>6</x:v>
      </x:c>
      <x:c r="K570" s="95" t="n">
        <x:v>2</x:v>
      </x:c>
      <x:c r="L570" s="95" t="n">
        <x:v>0</x:v>
      </x:c>
      <x:c r="M570" s="96" t="n">
        <x:f>IFERROR(G570/F570,0)</x:f>
        <x:v>0.96</x:v>
      </x:c>
      <x:c r="N570" s="96" t="n">
        <x:f>IFERROR(H570/G570,0)</x:f>
        <x:v>0.6666666666666666</x:v>
      </x:c>
      <x:c r="O570" s="96" t="n">
        <x:f>IFERROR(I570/H570,0)</x:f>
        <x:v>0.875</x:v>
      </x:c>
      <x:c r="P570" s="96" t="n">
        <x:f>IFERROR(J570/I570,0)</x:f>
        <x:v>0.42857142857142855</x:v>
      </x:c>
      <x:c r="Q570" s="96" t="n">
        <x:f>IFERROR(L570/J570,0)</x:f>
        <x:v>0</x:v>
      </x:c>
      <x:c r="R570" s="96" t="n">
        <x:f>IFERROR(L570/F570,0)</x:f>
        <x:v>0</x:v>
      </x:c>
      <x:c r="S570" s="95" t="n">
        <x:v>133</x:v>
      </x:c>
      <x:c r="T570" s="94" t="str">
        <x:v>末次点击7天</x:v>
      </x:c>
    </x:row>
    <x:row r="571">
      <x:c r="A571" s="92" t="str">
        <x:v>PROC-0570</x:v>
      </x:c>
      <x:c r="B571" s="93" t="n">
        <x:v>46125</x:v>
      </x:c>
      <x:c r="C571" s="94" t="str">
        <x:v>Google Ads</x:v>
      </x:c>
      <x:c r="D571" s="94" t="str">
        <x:v>美国</x:v>
      </x:c>
      <x:c r="E571" s="94" t="str">
        <x:v>购物广告</x:v>
      </x:c>
      <x:c r="F571" s="95" t="n">
        <x:v>67</x:v>
      </x:c>
      <x:c r="G571" s="95" t="n">
        <x:v>60</x:v>
      </x:c>
      <x:c r="H571" s="95" t="n">
        <x:v>40</x:v>
      </x:c>
      <x:c r="I571" s="95" t="n">
        <x:v>35</x:v>
      </x:c>
      <x:c r="J571" s="95" t="n">
        <x:v>16</x:v>
      </x:c>
      <x:c r="K571" s="95" t="n">
        <x:v>4</x:v>
      </x:c>
      <x:c r="L571" s="95" t="n">
        <x:v>1</x:v>
      </x:c>
      <x:c r="M571" s="96" t="n">
        <x:f>IFERROR(G571/F571,0)</x:f>
        <x:v>0.8955223880597015</x:v>
      </x:c>
      <x:c r="N571" s="96" t="n">
        <x:f>IFERROR(H571/G571,0)</x:f>
        <x:v>0.6666666666666666</x:v>
      </x:c>
      <x:c r="O571" s="96" t="n">
        <x:f>IFERROR(I571/H571,0)</x:f>
        <x:v>0.875</x:v>
      </x:c>
      <x:c r="P571" s="96" t="n">
        <x:f>IFERROR(J571/I571,0)</x:f>
        <x:v>0.45714285714285713</x:v>
      </x:c>
      <x:c r="Q571" s="96" t="n">
        <x:f>IFERROR(L571/J571,0)</x:f>
        <x:v>0.0625</x:v>
      </x:c>
      <x:c r="R571" s="96" t="n">
        <x:f>IFERROR(L571/F571,0)</x:f>
        <x:v>0.014925373134328358</x:v>
      </x:c>
      <x:c r="S571" s="95" t="n">
        <x:v>97</x:v>
      </x:c>
      <x:c r="T571" s="94" t="str">
        <x:v>末次点击7天</x:v>
      </x:c>
    </x:row>
    <x:row r="572">
      <x:c r="A572" s="92" t="str">
        <x:v>PROC-0571</x:v>
      </x:c>
      <x:c r="B572" s="93" t="n">
        <x:v>46126</x:v>
      </x:c>
      <x:c r="C572" s="94" t="str">
        <x:v>Microsoft Ads</x:v>
      </x:c>
      <x:c r="D572" s="94" t="str">
        <x:v>美国</x:v>
      </x:c>
      <x:c r="E572" s="94" t="str">
        <x:v>通用搜索</x:v>
      </x:c>
      <x:c r="F572" s="95" t="n">
        <x:v>34</x:v>
      </x:c>
      <x:c r="G572" s="95" t="n">
        <x:v>32</x:v>
      </x:c>
      <x:c r="H572" s="95" t="n">
        <x:v>23</x:v>
      </x:c>
      <x:c r="I572" s="95" t="n">
        <x:v>19</x:v>
      </x:c>
      <x:c r="J572" s="95" t="n">
        <x:v>9</x:v>
      </x:c>
      <x:c r="K572" s="95" t="n">
        <x:v>3</x:v>
      </x:c>
      <x:c r="L572" s="95" t="n">
        <x:v>1</x:v>
      </x:c>
      <x:c r="M572" s="96" t="n">
        <x:f>IFERROR(G572/F572,0)</x:f>
        <x:v>0.9411764705882353</x:v>
      </x:c>
      <x:c r="N572" s="96" t="n">
        <x:f>IFERROR(H572/G572,0)</x:f>
        <x:v>0.71875</x:v>
      </x:c>
      <x:c r="O572" s="96" t="n">
        <x:f>IFERROR(I572/H572,0)</x:f>
        <x:v>0.8260869565217391</x:v>
      </x:c>
      <x:c r="P572" s="96" t="n">
        <x:f>IFERROR(J572/I572,0)</x:f>
        <x:v>0.47368421052631576</x:v>
      </x:c>
      <x:c r="Q572" s="96" t="n">
        <x:f>IFERROR(L572/J572,0)</x:f>
        <x:v>0.1111111111111111</x:v>
      </x:c>
      <x:c r="R572" s="96" t="n">
        <x:f>IFERROR(L572/F572,0)</x:f>
        <x:v>0.029411764705882353</x:v>
      </x:c>
      <x:c r="S572" s="95" t="n">
        <x:v>48</x:v>
      </x:c>
      <x:c r="T572" s="94" t="str">
        <x:v>末次点击7天</x:v>
      </x:c>
    </x:row>
    <x:row r="573">
      <x:c r="A573" s="92" t="str">
        <x:v>PROC-0572</x:v>
      </x:c>
      <x:c r="B573" s="93" t="n">
        <x:v>46126</x:v>
      </x:c>
      <x:c r="C573" s="94" t="str">
        <x:v>Microsoft Ads</x:v>
      </x:c>
      <x:c r="D573" s="94" t="str">
        <x:v>日本</x:v>
      </x:c>
      <x:c r="E573" s="94" t="str">
        <x:v>品牌搜索</x:v>
      </x:c>
      <x:c r="F573" s="95" t="n">
        <x:v>64</x:v>
      </x:c>
      <x:c r="G573" s="95" t="n">
        <x:v>57</x:v>
      </x:c>
      <x:c r="H573" s="95" t="n">
        <x:v>41</x:v>
      </x:c>
      <x:c r="I573" s="95" t="n">
        <x:v>34</x:v>
      </x:c>
      <x:c r="J573" s="95" t="n">
        <x:v>15</x:v>
      </x:c>
      <x:c r="K573" s="95" t="n">
        <x:v>5</x:v>
      </x:c>
      <x:c r="L573" s="95" t="n">
        <x:v>2</x:v>
      </x:c>
      <x:c r="M573" s="96" t="n">
        <x:f>IFERROR(G573/F573,0)</x:f>
        <x:v>0.890625</x:v>
      </x:c>
      <x:c r="N573" s="96" t="n">
        <x:f>IFERROR(H573/G573,0)</x:f>
        <x:v>0.7192982456140351</x:v>
      </x:c>
      <x:c r="O573" s="96" t="n">
        <x:f>IFERROR(I573/H573,0)</x:f>
        <x:v>0.8292682926829268</x:v>
      </x:c>
      <x:c r="P573" s="96" t="n">
        <x:f>IFERROR(J573/I573,0)</x:f>
        <x:v>0.4411764705882353</x:v>
      </x:c>
      <x:c r="Q573" s="96" t="n">
        <x:f>IFERROR(L573/J573,0)</x:f>
        <x:v>0.13333333333333333</x:v>
      </x:c>
      <x:c r="R573" s="96" t="n">
        <x:f>IFERROR(L573/F573,0)</x:f>
        <x:v>0.03125</x:v>
      </x:c>
      <x:c r="S573" s="95" t="n">
        <x:v>144</x:v>
      </x:c>
      <x:c r="T573" s="94" t="str">
        <x:v>末次点击7天</x:v>
      </x:c>
    </x:row>
    <x:row r="574">
      <x:c r="A574" s="92" t="str">
        <x:v>PROC-0573</x:v>
      </x:c>
      <x:c r="B574" s="93" t="n">
        <x:v>46126</x:v>
      </x:c>
      <x:c r="C574" s="94" t="str">
        <x:v>Google Ads</x:v>
      </x:c>
      <x:c r="D574" s="94" t="str">
        <x:v>美国</x:v>
      </x:c>
      <x:c r="E574" s="94" t="str">
        <x:v>竞品搜索</x:v>
      </x:c>
      <x:c r="F574" s="95" t="n">
        <x:v>35</x:v>
      </x:c>
      <x:c r="G574" s="95" t="n">
        <x:v>31</x:v>
      </x:c>
      <x:c r="H574" s="95" t="n">
        <x:v>20</x:v>
      </x:c>
      <x:c r="I574" s="95" t="n">
        <x:v>17</x:v>
      </x:c>
      <x:c r="J574" s="95" t="n">
        <x:v>6</x:v>
      </x:c>
      <x:c r="K574" s="95" t="n">
        <x:v>2</x:v>
      </x:c>
      <x:c r="L574" s="95" t="n">
        <x:v>0</x:v>
      </x:c>
      <x:c r="M574" s="96" t="n">
        <x:f>IFERROR(G574/F574,0)</x:f>
        <x:v>0.8857142857142857</x:v>
      </x:c>
      <x:c r="N574" s="96" t="n">
        <x:f>IFERROR(H574/G574,0)</x:f>
        <x:v>0.6451612903225806</x:v>
      </x:c>
      <x:c r="O574" s="96" t="n">
        <x:f>IFERROR(I574/H574,0)</x:f>
        <x:v>0.85</x:v>
      </x:c>
      <x:c r="P574" s="96" t="n">
        <x:f>IFERROR(J574/I574,0)</x:f>
        <x:v>0.35294117647058826</x:v>
      </x:c>
      <x:c r="Q574" s="96" t="n">
        <x:f>IFERROR(L574/J574,0)</x:f>
        <x:v>0</x:v>
      </x:c>
      <x:c r="R574" s="96" t="n">
        <x:f>IFERROR(L574/F574,0)</x:f>
        <x:v>0</x:v>
      </x:c>
      <x:c r="S574" s="95" t="n">
        <x:v>83</x:v>
      </x:c>
      <x:c r="T574" s="94" t="str">
        <x:v>末次点击7天</x:v>
      </x:c>
    </x:row>
    <x:row r="575">
      <x:c r="A575" s="92" t="str">
        <x:v>PROC-0574</x:v>
      </x:c>
      <x:c r="B575" s="93" t="n">
        <x:v>46126</x:v>
      </x:c>
      <x:c r="C575" s="94" t="str">
        <x:v>Microsoft Ads</x:v>
      </x:c>
      <x:c r="D575" s="94" t="str">
        <x:v>美国</x:v>
      </x:c>
      <x:c r="E575" s="94" t="str">
        <x:v>购物广告</x:v>
      </x:c>
      <x:c r="F575" s="95" t="n">
        <x:v>80</x:v>
      </x:c>
      <x:c r="G575" s="95" t="n">
        <x:v>76</x:v>
      </x:c>
      <x:c r="H575" s="95" t="n">
        <x:v>55</x:v>
      </x:c>
      <x:c r="I575" s="95" t="n">
        <x:v>50</x:v>
      </x:c>
      <x:c r="J575" s="95" t="n">
        <x:v>25</x:v>
      </x:c>
      <x:c r="K575" s="95" t="n">
        <x:v>9</x:v>
      </x:c>
      <x:c r="L575" s="95" t="n">
        <x:v>2</x:v>
      </x:c>
      <x:c r="M575" s="96" t="n">
        <x:f>IFERROR(G575/F575,0)</x:f>
        <x:v>0.95</x:v>
      </x:c>
      <x:c r="N575" s="96" t="n">
        <x:f>IFERROR(H575/G575,0)</x:f>
        <x:v>0.7236842105263158</x:v>
      </x:c>
      <x:c r="O575" s="96" t="n">
        <x:f>IFERROR(I575/H575,0)</x:f>
        <x:v>0.9090909090909091</x:v>
      </x:c>
      <x:c r="P575" s="96" t="n">
        <x:f>IFERROR(J575/I575,0)</x:f>
        <x:v>0.5</x:v>
      </x:c>
      <x:c r="Q575" s="96" t="n">
        <x:f>IFERROR(L575/J575,0)</x:f>
        <x:v>0.08</x:v>
      </x:c>
      <x:c r="R575" s="96" t="n">
        <x:f>IFERROR(L575/F575,0)</x:f>
        <x:v>0.025</x:v>
      </x:c>
      <x:c r="S575" s="95" t="n">
        <x:v>100</x:v>
      </x:c>
      <x:c r="T575" s="94" t="str">
        <x:v>末次点击7天</x:v>
      </x:c>
    </x:row>
    <x:row r="576">
      <x:c r="A576" s="92" t="str">
        <x:v>PROC-0575</x:v>
      </x:c>
      <x:c r="B576" s="93" t="n">
        <x:v>46126</x:v>
      </x:c>
      <x:c r="C576" s="94" t="str">
        <x:v>Google Ads</x:v>
      </x:c>
      <x:c r="D576" s="94" t="str">
        <x:v>英国</x:v>
      </x:c>
      <x:c r="E576" s="94" t="str">
        <x:v>通用搜索</x:v>
      </x:c>
      <x:c r="F576" s="95" t="n">
        <x:v>37</x:v>
      </x:c>
      <x:c r="G576" s="95" t="n">
        <x:v>33</x:v>
      </x:c>
      <x:c r="H576" s="95" t="n">
        <x:v>21</x:v>
      </x:c>
      <x:c r="I576" s="95" t="n">
        <x:v>18</x:v>
      </x:c>
      <x:c r="J576" s="95" t="n">
        <x:v>8</x:v>
      </x:c>
      <x:c r="K576" s="95" t="n">
        <x:v>2</x:v>
      </x:c>
      <x:c r="L576" s="95" t="n">
        <x:v>1</x:v>
      </x:c>
      <x:c r="M576" s="96" t="n">
        <x:f>IFERROR(G576/F576,0)</x:f>
        <x:v>0.8918918918918919</x:v>
      </x:c>
      <x:c r="N576" s="96" t="n">
        <x:f>IFERROR(H576/G576,0)</x:f>
        <x:v>0.6363636363636364</x:v>
      </x:c>
      <x:c r="O576" s="96" t="n">
        <x:f>IFERROR(I576/H576,0)</x:f>
        <x:v>0.8571428571428571</x:v>
      </x:c>
      <x:c r="P576" s="96" t="n">
        <x:f>IFERROR(J576/I576,0)</x:f>
        <x:v>0.4444444444444444</x:v>
      </x:c>
      <x:c r="Q576" s="96" t="n">
        <x:f>IFERROR(L576/J576,0)</x:f>
        <x:v>0.125</x:v>
      </x:c>
      <x:c r="R576" s="96" t="n">
        <x:f>IFERROR(L576/F576,0)</x:f>
        <x:v>0.02702702702702703</x:v>
      </x:c>
      <x:c r="S576" s="95" t="n">
        <x:v>125</x:v>
      </x:c>
      <x:c r="T576" s="94" t="str">
        <x:v>末次点击7天</x:v>
      </x:c>
    </x:row>
    <x:row r="577">
      <x:c r="A577" s="92" t="str">
        <x:v>PROC-0576</x:v>
      </x:c>
      <x:c r="B577" s="93" t="n">
        <x:v>46127</x:v>
      </x:c>
      <x:c r="C577" s="94" t="str">
        <x:v>Google Ads</x:v>
      </x:c>
      <x:c r="D577" s="94" t="str">
        <x:v>美国</x:v>
      </x:c>
      <x:c r="E577" s="94" t="str">
        <x:v>购物广告</x:v>
      </x:c>
      <x:c r="F577" s="95" t="n">
        <x:v>59</x:v>
      </x:c>
      <x:c r="G577" s="95" t="n">
        <x:v>56</x:v>
      </x:c>
      <x:c r="H577" s="95" t="n">
        <x:v>40</x:v>
      </x:c>
      <x:c r="I577" s="95" t="n">
        <x:v>34</x:v>
      </x:c>
      <x:c r="J577" s="95" t="n">
        <x:v>14</x:v>
      </x:c>
      <x:c r="K577" s="95" t="n">
        <x:v>4</x:v>
      </x:c>
      <x:c r="L577" s="95" t="n">
        <x:v>1</x:v>
      </x:c>
      <x:c r="M577" s="96" t="n">
        <x:f>IFERROR(G577/F577,0)</x:f>
        <x:v>0.9491525423728814</x:v>
      </x:c>
      <x:c r="N577" s="96" t="n">
        <x:f>IFERROR(H577/G577,0)</x:f>
        <x:v>0.7142857142857143</x:v>
      </x:c>
      <x:c r="O577" s="96" t="n">
        <x:f>IFERROR(I577/H577,0)</x:f>
        <x:v>0.85</x:v>
      </x:c>
      <x:c r="P577" s="96" t="n">
        <x:f>IFERROR(J577/I577,0)</x:f>
        <x:v>0.4117647058823529</x:v>
      </x:c>
      <x:c r="Q577" s="96" t="n">
        <x:f>IFERROR(L577/J577,0)</x:f>
        <x:v>0.07142857142857142</x:v>
      </x:c>
      <x:c r="R577" s="96" t="n">
        <x:f>IFERROR(L577/F577,0)</x:f>
        <x:v>0.01694915254237288</x:v>
      </x:c>
      <x:c r="S577" s="95" t="n">
        <x:v>110</x:v>
      </x:c>
      <x:c r="T577" s="94" t="str">
        <x:v>末次点击7天</x:v>
      </x:c>
    </x:row>
    <x:row r="578">
      <x:c r="A578" s="92" t="str">
        <x:v>PROC-0577</x:v>
      </x:c>
      <x:c r="B578" s="93" t="n">
        <x:v>46127</x:v>
      </x:c>
      <x:c r="C578" s="94" t="str">
        <x:v>Microsoft Ads</x:v>
      </x:c>
      <x:c r="D578" s="94" t="str">
        <x:v>德国</x:v>
      </x:c>
      <x:c r="E578" s="94" t="str">
        <x:v>通用搜索</x:v>
      </x:c>
      <x:c r="F578" s="95" t="n">
        <x:v>37</x:v>
      </x:c>
      <x:c r="G578" s="95" t="n">
        <x:v>35</x:v>
      </x:c>
      <x:c r="H578" s="95" t="n">
        <x:v>28</x:v>
      </x:c>
      <x:c r="I578" s="95" t="n">
        <x:v>24</x:v>
      </x:c>
      <x:c r="J578" s="95" t="n">
        <x:v>10</x:v>
      </x:c>
      <x:c r="K578" s="95" t="n">
        <x:v>2</x:v>
      </x:c>
      <x:c r="L578" s="95" t="n">
        <x:v>1</x:v>
      </x:c>
      <x:c r="M578" s="96" t="n">
        <x:f>IFERROR(G578/F578,0)</x:f>
        <x:v>0.9459459459459459</x:v>
      </x:c>
      <x:c r="N578" s="96" t="n">
        <x:f>IFERROR(H578/G578,0)</x:f>
        <x:v>0.8</x:v>
      </x:c>
      <x:c r="O578" s="96" t="n">
        <x:f>IFERROR(I578/H578,0)</x:f>
        <x:v>0.8571428571428571</x:v>
      </x:c>
      <x:c r="P578" s="96" t="n">
        <x:f>IFERROR(J578/I578,0)</x:f>
        <x:v>0.4166666666666667</x:v>
      </x:c>
      <x:c r="Q578" s="96" t="n">
        <x:f>IFERROR(L578/J578,0)</x:f>
        <x:v>0.1</x:v>
      </x:c>
      <x:c r="R578" s="96" t="n">
        <x:f>IFERROR(L578/F578,0)</x:f>
        <x:v>0.02702702702702703</x:v>
      </x:c>
      <x:c r="S578" s="95" t="n">
        <x:v>150</x:v>
      </x:c>
      <x:c r="T578" s="94" t="str">
        <x:v>末次点击7天</x:v>
      </x:c>
    </x:row>
    <x:row r="579">
      <x:c r="A579" s="92" t="str">
        <x:v>PROC-0578</x:v>
      </x:c>
      <x:c r="B579" s="93" t="n">
        <x:v>46127</x:v>
      </x:c>
      <x:c r="C579" s="94" t="str">
        <x:v>Google Ads</x:v>
      </x:c>
      <x:c r="D579" s="94" t="str">
        <x:v>美国</x:v>
      </x:c>
      <x:c r="E579" s="94" t="str">
        <x:v>通用搜索</x:v>
      </x:c>
      <x:c r="F579" s="95" t="n">
        <x:v>41</x:v>
      </x:c>
      <x:c r="G579" s="95" t="n">
        <x:v>38</x:v>
      </x:c>
      <x:c r="H579" s="95" t="n">
        <x:v>27</x:v>
      </x:c>
      <x:c r="I579" s="95" t="n">
        <x:v>23</x:v>
      </x:c>
      <x:c r="J579" s="95" t="n">
        <x:v>9</x:v>
      </x:c>
      <x:c r="K579" s="95" t="n">
        <x:v>2</x:v>
      </x:c>
      <x:c r="L579" s="95" t="n">
        <x:v>1</x:v>
      </x:c>
      <x:c r="M579" s="96" t="n">
        <x:f>IFERROR(G579/F579,0)</x:f>
        <x:v>0.926829268292683</x:v>
      </x:c>
      <x:c r="N579" s="96" t="n">
        <x:f>IFERROR(H579/G579,0)</x:f>
        <x:v>0.7105263157894737</x:v>
      </x:c>
      <x:c r="O579" s="96" t="n">
        <x:f>IFERROR(I579/H579,0)</x:f>
        <x:v>0.8518518518518519</x:v>
      </x:c>
      <x:c r="P579" s="96" t="n">
        <x:f>IFERROR(J579/I579,0)</x:f>
        <x:v>0.391304347826087</x:v>
      </x:c>
      <x:c r="Q579" s="96" t="n">
        <x:f>IFERROR(L579/J579,0)</x:f>
        <x:v>0.1111111111111111</x:v>
      </x:c>
      <x:c r="R579" s="96" t="n">
        <x:f>IFERROR(L579/F579,0)</x:f>
        <x:v>0.024390243902439025</x:v>
      </x:c>
      <x:c r="S579" s="95" t="n">
        <x:v>65</x:v>
      </x:c>
      <x:c r="T579" s="94" t="str">
        <x:v>末次点击7天</x:v>
      </x:c>
    </x:row>
    <x:row r="580">
      <x:c r="A580" s="92" t="str">
        <x:v>PROC-0579</x:v>
      </x:c>
      <x:c r="B580" s="93" t="n">
        <x:v>46127</x:v>
      </x:c>
      <x:c r="C580" s="94" t="str">
        <x:v>Google Ads</x:v>
      </x:c>
      <x:c r="D580" s="94" t="str">
        <x:v>日本</x:v>
      </x:c>
      <x:c r="E580" s="94" t="str">
        <x:v>竞品搜索</x:v>
      </x:c>
      <x:c r="F580" s="95" t="n">
        <x:v>23</x:v>
      </x:c>
      <x:c r="G580" s="95" t="n">
        <x:v>21</x:v>
      </x:c>
      <x:c r="H580" s="95" t="n">
        <x:v>13</x:v>
      </x:c>
      <x:c r="I580" s="95" t="n">
        <x:v>11</x:v>
      </x:c>
      <x:c r="J580" s="95" t="n">
        <x:v>4</x:v>
      </x:c>
      <x:c r="K580" s="95" t="n">
        <x:v>1</x:v>
      </x:c>
      <x:c r="L580" s="95" t="n">
        <x:v>0</x:v>
      </x:c>
      <x:c r="M580" s="96" t="n">
        <x:f>IFERROR(G580/F580,0)</x:f>
        <x:v>0.9130434782608695</x:v>
      </x:c>
      <x:c r="N580" s="96" t="n">
        <x:f>IFERROR(H580/G580,0)</x:f>
        <x:v>0.6190476190476191</x:v>
      </x:c>
      <x:c r="O580" s="96" t="n">
        <x:f>IFERROR(I580/H580,0)</x:f>
        <x:v>0.8461538461538461</x:v>
      </x:c>
      <x:c r="P580" s="96" t="n">
        <x:f>IFERROR(J580/I580,0)</x:f>
        <x:v>0.36363636363636365</x:v>
      </x:c>
      <x:c r="Q580" s="96" t="n">
        <x:f>IFERROR(L580/J580,0)</x:f>
        <x:v>0</x:v>
      </x:c>
      <x:c r="R580" s="96" t="n">
        <x:f>IFERROR(L580/F580,0)</x:f>
        <x:v>0</x:v>
      </x:c>
      <x:c r="S580" s="95" t="n">
        <x:v>64</x:v>
      </x:c>
      <x:c r="T580" s="94" t="str">
        <x:v>末次点击7天</x:v>
      </x:c>
    </x:row>
    <x:row r="581">
      <x:c r="A581" s="92" t="str">
        <x:v>PROC-0580</x:v>
      </x:c>
      <x:c r="B581" s="93" t="n">
        <x:v>46127</x:v>
      </x:c>
      <x:c r="C581" s="94" t="str">
        <x:v>Google Ads</x:v>
      </x:c>
      <x:c r="D581" s="94" t="str">
        <x:v>日本</x:v>
      </x:c>
      <x:c r="E581" s="94" t="str">
        <x:v>通用搜索</x:v>
      </x:c>
      <x:c r="F581" s="95" t="n">
        <x:v>32</x:v>
      </x:c>
      <x:c r="G581" s="95" t="n">
        <x:v>30</x:v>
      </x:c>
      <x:c r="H581" s="95" t="n">
        <x:v>24</x:v>
      </x:c>
      <x:c r="I581" s="95" t="n">
        <x:v>19</x:v>
      </x:c>
      <x:c r="J581" s="95" t="n">
        <x:v>8</x:v>
      </x:c>
      <x:c r="K581" s="95" t="n">
        <x:v>2</x:v>
      </x:c>
      <x:c r="L581" s="95" t="n">
        <x:v>1</x:v>
      </x:c>
      <x:c r="M581" s="96" t="n">
        <x:f>IFERROR(G581/F581,0)</x:f>
        <x:v>0.9375</x:v>
      </x:c>
      <x:c r="N581" s="96" t="n">
        <x:f>IFERROR(H581/G581,0)</x:f>
        <x:v>0.8</x:v>
      </x:c>
      <x:c r="O581" s="96" t="n">
        <x:f>IFERROR(I581/H581,0)</x:f>
        <x:v>0.7916666666666666</x:v>
      </x:c>
      <x:c r="P581" s="96" t="n">
        <x:f>IFERROR(J581/I581,0)</x:f>
        <x:v>0.42105263157894735</x:v>
      </x:c>
      <x:c r="Q581" s="96" t="n">
        <x:f>IFERROR(L581/J581,0)</x:f>
        <x:v>0.125</x:v>
      </x:c>
      <x:c r="R581" s="96" t="n">
        <x:f>IFERROR(L581/F581,0)</x:f>
        <x:v>0.03125</x:v>
      </x:c>
      <x:c r="S581" s="95" t="n">
        <x:v>85</x:v>
      </x:c>
      <x:c r="T581" s="94" t="str">
        <x:v>末次点击7天</x:v>
      </x:c>
    </x:row>
    <x:row r="582">
      <x:c r="A582" s="92" t="str">
        <x:v>PROC-0581</x:v>
      </x:c>
      <x:c r="B582" s="93" t="n">
        <x:v>46127</x:v>
      </x:c>
      <x:c r="C582" s="94" t="str">
        <x:v>Microsoft Ads</x:v>
      </x:c>
      <x:c r="D582" s="94" t="str">
        <x:v>德国</x:v>
      </x:c>
      <x:c r="E582" s="94" t="str">
        <x:v>品牌搜索</x:v>
      </x:c>
      <x:c r="F582" s="95" t="n">
        <x:v>77</x:v>
      </x:c>
      <x:c r="G582" s="95" t="n">
        <x:v>68</x:v>
      </x:c>
      <x:c r="H582" s="95" t="n">
        <x:v>43</x:v>
      </x:c>
      <x:c r="I582" s="95" t="n">
        <x:v>37</x:v>
      </x:c>
      <x:c r="J582" s="95" t="n">
        <x:v>19</x:v>
      </x:c>
      <x:c r="K582" s="95" t="n">
        <x:v>4</x:v>
      </x:c>
      <x:c r="L582" s="95" t="n">
        <x:v>2</x:v>
      </x:c>
      <x:c r="M582" s="96" t="n">
        <x:f>IFERROR(G582/F582,0)</x:f>
        <x:v>0.8831168831168831</x:v>
      </x:c>
      <x:c r="N582" s="96" t="n">
        <x:f>IFERROR(H582/G582,0)</x:f>
        <x:v>0.6323529411764706</x:v>
      </x:c>
      <x:c r="O582" s="96" t="n">
        <x:f>IFERROR(I582/H582,0)</x:f>
        <x:v>0.8604651162790697</x:v>
      </x:c>
      <x:c r="P582" s="96" t="n">
        <x:f>IFERROR(J582/I582,0)</x:f>
        <x:v>0.5135135135135135</x:v>
      </x:c>
      <x:c r="Q582" s="96" t="n">
        <x:f>IFERROR(L582/J582,0)</x:f>
        <x:v>0.10526315789473684</x:v>
      </x:c>
      <x:c r="R582" s="96" t="n">
        <x:f>IFERROR(L582/F582,0)</x:f>
        <x:v>0.025974025974025976</x:v>
      </x:c>
      <x:c r="S582" s="95" t="n">
        <x:v>71</x:v>
      </x:c>
      <x:c r="T582" s="94" t="str">
        <x:v>末次点击7天</x:v>
      </x:c>
    </x:row>
    <x:row r="583">
      <x:c r="A583" s="92" t="str">
        <x:v>PROC-0582</x:v>
      </x:c>
      <x:c r="B583" s="93" t="n">
        <x:v>46128</x:v>
      </x:c>
      <x:c r="C583" s="94" t="str">
        <x:v>Google Ads</x:v>
      </x:c>
      <x:c r="D583" s="94" t="str">
        <x:v>日本</x:v>
      </x:c>
      <x:c r="E583" s="94" t="str">
        <x:v>品牌搜索</x:v>
      </x:c>
      <x:c r="F583" s="95" t="n">
        <x:v>44</x:v>
      </x:c>
      <x:c r="G583" s="95" t="n">
        <x:v>39</x:v>
      </x:c>
      <x:c r="H583" s="95" t="n">
        <x:v>28</x:v>
      </x:c>
      <x:c r="I583" s="95" t="n">
        <x:v>24</x:v>
      </x:c>
      <x:c r="J583" s="95" t="n">
        <x:v>12</x:v>
      </x:c>
      <x:c r="K583" s="95" t="n">
        <x:v>3</x:v>
      </x:c>
      <x:c r="L583" s="95" t="n">
        <x:v>1</x:v>
      </x:c>
      <x:c r="M583" s="96" t="n">
        <x:f>IFERROR(G583/F583,0)</x:f>
        <x:v>0.8863636363636364</x:v>
      </x:c>
      <x:c r="N583" s="96" t="n">
        <x:f>IFERROR(H583/G583,0)</x:f>
        <x:v>0.717948717948718</x:v>
      </x:c>
      <x:c r="O583" s="96" t="n">
        <x:f>IFERROR(I583/H583,0)</x:f>
        <x:v>0.8571428571428571</x:v>
      </x:c>
      <x:c r="P583" s="96" t="n">
        <x:f>IFERROR(J583/I583,0)</x:f>
        <x:v>0.5</x:v>
      </x:c>
      <x:c r="Q583" s="96" t="n">
        <x:f>IFERROR(L583/J583,0)</x:f>
        <x:v>0.08333333333333333</x:v>
      </x:c>
      <x:c r="R583" s="96" t="n">
        <x:f>IFERROR(L583/F583,0)</x:f>
        <x:v>0.022727272727272728</x:v>
      </x:c>
      <x:c r="S583" s="95" t="n">
        <x:v>123</x:v>
      </x:c>
      <x:c r="T583" s="94" t="str">
        <x:v>末次点击7天</x:v>
      </x:c>
    </x:row>
    <x:row r="584">
      <x:c r="A584" s="92" t="str">
        <x:v>PROC-0583</x:v>
      </x:c>
      <x:c r="B584" s="93" t="n">
        <x:v>46128</x:v>
      </x:c>
      <x:c r="C584" s="94" t="str">
        <x:v>Google Ads</x:v>
      </x:c>
      <x:c r="D584" s="94" t="str">
        <x:v>美国</x:v>
      </x:c>
      <x:c r="E584" s="94" t="str">
        <x:v>购物广告</x:v>
      </x:c>
      <x:c r="F584" s="95" t="n">
        <x:v>72</x:v>
      </x:c>
      <x:c r="G584" s="95" t="n">
        <x:v>67</x:v>
      </x:c>
      <x:c r="H584" s="95" t="n">
        <x:v>43</x:v>
      </x:c>
      <x:c r="I584" s="95" t="n">
        <x:v>36</x:v>
      </x:c>
      <x:c r="J584" s="95" t="n">
        <x:v>18</x:v>
      </x:c>
      <x:c r="K584" s="95" t="n">
        <x:v>4</x:v>
      </x:c>
      <x:c r="L584" s="95" t="n">
        <x:v>2</x:v>
      </x:c>
      <x:c r="M584" s="96" t="n">
        <x:f>IFERROR(G584/F584,0)</x:f>
        <x:v>0.9305555555555556</x:v>
      </x:c>
      <x:c r="N584" s="96" t="n">
        <x:f>IFERROR(H584/G584,0)</x:f>
        <x:v>0.6417910447761194</x:v>
      </x:c>
      <x:c r="O584" s="96" t="n">
        <x:f>IFERROR(I584/H584,0)</x:f>
        <x:v>0.8372093023255814</x:v>
      </x:c>
      <x:c r="P584" s="96" t="n">
        <x:f>IFERROR(J584/I584,0)</x:f>
        <x:v>0.5</x:v>
      </x:c>
      <x:c r="Q584" s="96" t="n">
        <x:f>IFERROR(L584/J584,0)</x:f>
        <x:v>0.1111111111111111</x:v>
      </x:c>
      <x:c r="R584" s="96" t="n">
        <x:f>IFERROR(L584/F584,0)</x:f>
        <x:v>0.027777777777777776</x:v>
      </x:c>
      <x:c r="S584" s="95" t="n">
        <x:v>135</x:v>
      </x:c>
      <x:c r="T584" s="94" t="str">
        <x:v>末次点击7天</x:v>
      </x:c>
    </x:row>
    <x:row r="585">
      <x:c r="A585" s="92" t="str">
        <x:v>PROC-0584</x:v>
      </x:c>
      <x:c r="B585" s="93" t="n">
        <x:v>46128</x:v>
      </x:c>
      <x:c r="C585" s="94" t="str">
        <x:v>Microsoft Ads</x:v>
      </x:c>
      <x:c r="D585" s="94" t="str">
        <x:v>美国</x:v>
      </x:c>
      <x:c r="E585" s="94" t="str">
        <x:v>购物广告</x:v>
      </x:c>
      <x:c r="F585" s="95" t="n">
        <x:v>66</x:v>
      </x:c>
      <x:c r="G585" s="95" t="n">
        <x:v>63</x:v>
      </x:c>
      <x:c r="H585" s="95" t="n">
        <x:v>45</x:v>
      </x:c>
      <x:c r="I585" s="95" t="n">
        <x:v>41</x:v>
      </x:c>
      <x:c r="J585" s="95" t="n">
        <x:v>20</x:v>
      </x:c>
      <x:c r="K585" s="95" t="n">
        <x:v>7</x:v>
      </x:c>
      <x:c r="L585" s="95" t="n">
        <x:v>2</x:v>
      </x:c>
      <x:c r="M585" s="96" t="n">
        <x:f>IFERROR(G585/F585,0)</x:f>
        <x:v>0.9545454545454546</x:v>
      </x:c>
      <x:c r="N585" s="96" t="n">
        <x:f>IFERROR(H585/G585,0)</x:f>
        <x:v>0.7142857142857143</x:v>
      </x:c>
      <x:c r="O585" s="96" t="n">
        <x:f>IFERROR(I585/H585,0)</x:f>
        <x:v>0.9111111111111111</x:v>
      </x:c>
      <x:c r="P585" s="96" t="n">
        <x:f>IFERROR(J585/I585,0)</x:f>
        <x:v>0.4878048780487805</x:v>
      </x:c>
      <x:c r="Q585" s="96" t="n">
        <x:f>IFERROR(L585/J585,0)</x:f>
        <x:v>0.1</x:v>
      </x:c>
      <x:c r="R585" s="96" t="n">
        <x:f>IFERROR(L585/F585,0)</x:f>
        <x:v>0.030303030303030304</x:v>
      </x:c>
      <x:c r="S585" s="95" t="n">
        <x:v>125</x:v>
      </x:c>
      <x:c r="T585" s="94" t="str">
        <x:v>末次点击7天</x:v>
      </x:c>
    </x:row>
    <x:row r="586">
      <x:c r="A586" s="92" t="str">
        <x:v>PROC-0585</x:v>
      </x:c>
      <x:c r="B586" s="93" t="n">
        <x:v>46128</x:v>
      </x:c>
      <x:c r="C586" s="94" t="str">
        <x:v>Microsoft Ads</x:v>
      </x:c>
      <x:c r="D586" s="94" t="str">
        <x:v>德国</x:v>
      </x:c>
      <x:c r="E586" s="94" t="str">
        <x:v>通用搜索</x:v>
      </x:c>
      <x:c r="F586" s="95" t="n">
        <x:v>38</x:v>
      </x:c>
      <x:c r="G586" s="95" t="n">
        <x:v>36</x:v>
      </x:c>
      <x:c r="H586" s="95" t="n">
        <x:v>22</x:v>
      </x:c>
      <x:c r="I586" s="95" t="n">
        <x:v>17</x:v>
      </x:c>
      <x:c r="J586" s="95" t="n">
        <x:v>6</x:v>
      </x:c>
      <x:c r="K586" s="95" t="n">
        <x:v>2</x:v>
      </x:c>
      <x:c r="L586" s="95" t="n">
        <x:v>0</x:v>
      </x:c>
      <x:c r="M586" s="96" t="n">
        <x:f>IFERROR(G586/F586,0)</x:f>
        <x:v>0.9473684210526315</x:v>
      </x:c>
      <x:c r="N586" s="96" t="n">
        <x:f>IFERROR(H586/G586,0)</x:f>
        <x:v>0.6111111111111112</x:v>
      </x:c>
      <x:c r="O586" s="96" t="n">
        <x:f>IFERROR(I586/H586,0)</x:f>
        <x:v>0.7727272727272727</x:v>
      </x:c>
      <x:c r="P586" s="96" t="n">
        <x:f>IFERROR(J586/I586,0)</x:f>
        <x:v>0.35294117647058826</x:v>
      </x:c>
      <x:c r="Q586" s="96" t="n">
        <x:f>IFERROR(L586/J586,0)</x:f>
        <x:v>0</x:v>
      </x:c>
      <x:c r="R586" s="96" t="n">
        <x:f>IFERROR(L586/F586,0)</x:f>
        <x:v>0</x:v>
      </x:c>
      <x:c r="S586" s="95" t="n">
        <x:v>95</x:v>
      </x:c>
      <x:c r="T586" s="94" t="str">
        <x:v>末次点击7天</x:v>
      </x:c>
    </x:row>
    <x:row r="587">
      <x:c r="A587" s="92" t="str">
        <x:v>PROC-0586</x:v>
      </x:c>
      <x:c r="B587" s="93" t="n">
        <x:v>46128</x:v>
      </x:c>
      <x:c r="C587" s="94" t="str">
        <x:v>Google Ads</x:v>
      </x:c>
      <x:c r="D587" s="94" t="str">
        <x:v>美国</x:v>
      </x:c>
      <x:c r="E587" s="94" t="str">
        <x:v>竞品搜索</x:v>
      </x:c>
      <x:c r="F587" s="95" t="n">
        <x:v>32</x:v>
      </x:c>
      <x:c r="G587" s="95" t="n">
        <x:v>30</x:v>
      </x:c>
      <x:c r="H587" s="95" t="n">
        <x:v>22</x:v>
      </x:c>
      <x:c r="I587" s="95" t="n">
        <x:v>18</x:v>
      </x:c>
      <x:c r="J587" s="95" t="n">
        <x:v>8</x:v>
      </x:c>
      <x:c r="K587" s="95" t="n">
        <x:v>3</x:v>
      </x:c>
      <x:c r="L587" s="95" t="n">
        <x:v>1</x:v>
      </x:c>
      <x:c r="M587" s="96" t="n">
        <x:f>IFERROR(G587/F587,0)</x:f>
        <x:v>0.9375</x:v>
      </x:c>
      <x:c r="N587" s="96" t="n">
        <x:f>IFERROR(H587/G587,0)</x:f>
        <x:v>0.7333333333333333</x:v>
      </x:c>
      <x:c r="O587" s="96" t="n">
        <x:f>IFERROR(I587/H587,0)</x:f>
        <x:v>0.8181818181818182</x:v>
      </x:c>
      <x:c r="P587" s="96" t="n">
        <x:f>IFERROR(J587/I587,0)</x:f>
        <x:v>0.4444444444444444</x:v>
      </x:c>
      <x:c r="Q587" s="96" t="n">
        <x:f>IFERROR(L587/J587,0)</x:f>
        <x:v>0.125</x:v>
      </x:c>
      <x:c r="R587" s="96" t="n">
        <x:f>IFERROR(L587/F587,0)</x:f>
        <x:v>0.03125</x:v>
      </x:c>
      <x:c r="S587" s="95" t="n">
        <x:v>53</x:v>
      </x:c>
      <x:c r="T587" s="94" t="str">
        <x:v>末次点击7天</x:v>
      </x:c>
    </x:row>
    <x:row r="588">
      <x:c r="A588" s="92" t="str">
        <x:v>PROC-0587</x:v>
      </x:c>
      <x:c r="B588" s="93" t="n">
        <x:v>46129</x:v>
      </x:c>
      <x:c r="C588" s="94" t="str">
        <x:v>Microsoft Ads</x:v>
      </x:c>
      <x:c r="D588" s="94" t="str">
        <x:v>日本</x:v>
      </x:c>
      <x:c r="E588" s="94" t="str">
        <x:v>购物广告</x:v>
      </x:c>
      <x:c r="F588" s="95" t="n">
        <x:v>69</x:v>
      </x:c>
      <x:c r="G588" s="95" t="n">
        <x:v>61</x:v>
      </x:c>
      <x:c r="H588" s="95" t="n">
        <x:v>43</x:v>
      </x:c>
      <x:c r="I588" s="95" t="n">
        <x:v>39</x:v>
      </x:c>
      <x:c r="J588" s="95" t="n">
        <x:v>18</x:v>
      </x:c>
      <x:c r="K588" s="95" t="n">
        <x:v>4</x:v>
      </x:c>
      <x:c r="L588" s="95" t="n">
        <x:v>1</x:v>
      </x:c>
      <x:c r="M588" s="96" t="n">
        <x:f>IFERROR(G588/F588,0)</x:f>
        <x:v>0.8840579710144928</x:v>
      </x:c>
      <x:c r="N588" s="96" t="n">
        <x:f>IFERROR(H588/G588,0)</x:f>
        <x:v>0.7049180327868853</x:v>
      </x:c>
      <x:c r="O588" s="96" t="n">
        <x:f>IFERROR(I588/H588,0)</x:f>
        <x:v>0.9069767441860465</x:v>
      </x:c>
      <x:c r="P588" s="96" t="n">
        <x:f>IFERROR(J588/I588,0)</x:f>
        <x:v>0.46153846153846156</x:v>
      </x:c>
      <x:c r="Q588" s="96" t="n">
        <x:f>IFERROR(L588/J588,0)</x:f>
        <x:v>0.05555555555555555</x:v>
      </x:c>
      <x:c r="R588" s="96" t="n">
        <x:f>IFERROR(L588/F588,0)</x:f>
        <x:v>0.014492753623188406</x:v>
      </x:c>
      <x:c r="S588" s="95" t="n">
        <x:v>51</x:v>
      </x:c>
      <x:c r="T588" s="94" t="str">
        <x:v>末次点击7天</x:v>
      </x:c>
    </x:row>
    <x:row r="589">
      <x:c r="A589" s="92" t="str">
        <x:v>PROC-0588</x:v>
      </x:c>
      <x:c r="B589" s="93" t="n">
        <x:v>46129</x:v>
      </x:c>
      <x:c r="C589" s="94" t="str">
        <x:v>Microsoft Ads</x:v>
      </x:c>
      <x:c r="D589" s="94" t="str">
        <x:v>英国</x:v>
      </x:c>
      <x:c r="E589" s="94" t="str">
        <x:v>通用搜索</x:v>
      </x:c>
      <x:c r="F589" s="95" t="n">
        <x:v>42</x:v>
      </x:c>
      <x:c r="G589" s="95" t="n">
        <x:v>39</x:v>
      </x:c>
      <x:c r="H589" s="95" t="n">
        <x:v>30</x:v>
      </x:c>
      <x:c r="I589" s="95" t="n">
        <x:v>25</x:v>
      </x:c>
      <x:c r="J589" s="95" t="n">
        <x:v>11</x:v>
      </x:c>
      <x:c r="K589" s="95" t="n">
        <x:v>3</x:v>
      </x:c>
      <x:c r="L589" s="95" t="n">
        <x:v>1</x:v>
      </x:c>
      <x:c r="M589" s="96" t="n">
        <x:f>IFERROR(G589/F589,0)</x:f>
        <x:v>0.9285714285714286</x:v>
      </x:c>
      <x:c r="N589" s="96" t="n">
        <x:f>IFERROR(H589/G589,0)</x:f>
        <x:v>0.7692307692307693</x:v>
      </x:c>
      <x:c r="O589" s="96" t="n">
        <x:f>IFERROR(I589/H589,0)</x:f>
        <x:v>0.8333333333333334</x:v>
      </x:c>
      <x:c r="P589" s="96" t="n">
        <x:f>IFERROR(J589/I589,0)</x:f>
        <x:v>0.44</x:v>
      </x:c>
      <x:c r="Q589" s="96" t="n">
        <x:f>IFERROR(L589/J589,0)</x:f>
        <x:v>0.09090909090909091</x:v>
      </x:c>
      <x:c r="R589" s="96" t="n">
        <x:f>IFERROR(L589/F589,0)</x:f>
        <x:v>0.023809523809523808</x:v>
      </x:c>
      <x:c r="S589" s="95" t="n">
        <x:v>121</x:v>
      </x:c>
      <x:c r="T589" s="94" t="str">
        <x:v>末次点击7天</x:v>
      </x:c>
    </x:row>
    <x:row r="590">
      <x:c r="A590" s="92" t="str">
        <x:v>PROC-0589</x:v>
      </x:c>
      <x:c r="B590" s="93" t="n">
        <x:v>46129</x:v>
      </x:c>
      <x:c r="C590" s="94" t="str">
        <x:v>Google Ads</x:v>
      </x:c>
      <x:c r="D590" s="94" t="str">
        <x:v>英国</x:v>
      </x:c>
      <x:c r="E590" s="94" t="str">
        <x:v>竞品搜索</x:v>
      </x:c>
      <x:c r="F590" s="95" t="n">
        <x:v>26</x:v>
      </x:c>
      <x:c r="G590" s="95" t="n">
        <x:v>24</x:v>
      </x:c>
      <x:c r="H590" s="95" t="n">
        <x:v>18</x:v>
      </x:c>
      <x:c r="I590" s="95" t="n">
        <x:v>14</x:v>
      </x:c>
      <x:c r="J590" s="95" t="n">
        <x:v>6</x:v>
      </x:c>
      <x:c r="K590" s="95" t="n">
        <x:v>2</x:v>
      </x:c>
      <x:c r="L590" s="95" t="n">
        <x:v>0</x:v>
      </x:c>
      <x:c r="M590" s="96" t="n">
        <x:f>IFERROR(G590/F590,0)</x:f>
        <x:v>0.9230769230769231</x:v>
      </x:c>
      <x:c r="N590" s="96" t="n">
        <x:f>IFERROR(H590/G590,0)</x:f>
        <x:v>0.75</x:v>
      </x:c>
      <x:c r="O590" s="96" t="n">
        <x:f>IFERROR(I590/H590,0)</x:f>
        <x:v>0.7777777777777778</x:v>
      </x:c>
      <x:c r="P590" s="96" t="n">
        <x:f>IFERROR(J590/I590,0)</x:f>
        <x:v>0.42857142857142855</x:v>
      </x:c>
      <x:c r="Q590" s="96" t="n">
        <x:f>IFERROR(L590/J590,0)</x:f>
        <x:v>0</x:v>
      </x:c>
      <x:c r="R590" s="96" t="n">
        <x:f>IFERROR(L590/F590,0)</x:f>
        <x:v>0</x:v>
      </x:c>
      <x:c r="S590" s="95" t="n">
        <x:v>54</x:v>
      </x:c>
      <x:c r="T590" s="94" t="str">
        <x:v>末次点击7天</x:v>
      </x:c>
    </x:row>
    <x:row r="591">
      <x:c r="A591" s="92" t="str">
        <x:v>PROC-0590</x:v>
      </x:c>
      <x:c r="B591" s="93" t="n">
        <x:v>46129</x:v>
      </x:c>
      <x:c r="C591" s="94" t="str">
        <x:v>Google Ads</x:v>
      </x:c>
      <x:c r="D591" s="94" t="str">
        <x:v>日本</x:v>
      </x:c>
      <x:c r="E591" s="94" t="str">
        <x:v>购物广告</x:v>
      </x:c>
      <x:c r="F591" s="95" t="n">
        <x:v>60</x:v>
      </x:c>
      <x:c r="G591" s="95" t="n">
        <x:v>53</x:v>
      </x:c>
      <x:c r="H591" s="95" t="n">
        <x:v>36</x:v>
      </x:c>
      <x:c r="I591" s="95" t="n">
        <x:v>31</x:v>
      </x:c>
      <x:c r="J591" s="95" t="n">
        <x:v>14</x:v>
      </x:c>
      <x:c r="K591" s="95" t="n">
        <x:v>3</x:v>
      </x:c>
      <x:c r="L591" s="95" t="n">
        <x:v>1</x:v>
      </x:c>
      <x:c r="M591" s="96" t="n">
        <x:f>IFERROR(G591/F591,0)</x:f>
        <x:v>0.8833333333333333</x:v>
      </x:c>
      <x:c r="N591" s="96" t="n">
        <x:f>IFERROR(H591/G591,0)</x:f>
        <x:v>0.6792452830188679</x:v>
      </x:c>
      <x:c r="O591" s="96" t="n">
        <x:f>IFERROR(I591/H591,0)</x:f>
        <x:v>0.8611111111111112</x:v>
      </x:c>
      <x:c r="P591" s="96" t="n">
        <x:f>IFERROR(J591/I591,0)</x:f>
        <x:v>0.45161290322580644</x:v>
      </x:c>
      <x:c r="Q591" s="96" t="n">
        <x:f>IFERROR(L591/J591,0)</x:f>
        <x:v>0.07142857142857142</x:v>
      </x:c>
      <x:c r="R591" s="96" t="n">
        <x:f>IFERROR(L591/F591,0)</x:f>
        <x:v>0.016666666666666666</x:v>
      </x:c>
      <x:c r="S591" s="95" t="n">
        <x:v>106</x:v>
      </x:c>
      <x:c r="T591" s="94" t="str">
        <x:v>末次点击7天</x:v>
      </x:c>
    </x:row>
    <x:row r="592">
      <x:c r="A592" s="92" t="str">
        <x:v>PROC-0591</x:v>
      </x:c>
      <x:c r="B592" s="93" t="n">
        <x:v>46129</x:v>
      </x:c>
      <x:c r="C592" s="94" t="str">
        <x:v>Google Ads</x:v>
      </x:c>
      <x:c r="D592" s="94" t="str">
        <x:v>英国</x:v>
      </x:c>
      <x:c r="E592" s="94" t="str">
        <x:v>品牌搜索</x:v>
      </x:c>
      <x:c r="F592" s="95" t="n">
        <x:v>64</x:v>
      </x:c>
      <x:c r="G592" s="95" t="n">
        <x:v>56</x:v>
      </x:c>
      <x:c r="H592" s="95" t="n">
        <x:v>44</x:v>
      </x:c>
      <x:c r="I592" s="95" t="n">
        <x:v>36</x:v>
      </x:c>
      <x:c r="J592" s="95" t="n">
        <x:v>18</x:v>
      </x:c>
      <x:c r="K592" s="95" t="n">
        <x:v>5</x:v>
      </x:c>
      <x:c r="L592" s="95" t="n">
        <x:v>1</x:v>
      </x:c>
      <x:c r="M592" s="96" t="n">
        <x:f>IFERROR(G592/F592,0)</x:f>
        <x:v>0.875</x:v>
      </x:c>
      <x:c r="N592" s="96" t="n">
        <x:f>IFERROR(H592/G592,0)</x:f>
        <x:v>0.7857142857142857</x:v>
      </x:c>
      <x:c r="O592" s="96" t="n">
        <x:f>IFERROR(I592/H592,0)</x:f>
        <x:v>0.8181818181818182</x:v>
      </x:c>
      <x:c r="P592" s="96" t="n">
        <x:f>IFERROR(J592/I592,0)</x:f>
        <x:v>0.5</x:v>
      </x:c>
      <x:c r="Q592" s="96" t="n">
        <x:f>IFERROR(L592/J592,0)</x:f>
        <x:v>0.05555555555555555</x:v>
      </x:c>
      <x:c r="R592" s="96" t="n">
        <x:f>IFERROR(L592/F592,0)</x:f>
        <x:v>0.015625</x:v>
      </x:c>
      <x:c r="S592" s="95" t="n">
        <x:v>90</x:v>
      </x:c>
      <x:c r="T592" s="94" t="str">
        <x:v>末次点击7天</x:v>
      </x:c>
    </x:row>
    <x:row r="593">
      <x:c r="A593" s="92" t="str">
        <x:v>PROC-0592</x:v>
      </x:c>
      <x:c r="B593" s="93" t="n">
        <x:v>46129</x:v>
      </x:c>
      <x:c r="C593" s="94" t="str">
        <x:v>Google Ads</x:v>
      </x:c>
      <x:c r="D593" s="94" t="str">
        <x:v>美国</x:v>
      </x:c>
      <x:c r="E593" s="94" t="str">
        <x:v>通用搜索</x:v>
      </x:c>
      <x:c r="F593" s="95" t="n">
        <x:v>52</x:v>
      </x:c>
      <x:c r="G593" s="95" t="n">
        <x:v>48</x:v>
      </x:c>
      <x:c r="H593" s="95" t="n">
        <x:v>35</x:v>
      </x:c>
      <x:c r="I593" s="95" t="n">
        <x:v>28</x:v>
      </x:c>
      <x:c r="J593" s="95" t="n">
        <x:v>12</x:v>
      </x:c>
      <x:c r="K593" s="95" t="n">
        <x:v>4</x:v>
      </x:c>
      <x:c r="L593" s="95" t="n">
        <x:v>1</x:v>
      </x:c>
      <x:c r="M593" s="96" t="n">
        <x:f>IFERROR(G593/F593,0)</x:f>
        <x:v>0.9230769230769231</x:v>
      </x:c>
      <x:c r="N593" s="96" t="n">
        <x:f>IFERROR(H593/G593,0)</x:f>
        <x:v>0.7291666666666666</x:v>
      </x:c>
      <x:c r="O593" s="96" t="n">
        <x:f>IFERROR(I593/H593,0)</x:f>
        <x:v>0.8</x:v>
      </x:c>
      <x:c r="P593" s="96" t="n">
        <x:f>IFERROR(J593/I593,0)</x:f>
        <x:v>0.42857142857142855</x:v>
      </x:c>
      <x:c r="Q593" s="96" t="n">
        <x:f>IFERROR(L593/J593,0)</x:f>
        <x:v>0.08333333333333333</x:v>
      </x:c>
      <x:c r="R593" s="96" t="n">
        <x:f>IFERROR(L593/F593,0)</x:f>
        <x:v>0.019230769230769232</x:v>
      </x:c>
      <x:c r="S593" s="95" t="n">
        <x:v>112</x:v>
      </x:c>
      <x:c r="T593" s="94" t="str">
        <x:v>末次点击7天</x:v>
      </x:c>
    </x:row>
    <x:row r="594">
      <x:c r="A594" s="92" t="str">
        <x:v>PROC-0593</x:v>
      </x:c>
      <x:c r="B594" s="93" t="n">
        <x:v>46130</x:v>
      </x:c>
      <x:c r="C594" s="94" t="str">
        <x:v>Google Ads</x:v>
      </x:c>
      <x:c r="D594" s="94" t="str">
        <x:v>美国</x:v>
      </x:c>
      <x:c r="E594" s="94" t="str">
        <x:v>购物广告</x:v>
      </x:c>
      <x:c r="F594" s="95" t="n">
        <x:v>46</x:v>
      </x:c>
      <x:c r="G594" s="95" t="n">
        <x:v>42</x:v>
      </x:c>
      <x:c r="H594" s="95" t="n">
        <x:v>30</x:v>
      </x:c>
      <x:c r="I594" s="95" t="n">
        <x:v>27</x:v>
      </x:c>
      <x:c r="J594" s="95" t="n">
        <x:v>14</x:v>
      </x:c>
      <x:c r="K594" s="95" t="n">
        <x:v>4</x:v>
      </x:c>
      <x:c r="L594" s="95" t="n">
        <x:v>1</x:v>
      </x:c>
      <x:c r="M594" s="96" t="n">
        <x:f>IFERROR(G594/F594,0)</x:f>
        <x:v>0.9130434782608695</x:v>
      </x:c>
      <x:c r="N594" s="96" t="n">
        <x:f>IFERROR(H594/G594,0)</x:f>
        <x:v>0.7142857142857143</x:v>
      </x:c>
      <x:c r="O594" s="96" t="n">
        <x:f>IFERROR(I594/H594,0)</x:f>
        <x:v>0.9</x:v>
      </x:c>
      <x:c r="P594" s="96" t="n">
        <x:f>IFERROR(J594/I594,0)</x:f>
        <x:v>0.5185185185185185</x:v>
      </x:c>
      <x:c r="Q594" s="96" t="n">
        <x:f>IFERROR(L594/J594,0)</x:f>
        <x:v>0.07142857142857142</x:v>
      </x:c>
      <x:c r="R594" s="96" t="n">
        <x:f>IFERROR(L594/F594,0)</x:f>
        <x:v>0.021739130434782608</x:v>
      </x:c>
      <x:c r="S594" s="95" t="n">
        <x:v>148</x:v>
      </x:c>
      <x:c r="T594" s="94" t="str">
        <x:v>末次点击7天</x:v>
      </x:c>
    </x:row>
    <x:row r="595">
      <x:c r="A595" s="92" t="str">
        <x:v>PROC-0594</x:v>
      </x:c>
      <x:c r="B595" s="93" t="n">
        <x:v>46130</x:v>
      </x:c>
      <x:c r="C595" s="94" t="str">
        <x:v>Google Ads</x:v>
      </x:c>
      <x:c r="D595" s="94" t="str">
        <x:v>美国</x:v>
      </x:c>
      <x:c r="E595" s="94" t="str">
        <x:v>品牌搜索</x:v>
      </x:c>
      <x:c r="F595" s="95" t="n">
        <x:v>51</x:v>
      </x:c>
      <x:c r="G595" s="95" t="n">
        <x:v>46</x:v>
      </x:c>
      <x:c r="H595" s="95" t="n">
        <x:v>30</x:v>
      </x:c>
      <x:c r="I595" s="95" t="n">
        <x:v>24</x:v>
      </x:c>
      <x:c r="J595" s="95" t="n">
        <x:v>11</x:v>
      </x:c>
      <x:c r="K595" s="95" t="n">
        <x:v>4</x:v>
      </x:c>
      <x:c r="L595" s="95" t="n">
        <x:v>1</x:v>
      </x:c>
      <x:c r="M595" s="96" t="n">
        <x:f>IFERROR(G595/F595,0)</x:f>
        <x:v>0.9019607843137255</x:v>
      </x:c>
      <x:c r="N595" s="96" t="n">
        <x:f>IFERROR(H595/G595,0)</x:f>
        <x:v>0.6521739130434783</x:v>
      </x:c>
      <x:c r="O595" s="96" t="n">
        <x:f>IFERROR(I595/H595,0)</x:f>
        <x:v>0.8</x:v>
      </x:c>
      <x:c r="P595" s="96" t="n">
        <x:f>IFERROR(J595/I595,0)</x:f>
        <x:v>0.4583333333333333</x:v>
      </x:c>
      <x:c r="Q595" s="96" t="n">
        <x:f>IFERROR(L595/J595,0)</x:f>
        <x:v>0.09090909090909091</x:v>
      </x:c>
      <x:c r="R595" s="96" t="n">
        <x:f>IFERROR(L595/F595,0)</x:f>
        <x:v>0.0196078431372549</x:v>
      </x:c>
      <x:c r="S595" s="95" t="n">
        <x:v>102</x:v>
      </x:c>
      <x:c r="T595" s="94" t="str">
        <x:v>末次点击7天</x:v>
      </x:c>
    </x:row>
    <x:row r="596">
      <x:c r="A596" s="92" t="str">
        <x:v>PROC-0595</x:v>
      </x:c>
      <x:c r="B596" s="93" t="n">
        <x:v>46130</x:v>
      </x:c>
      <x:c r="C596" s="94" t="str">
        <x:v>Google Ads</x:v>
      </x:c>
      <x:c r="D596" s="94" t="str">
        <x:v>英国</x:v>
      </x:c>
      <x:c r="E596" s="94" t="str">
        <x:v>购物广告</x:v>
      </x:c>
      <x:c r="F596" s="95" t="n">
        <x:v>55</x:v>
      </x:c>
      <x:c r="G596" s="95" t="n">
        <x:v>51</x:v>
      </x:c>
      <x:c r="H596" s="95" t="n">
        <x:v>34</x:v>
      </x:c>
      <x:c r="I596" s="95" t="n">
        <x:v>30</x:v>
      </x:c>
      <x:c r="J596" s="95" t="n">
        <x:v>13</x:v>
      </x:c>
      <x:c r="K596" s="95" t="n">
        <x:v>3</x:v>
      </x:c>
      <x:c r="L596" s="95" t="n">
        <x:v>1</x:v>
      </x:c>
      <x:c r="M596" s="96" t="n">
        <x:f>IFERROR(G596/F596,0)</x:f>
        <x:v>0.9272727272727272</x:v>
      </x:c>
      <x:c r="N596" s="96" t="n">
        <x:f>IFERROR(H596/G596,0)</x:f>
        <x:v>0.6666666666666666</x:v>
      </x:c>
      <x:c r="O596" s="96" t="n">
        <x:f>IFERROR(I596/H596,0)</x:f>
        <x:v>0.8823529411764706</x:v>
      </x:c>
      <x:c r="P596" s="96" t="n">
        <x:f>IFERROR(J596/I596,0)</x:f>
        <x:v>0.43333333333333335</x:v>
      </x:c>
      <x:c r="Q596" s="96" t="n">
        <x:f>IFERROR(L596/J596,0)</x:f>
        <x:v>0.07692307692307693</x:v>
      </x:c>
      <x:c r="R596" s="96" t="n">
        <x:f>IFERROR(L596/F596,0)</x:f>
        <x:v>0.01818181818181818</x:v>
      </x:c>
      <x:c r="S596" s="95" t="n">
        <x:v>60</x:v>
      </x:c>
      <x:c r="T596" s="94" t="str">
        <x:v>末次点击7天</x:v>
      </x:c>
    </x:row>
    <x:row r="597">
      <x:c r="A597" s="92" t="str">
        <x:v>PROC-0596</x:v>
      </x:c>
      <x:c r="B597" s="93" t="n">
        <x:v>46130</x:v>
      </x:c>
      <x:c r="C597" s="94" t="str">
        <x:v>Microsoft Ads</x:v>
      </x:c>
      <x:c r="D597" s="94" t="str">
        <x:v>美国</x:v>
      </x:c>
      <x:c r="E597" s="94" t="str">
        <x:v>购物广告</x:v>
      </x:c>
      <x:c r="F597" s="95" t="n">
        <x:v>42</x:v>
      </x:c>
      <x:c r="G597" s="95" t="n">
        <x:v>38</x:v>
      </x:c>
      <x:c r="H597" s="95" t="n">
        <x:v>24</x:v>
      </x:c>
      <x:c r="I597" s="95" t="n">
        <x:v>22</x:v>
      </x:c>
      <x:c r="J597" s="95" t="n">
        <x:v>10</x:v>
      </x:c>
      <x:c r="K597" s="95" t="n">
        <x:v>3</x:v>
      </x:c>
      <x:c r="L597" s="95" t="n">
        <x:v>1</x:v>
      </x:c>
      <x:c r="M597" s="96" t="n">
        <x:f>IFERROR(G597/F597,0)</x:f>
        <x:v>0.9047619047619048</x:v>
      </x:c>
      <x:c r="N597" s="96" t="n">
        <x:f>IFERROR(H597/G597,0)</x:f>
        <x:v>0.631578947368421</x:v>
      </x:c>
      <x:c r="O597" s="96" t="n">
        <x:f>IFERROR(I597/H597,0)</x:f>
        <x:v>0.9166666666666666</x:v>
      </x:c>
      <x:c r="P597" s="96" t="n">
        <x:f>IFERROR(J597/I597,0)</x:f>
        <x:v>0.45454545454545453</x:v>
      </x:c>
      <x:c r="Q597" s="96" t="n">
        <x:f>IFERROR(L597/J597,0)</x:f>
        <x:v>0.1</x:v>
      </x:c>
      <x:c r="R597" s="96" t="n">
        <x:f>IFERROR(L597/F597,0)</x:f>
        <x:v>0.023809523809523808</x:v>
      </x:c>
      <x:c r="S597" s="95" t="n">
        <x:v>91</x:v>
      </x:c>
      <x:c r="T597" s="94" t="str">
        <x:v>末次点击7天</x:v>
      </x:c>
    </x:row>
    <x:row r="598">
      <x:c r="A598" s="92" t="str">
        <x:v>PROC-0597</x:v>
      </x:c>
      <x:c r="B598" s="93" t="n">
        <x:v>46130</x:v>
      </x:c>
      <x:c r="C598" s="94" t="str">
        <x:v>Microsoft Ads</x:v>
      </x:c>
      <x:c r="D598" s="94" t="str">
        <x:v>美国</x:v>
      </x:c>
      <x:c r="E598" s="94" t="str">
        <x:v>竞品搜索</x:v>
      </x:c>
      <x:c r="F598" s="95" t="n">
        <x:v>38</x:v>
      </x:c>
      <x:c r="G598" s="95" t="n">
        <x:v>35</x:v>
      </x:c>
      <x:c r="H598" s="95" t="n">
        <x:v>26</x:v>
      </x:c>
      <x:c r="I598" s="95" t="n">
        <x:v>22</x:v>
      </x:c>
      <x:c r="J598" s="95" t="n">
        <x:v>8</x:v>
      </x:c>
      <x:c r="K598" s="95" t="n">
        <x:v>3</x:v>
      </x:c>
      <x:c r="L598" s="95" t="n">
        <x:v>1</x:v>
      </x:c>
      <x:c r="M598" s="96" t="n">
        <x:f>IFERROR(G598/F598,0)</x:f>
        <x:v>0.9210526315789473</x:v>
      </x:c>
      <x:c r="N598" s="96" t="n">
        <x:f>IFERROR(H598/G598,0)</x:f>
        <x:v>0.7428571428571429</x:v>
      </x:c>
      <x:c r="O598" s="96" t="n">
        <x:f>IFERROR(I598/H598,0)</x:f>
        <x:v>0.8461538461538461</x:v>
      </x:c>
      <x:c r="P598" s="96" t="n">
        <x:f>IFERROR(J598/I598,0)</x:f>
        <x:v>0.36363636363636365</x:v>
      </x:c>
      <x:c r="Q598" s="96" t="n">
        <x:f>IFERROR(L598/J598,0)</x:f>
        <x:v>0.125</x:v>
      </x:c>
      <x:c r="R598" s="96" t="n">
        <x:f>IFERROR(L598/F598,0)</x:f>
        <x:v>0.02631578947368421</x:v>
      </x:c>
      <x:c r="S598" s="95" t="n">
        <x:v>128</x:v>
      </x:c>
      <x:c r="T598" s="94" t="str">
        <x:v>末次点击7天</x:v>
      </x:c>
    </x:row>
    <x:row r="599">
      <x:c r="A599" s="92" t="str">
        <x:v>PROC-0598</x:v>
      </x:c>
      <x:c r="B599" s="93" t="n">
        <x:v>46131</x:v>
      </x:c>
      <x:c r="C599" s="94" t="str">
        <x:v>Microsoft Ads</x:v>
      </x:c>
      <x:c r="D599" s="94" t="str">
        <x:v>美国</x:v>
      </x:c>
      <x:c r="E599" s="94" t="str">
        <x:v>购物广告</x:v>
      </x:c>
      <x:c r="F599" s="95" t="n">
        <x:v>49</x:v>
      </x:c>
      <x:c r="G599" s="95" t="n">
        <x:v>45</x:v>
      </x:c>
      <x:c r="H599" s="95" t="n">
        <x:v>30</x:v>
      </x:c>
      <x:c r="I599" s="95" t="n">
        <x:v>26</x:v>
      </x:c>
      <x:c r="J599" s="95" t="n">
        <x:v>11</x:v>
      </x:c>
      <x:c r="K599" s="95" t="n">
        <x:v>4</x:v>
      </x:c>
      <x:c r="L599" s="95" t="n">
        <x:v>1</x:v>
      </x:c>
      <x:c r="M599" s="96" t="n">
        <x:f>IFERROR(G599/F599,0)</x:f>
        <x:v>0.9183673469387755</x:v>
      </x:c>
      <x:c r="N599" s="96" t="n">
        <x:f>IFERROR(H599/G599,0)</x:f>
        <x:v>0.6666666666666666</x:v>
      </x:c>
      <x:c r="O599" s="96" t="n">
        <x:f>IFERROR(I599/H599,0)</x:f>
        <x:v>0.8666666666666667</x:v>
      </x:c>
      <x:c r="P599" s="96" t="n">
        <x:f>IFERROR(J599/I599,0)</x:f>
        <x:v>0.4230769230769231</x:v>
      </x:c>
      <x:c r="Q599" s="96" t="n">
        <x:f>IFERROR(L599/J599,0)</x:f>
        <x:v>0.09090909090909091</x:v>
      </x:c>
      <x:c r="R599" s="96" t="n">
        <x:f>IFERROR(L599/F599,0)</x:f>
        <x:v>0.02040816326530612</x:v>
      </x:c>
      <x:c r="S599" s="95" t="n">
        <x:v>112</x:v>
      </x:c>
      <x:c r="T599" s="94" t="str">
        <x:v>末次点击7天</x:v>
      </x:c>
    </x:row>
    <x:row r="600">
      <x:c r="A600" s="92" t="str">
        <x:v>PROC-0599</x:v>
      </x:c>
      <x:c r="B600" s="93" t="n">
        <x:v>46131</x:v>
      </x:c>
      <x:c r="C600" s="94" t="str">
        <x:v>Microsoft Ads</x:v>
      </x:c>
      <x:c r="D600" s="94" t="str">
        <x:v>德国</x:v>
      </x:c>
      <x:c r="E600" s="94" t="str">
        <x:v>购物广告</x:v>
      </x:c>
      <x:c r="F600" s="95" t="n">
        <x:v>35</x:v>
      </x:c>
      <x:c r="G600" s="95" t="n">
        <x:v>32</x:v>
      </x:c>
      <x:c r="H600" s="95" t="n">
        <x:v>23</x:v>
      </x:c>
      <x:c r="I600" s="95" t="n">
        <x:v>21</x:v>
      </x:c>
      <x:c r="J600" s="95" t="n">
        <x:v>9</x:v>
      </x:c>
      <x:c r="K600" s="95" t="n">
        <x:v>2</x:v>
      </x:c>
      <x:c r="L600" s="95" t="n">
        <x:v>1</x:v>
      </x:c>
      <x:c r="M600" s="96" t="n">
        <x:f>IFERROR(G600/F600,0)</x:f>
        <x:v>0.9142857142857143</x:v>
      </x:c>
      <x:c r="N600" s="96" t="n">
        <x:f>IFERROR(H600/G600,0)</x:f>
        <x:v>0.71875</x:v>
      </x:c>
      <x:c r="O600" s="96" t="n">
        <x:f>IFERROR(I600/H600,0)</x:f>
        <x:v>0.9130434782608695</x:v>
      </x:c>
      <x:c r="P600" s="96" t="n">
        <x:f>IFERROR(J600/I600,0)</x:f>
        <x:v>0.42857142857142855</x:v>
      </x:c>
      <x:c r="Q600" s="96" t="n">
        <x:f>IFERROR(L600/J600,0)</x:f>
        <x:v>0.1111111111111111</x:v>
      </x:c>
      <x:c r="R600" s="96" t="n">
        <x:f>IFERROR(L600/F600,0)</x:f>
        <x:v>0.02857142857142857</x:v>
      </x:c>
      <x:c r="S600" s="95" t="n">
        <x:v>77</x:v>
      </x:c>
      <x:c r="T600" s="94" t="str">
        <x:v>末次点击7天</x:v>
      </x:c>
    </x:row>
    <x:row r="601">
      <x:c r="A601" s="92" t="str">
        <x:v>PROC-0600</x:v>
      </x:c>
      <x:c r="B601" s="93" t="n">
        <x:v>46131</x:v>
      </x:c>
      <x:c r="C601" s="94" t="str">
        <x:v>Google Ads</x:v>
      </x:c>
      <x:c r="D601" s="94" t="str">
        <x:v>日本</x:v>
      </x:c>
      <x:c r="E601" s="94" t="str">
        <x:v>购物广告</x:v>
      </x:c>
      <x:c r="F601" s="95" t="n">
        <x:v>38</x:v>
      </x:c>
      <x:c r="G601" s="95" t="n">
        <x:v>36</x:v>
      </x:c>
      <x:c r="H601" s="95" t="n">
        <x:v>26</x:v>
      </x:c>
      <x:c r="I601" s="95" t="n">
        <x:v>24</x:v>
      </x:c>
      <x:c r="J601" s="95" t="n">
        <x:v>11</x:v>
      </x:c>
      <x:c r="K601" s="95" t="n">
        <x:v>3</x:v>
      </x:c>
      <x:c r="L601" s="95" t="n">
        <x:v>1</x:v>
      </x:c>
      <x:c r="M601" s="96" t="n">
        <x:f>IFERROR(G601/F601,0)</x:f>
        <x:v>0.9473684210526315</x:v>
      </x:c>
      <x:c r="N601" s="96" t="n">
        <x:f>IFERROR(H601/G601,0)</x:f>
        <x:v>0.7222222222222222</x:v>
      </x:c>
      <x:c r="O601" s="96" t="n">
        <x:f>IFERROR(I601/H601,0)</x:f>
        <x:v>0.9230769230769231</x:v>
      </x:c>
      <x:c r="P601" s="96" t="n">
        <x:f>IFERROR(J601/I601,0)</x:f>
        <x:v>0.4583333333333333</x:v>
      </x:c>
      <x:c r="Q601" s="96" t="n">
        <x:f>IFERROR(L601/J601,0)</x:f>
        <x:v>0.09090909090909091</x:v>
      </x:c>
      <x:c r="R601" s="96" t="n">
        <x:f>IFERROR(L601/F601,0)</x:f>
        <x:v>0.02631578947368421</x:v>
      </x:c>
      <x:c r="S601" s="95" t="n">
        <x:v>126</x:v>
      </x:c>
      <x:c r="T601" s="94" t="str">
        <x:v>末次点击7天</x:v>
      </x:c>
    </x:row>
    <x:row r="602">
      <x:c r="A602" s="92" t="str">
        <x:v>PROC-0601</x:v>
      </x:c>
      <x:c r="B602" s="93" t="n">
        <x:v>46131</x:v>
      </x:c>
      <x:c r="C602" s="94" t="str">
        <x:v>Google Ads</x:v>
      </x:c>
      <x:c r="D602" s="94" t="str">
        <x:v>英国</x:v>
      </x:c>
      <x:c r="E602" s="94" t="str">
        <x:v>竞品搜索</x:v>
      </x:c>
      <x:c r="F602" s="95" t="n">
        <x:v>37</x:v>
      </x:c>
      <x:c r="G602" s="95" t="n">
        <x:v>34</x:v>
      </x:c>
      <x:c r="H602" s="95" t="n">
        <x:v>25</x:v>
      </x:c>
      <x:c r="I602" s="95" t="n">
        <x:v>20</x:v>
      </x:c>
      <x:c r="J602" s="95" t="n">
        <x:v>9</x:v>
      </x:c>
      <x:c r="K602" s="95" t="n">
        <x:v>2</x:v>
      </x:c>
      <x:c r="L602" s="95" t="n">
        <x:v>1</x:v>
      </x:c>
      <x:c r="M602" s="96" t="n">
        <x:f>IFERROR(G602/F602,0)</x:f>
        <x:v>0.918918918918919</x:v>
      </x:c>
      <x:c r="N602" s="96" t="n">
        <x:f>IFERROR(H602/G602,0)</x:f>
        <x:v>0.7352941176470589</x:v>
      </x:c>
      <x:c r="O602" s="96" t="n">
        <x:f>IFERROR(I602/H602,0)</x:f>
        <x:v>0.8</x:v>
      </x:c>
      <x:c r="P602" s="96" t="n">
        <x:f>IFERROR(J602/I602,0)</x:f>
        <x:v>0.45</x:v>
      </x:c>
      <x:c r="Q602" s="96" t="n">
        <x:f>IFERROR(L602/J602,0)</x:f>
        <x:v>0.1111111111111111</x:v>
      </x:c>
      <x:c r="R602" s="96" t="n">
        <x:f>IFERROR(L602/F602,0)</x:f>
        <x:v>0.02702702702702703</x:v>
      </x:c>
      <x:c r="S602" s="95" t="n">
        <x:v>112</x:v>
      </x:c>
      <x:c r="T602" s="94" t="str">
        <x:v>末次点击7天</x:v>
      </x:c>
    </x:row>
    <x:row r="603">
      <x:c r="A603" s="92" t="str">
        <x:v>PROC-0602</x:v>
      </x:c>
      <x:c r="B603" s="93" t="n">
        <x:v>46131</x:v>
      </x:c>
      <x:c r="C603" s="94" t="str">
        <x:v>Google Ads</x:v>
      </x:c>
      <x:c r="D603" s="94" t="str">
        <x:v>日本</x:v>
      </x:c>
      <x:c r="E603" s="94" t="str">
        <x:v>竞品搜索</x:v>
      </x:c>
      <x:c r="F603" s="95" t="n">
        <x:v>13</x:v>
      </x:c>
      <x:c r="G603" s="95" t="n">
        <x:v>11</x:v>
      </x:c>
      <x:c r="H603" s="95" t="n">
        <x:v>8</x:v>
      </x:c>
      <x:c r="I603" s="95" t="n">
        <x:v>7</x:v>
      </x:c>
      <x:c r="J603" s="95" t="n">
        <x:v>3</x:v>
      </x:c>
      <x:c r="K603" s="95" t="n">
        <x:v>1</x:v>
      </x:c>
      <x:c r="L603" s="95" t="n">
        <x:v>0</x:v>
      </x:c>
      <x:c r="M603" s="96" t="n">
        <x:f>IFERROR(G603/F603,0)</x:f>
        <x:v>0.8461538461538461</x:v>
      </x:c>
      <x:c r="N603" s="96" t="n">
        <x:f>IFERROR(H603/G603,0)</x:f>
        <x:v>0.7272727272727273</x:v>
      </x:c>
      <x:c r="O603" s="96" t="n">
        <x:f>IFERROR(I603/H603,0)</x:f>
        <x:v>0.875</x:v>
      </x:c>
      <x:c r="P603" s="96" t="n">
        <x:f>IFERROR(J603/I603,0)</x:f>
        <x:v>0.42857142857142855</x:v>
      </x:c>
      <x:c r="Q603" s="96" t="n">
        <x:f>IFERROR(L603/J603,0)</x:f>
        <x:v>0</x:v>
      </x:c>
      <x:c r="R603" s="96" t="n">
        <x:f>IFERROR(L603/F603,0)</x:f>
        <x:v>0</x:v>
      </x:c>
      <x:c r="S603" s="95" t="n">
        <x:v>147</x:v>
      </x:c>
      <x:c r="T603" s="94" t="str">
        <x:v>末次点击7天</x:v>
      </x:c>
    </x:row>
    <x:row r="604">
      <x:c r="A604" s="92" t="str">
        <x:v>PROC-0603</x:v>
      </x:c>
      <x:c r="B604" s="93" t="n">
        <x:v>46131</x:v>
      </x:c>
      <x:c r="C604" s="94" t="str">
        <x:v>Google Ads</x:v>
      </x:c>
      <x:c r="D604" s="94" t="str">
        <x:v>德国</x:v>
      </x:c>
      <x:c r="E604" s="94" t="str">
        <x:v>竞品搜索</x:v>
      </x:c>
      <x:c r="F604" s="95" t="n">
        <x:v>30</x:v>
      </x:c>
      <x:c r="G604" s="95" t="n">
        <x:v>28</x:v>
      </x:c>
      <x:c r="H604" s="95" t="n">
        <x:v>21</x:v>
      </x:c>
      <x:c r="I604" s="95" t="n">
        <x:v>18</x:v>
      </x:c>
      <x:c r="J604" s="95" t="n">
        <x:v>7</x:v>
      </x:c>
      <x:c r="K604" s="95" t="n">
        <x:v>2</x:v>
      </x:c>
      <x:c r="L604" s="95" t="n">
        <x:v>1</x:v>
      </x:c>
      <x:c r="M604" s="96" t="n">
        <x:f>IFERROR(G604/F604,0)</x:f>
        <x:v>0.9333333333333333</x:v>
      </x:c>
      <x:c r="N604" s="96" t="n">
        <x:f>IFERROR(H604/G604,0)</x:f>
        <x:v>0.75</x:v>
      </x:c>
      <x:c r="O604" s="96" t="n">
        <x:f>IFERROR(I604/H604,0)</x:f>
        <x:v>0.8571428571428571</x:v>
      </x:c>
      <x:c r="P604" s="96" t="n">
        <x:f>IFERROR(J604/I604,0)</x:f>
        <x:v>0.3888888888888889</x:v>
      </x:c>
      <x:c r="Q604" s="96" t="n">
        <x:f>IFERROR(L604/J604,0)</x:f>
        <x:v>0.14285714285714285</x:v>
      </x:c>
      <x:c r="R604" s="96" t="n">
        <x:f>IFERROR(L604/F604,0)</x:f>
        <x:v>0.03333333333333333</x:v>
      </x:c>
      <x:c r="S604" s="95" t="n">
        <x:v>89</x:v>
      </x:c>
      <x:c r="T604" s="94" t="str">
        <x:v>末次点击7天</x:v>
      </x:c>
    </x:row>
    <x:row r="605">
      <x:c r="A605" s="92" t="str">
        <x:v>PROC-0604</x:v>
      </x:c>
      <x:c r="B605" s="93" t="n">
        <x:v>46132</x:v>
      </x:c>
      <x:c r="C605" s="94" t="str">
        <x:v>Google Ads</x:v>
      </x:c>
      <x:c r="D605" s="94" t="str">
        <x:v>美国</x:v>
      </x:c>
      <x:c r="E605" s="94" t="str">
        <x:v>购物广告</x:v>
      </x:c>
      <x:c r="F605" s="95" t="n">
        <x:v>30</x:v>
      </x:c>
      <x:c r="G605" s="95" t="n">
        <x:v>28</x:v>
      </x:c>
      <x:c r="H605" s="95" t="n">
        <x:v>18</x:v>
      </x:c>
      <x:c r="I605" s="95" t="n">
        <x:v>15</x:v>
      </x:c>
      <x:c r="J605" s="95" t="n">
        <x:v>7</x:v>
      </x:c>
      <x:c r="K605" s="95" t="n">
        <x:v>2</x:v>
      </x:c>
      <x:c r="L605" s="95" t="n">
        <x:v>0</x:v>
      </x:c>
      <x:c r="M605" s="96" t="n">
        <x:f>IFERROR(G605/F605,0)</x:f>
        <x:v>0.9333333333333333</x:v>
      </x:c>
      <x:c r="N605" s="96" t="n">
        <x:f>IFERROR(H605/G605,0)</x:f>
        <x:v>0.6428571428571429</x:v>
      </x:c>
      <x:c r="O605" s="96" t="n">
        <x:f>IFERROR(I605/H605,0)</x:f>
        <x:v>0.8333333333333334</x:v>
      </x:c>
      <x:c r="P605" s="96" t="n">
        <x:f>IFERROR(J605/I605,0)</x:f>
        <x:v>0.4666666666666667</x:v>
      </x:c>
      <x:c r="Q605" s="96" t="n">
        <x:f>IFERROR(L605/J605,0)</x:f>
        <x:v>0</x:v>
      </x:c>
      <x:c r="R605" s="96" t="n">
        <x:f>IFERROR(L605/F605,0)</x:f>
        <x:v>0</x:v>
      </x:c>
      <x:c r="S605" s="95" t="n">
        <x:v>119</x:v>
      </x:c>
      <x:c r="T605" s="94" t="str">
        <x:v>末次点击7天</x:v>
      </x:c>
    </x:row>
    <x:row r="606">
      <x:c r="A606" s="92" t="str">
        <x:v>PROC-0605</x:v>
      </x:c>
      <x:c r="B606" s="93" t="n">
        <x:v>46132</x:v>
      </x:c>
      <x:c r="C606" s="94" t="str">
        <x:v>Google Ads</x:v>
      </x:c>
      <x:c r="D606" s="94" t="str">
        <x:v>英国</x:v>
      </x:c>
      <x:c r="E606" s="94" t="str">
        <x:v>竞品搜索</x:v>
      </x:c>
      <x:c r="F606" s="95" t="n">
        <x:v>28</x:v>
      </x:c>
      <x:c r="G606" s="95" t="n">
        <x:v>25</x:v>
      </x:c>
      <x:c r="H606" s="95" t="n">
        <x:v>17</x:v>
      </x:c>
      <x:c r="I606" s="95" t="n">
        <x:v>14</x:v>
      </x:c>
      <x:c r="J606" s="95" t="n">
        <x:v>5</x:v>
      </x:c>
      <x:c r="K606" s="95" t="n">
        <x:v>1</x:v>
      </x:c>
      <x:c r="L606" s="95" t="n">
        <x:v>0</x:v>
      </x:c>
      <x:c r="M606" s="96" t="n">
        <x:f>IFERROR(G606/F606,0)</x:f>
        <x:v>0.8928571428571429</x:v>
      </x:c>
      <x:c r="N606" s="96" t="n">
        <x:f>IFERROR(H606/G606,0)</x:f>
        <x:v>0.68</x:v>
      </x:c>
      <x:c r="O606" s="96" t="n">
        <x:f>IFERROR(I606/H606,0)</x:f>
        <x:v>0.8235294117647058</x:v>
      </x:c>
      <x:c r="P606" s="96" t="n">
        <x:f>IFERROR(J606/I606,0)</x:f>
        <x:v>0.35714285714285715</x:v>
      </x:c>
      <x:c r="Q606" s="96" t="n">
        <x:f>IFERROR(L606/J606,0)</x:f>
        <x:v>0</x:v>
      </x:c>
      <x:c r="R606" s="96" t="n">
        <x:f>IFERROR(L606/F606,0)</x:f>
        <x:v>0</x:v>
      </x:c>
      <x:c r="S606" s="95" t="n">
        <x:v>47</x:v>
      </x:c>
      <x:c r="T606" s="94" t="str">
        <x:v>末次点击7天</x:v>
      </x:c>
    </x:row>
    <x:row r="607">
      <x:c r="A607" s="92" t="str">
        <x:v>PROC-0606</x:v>
      </x:c>
      <x:c r="B607" s="93" t="n">
        <x:v>46132</x:v>
      </x:c>
      <x:c r="C607" s="94" t="str">
        <x:v>Google Ads</x:v>
      </x:c>
      <x:c r="D607" s="94" t="str">
        <x:v>美国</x:v>
      </x:c>
      <x:c r="E607" s="94" t="str">
        <x:v>购物广告</x:v>
      </x:c>
      <x:c r="F607" s="95" t="n">
        <x:v>62</x:v>
      </x:c>
      <x:c r="G607" s="95" t="n">
        <x:v>54</x:v>
      </x:c>
      <x:c r="H607" s="95" t="n">
        <x:v>38</x:v>
      </x:c>
      <x:c r="I607" s="95" t="n">
        <x:v>34</x:v>
      </x:c>
      <x:c r="J607" s="95" t="n">
        <x:v>16</x:v>
      </x:c>
      <x:c r="K607" s="95" t="n">
        <x:v>5</x:v>
      </x:c>
      <x:c r="L607" s="95" t="n">
        <x:v>1</x:v>
      </x:c>
      <x:c r="M607" s="96" t="n">
        <x:f>IFERROR(G607/F607,0)</x:f>
        <x:v>0.8709677419354839</x:v>
      </x:c>
      <x:c r="N607" s="96" t="n">
        <x:f>IFERROR(H607/G607,0)</x:f>
        <x:v>0.7037037037037037</x:v>
      </x:c>
      <x:c r="O607" s="96" t="n">
        <x:f>IFERROR(I607/H607,0)</x:f>
        <x:v>0.8947368421052632</x:v>
      </x:c>
      <x:c r="P607" s="96" t="n">
        <x:f>IFERROR(J607/I607,0)</x:f>
        <x:v>0.47058823529411764</x:v>
      </x:c>
      <x:c r="Q607" s="96" t="n">
        <x:f>IFERROR(L607/J607,0)</x:f>
        <x:v>0.0625</x:v>
      </x:c>
      <x:c r="R607" s="96" t="n">
        <x:f>IFERROR(L607/F607,0)</x:f>
        <x:v>0.016129032258064516</x:v>
      </x:c>
      <x:c r="S607" s="95" t="n">
        <x:v>134</x:v>
      </x:c>
      <x:c r="T607" s="94" t="str">
        <x:v>末次点击7天</x:v>
      </x:c>
    </x:row>
    <x:row r="608">
      <x:c r="A608" s="92" t="str">
        <x:v>PROC-0607</x:v>
      </x:c>
      <x:c r="B608" s="93" t="n">
        <x:v>46132</x:v>
      </x:c>
      <x:c r="C608" s="94" t="str">
        <x:v>Microsoft Ads</x:v>
      </x:c>
      <x:c r="D608" s="94" t="str">
        <x:v>英国</x:v>
      </x:c>
      <x:c r="E608" s="94" t="str">
        <x:v>品牌搜索</x:v>
      </x:c>
      <x:c r="F608" s="95" t="n">
        <x:v>49</x:v>
      </x:c>
      <x:c r="G608" s="95" t="n">
        <x:v>46</x:v>
      </x:c>
      <x:c r="H608" s="95" t="n">
        <x:v>34</x:v>
      </x:c>
      <x:c r="I608" s="95" t="n">
        <x:v>29</x:v>
      </x:c>
      <x:c r="J608" s="95" t="n">
        <x:v>15</x:v>
      </x:c>
      <x:c r="K608" s="95" t="n">
        <x:v>5</x:v>
      </x:c>
      <x:c r="L608" s="95" t="n">
        <x:v>2</x:v>
      </x:c>
      <x:c r="M608" s="96" t="n">
        <x:f>IFERROR(G608/F608,0)</x:f>
        <x:v>0.9387755102040817</x:v>
      </x:c>
      <x:c r="N608" s="96" t="n">
        <x:f>IFERROR(H608/G608,0)</x:f>
        <x:v>0.7391304347826086</x:v>
      </x:c>
      <x:c r="O608" s="96" t="n">
        <x:f>IFERROR(I608/H608,0)</x:f>
        <x:v>0.8529411764705882</x:v>
      </x:c>
      <x:c r="P608" s="96" t="n">
        <x:f>IFERROR(J608/I608,0)</x:f>
        <x:v>0.5172413793103449</x:v>
      </x:c>
      <x:c r="Q608" s="96" t="n">
        <x:f>IFERROR(L608/J608,0)</x:f>
        <x:v>0.13333333333333333</x:v>
      </x:c>
      <x:c r="R608" s="96" t="n">
        <x:f>IFERROR(L608/F608,0)</x:f>
        <x:v>0.04081632653061224</x:v>
      </x:c>
      <x:c r="S608" s="95" t="n">
        <x:v>127</x:v>
      </x:c>
      <x:c r="T608" s="94" t="str">
        <x:v>末次点击7天</x:v>
      </x:c>
    </x:row>
    <x:row r="609">
      <x:c r="A609" s="92" t="str">
        <x:v>PROC-0608</x:v>
      </x:c>
      <x:c r="B609" s="93" t="n">
        <x:v>46132</x:v>
      </x:c>
      <x:c r="C609" s="94" t="str">
        <x:v>Google Ads</x:v>
      </x:c>
      <x:c r="D609" s="94" t="str">
        <x:v>日本</x:v>
      </x:c>
      <x:c r="E609" s="94" t="str">
        <x:v>通用搜索</x:v>
      </x:c>
      <x:c r="F609" s="95" t="n">
        <x:v>24</x:v>
      </x:c>
      <x:c r="G609" s="95" t="n">
        <x:v>21</x:v>
      </x:c>
      <x:c r="H609" s="95" t="n">
        <x:v>15</x:v>
      </x:c>
      <x:c r="I609" s="95" t="n">
        <x:v>13</x:v>
      </x:c>
      <x:c r="J609" s="95" t="n">
        <x:v>5</x:v>
      </x:c>
      <x:c r="K609" s="95" t="n">
        <x:v>2</x:v>
      </x:c>
      <x:c r="L609" s="95" t="n">
        <x:v>0</x:v>
      </x:c>
      <x:c r="M609" s="96" t="n">
        <x:f>IFERROR(G609/F609,0)</x:f>
        <x:v>0.875</x:v>
      </x:c>
      <x:c r="N609" s="96" t="n">
        <x:f>IFERROR(H609/G609,0)</x:f>
        <x:v>0.7142857142857143</x:v>
      </x:c>
      <x:c r="O609" s="96" t="n">
        <x:f>IFERROR(I609/H609,0)</x:f>
        <x:v>0.8666666666666667</x:v>
      </x:c>
      <x:c r="P609" s="96" t="n">
        <x:f>IFERROR(J609/I609,0)</x:f>
        <x:v>0.38461538461538464</x:v>
      </x:c>
      <x:c r="Q609" s="96" t="n">
        <x:f>IFERROR(L609/J609,0)</x:f>
        <x:v>0</x:v>
      </x:c>
      <x:c r="R609" s="96" t="n">
        <x:f>IFERROR(L609/F609,0)</x:f>
        <x:v>0</x:v>
      </x:c>
      <x:c r="S609" s="95" t="n">
        <x:v>83</x:v>
      </x:c>
      <x:c r="T609" s="94" t="str">
        <x:v>末次点击7天</x:v>
      </x:c>
    </x:row>
    <x:row r="610">
      <x:c r="A610" s="92" t="str">
        <x:v>PROC-0609</x:v>
      </x:c>
      <x:c r="B610" s="93" t="n">
        <x:v>46133</x:v>
      </x:c>
      <x:c r="C610" s="94" t="str">
        <x:v>Google Ads</x:v>
      </x:c>
      <x:c r="D610" s="94" t="str">
        <x:v>美国</x:v>
      </x:c>
      <x:c r="E610" s="94" t="str">
        <x:v>品牌搜索</x:v>
      </x:c>
      <x:c r="F610" s="95" t="n">
        <x:v>59</x:v>
      </x:c>
      <x:c r="G610" s="95" t="n">
        <x:v>54</x:v>
      </x:c>
      <x:c r="H610" s="95" t="n">
        <x:v>36</x:v>
      </x:c>
      <x:c r="I610" s="95" t="n">
        <x:v>31</x:v>
      </x:c>
      <x:c r="J610" s="95" t="n">
        <x:v>14</x:v>
      </x:c>
      <x:c r="K610" s="95" t="n">
        <x:v>4</x:v>
      </x:c>
      <x:c r="L610" s="95" t="n">
        <x:v>1</x:v>
      </x:c>
      <x:c r="M610" s="96" t="n">
        <x:f>IFERROR(G610/F610,0)</x:f>
        <x:v>0.9152542372881356</x:v>
      </x:c>
      <x:c r="N610" s="96" t="n">
        <x:f>IFERROR(H610/G610,0)</x:f>
        <x:v>0.6666666666666666</x:v>
      </x:c>
      <x:c r="O610" s="96" t="n">
        <x:f>IFERROR(I610/H610,0)</x:f>
        <x:v>0.8611111111111112</x:v>
      </x:c>
      <x:c r="P610" s="96" t="n">
        <x:f>IFERROR(J610/I610,0)</x:f>
        <x:v>0.45161290322580644</x:v>
      </x:c>
      <x:c r="Q610" s="96" t="n">
        <x:f>IFERROR(L610/J610,0)</x:f>
        <x:v>0.07142857142857142</x:v>
      </x:c>
      <x:c r="R610" s="96" t="n">
        <x:f>IFERROR(L610/F610,0)</x:f>
        <x:v>0.01694915254237288</x:v>
      </x:c>
      <x:c r="S610" s="95" t="n">
        <x:v>143</x:v>
      </x:c>
      <x:c r="T610" s="94" t="str">
        <x:v>末次点击7天</x:v>
      </x:c>
    </x:row>
    <x:row r="611">
      <x:c r="A611" s="92" t="str">
        <x:v>PROC-0610</x:v>
      </x:c>
      <x:c r="B611" s="93" t="n">
        <x:v>46133</x:v>
      </x:c>
      <x:c r="C611" s="94" t="str">
        <x:v>Microsoft Ads</x:v>
      </x:c>
      <x:c r="D611" s="94" t="str">
        <x:v>美国</x:v>
      </x:c>
      <x:c r="E611" s="94" t="str">
        <x:v>通用搜索</x:v>
      </x:c>
      <x:c r="F611" s="95" t="n">
        <x:v>60</x:v>
      </x:c>
      <x:c r="G611" s="95" t="n">
        <x:v>56</x:v>
      </x:c>
      <x:c r="H611" s="95" t="n">
        <x:v>37</x:v>
      </x:c>
      <x:c r="I611" s="95" t="n">
        <x:v>30</x:v>
      </x:c>
      <x:c r="J611" s="95" t="n">
        <x:v>13</x:v>
      </x:c>
      <x:c r="K611" s="95" t="n">
        <x:v>3</x:v>
      </x:c>
      <x:c r="L611" s="95" t="n">
        <x:v>1</x:v>
      </x:c>
      <x:c r="M611" s="96" t="n">
        <x:f>IFERROR(G611/F611,0)</x:f>
        <x:v>0.9333333333333333</x:v>
      </x:c>
      <x:c r="N611" s="96" t="n">
        <x:f>IFERROR(H611/G611,0)</x:f>
        <x:v>0.6607142857142857</x:v>
      </x:c>
      <x:c r="O611" s="96" t="n">
        <x:f>IFERROR(I611/H611,0)</x:f>
        <x:v>0.8108108108108109</x:v>
      </x:c>
      <x:c r="P611" s="96" t="n">
        <x:f>IFERROR(J611/I611,0)</x:f>
        <x:v>0.43333333333333335</x:v>
      </x:c>
      <x:c r="Q611" s="96" t="n">
        <x:f>IFERROR(L611/J611,0)</x:f>
        <x:v>0.07692307692307693</x:v>
      </x:c>
      <x:c r="R611" s="96" t="n">
        <x:f>IFERROR(L611/F611,0)</x:f>
        <x:v>0.016666666666666666</x:v>
      </x:c>
      <x:c r="S611" s="95" t="n">
        <x:v>82</x:v>
      </x:c>
      <x:c r="T611" s="94" t="str">
        <x:v>末次点击7天</x:v>
      </x:c>
    </x:row>
    <x:row r="612">
      <x:c r="A612" s="92" t="str">
        <x:v>PROC-0611</x:v>
      </x:c>
      <x:c r="B612" s="93" t="n">
        <x:v>46133</x:v>
      </x:c>
      <x:c r="C612" s="94" t="str">
        <x:v>Google Ads</x:v>
      </x:c>
      <x:c r="D612" s="94" t="str">
        <x:v>美国</x:v>
      </x:c>
      <x:c r="E612" s="94" t="str">
        <x:v>品牌搜索</x:v>
      </x:c>
      <x:c r="F612" s="95" t="n">
        <x:v>63</x:v>
      </x:c>
      <x:c r="G612" s="95" t="n">
        <x:v>59</x:v>
      </x:c>
      <x:c r="H612" s="95" t="n">
        <x:v>40</x:v>
      </x:c>
      <x:c r="I612" s="95" t="n">
        <x:v>34</x:v>
      </x:c>
      <x:c r="J612" s="95" t="n">
        <x:v>17</x:v>
      </x:c>
      <x:c r="K612" s="95" t="n">
        <x:v>4</x:v>
      </x:c>
      <x:c r="L612" s="95" t="n">
        <x:v>2</x:v>
      </x:c>
      <x:c r="M612" s="96" t="n">
        <x:f>IFERROR(G612/F612,0)</x:f>
        <x:v>0.9365079365079365</x:v>
      </x:c>
      <x:c r="N612" s="96" t="n">
        <x:f>IFERROR(H612/G612,0)</x:f>
        <x:v>0.6779661016949152</x:v>
      </x:c>
      <x:c r="O612" s="96" t="n">
        <x:f>IFERROR(I612/H612,0)</x:f>
        <x:v>0.85</x:v>
      </x:c>
      <x:c r="P612" s="96" t="n">
        <x:f>IFERROR(J612/I612,0)</x:f>
        <x:v>0.5</x:v>
      </x:c>
      <x:c r="Q612" s="96" t="n">
        <x:f>IFERROR(L612/J612,0)</x:f>
        <x:v>0.11764705882352941</x:v>
      </x:c>
      <x:c r="R612" s="96" t="n">
        <x:f>IFERROR(L612/F612,0)</x:f>
        <x:v>0.031746031746031744</x:v>
      </x:c>
      <x:c r="S612" s="95" t="n">
        <x:v>130</x:v>
      </x:c>
      <x:c r="T612" s="94" t="str">
        <x:v>末次点击7天</x:v>
      </x:c>
    </x:row>
    <x:row r="613">
      <x:c r="A613" s="92" t="str">
        <x:v>PROC-0612</x:v>
      </x:c>
      <x:c r="B613" s="93" t="n">
        <x:v>46133</x:v>
      </x:c>
      <x:c r="C613" s="94" t="str">
        <x:v>Microsoft Ads</x:v>
      </x:c>
      <x:c r="D613" s="94" t="str">
        <x:v>美国</x:v>
      </x:c>
      <x:c r="E613" s="94" t="str">
        <x:v>品牌搜索</x:v>
      </x:c>
      <x:c r="F613" s="95" t="n">
        <x:v>96</x:v>
      </x:c>
      <x:c r="G613" s="95" t="n">
        <x:v>88</x:v>
      </x:c>
      <x:c r="H613" s="95" t="n">
        <x:v>60</x:v>
      </x:c>
      <x:c r="I613" s="95" t="n">
        <x:v>49</x:v>
      </x:c>
      <x:c r="J613" s="95" t="n">
        <x:v>23</x:v>
      </x:c>
      <x:c r="K613" s="95" t="n">
        <x:v>5</x:v>
      </x:c>
      <x:c r="L613" s="95" t="n">
        <x:v>2</x:v>
      </x:c>
      <x:c r="M613" s="96" t="n">
        <x:f>IFERROR(G613/F613,0)</x:f>
        <x:v>0.9166666666666666</x:v>
      </x:c>
      <x:c r="N613" s="96" t="n">
        <x:f>IFERROR(H613/G613,0)</x:f>
        <x:v>0.6818181818181818</x:v>
      </x:c>
      <x:c r="O613" s="96" t="n">
        <x:f>IFERROR(I613/H613,0)</x:f>
        <x:v>0.8166666666666667</x:v>
      </x:c>
      <x:c r="P613" s="96" t="n">
        <x:f>IFERROR(J613/I613,0)</x:f>
        <x:v>0.46938775510204084</x:v>
      </x:c>
      <x:c r="Q613" s="96" t="n">
        <x:f>IFERROR(L613/J613,0)</x:f>
        <x:v>0.08695652173913043</x:v>
      </x:c>
      <x:c r="R613" s="96" t="n">
        <x:f>IFERROR(L613/F613,0)</x:f>
        <x:v>0.020833333333333332</x:v>
      </x:c>
      <x:c r="S613" s="95" t="n">
        <x:v>87</x:v>
      </x:c>
      <x:c r="T613" s="94" t="str">
        <x:v>末次点击7天</x:v>
      </x:c>
    </x:row>
    <x:row r="614">
      <x:c r="A614" s="92" t="str">
        <x:v>PROC-0613</x:v>
      </x:c>
      <x:c r="B614" s="93" t="n">
        <x:v>46133</x:v>
      </x:c>
      <x:c r="C614" s="94" t="str">
        <x:v>Google Ads</x:v>
      </x:c>
      <x:c r="D614" s="94" t="str">
        <x:v>美国</x:v>
      </x:c>
      <x:c r="E614" s="94" t="str">
        <x:v>竞品搜索</x:v>
      </x:c>
      <x:c r="F614" s="95" t="n">
        <x:v>31</x:v>
      </x:c>
      <x:c r="G614" s="95" t="n">
        <x:v>28</x:v>
      </x:c>
      <x:c r="H614" s="95" t="n">
        <x:v>18</x:v>
      </x:c>
      <x:c r="I614" s="95" t="n">
        <x:v>15</x:v>
      </x:c>
      <x:c r="J614" s="95" t="n">
        <x:v>7</x:v>
      </x:c>
      <x:c r="K614" s="95" t="n">
        <x:v>1</x:v>
      </x:c>
      <x:c r="L614" s="95" t="n">
        <x:v>1</x:v>
      </x:c>
      <x:c r="M614" s="96" t="n">
        <x:f>IFERROR(G614/F614,0)</x:f>
        <x:v>0.9032258064516129</x:v>
      </x:c>
      <x:c r="N614" s="96" t="n">
        <x:f>IFERROR(H614/G614,0)</x:f>
        <x:v>0.6428571428571429</x:v>
      </x:c>
      <x:c r="O614" s="96" t="n">
        <x:f>IFERROR(I614/H614,0)</x:f>
        <x:v>0.8333333333333334</x:v>
      </x:c>
      <x:c r="P614" s="96" t="n">
        <x:f>IFERROR(J614/I614,0)</x:f>
        <x:v>0.4666666666666667</x:v>
      </x:c>
      <x:c r="Q614" s="96" t="n">
        <x:f>IFERROR(L614/J614,0)</x:f>
        <x:v>0.14285714285714285</x:v>
      </x:c>
      <x:c r="R614" s="96" t="n">
        <x:f>IFERROR(L614/F614,0)</x:f>
        <x:v>0.03225806451612903</x:v>
      </x:c>
      <x:c r="S614" s="95" t="n">
        <x:v>117</x:v>
      </x:c>
      <x:c r="T614" s="94" t="str">
        <x:v>末次点击7天</x:v>
      </x:c>
    </x:row>
    <x:row r="615">
      <x:c r="A615" s="92" t="str">
        <x:v>PROC-0614</x:v>
      </x:c>
      <x:c r="B615" s="93" t="n">
        <x:v>46133</x:v>
      </x:c>
      <x:c r="C615" s="94" t="str">
        <x:v>Google Ads</x:v>
      </x:c>
      <x:c r="D615" s="94" t="str">
        <x:v>美国</x:v>
      </x:c>
      <x:c r="E615" s="94" t="str">
        <x:v>品牌搜索</x:v>
      </x:c>
      <x:c r="F615" s="95" t="n">
        <x:v>82</x:v>
      </x:c>
      <x:c r="G615" s="95" t="n">
        <x:v>73</x:v>
      </x:c>
      <x:c r="H615" s="95" t="n">
        <x:v>48</x:v>
      </x:c>
      <x:c r="I615" s="95" t="n">
        <x:v>39</x:v>
      </x:c>
      <x:c r="J615" s="95" t="n">
        <x:v>20</x:v>
      </x:c>
      <x:c r="K615" s="95" t="n">
        <x:v>5</x:v>
      </x:c>
      <x:c r="L615" s="95" t="n">
        <x:v>2</x:v>
      </x:c>
      <x:c r="M615" s="96" t="n">
        <x:f>IFERROR(G615/F615,0)</x:f>
        <x:v>0.8902439024390244</x:v>
      </x:c>
      <x:c r="N615" s="96" t="n">
        <x:f>IFERROR(H615/G615,0)</x:f>
        <x:v>0.6575342465753424</x:v>
      </x:c>
      <x:c r="O615" s="96" t="n">
        <x:f>IFERROR(I615/H615,0)</x:f>
        <x:v>0.8125</x:v>
      </x:c>
      <x:c r="P615" s="96" t="n">
        <x:f>IFERROR(J615/I615,0)</x:f>
        <x:v>0.5128205128205128</x:v>
      </x:c>
      <x:c r="Q615" s="96" t="n">
        <x:f>IFERROR(L615/J615,0)</x:f>
        <x:v>0.1</x:v>
      </x:c>
      <x:c r="R615" s="96" t="n">
        <x:f>IFERROR(L615/F615,0)</x:f>
        <x:v>0.024390243902439025</x:v>
      </x:c>
      <x:c r="S615" s="95" t="n">
        <x:v>126</x:v>
      </x:c>
      <x:c r="T615" s="94" t="str">
        <x:v>末次点击7天</x:v>
      </x:c>
    </x:row>
    <x:row r="616">
      <x:c r="A616" s="92" t="str">
        <x:v>PROC-0615</x:v>
      </x:c>
      <x:c r="B616" s="93" t="n">
        <x:v>46134</x:v>
      </x:c>
      <x:c r="C616" s="94" t="str">
        <x:v>Google Ads</x:v>
      </x:c>
      <x:c r="D616" s="94" t="str">
        <x:v>美国</x:v>
      </x:c>
      <x:c r="E616" s="94" t="str">
        <x:v>通用搜索</x:v>
      </x:c>
      <x:c r="F616" s="95" t="n">
        <x:v>56</x:v>
      </x:c>
      <x:c r="G616" s="95" t="n">
        <x:v>52</x:v>
      </x:c>
      <x:c r="H616" s="95" t="n">
        <x:v>40</x:v>
      </x:c>
      <x:c r="I616" s="95" t="n">
        <x:v>32</x:v>
      </x:c>
      <x:c r="J616" s="95" t="n">
        <x:v>15</x:v>
      </x:c>
      <x:c r="K616" s="95" t="n">
        <x:v>4</x:v>
      </x:c>
      <x:c r="L616" s="95" t="n">
        <x:v>1</x:v>
      </x:c>
      <x:c r="M616" s="96" t="n">
        <x:f>IFERROR(G616/F616,0)</x:f>
        <x:v>0.9285714285714286</x:v>
      </x:c>
      <x:c r="N616" s="96" t="n">
        <x:f>IFERROR(H616/G616,0)</x:f>
        <x:v>0.7692307692307693</x:v>
      </x:c>
      <x:c r="O616" s="96" t="n">
        <x:f>IFERROR(I616/H616,0)</x:f>
        <x:v>0.8</x:v>
      </x:c>
      <x:c r="P616" s="96" t="n">
        <x:f>IFERROR(J616/I616,0)</x:f>
        <x:v>0.46875</x:v>
      </x:c>
      <x:c r="Q616" s="96" t="n">
        <x:f>IFERROR(L616/J616,0)</x:f>
        <x:v>0.06666666666666667</x:v>
      </x:c>
      <x:c r="R616" s="96" t="n">
        <x:f>IFERROR(L616/F616,0)</x:f>
        <x:v>0.017857142857142856</x:v>
      </x:c>
      <x:c r="S616" s="95" t="n">
        <x:v>116</x:v>
      </x:c>
      <x:c r="T616" s="94" t="str">
        <x:v>末次点击7天</x:v>
      </x:c>
    </x:row>
    <x:row r="617">
      <x:c r="A617" s="92" t="str">
        <x:v>PROC-0616</x:v>
      </x:c>
      <x:c r="B617" s="93" t="n">
        <x:v>46134</x:v>
      </x:c>
      <x:c r="C617" s="94" t="str">
        <x:v>Google Ads</x:v>
      </x:c>
      <x:c r="D617" s="94" t="str">
        <x:v>美国</x:v>
      </x:c>
      <x:c r="E617" s="94" t="str">
        <x:v>购物广告</x:v>
      </x:c>
      <x:c r="F617" s="95" t="n">
        <x:v>31</x:v>
      </x:c>
      <x:c r="G617" s="95" t="n">
        <x:v>29</x:v>
      </x:c>
      <x:c r="H617" s="95" t="n">
        <x:v>21</x:v>
      </x:c>
      <x:c r="I617" s="95" t="n">
        <x:v>19</x:v>
      </x:c>
      <x:c r="J617" s="95" t="n">
        <x:v>8</x:v>
      </x:c>
      <x:c r="K617" s="95" t="n">
        <x:v>2</x:v>
      </x:c>
      <x:c r="L617" s="95" t="n">
        <x:v>1</x:v>
      </x:c>
      <x:c r="M617" s="96" t="n">
        <x:f>IFERROR(G617/F617,0)</x:f>
        <x:v>0.9354838709677419</x:v>
      </x:c>
      <x:c r="N617" s="96" t="n">
        <x:f>IFERROR(H617/G617,0)</x:f>
        <x:v>0.7241379310344828</x:v>
      </x:c>
      <x:c r="O617" s="96" t="n">
        <x:f>IFERROR(I617/H617,0)</x:f>
        <x:v>0.9047619047619048</x:v>
      </x:c>
      <x:c r="P617" s="96" t="n">
        <x:f>IFERROR(J617/I617,0)</x:f>
        <x:v>0.42105263157894735</x:v>
      </x:c>
      <x:c r="Q617" s="96" t="n">
        <x:f>IFERROR(L617/J617,0)</x:f>
        <x:v>0.125</x:v>
      </x:c>
      <x:c r="R617" s="96" t="n">
        <x:f>IFERROR(L617/F617,0)</x:f>
        <x:v>0.03225806451612903</x:v>
      </x:c>
      <x:c r="S617" s="95" t="n">
        <x:v>115</x:v>
      </x:c>
      <x:c r="T617" s="94" t="str">
        <x:v>末次点击7天</x:v>
      </x:c>
    </x:row>
    <x:row r="618">
      <x:c r="A618" s="92" t="str">
        <x:v>PROC-0617</x:v>
      </x:c>
      <x:c r="B618" s="93" t="n">
        <x:v>46134</x:v>
      </x:c>
      <x:c r="C618" s="94" t="str">
        <x:v>Microsoft Ads</x:v>
      </x:c>
      <x:c r="D618" s="94" t="str">
        <x:v>德国</x:v>
      </x:c>
      <x:c r="E618" s="94" t="str">
        <x:v>通用搜索</x:v>
      </x:c>
      <x:c r="F618" s="95" t="n">
        <x:v>33</x:v>
      </x:c>
      <x:c r="G618" s="95" t="n">
        <x:v>31</x:v>
      </x:c>
      <x:c r="H618" s="95" t="n">
        <x:v>23</x:v>
      </x:c>
      <x:c r="I618" s="95" t="n">
        <x:v>20</x:v>
      </x:c>
      <x:c r="J618" s="95" t="n">
        <x:v>9</x:v>
      </x:c>
      <x:c r="K618" s="95" t="n">
        <x:v>2</x:v>
      </x:c>
      <x:c r="L618" s="95" t="n">
        <x:v>1</x:v>
      </x:c>
      <x:c r="M618" s="96" t="n">
        <x:f>IFERROR(G618/F618,0)</x:f>
        <x:v>0.9393939393939394</x:v>
      </x:c>
      <x:c r="N618" s="96" t="n">
        <x:f>IFERROR(H618/G618,0)</x:f>
        <x:v>0.7419354838709677</x:v>
      </x:c>
      <x:c r="O618" s="96" t="n">
        <x:f>IFERROR(I618/H618,0)</x:f>
        <x:v>0.8695652173913043</x:v>
      </x:c>
      <x:c r="P618" s="96" t="n">
        <x:f>IFERROR(J618/I618,0)</x:f>
        <x:v>0.45</x:v>
      </x:c>
      <x:c r="Q618" s="96" t="n">
        <x:f>IFERROR(L618/J618,0)</x:f>
        <x:v>0.1111111111111111</x:v>
      </x:c>
      <x:c r="R618" s="96" t="n">
        <x:f>IFERROR(L618/F618,0)</x:f>
        <x:v>0.030303030303030304</x:v>
      </x:c>
      <x:c r="S618" s="95" t="n">
        <x:v>104</x:v>
      </x:c>
      <x:c r="T618" s="94" t="str">
        <x:v>末次点击7天</x:v>
      </x:c>
    </x:row>
    <x:row r="619">
      <x:c r="A619" s="92" t="str">
        <x:v>PROC-0618</x:v>
      </x:c>
      <x:c r="B619" s="93" t="n">
        <x:v>46134</x:v>
      </x:c>
      <x:c r="C619" s="94" t="str">
        <x:v>Google Ads</x:v>
      </x:c>
      <x:c r="D619" s="94" t="str">
        <x:v>美国</x:v>
      </x:c>
      <x:c r="E619" s="94" t="str">
        <x:v>竞品搜索</x:v>
      </x:c>
      <x:c r="F619" s="95" t="n">
        <x:v>21</x:v>
      </x:c>
      <x:c r="G619" s="95" t="n">
        <x:v>19</x:v>
      </x:c>
      <x:c r="H619" s="95" t="n">
        <x:v>14</x:v>
      </x:c>
      <x:c r="I619" s="95" t="n">
        <x:v>12</x:v>
      </x:c>
      <x:c r="J619" s="95" t="n">
        <x:v>4</x:v>
      </x:c>
      <x:c r="K619" s="95" t="n">
        <x:v>1</x:v>
      </x:c>
      <x:c r="L619" s="95" t="n">
        <x:v>0</x:v>
      </x:c>
      <x:c r="M619" s="96" t="n">
        <x:f>IFERROR(G619/F619,0)</x:f>
        <x:v>0.9047619047619048</x:v>
      </x:c>
      <x:c r="N619" s="96" t="n">
        <x:f>IFERROR(H619/G619,0)</x:f>
        <x:v>0.7368421052631579</x:v>
      </x:c>
      <x:c r="O619" s="96" t="n">
        <x:f>IFERROR(I619/H619,0)</x:f>
        <x:v>0.8571428571428571</x:v>
      </x:c>
      <x:c r="P619" s="96" t="n">
        <x:f>IFERROR(J619/I619,0)</x:f>
        <x:v>0.3333333333333333</x:v>
      </x:c>
      <x:c r="Q619" s="96" t="n">
        <x:f>IFERROR(L619/J619,0)</x:f>
        <x:v>0</x:v>
      </x:c>
      <x:c r="R619" s="96" t="n">
        <x:f>IFERROR(L619/F619,0)</x:f>
        <x:v>0</x:v>
      </x:c>
      <x:c r="S619" s="95" t="n">
        <x:v>125</x:v>
      </x:c>
      <x:c r="T619" s="94" t="str">
        <x:v>末次点击7天</x:v>
      </x:c>
    </x:row>
    <x:row r="620">
      <x:c r="A620" s="92" t="str">
        <x:v>PROC-0619</x:v>
      </x:c>
      <x:c r="B620" s="93" t="n">
        <x:v>46134</x:v>
      </x:c>
      <x:c r="C620" s="94" t="str">
        <x:v>Google Ads</x:v>
      </x:c>
      <x:c r="D620" s="94" t="str">
        <x:v>日本</x:v>
      </x:c>
      <x:c r="E620" s="94" t="str">
        <x:v>竞品搜索</x:v>
      </x:c>
      <x:c r="F620" s="95" t="n">
        <x:v>16</x:v>
      </x:c>
      <x:c r="G620" s="95" t="n">
        <x:v>14</x:v>
      </x:c>
      <x:c r="H620" s="95" t="n">
        <x:v>9</x:v>
      </x:c>
      <x:c r="I620" s="95" t="n">
        <x:v>8</x:v>
      </x:c>
      <x:c r="J620" s="95" t="n">
        <x:v>3</x:v>
      </x:c>
      <x:c r="K620" s="95" t="n">
        <x:v>1</x:v>
      </x:c>
      <x:c r="L620" s="95" t="n">
        <x:v>0</x:v>
      </x:c>
      <x:c r="M620" s="96" t="n">
        <x:f>IFERROR(G620/F620,0)</x:f>
        <x:v>0.875</x:v>
      </x:c>
      <x:c r="N620" s="96" t="n">
        <x:f>IFERROR(H620/G620,0)</x:f>
        <x:v>0.6428571428571429</x:v>
      </x:c>
      <x:c r="O620" s="96" t="n">
        <x:f>IFERROR(I620/H620,0)</x:f>
        <x:v>0.8888888888888888</x:v>
      </x:c>
      <x:c r="P620" s="96" t="n">
        <x:f>IFERROR(J620/I620,0)</x:f>
        <x:v>0.375</x:v>
      </x:c>
      <x:c r="Q620" s="96" t="n">
        <x:f>IFERROR(L620/J620,0)</x:f>
        <x:v>0</x:v>
      </x:c>
      <x:c r="R620" s="96" t="n">
        <x:f>IFERROR(L620/F620,0)</x:f>
        <x:v>0</x:v>
      </x:c>
      <x:c r="S620" s="95" t="n">
        <x:v>139</x:v>
      </x:c>
      <x:c r="T620" s="94" t="str">
        <x:v>末次点击7天</x:v>
      </x:c>
    </x:row>
    <x:row r="621">
      <x:c r="A621" s="92" t="str">
        <x:v>PROC-0620</x:v>
      </x:c>
      <x:c r="B621" s="93" t="n">
        <x:v>46135</x:v>
      </x:c>
      <x:c r="C621" s="94" t="str">
        <x:v>Google Ads</x:v>
      </x:c>
      <x:c r="D621" s="94" t="str">
        <x:v>英国</x:v>
      </x:c>
      <x:c r="E621" s="94" t="str">
        <x:v>品牌搜索</x:v>
      </x:c>
      <x:c r="F621" s="95" t="n">
        <x:v>34</x:v>
      </x:c>
      <x:c r="G621" s="95" t="n">
        <x:v>30</x:v>
      </x:c>
      <x:c r="H621" s="95" t="n">
        <x:v>21</x:v>
      </x:c>
      <x:c r="I621" s="95" t="n">
        <x:v>17</x:v>
      </x:c>
      <x:c r="J621" s="95" t="n">
        <x:v>9</x:v>
      </x:c>
      <x:c r="K621" s="95" t="n">
        <x:v>2</x:v>
      </x:c>
      <x:c r="L621" s="95" t="n">
        <x:v>1</x:v>
      </x:c>
      <x:c r="M621" s="96" t="n">
        <x:f>IFERROR(G621/F621,0)</x:f>
        <x:v>0.8823529411764706</x:v>
      </x:c>
      <x:c r="N621" s="96" t="n">
        <x:f>IFERROR(H621/G621,0)</x:f>
        <x:v>0.7</x:v>
      </x:c>
      <x:c r="O621" s="96" t="n">
        <x:f>IFERROR(I621/H621,0)</x:f>
        <x:v>0.8095238095238095</x:v>
      </x:c>
      <x:c r="P621" s="96" t="n">
        <x:f>IFERROR(J621/I621,0)</x:f>
        <x:v>0.5294117647058824</x:v>
      </x:c>
      <x:c r="Q621" s="96" t="n">
        <x:f>IFERROR(L621/J621,0)</x:f>
        <x:v>0.1111111111111111</x:v>
      </x:c>
      <x:c r="R621" s="96" t="n">
        <x:f>IFERROR(L621/F621,0)</x:f>
        <x:v>0.029411764705882353</x:v>
      </x:c>
      <x:c r="S621" s="95" t="n">
        <x:v>54</x:v>
      </x:c>
      <x:c r="T621" s="94" t="str">
        <x:v>末次点击7天</x:v>
      </x:c>
    </x:row>
    <x:row r="622">
      <x:c r="A622" s="92" t="str">
        <x:v>PROC-0621</x:v>
      </x:c>
      <x:c r="B622" s="93" t="n">
        <x:v>46135</x:v>
      </x:c>
      <x:c r="C622" s="94" t="str">
        <x:v>Google Ads</x:v>
      </x:c>
      <x:c r="D622" s="94" t="str">
        <x:v>美国</x:v>
      </x:c>
      <x:c r="E622" s="94" t="str">
        <x:v>购物广告</x:v>
      </x:c>
      <x:c r="F622" s="95" t="n">
        <x:v>44</x:v>
      </x:c>
      <x:c r="G622" s="95" t="n">
        <x:v>41</x:v>
      </x:c>
      <x:c r="H622" s="95" t="n">
        <x:v>27</x:v>
      </x:c>
      <x:c r="I622" s="95" t="n">
        <x:v>24</x:v>
      </x:c>
      <x:c r="J622" s="95" t="n">
        <x:v>11</x:v>
      </x:c>
      <x:c r="K622" s="95" t="n">
        <x:v>3</x:v>
      </x:c>
      <x:c r="L622" s="95" t="n">
        <x:v>1</x:v>
      </x:c>
      <x:c r="M622" s="96" t="n">
        <x:f>IFERROR(G622/F622,0)</x:f>
        <x:v>0.9318181818181818</x:v>
      </x:c>
      <x:c r="N622" s="96" t="n">
        <x:f>IFERROR(H622/G622,0)</x:f>
        <x:v>0.6585365853658537</x:v>
      </x:c>
      <x:c r="O622" s="96" t="n">
        <x:f>IFERROR(I622/H622,0)</x:f>
        <x:v>0.8888888888888888</x:v>
      </x:c>
      <x:c r="P622" s="96" t="n">
        <x:f>IFERROR(J622/I622,0)</x:f>
        <x:v>0.4583333333333333</x:v>
      </x:c>
      <x:c r="Q622" s="96" t="n">
        <x:f>IFERROR(L622/J622,0)</x:f>
        <x:v>0.09090909090909091</x:v>
      </x:c>
      <x:c r="R622" s="96" t="n">
        <x:f>IFERROR(L622/F622,0)</x:f>
        <x:v>0.022727272727272728</x:v>
      </x:c>
      <x:c r="S622" s="95" t="n">
        <x:v>77</x:v>
      </x:c>
      <x:c r="T622" s="94" t="str">
        <x:v>末次点击7天</x:v>
      </x:c>
    </x:row>
    <x:row r="623">
      <x:c r="A623" s="92" t="str">
        <x:v>PROC-0622</x:v>
      </x:c>
      <x:c r="B623" s="93" t="n">
        <x:v>46135</x:v>
      </x:c>
      <x:c r="C623" s="94" t="str">
        <x:v>Google Ads</x:v>
      </x:c>
      <x:c r="D623" s="94" t="str">
        <x:v>美国</x:v>
      </x:c>
      <x:c r="E623" s="94" t="str">
        <x:v>竞品搜索</x:v>
      </x:c>
      <x:c r="F623" s="95" t="n">
        <x:v>35</x:v>
      </x:c>
      <x:c r="G623" s="95" t="n">
        <x:v>33</x:v>
      </x:c>
      <x:c r="H623" s="95" t="n">
        <x:v>25</x:v>
      </x:c>
      <x:c r="I623" s="95" t="n">
        <x:v>21</x:v>
      </x:c>
      <x:c r="J623" s="95" t="n">
        <x:v>9</x:v>
      </x:c>
      <x:c r="K623" s="95" t="n">
        <x:v>3</x:v>
      </x:c>
      <x:c r="L623" s="95" t="n">
        <x:v>1</x:v>
      </x:c>
      <x:c r="M623" s="96" t="n">
        <x:f>IFERROR(G623/F623,0)</x:f>
        <x:v>0.9428571428571428</x:v>
      </x:c>
      <x:c r="N623" s="96" t="n">
        <x:f>IFERROR(H623/G623,0)</x:f>
        <x:v>0.7575757575757576</x:v>
      </x:c>
      <x:c r="O623" s="96" t="n">
        <x:f>IFERROR(I623/H623,0)</x:f>
        <x:v>0.84</x:v>
      </x:c>
      <x:c r="P623" s="96" t="n">
        <x:f>IFERROR(J623/I623,0)</x:f>
        <x:v>0.42857142857142855</x:v>
      </x:c>
      <x:c r="Q623" s="96" t="n">
        <x:f>IFERROR(L623/J623,0)</x:f>
        <x:v>0.1111111111111111</x:v>
      </x:c>
      <x:c r="R623" s="96" t="n">
        <x:f>IFERROR(L623/F623,0)</x:f>
        <x:v>0.02857142857142857</x:v>
      </x:c>
      <x:c r="S623" s="95" t="n">
        <x:v>151</x:v>
      </x:c>
      <x:c r="T623" s="94" t="str">
        <x:v>末次点击7天</x:v>
      </x:c>
    </x:row>
    <x:row r="624">
      <x:c r="A624" s="92" t="str">
        <x:v>PROC-0623</x:v>
      </x:c>
      <x:c r="B624" s="93" t="n">
        <x:v>46135</x:v>
      </x:c>
      <x:c r="C624" s="94" t="str">
        <x:v>Microsoft Ads</x:v>
      </x:c>
      <x:c r="D624" s="94" t="str">
        <x:v>英国</x:v>
      </x:c>
      <x:c r="E624" s="94" t="str">
        <x:v>购物广告</x:v>
      </x:c>
      <x:c r="F624" s="95" t="n">
        <x:v>66</x:v>
      </x:c>
      <x:c r="G624" s="95" t="n">
        <x:v>60</x:v>
      </x:c>
      <x:c r="H624" s="95" t="n">
        <x:v>41</x:v>
      </x:c>
      <x:c r="I624" s="95" t="n">
        <x:v>37</x:v>
      </x:c>
      <x:c r="J624" s="95" t="n">
        <x:v>16</x:v>
      </x:c>
      <x:c r="K624" s="95" t="n">
        <x:v>5</x:v>
      </x:c>
      <x:c r="L624" s="95" t="n">
        <x:v>1</x:v>
      </x:c>
      <x:c r="M624" s="96" t="n">
        <x:f>IFERROR(G624/F624,0)</x:f>
        <x:v>0.9090909090909091</x:v>
      </x:c>
      <x:c r="N624" s="96" t="n">
        <x:f>IFERROR(H624/G624,0)</x:f>
        <x:v>0.6833333333333333</x:v>
      </x:c>
      <x:c r="O624" s="96" t="n">
        <x:f>IFERROR(I624/H624,0)</x:f>
        <x:v>0.9024390243902439</x:v>
      </x:c>
      <x:c r="P624" s="96" t="n">
        <x:f>IFERROR(J624/I624,0)</x:f>
        <x:v>0.43243243243243246</x:v>
      </x:c>
      <x:c r="Q624" s="96" t="n">
        <x:f>IFERROR(L624/J624,0)</x:f>
        <x:v>0.0625</x:v>
      </x:c>
      <x:c r="R624" s="96" t="n">
        <x:f>IFERROR(L624/F624,0)</x:f>
        <x:v>0.015151515151515152</x:v>
      </x:c>
      <x:c r="S624" s="95" t="n">
        <x:v>89</x:v>
      </x:c>
      <x:c r="T624" s="94" t="str">
        <x:v>末次点击7天</x:v>
      </x:c>
    </x:row>
    <x:row r="625">
      <x:c r="A625" s="92" t="str">
        <x:v>PROC-0624</x:v>
      </x:c>
      <x:c r="B625" s="93" t="n">
        <x:v>46135</x:v>
      </x:c>
      <x:c r="C625" s="94" t="str">
        <x:v>Microsoft Ads</x:v>
      </x:c>
      <x:c r="D625" s="94" t="str">
        <x:v>英国</x:v>
      </x:c>
      <x:c r="E625" s="94" t="str">
        <x:v>通用搜索</x:v>
      </x:c>
      <x:c r="F625" s="95" t="n">
        <x:v>37</x:v>
      </x:c>
      <x:c r="G625" s="95" t="n">
        <x:v>34</x:v>
      </x:c>
      <x:c r="H625" s="95" t="n">
        <x:v>22</x:v>
      </x:c>
      <x:c r="I625" s="95" t="n">
        <x:v>18</x:v>
      </x:c>
      <x:c r="J625" s="95" t="n">
        <x:v>8</x:v>
      </x:c>
      <x:c r="K625" s="95" t="n">
        <x:v>2</x:v>
      </x:c>
      <x:c r="L625" s="95" t="n">
        <x:v>1</x:v>
      </x:c>
      <x:c r="M625" s="96" t="n">
        <x:f>IFERROR(G625/F625,0)</x:f>
        <x:v>0.918918918918919</x:v>
      </x:c>
      <x:c r="N625" s="96" t="n">
        <x:f>IFERROR(H625/G625,0)</x:f>
        <x:v>0.6470588235294118</x:v>
      </x:c>
      <x:c r="O625" s="96" t="n">
        <x:f>IFERROR(I625/H625,0)</x:f>
        <x:v>0.8181818181818182</x:v>
      </x:c>
      <x:c r="P625" s="96" t="n">
        <x:f>IFERROR(J625/I625,0)</x:f>
        <x:v>0.4444444444444444</x:v>
      </x:c>
      <x:c r="Q625" s="96" t="n">
        <x:f>IFERROR(L625/J625,0)</x:f>
        <x:v>0.125</x:v>
      </x:c>
      <x:c r="R625" s="96" t="n">
        <x:f>IFERROR(L625/F625,0)</x:f>
        <x:v>0.02702702702702703</x:v>
      </x:c>
      <x:c r="S625" s="95" t="n">
        <x:v>86</x:v>
      </x:c>
      <x:c r="T625" s="94" t="str">
        <x:v>末次点击7天</x:v>
      </x:c>
    </x:row>
    <x:row r="626">
      <x:c r="A626" s="92" t="str">
        <x:v>PROC-0625</x:v>
      </x:c>
      <x:c r="B626" s="93" t="n">
        <x:v>46135</x:v>
      </x:c>
      <x:c r="C626" s="94" t="str">
        <x:v>Google Ads</x:v>
      </x:c>
      <x:c r="D626" s="94" t="str">
        <x:v>英国</x:v>
      </x:c>
      <x:c r="E626" s="94" t="str">
        <x:v>购物广告</x:v>
      </x:c>
      <x:c r="F626" s="95" t="n">
        <x:v>63</x:v>
      </x:c>
      <x:c r="G626" s="95" t="n">
        <x:v>59</x:v>
      </x:c>
      <x:c r="H626" s="95" t="n">
        <x:v>44</x:v>
      </x:c>
      <x:c r="I626" s="95" t="n">
        <x:v>38</x:v>
      </x:c>
      <x:c r="J626" s="95" t="n">
        <x:v>19</x:v>
      </x:c>
      <x:c r="K626" s="95" t="n">
        <x:v>5</x:v>
      </x:c>
      <x:c r="L626" s="95" t="n">
        <x:v>1</x:v>
      </x:c>
      <x:c r="M626" s="96" t="n">
        <x:f>IFERROR(G626/F626,0)</x:f>
        <x:v>0.9365079365079365</x:v>
      </x:c>
      <x:c r="N626" s="96" t="n">
        <x:f>IFERROR(H626/G626,0)</x:f>
        <x:v>0.7457627118644068</x:v>
      </x:c>
      <x:c r="O626" s="96" t="n">
        <x:f>IFERROR(I626/H626,0)</x:f>
        <x:v>0.8636363636363636</x:v>
      </x:c>
      <x:c r="P626" s="96" t="n">
        <x:f>IFERROR(J626/I626,0)</x:f>
        <x:v>0.5</x:v>
      </x:c>
      <x:c r="Q626" s="96" t="n">
        <x:f>IFERROR(L626/J626,0)</x:f>
        <x:v>0.05263157894736842</x:v>
      </x:c>
      <x:c r="R626" s="96" t="n">
        <x:f>IFERROR(L626/F626,0)</x:f>
        <x:v>0.015873015873015872</x:v>
      </x:c>
      <x:c r="S626" s="95" t="n">
        <x:v>59</x:v>
      </x:c>
      <x:c r="T626" s="94" t="str">
        <x:v>末次点击7天</x:v>
      </x:c>
    </x:row>
    <x:row r="627">
      <x:c r="A627" s="92" t="str">
        <x:v>PROC-0626</x:v>
      </x:c>
      <x:c r="B627" s="93" t="n">
        <x:v>46136</x:v>
      </x:c>
      <x:c r="C627" s="94" t="str">
        <x:v>Microsoft Ads</x:v>
      </x:c>
      <x:c r="D627" s="94" t="str">
        <x:v>德国</x:v>
      </x:c>
      <x:c r="E627" s="94" t="str">
        <x:v>品牌搜索</x:v>
      </x:c>
      <x:c r="F627" s="95" t="n">
        <x:v>32</x:v>
      </x:c>
      <x:c r="G627" s="95" t="n">
        <x:v>30</x:v>
      </x:c>
      <x:c r="H627" s="95" t="n">
        <x:v>19</x:v>
      </x:c>
      <x:c r="I627" s="95" t="n">
        <x:v>16</x:v>
      </x:c>
      <x:c r="J627" s="95" t="n">
        <x:v>8</x:v>
      </x:c>
      <x:c r="K627" s="95" t="n">
        <x:v>2</x:v>
      </x:c>
      <x:c r="L627" s="95" t="n">
        <x:v>1</x:v>
      </x:c>
      <x:c r="M627" s="96" t="n">
        <x:f>IFERROR(G627/F627,0)</x:f>
        <x:v>0.9375</x:v>
      </x:c>
      <x:c r="N627" s="96" t="n">
        <x:f>IFERROR(H627/G627,0)</x:f>
        <x:v>0.6333333333333333</x:v>
      </x:c>
      <x:c r="O627" s="96" t="n">
        <x:f>IFERROR(I627/H627,0)</x:f>
        <x:v>0.8421052631578947</x:v>
      </x:c>
      <x:c r="P627" s="96" t="n">
        <x:f>IFERROR(J627/I627,0)</x:f>
        <x:v>0.5</x:v>
      </x:c>
      <x:c r="Q627" s="96" t="n">
        <x:f>IFERROR(L627/J627,0)</x:f>
        <x:v>0.125</x:v>
      </x:c>
      <x:c r="R627" s="96" t="n">
        <x:f>IFERROR(L627/F627,0)</x:f>
        <x:v>0.03125</x:v>
      </x:c>
      <x:c r="S627" s="95" t="n">
        <x:v>131</x:v>
      </x:c>
      <x:c r="T627" s="94" t="str">
        <x:v>末次点击7天</x:v>
      </x:c>
    </x:row>
    <x:row r="628">
      <x:c r="A628" s="92" t="str">
        <x:v>PROC-0627</x:v>
      </x:c>
      <x:c r="B628" s="93" t="n">
        <x:v>46136</x:v>
      </x:c>
      <x:c r="C628" s="94" t="str">
        <x:v>Google Ads</x:v>
      </x:c>
      <x:c r="D628" s="94" t="str">
        <x:v>美国</x:v>
      </x:c>
      <x:c r="E628" s="94" t="str">
        <x:v>竞品搜索</x:v>
      </x:c>
      <x:c r="F628" s="95" t="n">
        <x:v>25</x:v>
      </x:c>
      <x:c r="G628" s="95" t="n">
        <x:v>22</x:v>
      </x:c>
      <x:c r="H628" s="95" t="n">
        <x:v>15</x:v>
      </x:c>
      <x:c r="I628" s="95" t="n">
        <x:v>12</x:v>
      </x:c>
      <x:c r="J628" s="95" t="n">
        <x:v>5</x:v>
      </x:c>
      <x:c r="K628" s="95" t="n">
        <x:v>1</x:v>
      </x:c>
      <x:c r="L628" s="95" t="n">
        <x:v>0</x:v>
      </x:c>
      <x:c r="M628" s="96" t="n">
        <x:f>IFERROR(G628/F628,0)</x:f>
        <x:v>0.88</x:v>
      </x:c>
      <x:c r="N628" s="96" t="n">
        <x:f>IFERROR(H628/G628,0)</x:f>
        <x:v>0.6818181818181818</x:v>
      </x:c>
      <x:c r="O628" s="96" t="n">
        <x:f>IFERROR(I628/H628,0)</x:f>
        <x:v>0.8</x:v>
      </x:c>
      <x:c r="P628" s="96" t="n">
        <x:f>IFERROR(J628/I628,0)</x:f>
        <x:v>0.4166666666666667</x:v>
      </x:c>
      <x:c r="Q628" s="96" t="n">
        <x:f>IFERROR(L628/J628,0)</x:f>
        <x:v>0</x:v>
      </x:c>
      <x:c r="R628" s="96" t="n">
        <x:f>IFERROR(L628/F628,0)</x:f>
        <x:v>0</x:v>
      </x:c>
      <x:c r="S628" s="95" t="n">
        <x:v>126</x:v>
      </x:c>
      <x:c r="T628" s="94" t="str">
        <x:v>末次点击7天</x:v>
      </x:c>
    </x:row>
    <x:row r="629">
      <x:c r="A629" s="92" t="str">
        <x:v>PROC-0628</x:v>
      </x:c>
      <x:c r="B629" s="93" t="n">
        <x:v>46136</x:v>
      </x:c>
      <x:c r="C629" s="94" t="str">
        <x:v>Google Ads</x:v>
      </x:c>
      <x:c r="D629" s="94" t="str">
        <x:v>英国</x:v>
      </x:c>
      <x:c r="E629" s="94" t="str">
        <x:v>购物广告</x:v>
      </x:c>
      <x:c r="F629" s="95" t="n">
        <x:v>67</x:v>
      </x:c>
      <x:c r="G629" s="95" t="n">
        <x:v>63</x:v>
      </x:c>
      <x:c r="H629" s="95" t="n">
        <x:v>49</x:v>
      </x:c>
      <x:c r="I629" s="95" t="n">
        <x:v>44</x:v>
      </x:c>
      <x:c r="J629" s="95" t="n">
        <x:v>20</x:v>
      </x:c>
      <x:c r="K629" s="95" t="n">
        <x:v>5</x:v>
      </x:c>
      <x:c r="L629" s="95" t="n">
        <x:v>2</x:v>
      </x:c>
      <x:c r="M629" s="96" t="n">
        <x:f>IFERROR(G629/F629,0)</x:f>
        <x:v>0.9402985074626866</x:v>
      </x:c>
      <x:c r="N629" s="96" t="n">
        <x:f>IFERROR(H629/G629,0)</x:f>
        <x:v>0.7777777777777778</x:v>
      </x:c>
      <x:c r="O629" s="96" t="n">
        <x:f>IFERROR(I629/H629,0)</x:f>
        <x:v>0.8979591836734694</x:v>
      </x:c>
      <x:c r="P629" s="96" t="n">
        <x:f>IFERROR(J629/I629,0)</x:f>
        <x:v>0.45454545454545453</x:v>
      </x:c>
      <x:c r="Q629" s="96" t="n">
        <x:f>IFERROR(L629/J629,0)</x:f>
        <x:v>0.1</x:v>
      </x:c>
      <x:c r="R629" s="96" t="n">
        <x:f>IFERROR(L629/F629,0)</x:f>
        <x:v>0.029850746268656716</x:v>
      </x:c>
      <x:c r="S629" s="95" t="n">
        <x:v>119</x:v>
      </x:c>
      <x:c r="T629" s="94" t="str">
        <x:v>末次点击7天</x:v>
      </x:c>
    </x:row>
    <x:row r="630">
      <x:c r="A630" s="92" t="str">
        <x:v>PROC-0629</x:v>
      </x:c>
      <x:c r="B630" s="93" t="n">
        <x:v>46136</x:v>
      </x:c>
      <x:c r="C630" s="94" t="str">
        <x:v>Google Ads</x:v>
      </x:c>
      <x:c r="D630" s="94" t="str">
        <x:v>英国</x:v>
      </x:c>
      <x:c r="E630" s="94" t="str">
        <x:v>品牌搜索</x:v>
      </x:c>
      <x:c r="F630" s="95" t="n">
        <x:v>68</x:v>
      </x:c>
      <x:c r="G630" s="95" t="n">
        <x:v>59</x:v>
      </x:c>
      <x:c r="H630" s="95" t="n">
        <x:v>37</x:v>
      </x:c>
      <x:c r="I630" s="95" t="n">
        <x:v>30</x:v>
      </x:c>
      <x:c r="J630" s="95" t="n">
        <x:v>14</x:v>
      </x:c>
      <x:c r="K630" s="95" t="n">
        <x:v>3</x:v>
      </x:c>
      <x:c r="L630" s="95" t="n">
        <x:v>1</x:v>
      </x:c>
      <x:c r="M630" s="96" t="n">
        <x:f>IFERROR(G630/F630,0)</x:f>
        <x:v>0.8676470588235294</x:v>
      </x:c>
      <x:c r="N630" s="96" t="n">
        <x:f>IFERROR(H630/G630,0)</x:f>
        <x:v>0.6271186440677966</x:v>
      </x:c>
      <x:c r="O630" s="96" t="n">
        <x:f>IFERROR(I630/H630,0)</x:f>
        <x:v>0.8108108108108109</x:v>
      </x:c>
      <x:c r="P630" s="96" t="n">
        <x:f>IFERROR(J630/I630,0)</x:f>
        <x:v>0.4666666666666667</x:v>
      </x:c>
      <x:c r="Q630" s="96" t="n">
        <x:f>IFERROR(L630/J630,0)</x:f>
        <x:v>0.07142857142857142</x:v>
      </x:c>
      <x:c r="R630" s="96" t="n">
        <x:f>IFERROR(L630/F630,0)</x:f>
        <x:v>0.014705882352941176</x:v>
      </x:c>
      <x:c r="S630" s="95" t="n">
        <x:v>59</x:v>
      </x:c>
      <x:c r="T630" s="94" t="str">
        <x:v>末次点击7天</x:v>
      </x:c>
    </x:row>
    <x:row r="631">
      <x:c r="A631" s="92" t="str">
        <x:v>PROC-0630</x:v>
      </x:c>
      <x:c r="B631" s="93" t="n">
        <x:v>46136</x:v>
      </x:c>
      <x:c r="C631" s="94" t="str">
        <x:v>Google Ads</x:v>
      </x:c>
      <x:c r="D631" s="94" t="str">
        <x:v>美国</x:v>
      </x:c>
      <x:c r="E631" s="94" t="str">
        <x:v>品牌搜索</x:v>
      </x:c>
      <x:c r="F631" s="95" t="n">
        <x:v>52</x:v>
      </x:c>
      <x:c r="G631" s="95" t="n">
        <x:v>45</x:v>
      </x:c>
      <x:c r="H631" s="95" t="n">
        <x:v>36</x:v>
      </x:c>
      <x:c r="I631" s="95" t="n">
        <x:v>30</x:v>
      </x:c>
      <x:c r="J631" s="95" t="n">
        <x:v>14</x:v>
      </x:c>
      <x:c r="K631" s="95" t="n">
        <x:v>5</x:v>
      </x:c>
      <x:c r="L631" s="95" t="n">
        <x:v>1</x:v>
      </x:c>
      <x:c r="M631" s="96" t="n">
        <x:f>IFERROR(G631/F631,0)</x:f>
        <x:v>0.8653846153846154</x:v>
      </x:c>
      <x:c r="N631" s="96" t="n">
        <x:f>IFERROR(H631/G631,0)</x:f>
        <x:v>0.8</x:v>
      </x:c>
      <x:c r="O631" s="96" t="n">
        <x:f>IFERROR(I631/H631,0)</x:f>
        <x:v>0.8333333333333334</x:v>
      </x:c>
      <x:c r="P631" s="96" t="n">
        <x:f>IFERROR(J631/I631,0)</x:f>
        <x:v>0.4666666666666667</x:v>
      </x:c>
      <x:c r="Q631" s="96" t="n">
        <x:f>IFERROR(L631/J631,0)</x:f>
        <x:v>0.07142857142857142</x:v>
      </x:c>
      <x:c r="R631" s="96" t="n">
        <x:f>IFERROR(L631/F631,0)</x:f>
        <x:v>0.019230769230769232</x:v>
      </x:c>
      <x:c r="S631" s="95" t="n">
        <x:v>148</x:v>
      </x:c>
      <x:c r="T631" s="94" t="str">
        <x:v>末次点击7天</x:v>
      </x:c>
    </x:row>
    <x:row r="632">
      <x:c r="A632" s="92" t="str">
        <x:v>PROC-0631</x:v>
      </x:c>
      <x:c r="B632" s="93" t="n">
        <x:v>46137</x:v>
      </x:c>
      <x:c r="C632" s="94" t="str">
        <x:v>Microsoft Ads</x:v>
      </x:c>
      <x:c r="D632" s="94" t="str">
        <x:v>英国</x:v>
      </x:c>
      <x:c r="E632" s="94" t="str">
        <x:v>品牌搜索</x:v>
      </x:c>
      <x:c r="F632" s="95" t="n">
        <x:v>44</x:v>
      </x:c>
      <x:c r="G632" s="95" t="n">
        <x:v>40</x:v>
      </x:c>
      <x:c r="H632" s="95" t="n">
        <x:v>28</x:v>
      </x:c>
      <x:c r="I632" s="95" t="n">
        <x:v>24</x:v>
      </x:c>
      <x:c r="J632" s="95" t="n">
        <x:v>11</x:v>
      </x:c>
      <x:c r="K632" s="95" t="n">
        <x:v>3</x:v>
      </x:c>
      <x:c r="L632" s="95" t="n">
        <x:v>1</x:v>
      </x:c>
      <x:c r="M632" s="96" t="n">
        <x:f>IFERROR(G632/F632,0)</x:f>
        <x:v>0.9090909090909091</x:v>
      </x:c>
      <x:c r="N632" s="96" t="n">
        <x:f>IFERROR(H632/G632,0)</x:f>
        <x:v>0.7</x:v>
      </x:c>
      <x:c r="O632" s="96" t="n">
        <x:f>IFERROR(I632/H632,0)</x:f>
        <x:v>0.8571428571428571</x:v>
      </x:c>
      <x:c r="P632" s="96" t="n">
        <x:f>IFERROR(J632/I632,0)</x:f>
        <x:v>0.4583333333333333</x:v>
      </x:c>
      <x:c r="Q632" s="96" t="n">
        <x:f>IFERROR(L632/J632,0)</x:f>
        <x:v>0.09090909090909091</x:v>
      </x:c>
      <x:c r="R632" s="96" t="n">
        <x:f>IFERROR(L632/F632,0)</x:f>
        <x:v>0.022727272727272728</x:v>
      </x:c>
      <x:c r="S632" s="95" t="n">
        <x:v>125</x:v>
      </x:c>
      <x:c r="T632" s="94" t="str">
        <x:v>末次点击7天</x:v>
      </x:c>
    </x:row>
    <x:row r="633">
      <x:c r="A633" s="92" t="str">
        <x:v>PROC-0632</x:v>
      </x:c>
      <x:c r="B633" s="93" t="n">
        <x:v>46137</x:v>
      </x:c>
      <x:c r="C633" s="94" t="str">
        <x:v>Microsoft Ads</x:v>
      </x:c>
      <x:c r="D633" s="94" t="str">
        <x:v>日本</x:v>
      </x:c>
      <x:c r="E633" s="94" t="str">
        <x:v>竞品搜索</x:v>
      </x:c>
      <x:c r="F633" s="95" t="n">
        <x:v>19</x:v>
      </x:c>
      <x:c r="G633" s="95" t="n">
        <x:v>17</x:v>
      </x:c>
      <x:c r="H633" s="95" t="n">
        <x:v>12</x:v>
      </x:c>
      <x:c r="I633" s="95" t="n">
        <x:v>10</x:v>
      </x:c>
      <x:c r="J633" s="95" t="n">
        <x:v>4</x:v>
      </x:c>
      <x:c r="K633" s="95" t="n">
        <x:v>1</x:v>
      </x:c>
      <x:c r="L633" s="95" t="n">
        <x:v>0</x:v>
      </x:c>
      <x:c r="M633" s="96" t="n">
        <x:f>IFERROR(G633/F633,0)</x:f>
        <x:v>0.8947368421052632</x:v>
      </x:c>
      <x:c r="N633" s="96" t="n">
        <x:f>IFERROR(H633/G633,0)</x:f>
        <x:v>0.7058823529411765</x:v>
      </x:c>
      <x:c r="O633" s="96" t="n">
        <x:f>IFERROR(I633/H633,0)</x:f>
        <x:v>0.8333333333333334</x:v>
      </x:c>
      <x:c r="P633" s="96" t="n">
        <x:f>IFERROR(J633/I633,0)</x:f>
        <x:v>0.4</x:v>
      </x:c>
      <x:c r="Q633" s="96" t="n">
        <x:f>IFERROR(L633/J633,0)</x:f>
        <x:v>0</x:v>
      </x:c>
      <x:c r="R633" s="96" t="n">
        <x:f>IFERROR(L633/F633,0)</x:f>
        <x:v>0</x:v>
      </x:c>
      <x:c r="S633" s="95" t="n">
        <x:v>142</x:v>
      </x:c>
      <x:c r="T633" s="94" t="str">
        <x:v>末次点击7天</x:v>
      </x:c>
    </x:row>
    <x:row r="634">
      <x:c r="A634" s="92" t="str">
        <x:v>PROC-0633</x:v>
      </x:c>
      <x:c r="B634" s="93" t="n">
        <x:v>46137</x:v>
      </x:c>
      <x:c r="C634" s="94" t="str">
        <x:v>Google Ads</x:v>
      </x:c>
      <x:c r="D634" s="94" t="str">
        <x:v>英国</x:v>
      </x:c>
      <x:c r="E634" s="94" t="str">
        <x:v>购物广告</x:v>
      </x:c>
      <x:c r="F634" s="95" t="n">
        <x:v>28</x:v>
      </x:c>
      <x:c r="G634" s="95" t="n">
        <x:v>25</x:v>
      </x:c>
      <x:c r="H634" s="95" t="n">
        <x:v>18</x:v>
      </x:c>
      <x:c r="I634" s="95" t="n">
        <x:v>16</x:v>
      </x:c>
      <x:c r="J634" s="95" t="n">
        <x:v>7</x:v>
      </x:c>
      <x:c r="K634" s="95" t="n">
        <x:v>2</x:v>
      </x:c>
      <x:c r="L634" s="95" t="n">
        <x:v>1</x:v>
      </x:c>
      <x:c r="M634" s="96" t="n">
        <x:f>IFERROR(G634/F634,0)</x:f>
        <x:v>0.8928571428571429</x:v>
      </x:c>
      <x:c r="N634" s="96" t="n">
        <x:f>IFERROR(H634/G634,0)</x:f>
        <x:v>0.72</x:v>
      </x:c>
      <x:c r="O634" s="96" t="n">
        <x:f>IFERROR(I634/H634,0)</x:f>
        <x:v>0.8888888888888888</x:v>
      </x:c>
      <x:c r="P634" s="96" t="n">
        <x:f>IFERROR(J634/I634,0)</x:f>
        <x:v>0.4375</x:v>
      </x:c>
      <x:c r="Q634" s="96" t="n">
        <x:f>IFERROR(L634/J634,0)</x:f>
        <x:v>0.14285714285714285</x:v>
      </x:c>
      <x:c r="R634" s="96" t="n">
        <x:f>IFERROR(L634/F634,0)</x:f>
        <x:v>0.03571428571428571</x:v>
      </x:c>
      <x:c r="S634" s="95" t="n">
        <x:v>77</x:v>
      </x:c>
      <x:c r="T634" s="94" t="str">
        <x:v>末次点击7天</x:v>
      </x:c>
    </x:row>
    <x:row r="635">
      <x:c r="A635" s="92" t="str">
        <x:v>PROC-0634</x:v>
      </x:c>
      <x:c r="B635" s="93" t="n">
        <x:v>46137</x:v>
      </x:c>
      <x:c r="C635" s="94" t="str">
        <x:v>Google Ads</x:v>
      </x:c>
      <x:c r="D635" s="94" t="str">
        <x:v>美国</x:v>
      </x:c>
      <x:c r="E635" s="94" t="str">
        <x:v>通用搜索</x:v>
      </x:c>
      <x:c r="F635" s="95" t="n">
        <x:v>31</x:v>
      </x:c>
      <x:c r="G635" s="95" t="n">
        <x:v>27</x:v>
      </x:c>
      <x:c r="H635" s="95" t="n">
        <x:v>21</x:v>
      </x:c>
      <x:c r="I635" s="95" t="n">
        <x:v>18</x:v>
      </x:c>
      <x:c r="J635" s="95" t="n">
        <x:v>7</x:v>
      </x:c>
      <x:c r="K635" s="95" t="n">
        <x:v>2</x:v>
      </x:c>
      <x:c r="L635" s="95" t="n">
        <x:v>1</x:v>
      </x:c>
      <x:c r="M635" s="96" t="n">
        <x:f>IFERROR(G635/F635,0)</x:f>
        <x:v>0.8709677419354839</x:v>
      </x:c>
      <x:c r="N635" s="96" t="n">
        <x:f>IFERROR(H635/G635,0)</x:f>
        <x:v>0.7777777777777778</x:v>
      </x:c>
      <x:c r="O635" s="96" t="n">
        <x:f>IFERROR(I635/H635,0)</x:f>
        <x:v>0.8571428571428571</x:v>
      </x:c>
      <x:c r="P635" s="96" t="n">
        <x:f>IFERROR(J635/I635,0)</x:f>
        <x:v>0.3888888888888889</x:v>
      </x:c>
      <x:c r="Q635" s="96" t="n">
        <x:f>IFERROR(L635/J635,0)</x:f>
        <x:v>0.14285714285714285</x:v>
      </x:c>
      <x:c r="R635" s="96" t="n">
        <x:f>IFERROR(L635/F635,0)</x:f>
        <x:v>0.03225806451612903</x:v>
      </x:c>
      <x:c r="S635" s="95" t="n">
        <x:v>99</x:v>
      </x:c>
      <x:c r="T635" s="94" t="str">
        <x:v>末次点击7天</x:v>
      </x:c>
    </x:row>
    <x:row r="636">
      <x:c r="A636" s="92" t="str">
        <x:v>PROC-0635</x:v>
      </x:c>
      <x:c r="B636" s="93" t="n">
        <x:v>46137</x:v>
      </x:c>
      <x:c r="C636" s="94" t="str">
        <x:v>Google Ads</x:v>
      </x:c>
      <x:c r="D636" s="94" t="str">
        <x:v>英国</x:v>
      </x:c>
      <x:c r="E636" s="94" t="str">
        <x:v>竞品搜索</x:v>
      </x:c>
      <x:c r="F636" s="95" t="n">
        <x:v>20</x:v>
      </x:c>
      <x:c r="G636" s="95" t="n">
        <x:v>18</x:v>
      </x:c>
      <x:c r="H636" s="95" t="n">
        <x:v>11</x:v>
      </x:c>
      <x:c r="I636" s="95" t="n">
        <x:v>9</x:v>
      </x:c>
      <x:c r="J636" s="95" t="n">
        <x:v>3</x:v>
      </x:c>
      <x:c r="K636" s="95" t="n">
        <x:v>1</x:v>
      </x:c>
      <x:c r="L636" s="95" t="n">
        <x:v>0</x:v>
      </x:c>
      <x:c r="M636" s="96" t="n">
        <x:f>IFERROR(G636/F636,0)</x:f>
        <x:v>0.9</x:v>
      </x:c>
      <x:c r="N636" s="96" t="n">
        <x:f>IFERROR(H636/G636,0)</x:f>
        <x:v>0.6111111111111112</x:v>
      </x:c>
      <x:c r="O636" s="96" t="n">
        <x:f>IFERROR(I636/H636,0)</x:f>
        <x:v>0.8181818181818182</x:v>
      </x:c>
      <x:c r="P636" s="96" t="n">
        <x:f>IFERROR(J636/I636,0)</x:f>
        <x:v>0.3333333333333333</x:v>
      </x:c>
      <x:c r="Q636" s="96" t="n">
        <x:f>IFERROR(L636/J636,0)</x:f>
        <x:v>0</x:v>
      </x:c>
      <x:c r="R636" s="96" t="n">
        <x:f>IFERROR(L636/F636,0)</x:f>
        <x:v>0</x:v>
      </x:c>
      <x:c r="S636" s="95" t="n">
        <x:v>60</x:v>
      </x:c>
      <x:c r="T636" s="94" t="str">
        <x:v>末次点击7天</x:v>
      </x:c>
    </x:row>
    <x:row r="637">
      <x:c r="A637" s="92" t="str">
        <x:v>PROC-0636</x:v>
      </x:c>
      <x:c r="B637" s="93" t="n">
        <x:v>46137</x:v>
      </x:c>
      <x:c r="C637" s="94" t="str">
        <x:v>Google Ads</x:v>
      </x:c>
      <x:c r="D637" s="94" t="str">
        <x:v>德国</x:v>
      </x:c>
      <x:c r="E637" s="94" t="str">
        <x:v>通用搜索</x:v>
      </x:c>
      <x:c r="F637" s="95" t="n">
        <x:v>44</x:v>
      </x:c>
      <x:c r="G637" s="95" t="n">
        <x:v>39</x:v>
      </x:c>
      <x:c r="H637" s="95" t="n">
        <x:v>28</x:v>
      </x:c>
      <x:c r="I637" s="95" t="n">
        <x:v>24</x:v>
      </x:c>
      <x:c r="J637" s="95" t="n">
        <x:v>9</x:v>
      </x:c>
      <x:c r="K637" s="95" t="n">
        <x:v>3</x:v>
      </x:c>
      <x:c r="L637" s="95" t="n">
        <x:v>1</x:v>
      </x:c>
      <x:c r="M637" s="96" t="n">
        <x:f>IFERROR(G637/F637,0)</x:f>
        <x:v>0.8863636363636364</x:v>
      </x:c>
      <x:c r="N637" s="96" t="n">
        <x:f>IFERROR(H637/G637,0)</x:f>
        <x:v>0.717948717948718</x:v>
      </x:c>
      <x:c r="O637" s="96" t="n">
        <x:f>IFERROR(I637/H637,0)</x:f>
        <x:v>0.8571428571428571</x:v>
      </x:c>
      <x:c r="P637" s="96" t="n">
        <x:f>IFERROR(J637/I637,0)</x:f>
        <x:v>0.375</x:v>
      </x:c>
      <x:c r="Q637" s="96" t="n">
        <x:f>IFERROR(L637/J637,0)</x:f>
        <x:v>0.1111111111111111</x:v>
      </x:c>
      <x:c r="R637" s="96" t="n">
        <x:f>IFERROR(L637/F637,0)</x:f>
        <x:v>0.022727272727272728</x:v>
      </x:c>
      <x:c r="S637" s="95" t="n">
        <x:v>44</x:v>
      </x:c>
      <x:c r="T637" s="94" t="str">
        <x:v>末次点击7天</x:v>
      </x:c>
    </x:row>
    <x:row r="638">
      <x:c r="A638" s="92" t="str">
        <x:v>PROC-0637</x:v>
      </x:c>
      <x:c r="B638" s="93" t="n">
        <x:v>46138</x:v>
      </x:c>
      <x:c r="C638" s="94" t="str">
        <x:v>Google Ads</x:v>
      </x:c>
      <x:c r="D638" s="94" t="str">
        <x:v>美国</x:v>
      </x:c>
      <x:c r="E638" s="94" t="str">
        <x:v>购物广告</x:v>
      </x:c>
      <x:c r="F638" s="95" t="n">
        <x:v>55</x:v>
      </x:c>
      <x:c r="G638" s="95" t="n">
        <x:v>52</x:v>
      </x:c>
      <x:c r="H638" s="95" t="n">
        <x:v>37</x:v>
      </x:c>
      <x:c r="I638" s="95" t="n">
        <x:v>33</x:v>
      </x:c>
      <x:c r="J638" s="95" t="n">
        <x:v>14</x:v>
      </x:c>
      <x:c r="K638" s="95" t="n">
        <x:v>3</x:v>
      </x:c>
      <x:c r="L638" s="95" t="n">
        <x:v>1</x:v>
      </x:c>
      <x:c r="M638" s="96" t="n">
        <x:f>IFERROR(G638/F638,0)</x:f>
        <x:v>0.9454545454545454</x:v>
      </x:c>
      <x:c r="N638" s="96" t="n">
        <x:f>IFERROR(H638/G638,0)</x:f>
        <x:v>0.7115384615384616</x:v>
      </x:c>
      <x:c r="O638" s="96" t="n">
        <x:f>IFERROR(I638/H638,0)</x:f>
        <x:v>0.8918918918918919</x:v>
      </x:c>
      <x:c r="P638" s="96" t="n">
        <x:f>IFERROR(J638/I638,0)</x:f>
        <x:v>0.42424242424242425</x:v>
      </x:c>
      <x:c r="Q638" s="96" t="n">
        <x:f>IFERROR(L638/J638,0)</x:f>
        <x:v>0.07142857142857142</x:v>
      </x:c>
      <x:c r="R638" s="96" t="n">
        <x:f>IFERROR(L638/F638,0)</x:f>
        <x:v>0.01818181818181818</x:v>
      </x:c>
      <x:c r="S638" s="95" t="n">
        <x:v>72</x:v>
      </x:c>
      <x:c r="T638" s="94" t="str">
        <x:v>末次点击7天</x:v>
      </x:c>
    </x:row>
    <x:row r="639">
      <x:c r="A639" s="92" t="str">
        <x:v>PROC-0638</x:v>
      </x:c>
      <x:c r="B639" s="93" t="n">
        <x:v>46138</x:v>
      </x:c>
      <x:c r="C639" s="94" t="str">
        <x:v>Google Ads</x:v>
      </x:c>
      <x:c r="D639" s="94" t="str">
        <x:v>美国</x:v>
      </x:c>
      <x:c r="E639" s="94" t="str">
        <x:v>品牌搜索</x:v>
      </x:c>
      <x:c r="F639" s="95" t="n">
        <x:v>65</x:v>
      </x:c>
      <x:c r="G639" s="95" t="n">
        <x:v>58</x:v>
      </x:c>
      <x:c r="H639" s="95" t="n">
        <x:v>41</x:v>
      </x:c>
      <x:c r="I639" s="95" t="n">
        <x:v>34</x:v>
      </x:c>
      <x:c r="J639" s="95" t="n">
        <x:v>17</x:v>
      </x:c>
      <x:c r="K639" s="95" t="n">
        <x:v>4</x:v>
      </x:c>
      <x:c r="L639" s="95" t="n">
        <x:v>2</x:v>
      </x:c>
      <x:c r="M639" s="96" t="n">
        <x:f>IFERROR(G639/F639,0)</x:f>
        <x:v>0.8923076923076924</x:v>
      </x:c>
      <x:c r="N639" s="96" t="n">
        <x:f>IFERROR(H639/G639,0)</x:f>
        <x:v>0.7068965517241379</x:v>
      </x:c>
      <x:c r="O639" s="96" t="n">
        <x:f>IFERROR(I639/H639,0)</x:f>
        <x:v>0.8292682926829268</x:v>
      </x:c>
      <x:c r="P639" s="96" t="n">
        <x:f>IFERROR(J639/I639,0)</x:f>
        <x:v>0.5</x:v>
      </x:c>
      <x:c r="Q639" s="96" t="n">
        <x:f>IFERROR(L639/J639,0)</x:f>
        <x:v>0.11764705882352941</x:v>
      </x:c>
      <x:c r="R639" s="96" t="n">
        <x:f>IFERROR(L639/F639,0)</x:f>
        <x:v>0.03076923076923077</x:v>
      </x:c>
      <x:c r="S639" s="95" t="n">
        <x:v>132</x:v>
      </x:c>
      <x:c r="T639" s="94" t="str">
        <x:v>末次点击7天</x:v>
      </x:c>
    </x:row>
    <x:row r="640">
      <x:c r="A640" s="92" t="str">
        <x:v>PROC-0639</x:v>
      </x:c>
      <x:c r="B640" s="93" t="n">
        <x:v>46138</x:v>
      </x:c>
      <x:c r="C640" s="94" t="str">
        <x:v>Microsoft Ads</x:v>
      </x:c>
      <x:c r="D640" s="94" t="str">
        <x:v>美国</x:v>
      </x:c>
      <x:c r="E640" s="94" t="str">
        <x:v>购物广告</x:v>
      </x:c>
      <x:c r="F640" s="95" t="n">
        <x:v>66</x:v>
      </x:c>
      <x:c r="G640" s="95" t="n">
        <x:v>63</x:v>
      </x:c>
      <x:c r="H640" s="95" t="n">
        <x:v>40</x:v>
      </x:c>
      <x:c r="I640" s="95" t="n">
        <x:v>36</x:v>
      </x:c>
      <x:c r="J640" s="95" t="n">
        <x:v>17</x:v>
      </x:c>
      <x:c r="K640" s="95" t="n">
        <x:v>4</x:v>
      </x:c>
      <x:c r="L640" s="95" t="n">
        <x:v>2</x:v>
      </x:c>
      <x:c r="M640" s="96" t="n">
        <x:f>IFERROR(G640/F640,0)</x:f>
        <x:v>0.9545454545454546</x:v>
      </x:c>
      <x:c r="N640" s="96" t="n">
        <x:f>IFERROR(H640/G640,0)</x:f>
        <x:v>0.6349206349206349</x:v>
      </x:c>
      <x:c r="O640" s="96" t="n">
        <x:f>IFERROR(I640/H640,0)</x:f>
        <x:v>0.9</x:v>
      </x:c>
      <x:c r="P640" s="96" t="n">
        <x:f>IFERROR(J640/I640,0)</x:f>
        <x:v>0.4722222222222222</x:v>
      </x:c>
      <x:c r="Q640" s="96" t="n">
        <x:f>IFERROR(L640/J640,0)</x:f>
        <x:v>0.11764705882352941</x:v>
      </x:c>
      <x:c r="R640" s="96" t="n">
        <x:f>IFERROR(L640/F640,0)</x:f>
        <x:v>0.030303030303030304</x:v>
      </x:c>
      <x:c r="S640" s="95" t="n">
        <x:v>49</x:v>
      </x:c>
      <x:c r="T640" s="94" t="str">
        <x:v>末次点击7天</x:v>
      </x:c>
    </x:row>
    <x:row r="641">
      <x:c r="A641" s="92" t="str">
        <x:v>PROC-0640</x:v>
      </x:c>
      <x:c r="B641" s="93" t="n">
        <x:v>46138</x:v>
      </x:c>
      <x:c r="C641" s="94" t="str">
        <x:v>Google Ads</x:v>
      </x:c>
      <x:c r="D641" s="94" t="str">
        <x:v>美国</x:v>
      </x:c>
      <x:c r="E641" s="94" t="str">
        <x:v>购物广告</x:v>
      </x:c>
      <x:c r="F641" s="95" t="n">
        <x:v>32</x:v>
      </x:c>
      <x:c r="G641" s="95" t="n">
        <x:v>29</x:v>
      </x:c>
      <x:c r="H641" s="95" t="n">
        <x:v>21</x:v>
      </x:c>
      <x:c r="I641" s="95" t="n">
        <x:v>18</x:v>
      </x:c>
      <x:c r="J641" s="95" t="n">
        <x:v>9</x:v>
      </x:c>
      <x:c r="K641" s="95" t="n">
        <x:v>3</x:v>
      </x:c>
      <x:c r="L641" s="95" t="n">
        <x:v>1</x:v>
      </x:c>
      <x:c r="M641" s="96" t="n">
        <x:f>IFERROR(G641/F641,0)</x:f>
        <x:v>0.90625</x:v>
      </x:c>
      <x:c r="N641" s="96" t="n">
        <x:f>IFERROR(H641/G641,0)</x:f>
        <x:v>0.7241379310344828</x:v>
      </x:c>
      <x:c r="O641" s="96" t="n">
        <x:f>IFERROR(I641/H641,0)</x:f>
        <x:v>0.8571428571428571</x:v>
      </x:c>
      <x:c r="P641" s="96" t="n">
        <x:f>IFERROR(J641/I641,0)</x:f>
        <x:v>0.5</x:v>
      </x:c>
      <x:c r="Q641" s="96" t="n">
        <x:f>IFERROR(L641/J641,0)</x:f>
        <x:v>0.1111111111111111</x:v>
      </x:c>
      <x:c r="R641" s="96" t="n">
        <x:f>IFERROR(L641/F641,0)</x:f>
        <x:v>0.03125</x:v>
      </x:c>
      <x:c r="S641" s="95" t="n">
        <x:v>139</x:v>
      </x:c>
      <x:c r="T641" s="94" t="str">
        <x:v>末次点击7天</x:v>
      </x:c>
    </x:row>
    <x:row r="642">
      <x:c r="A642" s="92" t="str">
        <x:v>PROC-0641</x:v>
      </x:c>
      <x:c r="B642" s="93" t="n">
        <x:v>46138</x:v>
      </x:c>
      <x:c r="C642" s="94" t="str">
        <x:v>Google Ads</x:v>
      </x:c>
      <x:c r="D642" s="94" t="str">
        <x:v>美国</x:v>
      </x:c>
      <x:c r="E642" s="94" t="str">
        <x:v>品牌搜索</x:v>
      </x:c>
      <x:c r="F642" s="95" t="n">
        <x:v>49</x:v>
      </x:c>
      <x:c r="G642" s="95" t="n">
        <x:v>44</x:v>
      </x:c>
      <x:c r="H642" s="95" t="n">
        <x:v>30</x:v>
      </x:c>
      <x:c r="I642" s="95" t="n">
        <x:v>26</x:v>
      </x:c>
      <x:c r="J642" s="95" t="n">
        <x:v>14</x:v>
      </x:c>
      <x:c r="K642" s="95" t="n">
        <x:v>4</x:v>
      </x:c>
      <x:c r="L642" s="95" t="n">
        <x:v>1</x:v>
      </x:c>
      <x:c r="M642" s="96" t="n">
        <x:f>IFERROR(G642/F642,0)</x:f>
        <x:v>0.8979591836734694</x:v>
      </x:c>
      <x:c r="N642" s="96" t="n">
        <x:f>IFERROR(H642/G642,0)</x:f>
        <x:v>0.6818181818181818</x:v>
      </x:c>
      <x:c r="O642" s="96" t="n">
        <x:f>IFERROR(I642/H642,0)</x:f>
        <x:v>0.8666666666666667</x:v>
      </x:c>
      <x:c r="P642" s="96" t="n">
        <x:f>IFERROR(J642/I642,0)</x:f>
        <x:v>0.5384615384615384</x:v>
      </x:c>
      <x:c r="Q642" s="96" t="n">
        <x:f>IFERROR(L642/J642,0)</x:f>
        <x:v>0.07142857142857142</x:v>
      </x:c>
      <x:c r="R642" s="96" t="n">
        <x:f>IFERROR(L642/F642,0)</x:f>
        <x:v>0.02040816326530612</x:v>
      </x:c>
      <x:c r="S642" s="95" t="n">
        <x:v>122</x:v>
      </x:c>
      <x:c r="T642" s="94" t="str">
        <x:v>末次点击7天</x:v>
      </x:c>
    </x:row>
    <x:row r="643">
      <x:c r="A643" s="92" t="str">
        <x:v>PROC-0642</x:v>
      </x:c>
      <x:c r="B643" s="93" t="n">
        <x:v>46139</x:v>
      </x:c>
      <x:c r="C643" s="94" t="str">
        <x:v>Google Ads</x:v>
      </x:c>
      <x:c r="D643" s="94" t="str">
        <x:v>美国</x:v>
      </x:c>
      <x:c r="E643" s="94" t="str">
        <x:v>通用搜索</x:v>
      </x:c>
      <x:c r="F643" s="95" t="n">
        <x:v>53</x:v>
      </x:c>
      <x:c r="G643" s="95" t="n">
        <x:v>47</x:v>
      </x:c>
      <x:c r="H643" s="95" t="n">
        <x:v>34</x:v>
      </x:c>
      <x:c r="I643" s="95" t="n">
        <x:v>28</x:v>
      </x:c>
      <x:c r="J643" s="95" t="n">
        <x:v>13</x:v>
      </x:c>
      <x:c r="K643" s="95" t="n">
        <x:v>4</x:v>
      </x:c>
      <x:c r="L643" s="95" t="n">
        <x:v>1</x:v>
      </x:c>
      <x:c r="M643" s="96" t="n">
        <x:f>IFERROR(G643/F643,0)</x:f>
        <x:v>0.8867924528301887</x:v>
      </x:c>
      <x:c r="N643" s="96" t="n">
        <x:f>IFERROR(H643/G643,0)</x:f>
        <x:v>0.723404255319149</x:v>
      </x:c>
      <x:c r="O643" s="96" t="n">
        <x:f>IFERROR(I643/H643,0)</x:f>
        <x:v>0.8235294117647058</x:v>
      </x:c>
      <x:c r="P643" s="96" t="n">
        <x:f>IFERROR(J643/I643,0)</x:f>
        <x:v>0.4642857142857143</x:v>
      </x:c>
      <x:c r="Q643" s="96" t="n">
        <x:f>IFERROR(L643/J643,0)</x:f>
        <x:v>0.07692307692307693</x:v>
      </x:c>
      <x:c r="R643" s="96" t="n">
        <x:f>IFERROR(L643/F643,0)</x:f>
        <x:v>0.018867924528301886</x:v>
      </x:c>
      <x:c r="S643" s="95" t="n">
        <x:v>76</x:v>
      </x:c>
      <x:c r="T643" s="94" t="str">
        <x:v>末次点击7天</x:v>
      </x:c>
    </x:row>
    <x:row r="644">
      <x:c r="A644" s="92" t="str">
        <x:v>PROC-0643</x:v>
      </x:c>
      <x:c r="B644" s="93" t="n">
        <x:v>46139</x:v>
      </x:c>
      <x:c r="C644" s="94" t="str">
        <x:v>Google Ads</x:v>
      </x:c>
      <x:c r="D644" s="94" t="str">
        <x:v>日本</x:v>
      </x:c>
      <x:c r="E644" s="94" t="str">
        <x:v>通用搜索</x:v>
      </x:c>
      <x:c r="F644" s="95" t="n">
        <x:v>42</x:v>
      </x:c>
      <x:c r="G644" s="95" t="n">
        <x:v>40</x:v>
      </x:c>
      <x:c r="H644" s="95" t="n">
        <x:v>30</x:v>
      </x:c>
      <x:c r="I644" s="95" t="n">
        <x:v>26</x:v>
      </x:c>
      <x:c r="J644" s="95" t="n">
        <x:v>12</x:v>
      </x:c>
      <x:c r="K644" s="95" t="n">
        <x:v>3</x:v>
      </x:c>
      <x:c r="L644" s="95" t="n">
        <x:v>1</x:v>
      </x:c>
      <x:c r="M644" s="96" t="n">
        <x:f>IFERROR(G644/F644,0)</x:f>
        <x:v>0.9523809523809523</x:v>
      </x:c>
      <x:c r="N644" s="96" t="n">
        <x:f>IFERROR(H644/G644,0)</x:f>
        <x:v>0.75</x:v>
      </x:c>
      <x:c r="O644" s="96" t="n">
        <x:f>IFERROR(I644/H644,0)</x:f>
        <x:v>0.8666666666666667</x:v>
      </x:c>
      <x:c r="P644" s="96" t="n">
        <x:f>IFERROR(J644/I644,0)</x:f>
        <x:v>0.46153846153846156</x:v>
      </x:c>
      <x:c r="Q644" s="96" t="n">
        <x:f>IFERROR(L644/J644,0)</x:f>
        <x:v>0.08333333333333333</x:v>
      </x:c>
      <x:c r="R644" s="96" t="n">
        <x:f>IFERROR(L644/F644,0)</x:f>
        <x:v>0.023809523809523808</x:v>
      </x:c>
      <x:c r="S644" s="95" t="n">
        <x:v>98</x:v>
      </x:c>
      <x:c r="T644" s="94" t="str">
        <x:v>末次点击7天</x:v>
      </x:c>
    </x:row>
    <x:row r="645">
      <x:c r="A645" s="92" t="str">
        <x:v>PROC-0644</x:v>
      </x:c>
      <x:c r="B645" s="93" t="n">
        <x:v>46139</x:v>
      </x:c>
      <x:c r="C645" s="94" t="str">
        <x:v>Google Ads</x:v>
      </x:c>
      <x:c r="D645" s="94" t="str">
        <x:v>英国</x:v>
      </x:c>
      <x:c r="E645" s="94" t="str">
        <x:v>通用搜索</x:v>
      </x:c>
      <x:c r="F645" s="95" t="n">
        <x:v>60</x:v>
      </x:c>
      <x:c r="G645" s="95" t="n">
        <x:v>57</x:v>
      </x:c>
      <x:c r="H645" s="95" t="n">
        <x:v>39</x:v>
      </x:c>
      <x:c r="I645" s="95" t="n">
        <x:v>32</x:v>
      </x:c>
      <x:c r="J645" s="95" t="n">
        <x:v>13</x:v>
      </x:c>
      <x:c r="K645" s="95" t="n">
        <x:v>4</x:v>
      </x:c>
      <x:c r="L645" s="95" t="n">
        <x:v>1</x:v>
      </x:c>
      <x:c r="M645" s="96" t="n">
        <x:f>IFERROR(G645/F645,0)</x:f>
        <x:v>0.95</x:v>
      </x:c>
      <x:c r="N645" s="96" t="n">
        <x:f>IFERROR(H645/G645,0)</x:f>
        <x:v>0.6842105263157895</x:v>
      </x:c>
      <x:c r="O645" s="96" t="n">
        <x:f>IFERROR(I645/H645,0)</x:f>
        <x:v>0.8205128205128205</x:v>
      </x:c>
      <x:c r="P645" s="96" t="n">
        <x:f>IFERROR(J645/I645,0)</x:f>
        <x:v>0.40625</x:v>
      </x:c>
      <x:c r="Q645" s="96" t="n">
        <x:f>IFERROR(L645/J645,0)</x:f>
        <x:v>0.07692307692307693</x:v>
      </x:c>
      <x:c r="R645" s="96" t="n">
        <x:f>IFERROR(L645/F645,0)</x:f>
        <x:v>0.016666666666666666</x:v>
      </x:c>
      <x:c r="S645" s="95" t="n">
        <x:v>61</x:v>
      </x:c>
      <x:c r="T645" s="94" t="str">
        <x:v>末次点击7天</x:v>
      </x:c>
    </x:row>
    <x:row r="646">
      <x:c r="A646" s="92" t="str">
        <x:v>PROC-0645</x:v>
      </x:c>
      <x:c r="B646" s="93" t="n">
        <x:v>46139</x:v>
      </x:c>
      <x:c r="C646" s="94" t="str">
        <x:v>Google Ads</x:v>
      </x:c>
      <x:c r="D646" s="94" t="str">
        <x:v>德国</x:v>
      </x:c>
      <x:c r="E646" s="94" t="str">
        <x:v>竞品搜索</x:v>
      </x:c>
      <x:c r="F646" s="95" t="n">
        <x:v>15</x:v>
      </x:c>
      <x:c r="G646" s="95" t="n">
        <x:v>14</x:v>
      </x:c>
      <x:c r="H646" s="95" t="n">
        <x:v>10</x:v>
      </x:c>
      <x:c r="I646" s="95" t="n">
        <x:v>8</x:v>
      </x:c>
      <x:c r="J646" s="95" t="n">
        <x:v>3</x:v>
      </x:c>
      <x:c r="K646" s="95" t="n">
        <x:v>1</x:v>
      </x:c>
      <x:c r="L646" s="95" t="n">
        <x:v>0</x:v>
      </x:c>
      <x:c r="M646" s="96" t="n">
        <x:f>IFERROR(G646/F646,0)</x:f>
        <x:v>0.9333333333333333</x:v>
      </x:c>
      <x:c r="N646" s="96" t="n">
        <x:f>IFERROR(H646/G646,0)</x:f>
        <x:v>0.7142857142857143</x:v>
      </x:c>
      <x:c r="O646" s="96" t="n">
        <x:f>IFERROR(I646/H646,0)</x:f>
        <x:v>0.8</x:v>
      </x:c>
      <x:c r="P646" s="96" t="n">
        <x:f>IFERROR(J646/I646,0)</x:f>
        <x:v>0.375</x:v>
      </x:c>
      <x:c r="Q646" s="96" t="n">
        <x:f>IFERROR(L646/J646,0)</x:f>
        <x:v>0</x:v>
      </x:c>
      <x:c r="R646" s="96" t="n">
        <x:f>IFERROR(L646/F646,0)</x:f>
        <x:v>0</x:v>
      </x:c>
      <x:c r="S646" s="95" t="n">
        <x:v>45</x:v>
      </x:c>
      <x:c r="T646" s="94" t="str">
        <x:v>末次点击7天</x:v>
      </x:c>
    </x:row>
    <x:row r="647">
      <x:c r="A647" s="92" t="str">
        <x:v>PROC-0646</x:v>
      </x:c>
      <x:c r="B647" s="93" t="n">
        <x:v>46139</x:v>
      </x:c>
      <x:c r="C647" s="94" t="str">
        <x:v>Microsoft Ads</x:v>
      </x:c>
      <x:c r="D647" s="94" t="str">
        <x:v>德国</x:v>
      </x:c>
      <x:c r="E647" s="94" t="str">
        <x:v>购物广告</x:v>
      </x:c>
      <x:c r="F647" s="95" t="n">
        <x:v>42</x:v>
      </x:c>
      <x:c r="G647" s="95" t="n">
        <x:v>37</x:v>
      </x:c>
      <x:c r="H647" s="95" t="n">
        <x:v>24</x:v>
      </x:c>
      <x:c r="I647" s="95" t="n">
        <x:v>22</x:v>
      </x:c>
      <x:c r="J647" s="95" t="n">
        <x:v>10</x:v>
      </x:c>
      <x:c r="K647" s="95" t="n">
        <x:v>2</x:v>
      </x:c>
      <x:c r="L647" s="95" t="n">
        <x:v>1</x:v>
      </x:c>
      <x:c r="M647" s="96" t="n">
        <x:f>IFERROR(G647/F647,0)</x:f>
        <x:v>0.8809523809523809</x:v>
      </x:c>
      <x:c r="N647" s="96" t="n">
        <x:f>IFERROR(H647/G647,0)</x:f>
        <x:v>0.6486486486486487</x:v>
      </x:c>
      <x:c r="O647" s="96" t="n">
        <x:f>IFERROR(I647/H647,0)</x:f>
        <x:v>0.9166666666666666</x:v>
      </x:c>
      <x:c r="P647" s="96" t="n">
        <x:f>IFERROR(J647/I647,0)</x:f>
        <x:v>0.45454545454545453</x:v>
      </x:c>
      <x:c r="Q647" s="96" t="n">
        <x:f>IFERROR(L647/J647,0)</x:f>
        <x:v>0.1</x:v>
      </x:c>
      <x:c r="R647" s="96" t="n">
        <x:f>IFERROR(L647/F647,0)</x:f>
        <x:v>0.023809523809523808</x:v>
      </x:c>
      <x:c r="S647" s="95" t="n">
        <x:v>57</x:v>
      </x:c>
      <x:c r="T647" s="94" t="str">
        <x:v>末次点击7天</x:v>
      </x:c>
    </x:row>
    <x:row r="648">
      <x:c r="A648" s="92" t="str">
        <x:v>PROC-0647</x:v>
      </x:c>
      <x:c r="B648" s="93" t="n">
        <x:v>46139</x:v>
      </x:c>
      <x:c r="C648" s="94" t="str">
        <x:v>Google Ads</x:v>
      </x:c>
      <x:c r="D648" s="94" t="str">
        <x:v>美国</x:v>
      </x:c>
      <x:c r="E648" s="94" t="str">
        <x:v>通用搜索</x:v>
      </x:c>
      <x:c r="F648" s="95" t="n">
        <x:v>51</x:v>
      </x:c>
      <x:c r="G648" s="95" t="n">
        <x:v>46</x:v>
      </x:c>
      <x:c r="H648" s="95" t="n">
        <x:v>34</x:v>
      </x:c>
      <x:c r="I648" s="95" t="n">
        <x:v>28</x:v>
      </x:c>
      <x:c r="J648" s="95" t="n">
        <x:v>12</x:v>
      </x:c>
      <x:c r="K648" s="95" t="n">
        <x:v>4</x:v>
      </x:c>
      <x:c r="L648" s="95" t="n">
        <x:v>1</x:v>
      </x:c>
      <x:c r="M648" s="96" t="n">
        <x:f>IFERROR(G648/F648,0)</x:f>
        <x:v>0.9019607843137255</x:v>
      </x:c>
      <x:c r="N648" s="96" t="n">
        <x:f>IFERROR(H648/G648,0)</x:f>
        <x:v>0.7391304347826086</x:v>
      </x:c>
      <x:c r="O648" s="96" t="n">
        <x:f>IFERROR(I648/H648,0)</x:f>
        <x:v>0.8235294117647058</x:v>
      </x:c>
      <x:c r="P648" s="96" t="n">
        <x:f>IFERROR(J648/I648,0)</x:f>
        <x:v>0.42857142857142855</x:v>
      </x:c>
      <x:c r="Q648" s="96" t="n">
        <x:f>IFERROR(L648/J648,0)</x:f>
        <x:v>0.08333333333333333</x:v>
      </x:c>
      <x:c r="R648" s="96" t="n">
        <x:f>IFERROR(L648/F648,0)</x:f>
        <x:v>0.0196078431372549</x:v>
      </x:c>
      <x:c r="S648" s="95" t="n">
        <x:v>116</x:v>
      </x:c>
      <x:c r="T648" s="94" t="str">
        <x:v>末次点击7天</x:v>
      </x:c>
    </x:row>
    <x:row r="649">
      <x:c r="A649" s="92" t="str">
        <x:v>PROC-0648</x:v>
      </x:c>
      <x:c r="B649" s="93" t="n">
        <x:v>46140</x:v>
      </x:c>
      <x:c r="C649" s="94" t="str">
        <x:v>Google Ads</x:v>
      </x:c>
      <x:c r="D649" s="94" t="str">
        <x:v>英国</x:v>
      </x:c>
      <x:c r="E649" s="94" t="str">
        <x:v>购物广告</x:v>
      </x:c>
      <x:c r="F649" s="95" t="n">
        <x:v>49</x:v>
      </x:c>
      <x:c r="G649" s="95" t="n">
        <x:v>43</x:v>
      </x:c>
      <x:c r="H649" s="95" t="n">
        <x:v>28</x:v>
      </x:c>
      <x:c r="I649" s="95" t="n">
        <x:v>24</x:v>
      </x:c>
      <x:c r="J649" s="95" t="n">
        <x:v>12</x:v>
      </x:c>
      <x:c r="K649" s="95" t="n">
        <x:v>3</x:v>
      </x:c>
      <x:c r="L649" s="95" t="n">
        <x:v>1</x:v>
      </x:c>
      <x:c r="M649" s="96" t="n">
        <x:f>IFERROR(G649/F649,0)</x:f>
        <x:v>0.8775510204081632</x:v>
      </x:c>
      <x:c r="N649" s="96" t="n">
        <x:f>IFERROR(H649/G649,0)</x:f>
        <x:v>0.6511627906976745</x:v>
      </x:c>
      <x:c r="O649" s="96" t="n">
        <x:f>IFERROR(I649/H649,0)</x:f>
        <x:v>0.8571428571428571</x:v>
      </x:c>
      <x:c r="P649" s="96" t="n">
        <x:f>IFERROR(J649/I649,0)</x:f>
        <x:v>0.5</x:v>
      </x:c>
      <x:c r="Q649" s="96" t="n">
        <x:f>IFERROR(L649/J649,0)</x:f>
        <x:v>0.08333333333333333</x:v>
      </x:c>
      <x:c r="R649" s="96" t="n">
        <x:f>IFERROR(L649/F649,0)</x:f>
        <x:v>0.02040816326530612</x:v>
      </x:c>
      <x:c r="S649" s="95" t="n">
        <x:v>84</x:v>
      </x:c>
      <x:c r="T649" s="94" t="str">
        <x:v>末次点击7天</x:v>
      </x:c>
    </x:row>
    <x:row r="650">
      <x:c r="A650" s="92" t="str">
        <x:v>PROC-0649</x:v>
      </x:c>
      <x:c r="B650" s="93" t="n">
        <x:v>46140</x:v>
      </x:c>
      <x:c r="C650" s="94" t="str">
        <x:v>Google Ads</x:v>
      </x:c>
      <x:c r="D650" s="94" t="str">
        <x:v>德国</x:v>
      </x:c>
      <x:c r="E650" s="94" t="str">
        <x:v>购物广告</x:v>
      </x:c>
      <x:c r="F650" s="95" t="n">
        <x:v>65</x:v>
      </x:c>
      <x:c r="G650" s="95" t="n">
        <x:v>57</x:v>
      </x:c>
      <x:c r="H650" s="95" t="n">
        <x:v>45</x:v>
      </x:c>
      <x:c r="I650" s="95" t="n">
        <x:v>40</x:v>
      </x:c>
      <x:c r="J650" s="95" t="n">
        <x:v>19</x:v>
      </x:c>
      <x:c r="K650" s="95" t="n">
        <x:v>5</x:v>
      </x:c>
      <x:c r="L650" s="95" t="n">
        <x:v>2</x:v>
      </x:c>
      <x:c r="M650" s="96" t="n">
        <x:f>IFERROR(G650/F650,0)</x:f>
        <x:v>0.8769230769230769</x:v>
      </x:c>
      <x:c r="N650" s="96" t="n">
        <x:f>IFERROR(H650/G650,0)</x:f>
        <x:v>0.7894736842105263</x:v>
      </x:c>
      <x:c r="O650" s="96" t="n">
        <x:f>IFERROR(I650/H650,0)</x:f>
        <x:v>0.8888888888888888</x:v>
      </x:c>
      <x:c r="P650" s="96" t="n">
        <x:f>IFERROR(J650/I650,0)</x:f>
        <x:v>0.475</x:v>
      </x:c>
      <x:c r="Q650" s="96" t="n">
        <x:f>IFERROR(L650/J650,0)</x:f>
        <x:v>0.10526315789473684</x:v>
      </x:c>
      <x:c r="R650" s="96" t="n">
        <x:f>IFERROR(L650/F650,0)</x:f>
        <x:v>0.03076923076923077</x:v>
      </x:c>
      <x:c r="S650" s="95" t="n">
        <x:v>43</x:v>
      </x:c>
      <x:c r="T650" s="94" t="str">
        <x:v>末次点击7天</x:v>
      </x:c>
    </x:row>
    <x:row r="651">
      <x:c r="A651" s="92" t="str">
        <x:v>PROC-0650</x:v>
      </x:c>
      <x:c r="B651" s="93" t="n">
        <x:v>46140</x:v>
      </x:c>
      <x:c r="C651" s="94" t="str">
        <x:v>Google Ads</x:v>
      </x:c>
      <x:c r="D651" s="94" t="str">
        <x:v>美国</x:v>
      </x:c>
      <x:c r="E651" s="94" t="str">
        <x:v>竞品搜索</x:v>
      </x:c>
      <x:c r="F651" s="95" t="n">
        <x:v>35</x:v>
      </x:c>
      <x:c r="G651" s="95" t="n">
        <x:v>31</x:v>
      </x:c>
      <x:c r="H651" s="95" t="n">
        <x:v>20</x:v>
      </x:c>
      <x:c r="I651" s="95" t="n">
        <x:v>17</x:v>
      </x:c>
      <x:c r="J651" s="95" t="n">
        <x:v>7</x:v>
      </x:c>
      <x:c r="K651" s="95" t="n">
        <x:v>2</x:v>
      </x:c>
      <x:c r="L651" s="95" t="n">
        <x:v>0</x:v>
      </x:c>
      <x:c r="M651" s="96" t="n">
        <x:f>IFERROR(G651/F651,0)</x:f>
        <x:v>0.8857142857142857</x:v>
      </x:c>
      <x:c r="N651" s="96" t="n">
        <x:f>IFERROR(H651/G651,0)</x:f>
        <x:v>0.6451612903225806</x:v>
      </x:c>
      <x:c r="O651" s="96" t="n">
        <x:f>IFERROR(I651/H651,0)</x:f>
        <x:v>0.85</x:v>
      </x:c>
      <x:c r="P651" s="96" t="n">
        <x:f>IFERROR(J651/I651,0)</x:f>
        <x:v>0.4117647058823529</x:v>
      </x:c>
      <x:c r="Q651" s="96" t="n">
        <x:f>IFERROR(L651/J651,0)</x:f>
        <x:v>0</x:v>
      </x:c>
      <x:c r="R651" s="96" t="n">
        <x:f>IFERROR(L651/F651,0)</x:f>
        <x:v>0</x:v>
      </x:c>
      <x:c r="S651" s="95" t="n">
        <x:v>109</x:v>
      </x:c>
      <x:c r="T651" s="94" t="str">
        <x:v>末次点击7天</x:v>
      </x:c>
    </x:row>
    <x:row r="652">
      <x:c r="A652" s="92" t="str">
        <x:v>PROC-0651</x:v>
      </x:c>
      <x:c r="B652" s="93" t="n">
        <x:v>46140</x:v>
      </x:c>
      <x:c r="C652" s="94" t="str">
        <x:v>Microsoft Ads</x:v>
      </x:c>
      <x:c r="D652" s="94" t="str">
        <x:v>日本</x:v>
      </x:c>
      <x:c r="E652" s="94" t="str">
        <x:v>购物广告</x:v>
      </x:c>
      <x:c r="F652" s="95" t="n">
        <x:v>63</x:v>
      </x:c>
      <x:c r="G652" s="95" t="n">
        <x:v>56</x:v>
      </x:c>
      <x:c r="H652" s="95" t="n">
        <x:v>39</x:v>
      </x:c>
      <x:c r="I652" s="95" t="n">
        <x:v>36</x:v>
      </x:c>
      <x:c r="J652" s="95" t="n">
        <x:v>15</x:v>
      </x:c>
      <x:c r="K652" s="95" t="n">
        <x:v>4</x:v>
      </x:c>
      <x:c r="L652" s="95" t="n">
        <x:v>1</x:v>
      </x:c>
      <x:c r="M652" s="96" t="n">
        <x:f>IFERROR(G652/F652,0)</x:f>
        <x:v>0.8888888888888888</x:v>
      </x:c>
      <x:c r="N652" s="96" t="n">
        <x:f>IFERROR(H652/G652,0)</x:f>
        <x:v>0.6964285714285714</x:v>
      </x:c>
      <x:c r="O652" s="96" t="n">
        <x:f>IFERROR(I652/H652,0)</x:f>
        <x:v>0.9230769230769231</x:v>
      </x:c>
      <x:c r="P652" s="96" t="n">
        <x:f>IFERROR(J652/I652,0)</x:f>
        <x:v>0.4166666666666667</x:v>
      </x:c>
      <x:c r="Q652" s="96" t="n">
        <x:f>IFERROR(L652/J652,0)</x:f>
        <x:v>0.06666666666666667</x:v>
      </x:c>
      <x:c r="R652" s="96" t="n">
        <x:f>IFERROR(L652/F652,0)</x:f>
        <x:v>0.015873015873015872</x:v>
      </x:c>
      <x:c r="S652" s="95" t="n">
        <x:v>124</x:v>
      </x:c>
      <x:c r="T652" s="94" t="str">
        <x:v>末次点击7天</x:v>
      </x:c>
    </x:row>
    <x:row r="653">
      <x:c r="A653" s="92" t="str">
        <x:v>PROC-0652</x:v>
      </x:c>
      <x:c r="B653" s="93" t="n">
        <x:v>46140</x:v>
      </x:c>
      <x:c r="C653" s="94" t="str">
        <x:v>Microsoft Ads</x:v>
      </x:c>
      <x:c r="D653" s="94" t="str">
        <x:v>英国</x:v>
      </x:c>
      <x:c r="E653" s="94" t="str">
        <x:v>通用搜索</x:v>
      </x:c>
      <x:c r="F653" s="95" t="n">
        <x:v>39</x:v>
      </x:c>
      <x:c r="G653" s="95" t="n">
        <x:v>36</x:v>
      </x:c>
      <x:c r="H653" s="95" t="n">
        <x:v>23</x:v>
      </x:c>
      <x:c r="I653" s="95" t="n">
        <x:v>20</x:v>
      </x:c>
      <x:c r="J653" s="95" t="n">
        <x:v>9</x:v>
      </x:c>
      <x:c r="K653" s="95" t="n">
        <x:v>2</x:v>
      </x:c>
      <x:c r="L653" s="95" t="n">
        <x:v>1</x:v>
      </x:c>
      <x:c r="M653" s="96" t="n">
        <x:f>IFERROR(G653/F653,0)</x:f>
        <x:v>0.9230769230769231</x:v>
      </x:c>
      <x:c r="N653" s="96" t="n">
        <x:f>IFERROR(H653/G653,0)</x:f>
        <x:v>0.6388888888888888</x:v>
      </x:c>
      <x:c r="O653" s="96" t="n">
        <x:f>IFERROR(I653/H653,0)</x:f>
        <x:v>0.8695652173913043</x:v>
      </x:c>
      <x:c r="P653" s="96" t="n">
        <x:f>IFERROR(J653/I653,0)</x:f>
        <x:v>0.45</x:v>
      </x:c>
      <x:c r="Q653" s="96" t="n">
        <x:f>IFERROR(L653/J653,0)</x:f>
        <x:v>0.1111111111111111</x:v>
      </x:c>
      <x:c r="R653" s="96" t="n">
        <x:f>IFERROR(L653/F653,0)</x:f>
        <x:v>0.02564102564102564</x:v>
      </x:c>
      <x:c r="S653" s="95" t="n">
        <x:v>93</x:v>
      </x:c>
      <x:c r="T653" s="94" t="str">
        <x:v>末次点击7天</x:v>
      </x:c>
    </x:row>
    <x:row r="654">
      <x:c r="A654" s="92" t="str">
        <x:v>PROC-0653</x:v>
      </x:c>
      <x:c r="B654" s="93" t="n">
        <x:v>46141</x:v>
      </x:c>
      <x:c r="C654" s="94" t="str">
        <x:v>Google Ads</x:v>
      </x:c>
      <x:c r="D654" s="94" t="str">
        <x:v>日本</x:v>
      </x:c>
      <x:c r="E654" s="94" t="str">
        <x:v>品牌搜索</x:v>
      </x:c>
      <x:c r="F654" s="95" t="n">
        <x:v>47</x:v>
      </x:c>
      <x:c r="G654" s="95" t="n">
        <x:v>42</x:v>
      </x:c>
      <x:c r="H654" s="95" t="n">
        <x:v>30</x:v>
      </x:c>
      <x:c r="I654" s="95" t="n">
        <x:v>26</x:v>
      </x:c>
      <x:c r="J654" s="95" t="n">
        <x:v>12</x:v>
      </x:c>
      <x:c r="K654" s="95" t="n">
        <x:v>4</x:v>
      </x:c>
      <x:c r="L654" s="95" t="n">
        <x:v>1</x:v>
      </x:c>
      <x:c r="M654" s="96" t="n">
        <x:f>IFERROR(G654/F654,0)</x:f>
        <x:v>0.8936170212765957</x:v>
      </x:c>
      <x:c r="N654" s="96" t="n">
        <x:f>IFERROR(H654/G654,0)</x:f>
        <x:v>0.7142857142857143</x:v>
      </x:c>
      <x:c r="O654" s="96" t="n">
        <x:f>IFERROR(I654/H654,0)</x:f>
        <x:v>0.8666666666666667</x:v>
      </x:c>
      <x:c r="P654" s="96" t="n">
        <x:f>IFERROR(J654/I654,0)</x:f>
        <x:v>0.46153846153846156</x:v>
      </x:c>
      <x:c r="Q654" s="96" t="n">
        <x:f>IFERROR(L654/J654,0)</x:f>
        <x:v>0.08333333333333333</x:v>
      </x:c>
      <x:c r="R654" s="96" t="n">
        <x:f>IFERROR(L654/F654,0)</x:f>
        <x:v>0.02127659574468085</x:v>
      </x:c>
      <x:c r="S654" s="95" t="n">
        <x:v>133</x:v>
      </x:c>
      <x:c r="T654" s="94" t="str">
        <x:v>末次点击7天</x:v>
      </x:c>
    </x:row>
    <x:row r="655">
      <x:c r="A655" s="92" t="str">
        <x:v>PROC-0654</x:v>
      </x:c>
      <x:c r="B655" s="93" t="n">
        <x:v>46141</x:v>
      </x:c>
      <x:c r="C655" s="94" t="str">
        <x:v>Microsoft Ads</x:v>
      </x:c>
      <x:c r="D655" s="94" t="str">
        <x:v>日本</x:v>
      </x:c>
      <x:c r="E655" s="94" t="str">
        <x:v>竞品搜索</x:v>
      </x:c>
      <x:c r="F655" s="95" t="n">
        <x:v>34</x:v>
      </x:c>
      <x:c r="G655" s="95" t="n">
        <x:v>31</x:v>
      </x:c>
      <x:c r="H655" s="95" t="n">
        <x:v>21</x:v>
      </x:c>
      <x:c r="I655" s="95" t="n">
        <x:v>17</x:v>
      </x:c>
      <x:c r="J655" s="95" t="n">
        <x:v>7</x:v>
      </x:c>
      <x:c r="K655" s="95" t="n">
        <x:v>2</x:v>
      </x:c>
      <x:c r="L655" s="95" t="n">
        <x:v>1</x:v>
      </x:c>
      <x:c r="M655" s="96" t="n">
        <x:f>IFERROR(G655/F655,0)</x:f>
        <x:v>0.9117647058823529</x:v>
      </x:c>
      <x:c r="N655" s="96" t="n">
        <x:f>IFERROR(H655/G655,0)</x:f>
        <x:v>0.6774193548387096</x:v>
      </x:c>
      <x:c r="O655" s="96" t="n">
        <x:f>IFERROR(I655/H655,0)</x:f>
        <x:v>0.8095238095238095</x:v>
      </x:c>
      <x:c r="P655" s="96" t="n">
        <x:f>IFERROR(J655/I655,0)</x:f>
        <x:v>0.4117647058823529</x:v>
      </x:c>
      <x:c r="Q655" s="96" t="n">
        <x:f>IFERROR(L655/J655,0)</x:f>
        <x:v>0.14285714285714285</x:v>
      </x:c>
      <x:c r="R655" s="96" t="n">
        <x:f>IFERROR(L655/F655,0)</x:f>
        <x:v>0.029411764705882353</x:v>
      </x:c>
      <x:c r="S655" s="95" t="n">
        <x:v>46</x:v>
      </x:c>
      <x:c r="T655" s="94" t="str">
        <x:v>末次点击7天</x:v>
      </x:c>
    </x:row>
    <x:row r="656">
      <x:c r="A656" s="92" t="str">
        <x:v>PROC-0655</x:v>
      </x:c>
      <x:c r="B656" s="93" t="n">
        <x:v>46141</x:v>
      </x:c>
      <x:c r="C656" s="94" t="str">
        <x:v>Google Ads</x:v>
      </x:c>
      <x:c r="D656" s="94" t="str">
        <x:v>美国</x:v>
      </x:c>
      <x:c r="E656" s="94" t="str">
        <x:v>品牌搜索</x:v>
      </x:c>
      <x:c r="F656" s="95" t="n">
        <x:v>70</x:v>
      </x:c>
      <x:c r="G656" s="95" t="n">
        <x:v>62</x:v>
      </x:c>
      <x:c r="H656" s="95" t="n">
        <x:v>44</x:v>
      </x:c>
      <x:c r="I656" s="95" t="n">
        <x:v>37</x:v>
      </x:c>
      <x:c r="J656" s="95" t="n">
        <x:v>19</x:v>
      </x:c>
      <x:c r="K656" s="95" t="n">
        <x:v>4</x:v>
      </x:c>
      <x:c r="L656" s="95" t="n">
        <x:v>2</x:v>
      </x:c>
      <x:c r="M656" s="96" t="n">
        <x:f>IFERROR(G656/F656,0)</x:f>
        <x:v>0.8857142857142857</x:v>
      </x:c>
      <x:c r="N656" s="96" t="n">
        <x:f>IFERROR(H656/G656,0)</x:f>
        <x:v>0.7096774193548387</x:v>
      </x:c>
      <x:c r="O656" s="96" t="n">
        <x:f>IFERROR(I656/H656,0)</x:f>
        <x:v>0.8409090909090909</x:v>
      </x:c>
      <x:c r="P656" s="96" t="n">
        <x:f>IFERROR(J656/I656,0)</x:f>
        <x:v>0.5135135135135135</x:v>
      </x:c>
      <x:c r="Q656" s="96" t="n">
        <x:f>IFERROR(L656/J656,0)</x:f>
        <x:v>0.10526315789473684</x:v>
      </x:c>
      <x:c r="R656" s="96" t="n">
        <x:f>IFERROR(L656/F656,0)</x:f>
        <x:v>0.02857142857142857</x:v>
      </x:c>
      <x:c r="S656" s="95" t="n">
        <x:v>86</x:v>
      </x:c>
      <x:c r="T656" s="94" t="str">
        <x:v>末次点击7天</x:v>
      </x:c>
    </x:row>
    <x:row r="657">
      <x:c r="A657" s="92" t="str">
        <x:v>PROC-0656</x:v>
      </x:c>
      <x:c r="B657" s="93" t="n">
        <x:v>46141</x:v>
      </x:c>
      <x:c r="C657" s="94" t="str">
        <x:v>Microsoft Ads</x:v>
      </x:c>
      <x:c r="D657" s="94" t="str">
        <x:v>德国</x:v>
      </x:c>
      <x:c r="E657" s="94" t="str">
        <x:v>购物广告</x:v>
      </x:c>
      <x:c r="F657" s="95" t="n">
        <x:v>39</x:v>
      </x:c>
      <x:c r="G657" s="95" t="n">
        <x:v>35</x:v>
      </x:c>
      <x:c r="H657" s="95" t="n">
        <x:v>26</x:v>
      </x:c>
      <x:c r="I657" s="95" t="n">
        <x:v>23</x:v>
      </x:c>
      <x:c r="J657" s="95" t="n">
        <x:v>10</x:v>
      </x:c>
      <x:c r="K657" s="95" t="n">
        <x:v>2</x:v>
      </x:c>
      <x:c r="L657" s="95" t="n">
        <x:v>1</x:v>
      </x:c>
      <x:c r="M657" s="96" t="n">
        <x:f>IFERROR(G657/F657,0)</x:f>
        <x:v>0.8974358974358975</x:v>
      </x:c>
      <x:c r="N657" s="96" t="n">
        <x:f>IFERROR(H657/G657,0)</x:f>
        <x:v>0.7428571428571429</x:v>
      </x:c>
      <x:c r="O657" s="96" t="n">
        <x:f>IFERROR(I657/H657,0)</x:f>
        <x:v>0.8846153846153846</x:v>
      </x:c>
      <x:c r="P657" s="96" t="n">
        <x:f>IFERROR(J657/I657,0)</x:f>
        <x:v>0.43478260869565216</x:v>
      </x:c>
      <x:c r="Q657" s="96" t="n">
        <x:f>IFERROR(L657/J657,0)</x:f>
        <x:v>0.1</x:v>
      </x:c>
      <x:c r="R657" s="96" t="n">
        <x:f>IFERROR(L657/F657,0)</x:f>
        <x:v>0.02564102564102564</x:v>
      </x:c>
      <x:c r="S657" s="95" t="n">
        <x:v>122</x:v>
      </x:c>
      <x:c r="T657" s="94" t="str">
        <x:v>末次点击7天</x:v>
      </x:c>
    </x:row>
    <x:row r="658">
      <x:c r="A658" s="92" t="str">
        <x:v>PROC-0657</x:v>
      </x:c>
      <x:c r="B658" s="93" t="n">
        <x:v>46141</x:v>
      </x:c>
      <x:c r="C658" s="94" t="str">
        <x:v>Microsoft Ads</x:v>
      </x:c>
      <x:c r="D658" s="94" t="str">
        <x:v>英国</x:v>
      </x:c>
      <x:c r="E658" s="94" t="str">
        <x:v>购物广告</x:v>
      </x:c>
      <x:c r="F658" s="95" t="n">
        <x:v>77</x:v>
      </x:c>
      <x:c r="G658" s="95" t="n">
        <x:v>69</x:v>
      </x:c>
      <x:c r="H658" s="95" t="n">
        <x:v>47</x:v>
      </x:c>
      <x:c r="I658" s="95" t="n">
        <x:v>41</x:v>
      </x:c>
      <x:c r="J658" s="95" t="n">
        <x:v>18</x:v>
      </x:c>
      <x:c r="K658" s="95" t="n">
        <x:v>4</x:v>
      </x:c>
      <x:c r="L658" s="95" t="n">
        <x:v>2</x:v>
      </x:c>
      <x:c r="M658" s="96" t="n">
        <x:f>IFERROR(G658/F658,0)</x:f>
        <x:v>0.8961038961038961</x:v>
      </x:c>
      <x:c r="N658" s="96" t="n">
        <x:f>IFERROR(H658/G658,0)</x:f>
        <x:v>0.6811594202898551</x:v>
      </x:c>
      <x:c r="O658" s="96" t="n">
        <x:f>IFERROR(I658/H658,0)</x:f>
        <x:v>0.8723404255319149</x:v>
      </x:c>
      <x:c r="P658" s="96" t="n">
        <x:f>IFERROR(J658/I658,0)</x:f>
        <x:v>0.43902439024390244</x:v>
      </x:c>
      <x:c r="Q658" s="96" t="n">
        <x:f>IFERROR(L658/J658,0)</x:f>
        <x:v>0.1111111111111111</x:v>
      </x:c>
      <x:c r="R658" s="96" t="n">
        <x:f>IFERROR(L658/F658,0)</x:f>
        <x:v>0.025974025974025976</x:v>
      </x:c>
      <x:c r="S658" s="95" t="n">
        <x:v>139</x:v>
      </x:c>
      <x:c r="T658" s="94" t="str">
        <x:v>末次点击7天</x:v>
      </x:c>
    </x:row>
    <x:row r="659">
      <x:c r="A659" s="92" t="str">
        <x:v>PROC-0658</x:v>
      </x:c>
      <x:c r="B659" s="93" t="n">
        <x:v>46141</x:v>
      </x:c>
      <x:c r="C659" s="94" t="str">
        <x:v>Google Ads</x:v>
      </x:c>
      <x:c r="D659" s="94" t="str">
        <x:v>英国</x:v>
      </x:c>
      <x:c r="E659" s="94" t="str">
        <x:v>购物广告</x:v>
      </x:c>
      <x:c r="F659" s="95" t="n">
        <x:v>68</x:v>
      </x:c>
      <x:c r="G659" s="95" t="n">
        <x:v>64</x:v>
      </x:c>
      <x:c r="H659" s="95" t="n">
        <x:v>46</x:v>
      </x:c>
      <x:c r="I659" s="95" t="n">
        <x:v>40</x:v>
      </x:c>
      <x:c r="J659" s="95" t="n">
        <x:v>17</x:v>
      </x:c>
      <x:c r="K659" s="95" t="n">
        <x:v>4</x:v>
      </x:c>
      <x:c r="L659" s="95" t="n">
        <x:v>1</x:v>
      </x:c>
      <x:c r="M659" s="96" t="n">
        <x:f>IFERROR(G659/F659,0)</x:f>
        <x:v>0.9411764705882353</x:v>
      </x:c>
      <x:c r="N659" s="96" t="n">
        <x:f>IFERROR(H659/G659,0)</x:f>
        <x:v>0.71875</x:v>
      </x:c>
      <x:c r="O659" s="96" t="n">
        <x:f>IFERROR(I659/H659,0)</x:f>
        <x:v>0.8695652173913043</x:v>
      </x:c>
      <x:c r="P659" s="96" t="n">
        <x:f>IFERROR(J659/I659,0)</x:f>
        <x:v>0.425</x:v>
      </x:c>
      <x:c r="Q659" s="96" t="n">
        <x:f>IFERROR(L659/J659,0)</x:f>
        <x:v>0.058823529411764705</x:v>
      </x:c>
      <x:c r="R659" s="96" t="n">
        <x:f>IFERROR(L659/F659,0)</x:f>
        <x:v>0.014705882352941176</x:v>
      </x:c>
      <x:c r="S659" s="95" t="n">
        <x:v>112</x:v>
      </x:c>
      <x:c r="T659" s="94" t="str">
        <x:v>末次点击7天</x:v>
      </x:c>
    </x:row>
    <x:row r="660">
      <x:c r="A660" s="92" t="str">
        <x:v>PROC-0659</x:v>
      </x:c>
      <x:c r="B660" s="93" t="n">
        <x:v>46142</x:v>
      </x:c>
      <x:c r="C660" s="94" t="str">
        <x:v>Google Ads</x:v>
      </x:c>
      <x:c r="D660" s="94" t="str">
        <x:v>美国</x:v>
      </x:c>
      <x:c r="E660" s="94" t="str">
        <x:v>通用搜索</x:v>
      </x:c>
      <x:c r="F660" s="95" t="n">
        <x:v>52</x:v>
      </x:c>
      <x:c r="G660" s="95" t="n">
        <x:v>47</x:v>
      </x:c>
      <x:c r="H660" s="95" t="n">
        <x:v>34</x:v>
      </x:c>
      <x:c r="I660" s="95" t="n">
        <x:v>29</x:v>
      </x:c>
      <x:c r="J660" s="95" t="n">
        <x:v>11</x:v>
      </x:c>
      <x:c r="K660" s="95" t="n">
        <x:v>3</x:v>
      </x:c>
      <x:c r="L660" s="95" t="n">
        <x:v>1</x:v>
      </x:c>
      <x:c r="M660" s="96" t="n">
        <x:f>IFERROR(G660/F660,0)</x:f>
        <x:v>0.9038461538461539</x:v>
      </x:c>
      <x:c r="N660" s="96" t="n">
        <x:f>IFERROR(H660/G660,0)</x:f>
        <x:v>0.723404255319149</x:v>
      </x:c>
      <x:c r="O660" s="96" t="n">
        <x:f>IFERROR(I660/H660,0)</x:f>
        <x:v>0.8529411764705882</x:v>
      </x:c>
      <x:c r="P660" s="96" t="n">
        <x:f>IFERROR(J660/I660,0)</x:f>
        <x:v>0.3793103448275862</x:v>
      </x:c>
      <x:c r="Q660" s="96" t="n">
        <x:f>IFERROR(L660/J660,0)</x:f>
        <x:v>0.09090909090909091</x:v>
      </x:c>
      <x:c r="R660" s="96" t="n">
        <x:f>IFERROR(L660/F660,0)</x:f>
        <x:v>0.019230769230769232</x:v>
      </x:c>
      <x:c r="S660" s="95" t="n">
        <x:v>144</x:v>
      </x:c>
      <x:c r="T660" s="94" t="str">
        <x:v>末次点击7天</x:v>
      </x:c>
    </x:row>
    <x:row r="661">
      <x:c r="A661" s="92" t="str">
        <x:v>PROC-0660</x:v>
      </x:c>
      <x:c r="B661" s="93" t="n">
        <x:v>46142</x:v>
      </x:c>
      <x:c r="C661" s="94" t="str">
        <x:v>Google Ads</x:v>
      </x:c>
      <x:c r="D661" s="94" t="str">
        <x:v>日本</x:v>
      </x:c>
      <x:c r="E661" s="94" t="str">
        <x:v>品牌搜索</x:v>
      </x:c>
      <x:c r="F661" s="95" t="n">
        <x:v>46</x:v>
      </x:c>
      <x:c r="G661" s="95" t="n">
        <x:v>44</x:v>
      </x:c>
      <x:c r="H661" s="95" t="n">
        <x:v>32</x:v>
      </x:c>
      <x:c r="I661" s="95" t="n">
        <x:v>26</x:v>
      </x:c>
      <x:c r="J661" s="95" t="n">
        <x:v>13</x:v>
      </x:c>
      <x:c r="K661" s="95" t="n">
        <x:v>3</x:v>
      </x:c>
      <x:c r="L661" s="95" t="n">
        <x:v>1</x:v>
      </x:c>
      <x:c r="M661" s="96" t="n">
        <x:f>IFERROR(G661/F661,0)</x:f>
        <x:v>0.9565217391304348</x:v>
      </x:c>
      <x:c r="N661" s="96" t="n">
        <x:f>IFERROR(H661/G661,0)</x:f>
        <x:v>0.7272727272727273</x:v>
      </x:c>
      <x:c r="O661" s="96" t="n">
        <x:f>IFERROR(I661/H661,0)</x:f>
        <x:v>0.8125</x:v>
      </x:c>
      <x:c r="P661" s="96" t="n">
        <x:f>IFERROR(J661/I661,0)</x:f>
        <x:v>0.5</x:v>
      </x:c>
      <x:c r="Q661" s="96" t="n">
        <x:f>IFERROR(L661/J661,0)</x:f>
        <x:v>0.07692307692307693</x:v>
      </x:c>
      <x:c r="R661" s="96" t="n">
        <x:f>IFERROR(L661/F661,0)</x:f>
        <x:v>0.021739130434782608</x:v>
      </x:c>
      <x:c r="S661" s="95" t="n">
        <x:v>52</x:v>
      </x:c>
      <x:c r="T661" s="94" t="str">
        <x:v>末次点击7天</x:v>
      </x:c>
    </x:row>
    <x:row r="662">
      <x:c r="A662" s="92" t="str">
        <x:v>PROC-0661</x:v>
      </x:c>
      <x:c r="B662" s="93" t="n">
        <x:v>46142</x:v>
      </x:c>
      <x:c r="C662" s="94" t="str">
        <x:v>Google Ads</x:v>
      </x:c>
      <x:c r="D662" s="94" t="str">
        <x:v>德国</x:v>
      </x:c>
      <x:c r="E662" s="94" t="str">
        <x:v>购物广告</x:v>
      </x:c>
      <x:c r="F662" s="95" t="n">
        <x:v>59</x:v>
      </x:c>
      <x:c r="G662" s="95" t="n">
        <x:v>52</x:v>
      </x:c>
      <x:c r="H662" s="95" t="n">
        <x:v>35</x:v>
      </x:c>
      <x:c r="I662" s="95" t="n">
        <x:v>29</x:v>
      </x:c>
      <x:c r="J662" s="95" t="n">
        <x:v>14</x:v>
      </x:c>
      <x:c r="K662" s="95" t="n">
        <x:v>5</x:v>
      </x:c>
      <x:c r="L662" s="95" t="n">
        <x:v>1</x:v>
      </x:c>
      <x:c r="M662" s="96" t="n">
        <x:f>IFERROR(G662/F662,0)</x:f>
        <x:v>0.8813559322033898</x:v>
      </x:c>
      <x:c r="N662" s="96" t="n">
        <x:f>IFERROR(H662/G662,0)</x:f>
        <x:v>0.6730769230769231</x:v>
      </x:c>
      <x:c r="O662" s="96" t="n">
        <x:f>IFERROR(I662/H662,0)</x:f>
        <x:v>0.8285714285714286</x:v>
      </x:c>
      <x:c r="P662" s="96" t="n">
        <x:f>IFERROR(J662/I662,0)</x:f>
        <x:v>0.4827586206896552</x:v>
      </x:c>
      <x:c r="Q662" s="96" t="n">
        <x:f>IFERROR(L662/J662,0)</x:f>
        <x:v>0.07142857142857142</x:v>
      </x:c>
      <x:c r="R662" s="96" t="n">
        <x:f>IFERROR(L662/F662,0)</x:f>
        <x:v>0.01694915254237288</x:v>
      </x:c>
      <x:c r="S662" s="95" t="n">
        <x:v>50</x:v>
      </x:c>
      <x:c r="T662" s="94" t="str">
        <x:v>末次点击7天</x:v>
      </x:c>
    </x:row>
    <x:row r="663">
      <x:c r="A663" s="92" t="str">
        <x:v>PROC-0662</x:v>
      </x:c>
      <x:c r="B663" s="93" t="n">
        <x:v>46142</x:v>
      </x:c>
      <x:c r="C663" s="94" t="str">
        <x:v>Google Ads</x:v>
      </x:c>
      <x:c r="D663" s="94" t="str">
        <x:v>美国</x:v>
      </x:c>
      <x:c r="E663" s="94" t="str">
        <x:v>购物广告</x:v>
      </x:c>
      <x:c r="F663" s="95" t="n">
        <x:v>53</x:v>
      </x:c>
      <x:c r="G663" s="95" t="n">
        <x:v>47</x:v>
      </x:c>
      <x:c r="H663" s="95" t="n">
        <x:v>33</x:v>
      </x:c>
      <x:c r="I663" s="95" t="n">
        <x:v>29</x:v>
      </x:c>
      <x:c r="J663" s="95" t="n">
        <x:v>12</x:v>
      </x:c>
      <x:c r="K663" s="95" t="n">
        <x:v>2</x:v>
      </x:c>
      <x:c r="L663" s="95" t="n">
        <x:v>1</x:v>
      </x:c>
      <x:c r="M663" s="96" t="n">
        <x:f>IFERROR(G663/F663,0)</x:f>
        <x:v>0.8867924528301887</x:v>
      </x:c>
      <x:c r="N663" s="96" t="n">
        <x:f>IFERROR(H663/G663,0)</x:f>
        <x:v>0.7021276595744681</x:v>
      </x:c>
      <x:c r="O663" s="96" t="n">
        <x:f>IFERROR(I663/H663,0)</x:f>
        <x:v>0.8787878787878788</x:v>
      </x:c>
      <x:c r="P663" s="96" t="n">
        <x:f>IFERROR(J663/I663,0)</x:f>
        <x:v>0.41379310344827586</x:v>
      </x:c>
      <x:c r="Q663" s="96" t="n">
        <x:f>IFERROR(L663/J663,0)</x:f>
        <x:v>0.08333333333333333</x:v>
      </x:c>
      <x:c r="R663" s="96" t="n">
        <x:f>IFERROR(L663/F663,0)</x:f>
        <x:v>0.018867924528301886</x:v>
      </x:c>
      <x:c r="S663" s="95" t="n">
        <x:v>133</x:v>
      </x:c>
      <x:c r="T663" s="94" t="str">
        <x:v>末次点击7天</x:v>
      </x:c>
    </x:row>
    <x:row r="664">
      <x:c r="A664" s="92" t="str">
        <x:v>PROC-0663</x:v>
      </x:c>
      <x:c r="B664" s="93" t="n">
        <x:v>46142</x:v>
      </x:c>
      <x:c r="C664" s="94" t="str">
        <x:v>Google Ads</x:v>
      </x:c>
      <x:c r="D664" s="94" t="str">
        <x:v>德国</x:v>
      </x:c>
      <x:c r="E664" s="94" t="str">
        <x:v>购物广告</x:v>
      </x:c>
      <x:c r="F664" s="95" t="n">
        <x:v>44</x:v>
      </x:c>
      <x:c r="G664" s="95" t="n">
        <x:v>40</x:v>
      </x:c>
      <x:c r="H664" s="95" t="n">
        <x:v>31</x:v>
      </x:c>
      <x:c r="I664" s="95" t="n">
        <x:v>27</x:v>
      </x:c>
      <x:c r="J664" s="95" t="n">
        <x:v>11</x:v>
      </x:c>
      <x:c r="K664" s="95" t="n">
        <x:v>4</x:v>
      </x:c>
      <x:c r="L664" s="95" t="n">
        <x:v>1</x:v>
      </x:c>
      <x:c r="M664" s="96" t="n">
        <x:f>IFERROR(G664/F664,0)</x:f>
        <x:v>0.9090909090909091</x:v>
      </x:c>
      <x:c r="N664" s="96" t="n">
        <x:f>IFERROR(H664/G664,0)</x:f>
        <x:v>0.775</x:v>
      </x:c>
      <x:c r="O664" s="96" t="n">
        <x:f>IFERROR(I664/H664,0)</x:f>
        <x:v>0.8709677419354839</x:v>
      </x:c>
      <x:c r="P664" s="96" t="n">
        <x:f>IFERROR(J664/I664,0)</x:f>
        <x:v>0.4074074074074074</x:v>
      </x:c>
      <x:c r="Q664" s="96" t="n">
        <x:f>IFERROR(L664/J664,0)</x:f>
        <x:v>0.09090909090909091</x:v>
      </x:c>
      <x:c r="R664" s="96" t="n">
        <x:f>IFERROR(L664/F664,0)</x:f>
        <x:v>0.022727272727272728</x:v>
      </x:c>
      <x:c r="S664" s="95" t="n">
        <x:v>102</x:v>
      </x:c>
      <x:c r="T664" s="94" t="str">
        <x:v>末次点击7天</x:v>
      </x:c>
    </x:row>
    <x:row r="665">
      <x:c r="A665" s="92" t="str">
        <x:v>PROC-0664</x:v>
      </x:c>
      <x:c r="B665" s="93" t="n">
        <x:v>46143</x:v>
      </x:c>
      <x:c r="C665" s="94" t="str">
        <x:v>Microsoft Ads</x:v>
      </x:c>
      <x:c r="D665" s="94" t="str">
        <x:v>德国</x:v>
      </x:c>
      <x:c r="E665" s="94" t="str">
        <x:v>购物广告</x:v>
      </x:c>
      <x:c r="F665" s="95" t="n">
        <x:v>60</x:v>
      </x:c>
      <x:c r="G665" s="95" t="n">
        <x:v>53</x:v>
      </x:c>
      <x:c r="H665" s="95" t="n">
        <x:v>37</x:v>
      </x:c>
      <x:c r="I665" s="95" t="n">
        <x:v>32</x:v>
      </x:c>
      <x:c r="J665" s="95" t="n">
        <x:v>14</x:v>
      </x:c>
      <x:c r="K665" s="95" t="n">
        <x:v>5</x:v>
      </x:c>
      <x:c r="L665" s="95" t="n">
        <x:v>1</x:v>
      </x:c>
      <x:c r="M665" s="96" t="n">
        <x:f>IFERROR(G665/F665,0)</x:f>
        <x:v>0.8833333333333333</x:v>
      </x:c>
      <x:c r="N665" s="96" t="n">
        <x:f>IFERROR(H665/G665,0)</x:f>
        <x:v>0.6981132075471698</x:v>
      </x:c>
      <x:c r="O665" s="96" t="n">
        <x:f>IFERROR(I665/H665,0)</x:f>
        <x:v>0.8648648648648649</x:v>
      </x:c>
      <x:c r="P665" s="96" t="n">
        <x:f>IFERROR(J665/I665,0)</x:f>
        <x:v>0.4375</x:v>
      </x:c>
      <x:c r="Q665" s="96" t="n">
        <x:f>IFERROR(L665/J665,0)</x:f>
        <x:v>0.07142857142857142</x:v>
      </x:c>
      <x:c r="R665" s="96" t="n">
        <x:f>IFERROR(L665/F665,0)</x:f>
        <x:v>0.016666666666666666</x:v>
      </x:c>
      <x:c r="S665" s="95" t="n">
        <x:v>64</x:v>
      </x:c>
      <x:c r="T665" s="94" t="str">
        <x:v>末次点击7天</x:v>
      </x:c>
    </x:row>
    <x:row r="666">
      <x:c r="A666" s="92" t="str">
        <x:v>PROC-0665</x:v>
      </x:c>
      <x:c r="B666" s="93" t="n">
        <x:v>46143</x:v>
      </x:c>
      <x:c r="C666" s="94" t="str">
        <x:v>Microsoft Ads</x:v>
      </x:c>
      <x:c r="D666" s="94" t="str">
        <x:v>美国</x:v>
      </x:c>
      <x:c r="E666" s="94" t="str">
        <x:v>通用搜索</x:v>
      </x:c>
      <x:c r="F666" s="95" t="n">
        <x:v>64</x:v>
      </x:c>
      <x:c r="G666" s="95" t="n">
        <x:v>57</x:v>
      </x:c>
      <x:c r="H666" s="95" t="n">
        <x:v>39</x:v>
      </x:c>
      <x:c r="I666" s="95" t="n">
        <x:v>33</x:v>
      </x:c>
      <x:c r="J666" s="95" t="n">
        <x:v>14</x:v>
      </x:c>
      <x:c r="K666" s="95" t="n">
        <x:v>3</x:v>
      </x:c>
      <x:c r="L666" s="95" t="n">
        <x:v>1</x:v>
      </x:c>
      <x:c r="M666" s="96" t="n">
        <x:f>IFERROR(G666/F666,0)</x:f>
        <x:v>0.890625</x:v>
      </x:c>
      <x:c r="N666" s="96" t="n">
        <x:f>IFERROR(H666/G666,0)</x:f>
        <x:v>0.6842105263157895</x:v>
      </x:c>
      <x:c r="O666" s="96" t="n">
        <x:f>IFERROR(I666/H666,0)</x:f>
        <x:v>0.8461538461538461</x:v>
      </x:c>
      <x:c r="P666" s="96" t="n">
        <x:f>IFERROR(J666/I666,0)</x:f>
        <x:v>0.42424242424242425</x:v>
      </x:c>
      <x:c r="Q666" s="96" t="n">
        <x:f>IFERROR(L666/J666,0)</x:f>
        <x:v>0.07142857142857142</x:v>
      </x:c>
      <x:c r="R666" s="96" t="n">
        <x:f>IFERROR(L666/F666,0)</x:f>
        <x:v>0.015625</x:v>
      </x:c>
      <x:c r="S666" s="95" t="n">
        <x:v>89</x:v>
      </x:c>
      <x:c r="T666" s="94" t="str">
        <x:v>末次点击7天</x:v>
      </x:c>
    </x:row>
    <x:row r="667">
      <x:c r="A667" s="92" t="str">
        <x:v>PROC-0666</x:v>
      </x:c>
      <x:c r="B667" s="93" t="n">
        <x:v>46143</x:v>
      </x:c>
      <x:c r="C667" s="94" t="str">
        <x:v>Google Ads</x:v>
      </x:c>
      <x:c r="D667" s="94" t="str">
        <x:v>日本</x:v>
      </x:c>
      <x:c r="E667" s="94" t="str">
        <x:v>品牌搜索</x:v>
      </x:c>
      <x:c r="F667" s="95" t="n">
        <x:v>67</x:v>
      </x:c>
      <x:c r="G667" s="95" t="n">
        <x:v>58</x:v>
      </x:c>
      <x:c r="H667" s="95" t="n">
        <x:v>37</x:v>
      </x:c>
      <x:c r="I667" s="95" t="n">
        <x:v>30</x:v>
      </x:c>
      <x:c r="J667" s="95" t="n">
        <x:v>13</x:v>
      </x:c>
      <x:c r="K667" s="95" t="n">
        <x:v>4</x:v>
      </x:c>
      <x:c r="L667" s="95" t="n">
        <x:v>1</x:v>
      </x:c>
      <x:c r="M667" s="96" t="n">
        <x:f>IFERROR(G667/F667,0)</x:f>
        <x:v>0.8656716417910447</x:v>
      </x:c>
      <x:c r="N667" s="96" t="n">
        <x:f>IFERROR(H667/G667,0)</x:f>
        <x:v>0.6379310344827587</x:v>
      </x:c>
      <x:c r="O667" s="96" t="n">
        <x:f>IFERROR(I667/H667,0)</x:f>
        <x:v>0.8108108108108109</x:v>
      </x:c>
      <x:c r="P667" s="96" t="n">
        <x:f>IFERROR(J667/I667,0)</x:f>
        <x:v>0.43333333333333335</x:v>
      </x:c>
      <x:c r="Q667" s="96" t="n">
        <x:f>IFERROR(L667/J667,0)</x:f>
        <x:v>0.07692307692307693</x:v>
      </x:c>
      <x:c r="R667" s="96" t="n">
        <x:f>IFERROR(L667/F667,0)</x:f>
        <x:v>0.014925373134328358</x:v>
      </x:c>
      <x:c r="S667" s="95" t="n">
        <x:v>154</x:v>
      </x:c>
      <x:c r="T667" s="94" t="str">
        <x:v>末次点击7天</x:v>
      </x:c>
    </x:row>
    <x:row r="668">
      <x:c r="A668" s="92" t="str">
        <x:v>PROC-0667</x:v>
      </x:c>
      <x:c r="B668" s="93" t="n">
        <x:v>46143</x:v>
      </x:c>
      <x:c r="C668" s="94" t="str">
        <x:v>Google Ads</x:v>
      </x:c>
      <x:c r="D668" s="94" t="str">
        <x:v>美国</x:v>
      </x:c>
      <x:c r="E668" s="94" t="str">
        <x:v>通用搜索</x:v>
      </x:c>
      <x:c r="F668" s="95" t="n">
        <x:v>25</x:v>
      </x:c>
      <x:c r="G668" s="95" t="n">
        <x:v>23</x:v>
      </x:c>
      <x:c r="H668" s="95" t="n">
        <x:v>17</x:v>
      </x:c>
      <x:c r="I668" s="95" t="n">
        <x:v>15</x:v>
      </x:c>
      <x:c r="J668" s="95" t="n">
        <x:v>7</x:v>
      </x:c>
      <x:c r="K668" s="95" t="n">
        <x:v>2</x:v>
      </x:c>
      <x:c r="L668" s="95" t="n">
        <x:v>1</x:v>
      </x:c>
      <x:c r="M668" s="96" t="n">
        <x:f>IFERROR(G668/F668,0)</x:f>
        <x:v>0.92</x:v>
      </x:c>
      <x:c r="N668" s="96" t="n">
        <x:f>IFERROR(H668/G668,0)</x:f>
        <x:v>0.7391304347826086</x:v>
      </x:c>
      <x:c r="O668" s="96" t="n">
        <x:f>IFERROR(I668/H668,0)</x:f>
        <x:v>0.8823529411764706</x:v>
      </x:c>
      <x:c r="P668" s="96" t="n">
        <x:f>IFERROR(J668/I668,0)</x:f>
        <x:v>0.4666666666666667</x:v>
      </x:c>
      <x:c r="Q668" s="96" t="n">
        <x:f>IFERROR(L668/J668,0)</x:f>
        <x:v>0.14285714285714285</x:v>
      </x:c>
      <x:c r="R668" s="96" t="n">
        <x:f>IFERROR(L668/F668,0)</x:f>
        <x:v>0.04</x:v>
      </x:c>
      <x:c r="S668" s="95" t="n">
        <x:v>61</x:v>
      </x:c>
      <x:c r="T668" s="94" t="str">
        <x:v>末次点击7天</x:v>
      </x:c>
    </x:row>
    <x:row r="669">
      <x:c r="A669" s="92" t="str">
        <x:v>PROC-0668</x:v>
      </x:c>
      <x:c r="B669" s="93" t="n">
        <x:v>46143</x:v>
      </x:c>
      <x:c r="C669" s="94" t="str">
        <x:v>Google Ads</x:v>
      </x:c>
      <x:c r="D669" s="94" t="str">
        <x:v>英国</x:v>
      </x:c>
      <x:c r="E669" s="94" t="str">
        <x:v>通用搜索</x:v>
      </x:c>
      <x:c r="F669" s="95" t="n">
        <x:v>34</x:v>
      </x:c>
      <x:c r="G669" s="95" t="n">
        <x:v>30</x:v>
      </x:c>
      <x:c r="H669" s="95" t="n">
        <x:v>22</x:v>
      </x:c>
      <x:c r="I669" s="95" t="n">
        <x:v>18</x:v>
      </x:c>
      <x:c r="J669" s="95" t="n">
        <x:v>7</x:v>
      </x:c>
      <x:c r="K669" s="95" t="n">
        <x:v>2</x:v>
      </x:c>
      <x:c r="L669" s="95" t="n">
        <x:v>1</x:v>
      </x:c>
      <x:c r="M669" s="96" t="n">
        <x:f>IFERROR(G669/F669,0)</x:f>
        <x:v>0.8823529411764706</x:v>
      </x:c>
      <x:c r="N669" s="96" t="n">
        <x:f>IFERROR(H669/G669,0)</x:f>
        <x:v>0.7333333333333333</x:v>
      </x:c>
      <x:c r="O669" s="96" t="n">
        <x:f>IFERROR(I669/H669,0)</x:f>
        <x:v>0.8181818181818182</x:v>
      </x:c>
      <x:c r="P669" s="96" t="n">
        <x:f>IFERROR(J669/I669,0)</x:f>
        <x:v>0.3888888888888889</x:v>
      </x:c>
      <x:c r="Q669" s="96" t="n">
        <x:f>IFERROR(L669/J669,0)</x:f>
        <x:v>0.14285714285714285</x:v>
      </x:c>
      <x:c r="R669" s="96" t="n">
        <x:f>IFERROR(L669/F669,0)</x:f>
        <x:v>0.029411764705882353</x:v>
      </x:c>
      <x:c r="S669" s="95" t="n">
        <x:v>61</x:v>
      </x:c>
      <x:c r="T669" s="94" t="str">
        <x:v>末次点击7天</x:v>
      </x:c>
    </x:row>
    <x:row r="670">
      <x:c r="A670" s="92" t="str">
        <x:v>PROC-0669</x:v>
      </x:c>
      <x:c r="B670" s="93" t="n">
        <x:v>46143</x:v>
      </x:c>
      <x:c r="C670" s="94" t="str">
        <x:v>Microsoft Ads</x:v>
      </x:c>
      <x:c r="D670" s="94" t="str">
        <x:v>美国</x:v>
      </x:c>
      <x:c r="E670" s="94" t="str">
        <x:v>通用搜索</x:v>
      </x:c>
      <x:c r="F670" s="95" t="n">
        <x:v>31</x:v>
      </x:c>
      <x:c r="G670" s="95" t="n">
        <x:v>30</x:v>
      </x:c>
      <x:c r="H670" s="95" t="n">
        <x:v>21</x:v>
      </x:c>
      <x:c r="I670" s="95" t="n">
        <x:v>17</x:v>
      </x:c>
      <x:c r="J670" s="95" t="n">
        <x:v>8</x:v>
      </x:c>
      <x:c r="K670" s="95" t="n">
        <x:v>2</x:v>
      </x:c>
      <x:c r="L670" s="95" t="n">
        <x:v>1</x:v>
      </x:c>
      <x:c r="M670" s="96" t="n">
        <x:f>IFERROR(G670/F670,0)</x:f>
        <x:v>0.967741935483871</x:v>
      </x:c>
      <x:c r="N670" s="96" t="n">
        <x:f>IFERROR(H670/G670,0)</x:f>
        <x:v>0.7</x:v>
      </x:c>
      <x:c r="O670" s="96" t="n">
        <x:f>IFERROR(I670/H670,0)</x:f>
        <x:v>0.8095238095238095</x:v>
      </x:c>
      <x:c r="P670" s="96" t="n">
        <x:f>IFERROR(J670/I670,0)</x:f>
        <x:v>0.47058823529411764</x:v>
      </x:c>
      <x:c r="Q670" s="96" t="n">
        <x:f>IFERROR(L670/J670,0)</x:f>
        <x:v>0.125</x:v>
      </x:c>
      <x:c r="R670" s="96" t="n">
        <x:f>IFERROR(L670/F670,0)</x:f>
        <x:v>0.03225806451612903</x:v>
      </x:c>
      <x:c r="S670" s="95" t="n">
        <x:v>108</x:v>
      </x:c>
      <x:c r="T670" s="94" t="str">
        <x:v>末次点击7天</x:v>
      </x:c>
    </x:row>
    <x:row r="671">
      <x:c r="A671" s="92" t="str">
        <x:v>PROC-0670</x:v>
      </x:c>
      <x:c r="B671" s="93" t="n">
        <x:v>46144</x:v>
      </x:c>
      <x:c r="C671" s="94" t="str">
        <x:v>Google Ads</x:v>
      </x:c>
      <x:c r="D671" s="94" t="str">
        <x:v>德国</x:v>
      </x:c>
      <x:c r="E671" s="94" t="str">
        <x:v>购物广告</x:v>
      </x:c>
      <x:c r="F671" s="95" t="n">
        <x:v>47</x:v>
      </x:c>
      <x:c r="G671" s="95" t="n">
        <x:v>42</x:v>
      </x:c>
      <x:c r="H671" s="95" t="n">
        <x:v>33</x:v>
      </x:c>
      <x:c r="I671" s="95" t="n">
        <x:v>28</x:v>
      </x:c>
      <x:c r="J671" s="95" t="n">
        <x:v>14</x:v>
      </x:c>
      <x:c r="K671" s="95" t="n">
        <x:v>3</x:v>
      </x:c>
      <x:c r="L671" s="95" t="n">
        <x:v>1</x:v>
      </x:c>
      <x:c r="M671" s="96" t="n">
        <x:f>IFERROR(G671/F671,0)</x:f>
        <x:v>0.8936170212765957</x:v>
      </x:c>
      <x:c r="N671" s="96" t="n">
        <x:f>IFERROR(H671/G671,0)</x:f>
        <x:v>0.7857142857142857</x:v>
      </x:c>
      <x:c r="O671" s="96" t="n">
        <x:f>IFERROR(I671/H671,0)</x:f>
        <x:v>0.8484848484848485</x:v>
      </x:c>
      <x:c r="P671" s="96" t="n">
        <x:f>IFERROR(J671/I671,0)</x:f>
        <x:v>0.5</x:v>
      </x:c>
      <x:c r="Q671" s="96" t="n">
        <x:f>IFERROR(L671/J671,0)</x:f>
        <x:v>0.07142857142857142</x:v>
      </x:c>
      <x:c r="R671" s="96" t="n">
        <x:f>IFERROR(L671/F671,0)</x:f>
        <x:v>0.02127659574468085</x:v>
      </x:c>
      <x:c r="S671" s="95" t="n">
        <x:v>148</x:v>
      </x:c>
      <x:c r="T671" s="94" t="str">
        <x:v>末次点击7天</x:v>
      </x:c>
    </x:row>
    <x:row r="672">
      <x:c r="A672" s="92" t="str">
        <x:v>PROC-0671</x:v>
      </x:c>
      <x:c r="B672" s="93" t="n">
        <x:v>46144</x:v>
      </x:c>
      <x:c r="C672" s="94" t="str">
        <x:v>Microsoft Ads</x:v>
      </x:c>
      <x:c r="D672" s="94" t="str">
        <x:v>美国</x:v>
      </x:c>
      <x:c r="E672" s="94" t="str">
        <x:v>购物广告</x:v>
      </x:c>
      <x:c r="F672" s="95" t="n">
        <x:v>39</x:v>
      </x:c>
      <x:c r="G672" s="95" t="n">
        <x:v>35</x:v>
      </x:c>
      <x:c r="H672" s="95" t="n">
        <x:v>22</x:v>
      </x:c>
      <x:c r="I672" s="95" t="n">
        <x:v>20</x:v>
      </x:c>
      <x:c r="J672" s="95" t="n">
        <x:v>9</x:v>
      </x:c>
      <x:c r="K672" s="95" t="n">
        <x:v>3</x:v>
      </x:c>
      <x:c r="L672" s="95" t="n">
        <x:v>1</x:v>
      </x:c>
      <x:c r="M672" s="96" t="n">
        <x:f>IFERROR(G672/F672,0)</x:f>
        <x:v>0.8974358974358975</x:v>
      </x:c>
      <x:c r="N672" s="96" t="n">
        <x:f>IFERROR(H672/G672,0)</x:f>
        <x:v>0.6285714285714286</x:v>
      </x:c>
      <x:c r="O672" s="96" t="n">
        <x:f>IFERROR(I672/H672,0)</x:f>
        <x:v>0.9090909090909091</x:v>
      </x:c>
      <x:c r="P672" s="96" t="n">
        <x:f>IFERROR(J672/I672,0)</x:f>
        <x:v>0.45</x:v>
      </x:c>
      <x:c r="Q672" s="96" t="n">
        <x:f>IFERROR(L672/J672,0)</x:f>
        <x:v>0.1111111111111111</x:v>
      </x:c>
      <x:c r="R672" s="96" t="n">
        <x:f>IFERROR(L672/F672,0)</x:f>
        <x:v>0.02564102564102564</x:v>
      </x:c>
      <x:c r="S672" s="95" t="n">
        <x:v>74</x:v>
      </x:c>
      <x:c r="T672" s="94" t="str">
        <x:v>末次点击7天</x:v>
      </x:c>
    </x:row>
    <x:row r="673">
      <x:c r="A673" s="92" t="str">
        <x:v>PROC-0672</x:v>
      </x:c>
      <x:c r="B673" s="93" t="n">
        <x:v>46144</x:v>
      </x:c>
      <x:c r="C673" s="94" t="str">
        <x:v>Google Ads</x:v>
      </x:c>
      <x:c r="D673" s="94" t="str">
        <x:v>美国</x:v>
      </x:c>
      <x:c r="E673" s="94" t="str">
        <x:v>通用搜索</x:v>
      </x:c>
      <x:c r="F673" s="95" t="n">
        <x:v>50</x:v>
      </x:c>
      <x:c r="G673" s="95" t="n">
        <x:v>46</x:v>
      </x:c>
      <x:c r="H673" s="95" t="n">
        <x:v>32</x:v>
      </x:c>
      <x:c r="I673" s="95" t="n">
        <x:v>26</x:v>
      </x:c>
      <x:c r="J673" s="95" t="n">
        <x:v>10</x:v>
      </x:c>
      <x:c r="K673" s="95" t="n">
        <x:v>3</x:v>
      </x:c>
      <x:c r="L673" s="95" t="n">
        <x:v>1</x:v>
      </x:c>
      <x:c r="M673" s="96" t="n">
        <x:f>IFERROR(G673/F673,0)</x:f>
        <x:v>0.92</x:v>
      </x:c>
      <x:c r="N673" s="96" t="n">
        <x:f>IFERROR(H673/G673,0)</x:f>
        <x:v>0.6956521739130435</x:v>
      </x:c>
      <x:c r="O673" s="96" t="n">
        <x:f>IFERROR(I673/H673,0)</x:f>
        <x:v>0.8125</x:v>
      </x:c>
      <x:c r="P673" s="96" t="n">
        <x:f>IFERROR(J673/I673,0)</x:f>
        <x:v>0.38461538461538464</x:v>
      </x:c>
      <x:c r="Q673" s="96" t="n">
        <x:f>IFERROR(L673/J673,0)</x:f>
        <x:v>0.1</x:v>
      </x:c>
      <x:c r="R673" s="96" t="n">
        <x:f>IFERROR(L673/F673,0)</x:f>
        <x:v>0.02</x:v>
      </x:c>
      <x:c r="S673" s="95" t="n">
        <x:v>150</x:v>
      </x:c>
      <x:c r="T673" s="94" t="str">
        <x:v>末次点击7天</x:v>
      </x:c>
    </x:row>
    <x:row r="674">
      <x:c r="A674" s="92" t="str">
        <x:v>PROC-0673</x:v>
      </x:c>
      <x:c r="B674" s="93" t="n">
        <x:v>46144</x:v>
      </x:c>
      <x:c r="C674" s="94" t="str">
        <x:v>Google Ads</x:v>
      </x:c>
      <x:c r="D674" s="94" t="str">
        <x:v>德国</x:v>
      </x:c>
      <x:c r="E674" s="94" t="str">
        <x:v>购物广告</x:v>
      </x:c>
      <x:c r="F674" s="95" t="n">
        <x:v>52</x:v>
      </x:c>
      <x:c r="G674" s="95" t="n">
        <x:v>49</x:v>
      </x:c>
      <x:c r="H674" s="95" t="n">
        <x:v>31</x:v>
      </x:c>
      <x:c r="I674" s="95" t="n">
        <x:v>28</x:v>
      </x:c>
      <x:c r="J674" s="95" t="n">
        <x:v>12</x:v>
      </x:c>
      <x:c r="K674" s="95" t="n">
        <x:v>4</x:v>
      </x:c>
      <x:c r="L674" s="95" t="n">
        <x:v>1</x:v>
      </x:c>
      <x:c r="M674" s="96" t="n">
        <x:f>IFERROR(G674/F674,0)</x:f>
        <x:v>0.9423076923076923</x:v>
      </x:c>
      <x:c r="N674" s="96" t="n">
        <x:f>IFERROR(H674/G674,0)</x:f>
        <x:v>0.6326530612244898</x:v>
      </x:c>
      <x:c r="O674" s="96" t="n">
        <x:f>IFERROR(I674/H674,0)</x:f>
        <x:v>0.9032258064516129</x:v>
      </x:c>
      <x:c r="P674" s="96" t="n">
        <x:f>IFERROR(J674/I674,0)</x:f>
        <x:v>0.42857142857142855</x:v>
      </x:c>
      <x:c r="Q674" s="96" t="n">
        <x:f>IFERROR(L674/J674,0)</x:f>
        <x:v>0.08333333333333333</x:v>
      </x:c>
      <x:c r="R674" s="96" t="n">
        <x:f>IFERROR(L674/F674,0)</x:f>
        <x:v>0.019230769230769232</x:v>
      </x:c>
      <x:c r="S674" s="95" t="n">
        <x:v>62</x:v>
      </x:c>
      <x:c r="T674" s="94" t="str">
        <x:v>末次点击7天</x:v>
      </x:c>
    </x:row>
    <x:row r="675">
      <x:c r="A675" s="92" t="str">
        <x:v>PROC-0674</x:v>
      </x:c>
      <x:c r="B675" s="93" t="n">
        <x:v>46144</x:v>
      </x:c>
      <x:c r="C675" s="94" t="str">
        <x:v>Google Ads</x:v>
      </x:c>
      <x:c r="D675" s="94" t="str">
        <x:v>英国</x:v>
      </x:c>
      <x:c r="E675" s="94" t="str">
        <x:v>品牌搜索</x:v>
      </x:c>
      <x:c r="F675" s="95" t="n">
        <x:v>51</x:v>
      </x:c>
      <x:c r="G675" s="95" t="n">
        <x:v>48</x:v>
      </x:c>
      <x:c r="H675" s="95" t="n">
        <x:v>37</x:v>
      </x:c>
      <x:c r="I675" s="95" t="n">
        <x:v>31</x:v>
      </x:c>
      <x:c r="J675" s="95" t="n">
        <x:v>14</x:v>
      </x:c>
      <x:c r="K675" s="95" t="n">
        <x:v>3</x:v>
      </x:c>
      <x:c r="L675" s="95" t="n">
        <x:v>2</x:v>
      </x:c>
      <x:c r="M675" s="96" t="n">
        <x:f>IFERROR(G675/F675,0)</x:f>
        <x:v>0.9411764705882353</x:v>
      </x:c>
      <x:c r="N675" s="96" t="n">
        <x:f>IFERROR(H675/G675,0)</x:f>
        <x:v>0.7708333333333334</x:v>
      </x:c>
      <x:c r="O675" s="96" t="n">
        <x:f>IFERROR(I675/H675,0)</x:f>
        <x:v>0.8378378378378378</x:v>
      </x:c>
      <x:c r="P675" s="96" t="n">
        <x:f>IFERROR(J675/I675,0)</x:f>
        <x:v>0.45161290322580644</x:v>
      </x:c>
      <x:c r="Q675" s="96" t="n">
        <x:f>IFERROR(L675/J675,0)</x:f>
        <x:v>0.14285714285714285</x:v>
      </x:c>
      <x:c r="R675" s="96" t="n">
        <x:f>IFERROR(L675/F675,0)</x:f>
        <x:v>0.0392156862745098</x:v>
      </x:c>
      <x:c r="S675" s="95" t="n">
        <x:v>156</x:v>
      </x:c>
      <x:c r="T675" s="94" t="str">
        <x:v>末次点击7天</x:v>
      </x:c>
    </x:row>
    <x:row r="676">
      <x:c r="A676" s="92" t="str">
        <x:v>PROC-0675</x:v>
      </x:c>
      <x:c r="B676" s="93" t="n">
        <x:v>46144</x:v>
      </x:c>
      <x:c r="C676" s="94" t="str">
        <x:v>Google Ads</x:v>
      </x:c>
      <x:c r="D676" s="94" t="str">
        <x:v>英国</x:v>
      </x:c>
      <x:c r="E676" s="94" t="str">
        <x:v>竞品搜索</x:v>
      </x:c>
      <x:c r="F676" s="95" t="n">
        <x:v>24</x:v>
      </x:c>
      <x:c r="G676" s="95" t="n">
        <x:v>23</x:v>
      </x:c>
      <x:c r="H676" s="95" t="n">
        <x:v>17</x:v>
      </x:c>
      <x:c r="I676" s="95" t="n">
        <x:v>13</x:v>
      </x:c>
      <x:c r="J676" s="95" t="n">
        <x:v>5</x:v>
      </x:c>
      <x:c r="K676" s="95" t="n">
        <x:v>1</x:v>
      </x:c>
      <x:c r="L676" s="95" t="n">
        <x:v>0</x:v>
      </x:c>
      <x:c r="M676" s="96" t="n">
        <x:f>IFERROR(G676/F676,0)</x:f>
        <x:v>0.9583333333333334</x:v>
      </x:c>
      <x:c r="N676" s="96" t="n">
        <x:f>IFERROR(H676/G676,0)</x:f>
        <x:v>0.7391304347826086</x:v>
      </x:c>
      <x:c r="O676" s="96" t="n">
        <x:f>IFERROR(I676/H676,0)</x:f>
        <x:v>0.7647058823529411</x:v>
      </x:c>
      <x:c r="P676" s="96" t="n">
        <x:f>IFERROR(J676/I676,0)</x:f>
        <x:v>0.38461538461538464</x:v>
      </x:c>
      <x:c r="Q676" s="96" t="n">
        <x:f>IFERROR(L676/J676,0)</x:f>
        <x:v>0</x:v>
      </x:c>
      <x:c r="R676" s="96" t="n">
        <x:f>IFERROR(L676/F676,0)</x:f>
        <x:v>0</x:v>
      </x:c>
      <x:c r="S676" s="95" t="n">
        <x:v>76</x:v>
      </x:c>
      <x:c r="T676" s="94" t="str">
        <x:v>末次点击7天</x:v>
      </x:c>
    </x:row>
    <x:row r="677">
      <x:c r="A677" s="92" t="str">
        <x:v>PROC-0676</x:v>
      </x:c>
      <x:c r="B677" s="93" t="n">
        <x:v>46145</x:v>
      </x:c>
      <x:c r="C677" s="94" t="str">
        <x:v>Microsoft Ads</x:v>
      </x:c>
      <x:c r="D677" s="94" t="str">
        <x:v>英国</x:v>
      </x:c>
      <x:c r="E677" s="94" t="str">
        <x:v>通用搜索</x:v>
      </x:c>
      <x:c r="F677" s="95" t="n">
        <x:v>35</x:v>
      </x:c>
      <x:c r="G677" s="95" t="n">
        <x:v>32</x:v>
      </x:c>
      <x:c r="H677" s="95" t="n">
        <x:v>20</x:v>
      </x:c>
      <x:c r="I677" s="95" t="n">
        <x:v>17</x:v>
      </x:c>
      <x:c r="J677" s="95" t="n">
        <x:v>7</x:v>
      </x:c>
      <x:c r="K677" s="95" t="n">
        <x:v>2</x:v>
      </x:c>
      <x:c r="L677" s="95" t="n">
        <x:v>1</x:v>
      </x:c>
      <x:c r="M677" s="96" t="n">
        <x:f>IFERROR(G677/F677,0)</x:f>
        <x:v>0.9142857142857143</x:v>
      </x:c>
      <x:c r="N677" s="96" t="n">
        <x:f>IFERROR(H677/G677,0)</x:f>
        <x:v>0.625</x:v>
      </x:c>
      <x:c r="O677" s="96" t="n">
        <x:f>IFERROR(I677/H677,0)</x:f>
        <x:v>0.85</x:v>
      </x:c>
      <x:c r="P677" s="96" t="n">
        <x:f>IFERROR(J677/I677,0)</x:f>
        <x:v>0.4117647058823529</x:v>
      </x:c>
      <x:c r="Q677" s="96" t="n">
        <x:f>IFERROR(L677/J677,0)</x:f>
        <x:v>0.14285714285714285</x:v>
      </x:c>
      <x:c r="R677" s="96" t="n">
        <x:f>IFERROR(L677/F677,0)</x:f>
        <x:v>0.02857142857142857</x:v>
      </x:c>
      <x:c r="S677" s="95" t="n">
        <x:v>107</x:v>
      </x:c>
      <x:c r="T677" s="94" t="str">
        <x:v>末次点击7天</x:v>
      </x:c>
    </x:row>
    <x:row r="678">
      <x:c r="A678" s="92" t="str">
        <x:v>PROC-0677</x:v>
      </x:c>
      <x:c r="B678" s="93" t="n">
        <x:v>46145</x:v>
      </x:c>
      <x:c r="C678" s="94" t="str">
        <x:v>Microsoft Ads</x:v>
      </x:c>
      <x:c r="D678" s="94" t="str">
        <x:v>美国</x:v>
      </x:c>
      <x:c r="E678" s="94" t="str">
        <x:v>通用搜索</x:v>
      </x:c>
      <x:c r="F678" s="95" t="n">
        <x:v>24</x:v>
      </x:c>
      <x:c r="G678" s="95" t="n">
        <x:v>23</x:v>
      </x:c>
      <x:c r="H678" s="95" t="n">
        <x:v>16</x:v>
      </x:c>
      <x:c r="I678" s="95" t="n">
        <x:v>13</x:v>
      </x:c>
      <x:c r="J678" s="95" t="n">
        <x:v>5</x:v>
      </x:c>
      <x:c r="K678" s="95" t="n">
        <x:v>2</x:v>
      </x:c>
      <x:c r="L678" s="95" t="n">
        <x:v>0</x:v>
      </x:c>
      <x:c r="M678" s="96" t="n">
        <x:f>IFERROR(G678/F678,0)</x:f>
        <x:v>0.9583333333333334</x:v>
      </x:c>
      <x:c r="N678" s="96" t="n">
        <x:f>IFERROR(H678/G678,0)</x:f>
        <x:v>0.6956521739130435</x:v>
      </x:c>
      <x:c r="O678" s="96" t="n">
        <x:f>IFERROR(I678/H678,0)</x:f>
        <x:v>0.8125</x:v>
      </x:c>
      <x:c r="P678" s="96" t="n">
        <x:f>IFERROR(J678/I678,0)</x:f>
        <x:v>0.38461538461538464</x:v>
      </x:c>
      <x:c r="Q678" s="96" t="n">
        <x:f>IFERROR(L678/J678,0)</x:f>
        <x:v>0</x:v>
      </x:c>
      <x:c r="R678" s="96" t="n">
        <x:f>IFERROR(L678/F678,0)</x:f>
        <x:v>0</x:v>
      </x:c>
      <x:c r="S678" s="95" t="n">
        <x:v>82</x:v>
      </x:c>
      <x:c r="T678" s="94" t="str">
        <x:v>末次点击7天</x:v>
      </x:c>
    </x:row>
    <x:row r="679">
      <x:c r="A679" s="92" t="str">
        <x:v>PROC-0678</x:v>
      </x:c>
      <x:c r="B679" s="93" t="n">
        <x:v>46145</x:v>
      </x:c>
      <x:c r="C679" s="94" t="str">
        <x:v>Microsoft Ads</x:v>
      </x:c>
      <x:c r="D679" s="94" t="str">
        <x:v>德国</x:v>
      </x:c>
      <x:c r="E679" s="94" t="str">
        <x:v>品牌搜索</x:v>
      </x:c>
      <x:c r="F679" s="95" t="n">
        <x:v>74</x:v>
      </x:c>
      <x:c r="G679" s="95" t="n">
        <x:v>68</x:v>
      </x:c>
      <x:c r="H679" s="95" t="n">
        <x:v>48</x:v>
      </x:c>
      <x:c r="I679" s="95" t="n">
        <x:v>42</x:v>
      </x:c>
      <x:c r="J679" s="95" t="n">
        <x:v>20</x:v>
      </x:c>
      <x:c r="K679" s="95" t="n">
        <x:v>7</x:v>
      </x:c>
      <x:c r="L679" s="95" t="n">
        <x:v>2</x:v>
      </x:c>
      <x:c r="M679" s="96" t="n">
        <x:f>IFERROR(G679/F679,0)</x:f>
        <x:v>0.918918918918919</x:v>
      </x:c>
      <x:c r="N679" s="96" t="n">
        <x:f>IFERROR(H679/G679,0)</x:f>
        <x:v>0.7058823529411765</x:v>
      </x:c>
      <x:c r="O679" s="96" t="n">
        <x:f>IFERROR(I679/H679,0)</x:f>
        <x:v>0.875</x:v>
      </x:c>
      <x:c r="P679" s="96" t="n">
        <x:f>IFERROR(J679/I679,0)</x:f>
        <x:v>0.47619047619047616</x:v>
      </x:c>
      <x:c r="Q679" s="96" t="n">
        <x:f>IFERROR(L679/J679,0)</x:f>
        <x:v>0.1</x:v>
      </x:c>
      <x:c r="R679" s="96" t="n">
        <x:f>IFERROR(L679/F679,0)</x:f>
        <x:v>0.02702702702702703</x:v>
      </x:c>
      <x:c r="S679" s="95" t="n">
        <x:v>97</x:v>
      </x:c>
      <x:c r="T679" s="94" t="str">
        <x:v>末次点击7天</x:v>
      </x:c>
    </x:row>
    <x:row r="680">
      <x:c r="A680" s="92" t="str">
        <x:v>PROC-0679</x:v>
      </x:c>
      <x:c r="B680" s="93" t="n">
        <x:v>46145</x:v>
      </x:c>
      <x:c r="C680" s="94" t="str">
        <x:v>Google Ads</x:v>
      </x:c>
      <x:c r="D680" s="94" t="str">
        <x:v>美国</x:v>
      </x:c>
      <x:c r="E680" s="94" t="str">
        <x:v>购物广告</x:v>
      </x:c>
      <x:c r="F680" s="95" t="n">
        <x:v>54</x:v>
      </x:c>
      <x:c r="G680" s="95" t="n">
        <x:v>50</x:v>
      </x:c>
      <x:c r="H680" s="95" t="n">
        <x:v>34</x:v>
      </x:c>
      <x:c r="I680" s="95" t="n">
        <x:v>30</x:v>
      </x:c>
      <x:c r="J680" s="95" t="n">
        <x:v>13</x:v>
      </x:c>
      <x:c r="K680" s="95" t="n">
        <x:v>4</x:v>
      </x:c>
      <x:c r="L680" s="95" t="n">
        <x:v>1</x:v>
      </x:c>
      <x:c r="M680" s="96" t="n">
        <x:f>IFERROR(G680/F680,0)</x:f>
        <x:v>0.9259259259259259</x:v>
      </x:c>
      <x:c r="N680" s="96" t="n">
        <x:f>IFERROR(H680/G680,0)</x:f>
        <x:v>0.68</x:v>
      </x:c>
      <x:c r="O680" s="96" t="n">
        <x:f>IFERROR(I680/H680,0)</x:f>
        <x:v>0.8823529411764706</x:v>
      </x:c>
      <x:c r="P680" s="96" t="n">
        <x:f>IFERROR(J680/I680,0)</x:f>
        <x:v>0.43333333333333335</x:v>
      </x:c>
      <x:c r="Q680" s="96" t="n">
        <x:f>IFERROR(L680/J680,0)</x:f>
        <x:v>0.07692307692307693</x:v>
      </x:c>
      <x:c r="R680" s="96" t="n">
        <x:f>IFERROR(L680/F680,0)</x:f>
        <x:v>0.018518518518518517</x:v>
      </x:c>
      <x:c r="S680" s="95" t="n">
        <x:v>107</x:v>
      </x:c>
      <x:c r="T680" s="94" t="str">
        <x:v>末次点击7天</x:v>
      </x:c>
    </x:row>
    <x:row r="681">
      <x:c r="A681" s="92" t="str">
        <x:v>PROC-0680</x:v>
      </x:c>
      <x:c r="B681" s="93" t="n">
        <x:v>46145</x:v>
      </x:c>
      <x:c r="C681" s="94" t="str">
        <x:v>Google Ads</x:v>
      </x:c>
      <x:c r="D681" s="94" t="str">
        <x:v>德国</x:v>
      </x:c>
      <x:c r="E681" s="94" t="str">
        <x:v>竞品搜索</x:v>
      </x:c>
      <x:c r="F681" s="95" t="n">
        <x:v>30</x:v>
      </x:c>
      <x:c r="G681" s="95" t="n">
        <x:v>28</x:v>
      </x:c>
      <x:c r="H681" s="95" t="n">
        <x:v>18</x:v>
      </x:c>
      <x:c r="I681" s="95" t="n">
        <x:v>16</x:v>
      </x:c>
      <x:c r="J681" s="95" t="n">
        <x:v>7</x:v>
      </x:c>
      <x:c r="K681" s="95" t="n">
        <x:v>2</x:v>
      </x:c>
      <x:c r="L681" s="95" t="n">
        <x:v>0</x:v>
      </x:c>
      <x:c r="M681" s="96" t="n">
        <x:f>IFERROR(G681/F681,0)</x:f>
        <x:v>0.9333333333333333</x:v>
      </x:c>
      <x:c r="N681" s="96" t="n">
        <x:f>IFERROR(H681/G681,0)</x:f>
        <x:v>0.6428571428571429</x:v>
      </x:c>
      <x:c r="O681" s="96" t="n">
        <x:f>IFERROR(I681/H681,0)</x:f>
        <x:v>0.8888888888888888</x:v>
      </x:c>
      <x:c r="P681" s="96" t="n">
        <x:f>IFERROR(J681/I681,0)</x:f>
        <x:v>0.4375</x:v>
      </x:c>
      <x:c r="Q681" s="96" t="n">
        <x:f>IFERROR(L681/J681,0)</x:f>
        <x:v>0</x:v>
      </x:c>
      <x:c r="R681" s="96" t="n">
        <x:f>IFERROR(L681/F681,0)</x:f>
        <x:v>0</x:v>
      </x:c>
      <x:c r="S681" s="95" t="n">
        <x:v>112</x:v>
      </x:c>
      <x:c r="T681" s="94" t="str">
        <x:v>末次点击7天</x:v>
      </x:c>
    </x:row>
    <x:row r="682">
      <x:c r="A682" s="92" t="str">
        <x:v>PROC-0681</x:v>
      </x:c>
      <x:c r="B682" s="93" t="n">
        <x:v>46146</x:v>
      </x:c>
      <x:c r="C682" s="94" t="str">
        <x:v>Microsoft Ads</x:v>
      </x:c>
      <x:c r="D682" s="94" t="str">
        <x:v>日本</x:v>
      </x:c>
      <x:c r="E682" s="94" t="str">
        <x:v>竞品搜索</x:v>
      </x:c>
      <x:c r="F682" s="95" t="n">
        <x:v>23</x:v>
      </x:c>
      <x:c r="G682" s="95" t="n">
        <x:v>22</x:v>
      </x:c>
      <x:c r="H682" s="95" t="n">
        <x:v>16</x:v>
      </x:c>
      <x:c r="I682" s="95" t="n">
        <x:v>14</x:v>
      </x:c>
      <x:c r="J682" s="95" t="n">
        <x:v>6</x:v>
      </x:c>
      <x:c r="K682" s="95" t="n">
        <x:v>2</x:v>
      </x:c>
      <x:c r="L682" s="95" t="n">
        <x:v>1</x:v>
      </x:c>
      <x:c r="M682" s="96" t="n">
        <x:f>IFERROR(G682/F682,0)</x:f>
        <x:v>0.9565217391304348</x:v>
      </x:c>
      <x:c r="N682" s="96" t="n">
        <x:f>IFERROR(H682/G682,0)</x:f>
        <x:v>0.7272727272727273</x:v>
      </x:c>
      <x:c r="O682" s="96" t="n">
        <x:f>IFERROR(I682/H682,0)</x:f>
        <x:v>0.875</x:v>
      </x:c>
      <x:c r="P682" s="96" t="n">
        <x:f>IFERROR(J682/I682,0)</x:f>
        <x:v>0.42857142857142855</x:v>
      </x:c>
      <x:c r="Q682" s="96" t="n">
        <x:f>IFERROR(L682/J682,0)</x:f>
        <x:v>0.16666666666666666</x:v>
      </x:c>
      <x:c r="R682" s="96" t="n">
        <x:f>IFERROR(L682/F682,0)</x:f>
        <x:v>0.043478260869565216</x:v>
      </x:c>
      <x:c r="S682" s="95" t="n">
        <x:v>128</x:v>
      </x:c>
      <x:c r="T682" s="94" t="str">
        <x:v>末次点击7天</x:v>
      </x:c>
    </x:row>
    <x:row r="683">
      <x:c r="A683" s="92" t="str">
        <x:v>PROC-0682</x:v>
      </x:c>
      <x:c r="B683" s="93" t="n">
        <x:v>46146</x:v>
      </x:c>
      <x:c r="C683" s="94" t="str">
        <x:v>Google Ads</x:v>
      </x:c>
      <x:c r="D683" s="94" t="str">
        <x:v>美国</x:v>
      </x:c>
      <x:c r="E683" s="94" t="str">
        <x:v>购物广告</x:v>
      </x:c>
      <x:c r="F683" s="95" t="n">
        <x:v>43</x:v>
      </x:c>
      <x:c r="G683" s="95" t="n">
        <x:v>41</x:v>
      </x:c>
      <x:c r="H683" s="95" t="n">
        <x:v>26</x:v>
      </x:c>
      <x:c r="I683" s="95" t="n">
        <x:v>24</x:v>
      </x:c>
      <x:c r="J683" s="95" t="n">
        <x:v>11</x:v>
      </x:c>
      <x:c r="K683" s="95" t="n">
        <x:v>4</x:v>
      </x:c>
      <x:c r="L683" s="95" t="n">
        <x:v>1</x:v>
      </x:c>
      <x:c r="M683" s="96" t="n">
        <x:f>IFERROR(G683/F683,0)</x:f>
        <x:v>0.9534883720930233</x:v>
      </x:c>
      <x:c r="N683" s="96" t="n">
        <x:f>IFERROR(H683/G683,0)</x:f>
        <x:v>0.6341463414634146</x:v>
      </x:c>
      <x:c r="O683" s="96" t="n">
        <x:f>IFERROR(I683/H683,0)</x:f>
        <x:v>0.9230769230769231</x:v>
      </x:c>
      <x:c r="P683" s="96" t="n">
        <x:f>IFERROR(J683/I683,0)</x:f>
        <x:v>0.4583333333333333</x:v>
      </x:c>
      <x:c r="Q683" s="96" t="n">
        <x:f>IFERROR(L683/J683,0)</x:f>
        <x:v>0.09090909090909091</x:v>
      </x:c>
      <x:c r="R683" s="96" t="n">
        <x:f>IFERROR(L683/F683,0)</x:f>
        <x:v>0.023255813953488372</x:v>
      </x:c>
      <x:c r="S683" s="95" t="n">
        <x:v>115</x:v>
      </x:c>
      <x:c r="T683" s="94" t="str">
        <x:v>末次点击7天</x:v>
      </x:c>
    </x:row>
    <x:row r="684">
      <x:c r="A684" s="92" t="str">
        <x:v>PROC-0683</x:v>
      </x:c>
      <x:c r="B684" s="93" t="n">
        <x:v>46146</x:v>
      </x:c>
      <x:c r="C684" s="94" t="str">
        <x:v>Microsoft Ads</x:v>
      </x:c>
      <x:c r="D684" s="94" t="str">
        <x:v>美国</x:v>
      </x:c>
      <x:c r="E684" s="94" t="str">
        <x:v>通用搜索</x:v>
      </x:c>
      <x:c r="F684" s="95" t="n">
        <x:v>44</x:v>
      </x:c>
      <x:c r="G684" s="95" t="n">
        <x:v>41</x:v>
      </x:c>
      <x:c r="H684" s="95" t="n">
        <x:v>28</x:v>
      </x:c>
      <x:c r="I684" s="95" t="n">
        <x:v>22</x:v>
      </x:c>
      <x:c r="J684" s="95" t="n">
        <x:v>10</x:v>
      </x:c>
      <x:c r="K684" s="95" t="n">
        <x:v>2</x:v>
      </x:c>
      <x:c r="L684" s="95" t="n">
        <x:v>1</x:v>
      </x:c>
      <x:c r="M684" s="96" t="n">
        <x:f>IFERROR(G684/F684,0)</x:f>
        <x:v>0.9318181818181818</x:v>
      </x:c>
      <x:c r="N684" s="96" t="n">
        <x:f>IFERROR(H684/G684,0)</x:f>
        <x:v>0.6829268292682927</x:v>
      </x:c>
      <x:c r="O684" s="96" t="n">
        <x:f>IFERROR(I684/H684,0)</x:f>
        <x:v>0.7857142857142857</x:v>
      </x:c>
      <x:c r="P684" s="96" t="n">
        <x:f>IFERROR(J684/I684,0)</x:f>
        <x:v>0.45454545454545453</x:v>
      </x:c>
      <x:c r="Q684" s="96" t="n">
        <x:f>IFERROR(L684/J684,0)</x:f>
        <x:v>0.1</x:v>
      </x:c>
      <x:c r="R684" s="96" t="n">
        <x:f>IFERROR(L684/F684,0)</x:f>
        <x:v>0.022727272727272728</x:v>
      </x:c>
      <x:c r="S684" s="95" t="n">
        <x:v>58</x:v>
      </x:c>
      <x:c r="T684" s="94" t="str">
        <x:v>末次点击7天</x:v>
      </x:c>
    </x:row>
    <x:row r="685">
      <x:c r="A685" s="92" t="str">
        <x:v>PROC-0684</x:v>
      </x:c>
      <x:c r="B685" s="93" t="n">
        <x:v>46146</x:v>
      </x:c>
      <x:c r="C685" s="94" t="str">
        <x:v>Google Ads</x:v>
      </x:c>
      <x:c r="D685" s="94" t="str">
        <x:v>美国</x:v>
      </x:c>
      <x:c r="E685" s="94" t="str">
        <x:v>品牌搜索</x:v>
      </x:c>
      <x:c r="F685" s="95" t="n">
        <x:v>76</x:v>
      </x:c>
      <x:c r="G685" s="95" t="n">
        <x:v>70</x:v>
      </x:c>
      <x:c r="H685" s="95" t="n">
        <x:v>46</x:v>
      </x:c>
      <x:c r="I685" s="95" t="n">
        <x:v>40</x:v>
      </x:c>
      <x:c r="J685" s="95" t="n">
        <x:v>20</x:v>
      </x:c>
      <x:c r="K685" s="95" t="n">
        <x:v>6</x:v>
      </x:c>
      <x:c r="L685" s="95" t="n">
        <x:v>2</x:v>
      </x:c>
      <x:c r="M685" s="96" t="n">
        <x:f>IFERROR(G685/F685,0)</x:f>
        <x:v>0.9210526315789473</x:v>
      </x:c>
      <x:c r="N685" s="96" t="n">
        <x:f>IFERROR(H685/G685,0)</x:f>
        <x:v>0.6571428571428571</x:v>
      </x:c>
      <x:c r="O685" s="96" t="n">
        <x:f>IFERROR(I685/H685,0)</x:f>
        <x:v>0.8695652173913043</x:v>
      </x:c>
      <x:c r="P685" s="96" t="n">
        <x:f>IFERROR(J685/I685,0)</x:f>
        <x:v>0.5</x:v>
      </x:c>
      <x:c r="Q685" s="96" t="n">
        <x:f>IFERROR(L685/J685,0)</x:f>
        <x:v>0.1</x:v>
      </x:c>
      <x:c r="R685" s="96" t="n">
        <x:f>IFERROR(L685/F685,0)</x:f>
        <x:v>0.02631578947368421</x:v>
      </x:c>
      <x:c r="S685" s="95" t="n">
        <x:v>69</x:v>
      </x:c>
      <x:c r="T685" s="94" t="str">
        <x:v>末次点击7天</x:v>
      </x:c>
    </x:row>
    <x:row r="686">
      <x:c r="A686" s="92" t="str">
        <x:v>PROC-0685</x:v>
      </x:c>
      <x:c r="B686" s="93" t="n">
        <x:v>46146</x:v>
      </x:c>
      <x:c r="C686" s="94" t="str">
        <x:v>Google Ads</x:v>
      </x:c>
      <x:c r="D686" s="94" t="str">
        <x:v>美国</x:v>
      </x:c>
      <x:c r="E686" s="94" t="str">
        <x:v>竞品搜索</x:v>
      </x:c>
      <x:c r="F686" s="95" t="n">
        <x:v>35</x:v>
      </x:c>
      <x:c r="G686" s="95" t="n">
        <x:v>33</x:v>
      </x:c>
      <x:c r="H686" s="95" t="n">
        <x:v>21</x:v>
      </x:c>
      <x:c r="I686" s="95" t="n">
        <x:v>17</x:v>
      </x:c>
      <x:c r="J686" s="95" t="n">
        <x:v>8</x:v>
      </x:c>
      <x:c r="K686" s="95" t="n">
        <x:v>2</x:v>
      </x:c>
      <x:c r="L686" s="95" t="n">
        <x:v>1</x:v>
      </x:c>
      <x:c r="M686" s="96" t="n">
        <x:f>IFERROR(G686/F686,0)</x:f>
        <x:v>0.9428571428571428</x:v>
      </x:c>
      <x:c r="N686" s="96" t="n">
        <x:f>IFERROR(H686/G686,0)</x:f>
        <x:v>0.6363636363636364</x:v>
      </x:c>
      <x:c r="O686" s="96" t="n">
        <x:f>IFERROR(I686/H686,0)</x:f>
        <x:v>0.8095238095238095</x:v>
      </x:c>
      <x:c r="P686" s="96" t="n">
        <x:f>IFERROR(J686/I686,0)</x:f>
        <x:v>0.47058823529411764</x:v>
      </x:c>
      <x:c r="Q686" s="96" t="n">
        <x:f>IFERROR(L686/J686,0)</x:f>
        <x:v>0.125</x:v>
      </x:c>
      <x:c r="R686" s="96" t="n">
        <x:f>IFERROR(L686/F686,0)</x:f>
        <x:v>0.02857142857142857</x:v>
      </x:c>
      <x:c r="S686" s="95" t="n">
        <x:v>59</x:v>
      </x:c>
      <x:c r="T686" s="94" t="str">
        <x:v>末次点击7天</x:v>
      </x:c>
    </x:row>
    <x:row r="687">
      <x:c r="A687" s="92" t="str">
        <x:v>PROC-0686</x:v>
      </x:c>
      <x:c r="B687" s="93" t="n">
        <x:v>46146</x:v>
      </x:c>
      <x:c r="C687" s="94" t="str">
        <x:v>Google Ads</x:v>
      </x:c>
      <x:c r="D687" s="94" t="str">
        <x:v>美国</x:v>
      </x:c>
      <x:c r="E687" s="94" t="str">
        <x:v>购物广告</x:v>
      </x:c>
      <x:c r="F687" s="95" t="n">
        <x:v>67</x:v>
      </x:c>
      <x:c r="G687" s="95" t="n">
        <x:v>58</x:v>
      </x:c>
      <x:c r="H687" s="95" t="n">
        <x:v>39</x:v>
      </x:c>
      <x:c r="I687" s="95" t="n">
        <x:v>34</x:v>
      </x:c>
      <x:c r="J687" s="95" t="n">
        <x:v>14</x:v>
      </x:c>
      <x:c r="K687" s="95" t="n">
        <x:v>3</x:v>
      </x:c>
      <x:c r="L687" s="95" t="n">
        <x:v>1</x:v>
      </x:c>
      <x:c r="M687" s="96" t="n">
        <x:f>IFERROR(G687/F687,0)</x:f>
        <x:v>0.8656716417910447</x:v>
      </x:c>
      <x:c r="N687" s="96" t="n">
        <x:f>IFERROR(H687/G687,0)</x:f>
        <x:v>0.6724137931034483</x:v>
      </x:c>
      <x:c r="O687" s="96" t="n">
        <x:f>IFERROR(I687/H687,0)</x:f>
        <x:v>0.8717948717948718</x:v>
      </x:c>
      <x:c r="P687" s="96" t="n">
        <x:f>IFERROR(J687/I687,0)</x:f>
        <x:v>0.4117647058823529</x:v>
      </x:c>
      <x:c r="Q687" s="96" t="n">
        <x:f>IFERROR(L687/J687,0)</x:f>
        <x:v>0.07142857142857142</x:v>
      </x:c>
      <x:c r="R687" s="96" t="n">
        <x:f>IFERROR(L687/F687,0)</x:f>
        <x:v>0.014925373134328358</x:v>
      </x:c>
      <x:c r="S687" s="95" t="n">
        <x:v>108</x:v>
      </x:c>
      <x:c r="T687" s="94" t="str">
        <x:v>末次点击7天</x:v>
      </x:c>
    </x:row>
    <x:row r="688">
      <x:c r="A688" s="92" t="str">
        <x:v>PROC-0687</x:v>
      </x:c>
      <x:c r="B688" s="93" t="n">
        <x:v>46147</x:v>
      </x:c>
      <x:c r="C688" s="94" t="str">
        <x:v>Google Ads</x:v>
      </x:c>
      <x:c r="D688" s="94" t="str">
        <x:v>美国</x:v>
      </x:c>
      <x:c r="E688" s="94" t="str">
        <x:v>购物广告</x:v>
      </x:c>
      <x:c r="F688" s="95" t="n">
        <x:v>66</x:v>
      </x:c>
      <x:c r="G688" s="95" t="n">
        <x:v>61</x:v>
      </x:c>
      <x:c r="H688" s="95" t="n">
        <x:v>45</x:v>
      </x:c>
      <x:c r="I688" s="95" t="n">
        <x:v>38</x:v>
      </x:c>
      <x:c r="J688" s="95" t="n">
        <x:v>19</x:v>
      </x:c>
      <x:c r="K688" s="95" t="n">
        <x:v>6</x:v>
      </x:c>
      <x:c r="L688" s="95" t="n">
        <x:v>2</x:v>
      </x:c>
      <x:c r="M688" s="96" t="n">
        <x:f>IFERROR(G688/F688,0)</x:f>
        <x:v>0.9242424242424242</x:v>
      </x:c>
      <x:c r="N688" s="96" t="n">
        <x:f>IFERROR(H688/G688,0)</x:f>
        <x:v>0.7377049180327869</x:v>
      </x:c>
      <x:c r="O688" s="96" t="n">
        <x:f>IFERROR(I688/H688,0)</x:f>
        <x:v>0.8444444444444444</x:v>
      </x:c>
      <x:c r="P688" s="96" t="n">
        <x:f>IFERROR(J688/I688,0)</x:f>
        <x:v>0.5</x:v>
      </x:c>
      <x:c r="Q688" s="96" t="n">
        <x:f>IFERROR(L688/J688,0)</x:f>
        <x:v>0.10526315789473684</x:v>
      </x:c>
      <x:c r="R688" s="96" t="n">
        <x:f>IFERROR(L688/F688,0)</x:f>
        <x:v>0.030303030303030304</x:v>
      </x:c>
      <x:c r="S688" s="95" t="n">
        <x:v>102</x:v>
      </x:c>
      <x:c r="T688" s="94" t="str">
        <x:v>末次点击7天</x:v>
      </x:c>
    </x:row>
    <x:row r="689">
      <x:c r="A689" s="92" t="str">
        <x:v>PROC-0688</x:v>
      </x:c>
      <x:c r="B689" s="93" t="n">
        <x:v>46147</x:v>
      </x:c>
      <x:c r="C689" s="94" t="str">
        <x:v>Google Ads</x:v>
      </x:c>
      <x:c r="D689" s="94" t="str">
        <x:v>德国</x:v>
      </x:c>
      <x:c r="E689" s="94" t="str">
        <x:v>购物广告</x:v>
      </x:c>
      <x:c r="F689" s="95" t="n">
        <x:v>59</x:v>
      </x:c>
      <x:c r="G689" s="95" t="n">
        <x:v>52</x:v>
      </x:c>
      <x:c r="H689" s="95" t="n">
        <x:v>35</x:v>
      </x:c>
      <x:c r="I689" s="95" t="n">
        <x:v>30</x:v>
      </x:c>
      <x:c r="J689" s="95" t="n">
        <x:v>14</x:v>
      </x:c>
      <x:c r="K689" s="95" t="n">
        <x:v>3</x:v>
      </x:c>
      <x:c r="L689" s="95" t="n">
        <x:v>1</x:v>
      </x:c>
      <x:c r="M689" s="96" t="n">
        <x:f>IFERROR(G689/F689,0)</x:f>
        <x:v>0.8813559322033898</x:v>
      </x:c>
      <x:c r="N689" s="96" t="n">
        <x:f>IFERROR(H689/G689,0)</x:f>
        <x:v>0.6730769230769231</x:v>
      </x:c>
      <x:c r="O689" s="96" t="n">
        <x:f>IFERROR(I689/H689,0)</x:f>
        <x:v>0.8571428571428571</x:v>
      </x:c>
      <x:c r="P689" s="96" t="n">
        <x:f>IFERROR(J689/I689,0)</x:f>
        <x:v>0.4666666666666667</x:v>
      </x:c>
      <x:c r="Q689" s="96" t="n">
        <x:f>IFERROR(L689/J689,0)</x:f>
        <x:v>0.07142857142857142</x:v>
      </x:c>
      <x:c r="R689" s="96" t="n">
        <x:f>IFERROR(L689/F689,0)</x:f>
        <x:v>0.01694915254237288</x:v>
      </x:c>
      <x:c r="S689" s="95" t="n">
        <x:v>127</x:v>
      </x:c>
      <x:c r="T689" s="94" t="str">
        <x:v>末次点击7天</x:v>
      </x:c>
    </x:row>
    <x:row r="690">
      <x:c r="A690" s="92" t="str">
        <x:v>PROC-0689</x:v>
      </x:c>
      <x:c r="B690" s="93" t="n">
        <x:v>46147</x:v>
      </x:c>
      <x:c r="C690" s="94" t="str">
        <x:v>Google Ads</x:v>
      </x:c>
      <x:c r="D690" s="94" t="str">
        <x:v>英国</x:v>
      </x:c>
      <x:c r="E690" s="94" t="str">
        <x:v>通用搜索</x:v>
      </x:c>
      <x:c r="F690" s="95" t="n">
        <x:v>29</x:v>
      </x:c>
      <x:c r="G690" s="95" t="n">
        <x:v>27</x:v>
      </x:c>
      <x:c r="H690" s="95" t="n">
        <x:v>21</x:v>
      </x:c>
      <x:c r="I690" s="95" t="n">
        <x:v>18</x:v>
      </x:c>
      <x:c r="J690" s="95" t="n">
        <x:v>8</x:v>
      </x:c>
      <x:c r="K690" s="95" t="n">
        <x:v>2</x:v>
      </x:c>
      <x:c r="L690" s="95" t="n">
        <x:v>1</x:v>
      </x:c>
      <x:c r="M690" s="96" t="n">
        <x:f>IFERROR(G690/F690,0)</x:f>
        <x:v>0.9310344827586207</x:v>
      </x:c>
      <x:c r="N690" s="96" t="n">
        <x:f>IFERROR(H690/G690,0)</x:f>
        <x:v>0.7777777777777778</x:v>
      </x:c>
      <x:c r="O690" s="96" t="n">
        <x:f>IFERROR(I690/H690,0)</x:f>
        <x:v>0.8571428571428571</x:v>
      </x:c>
      <x:c r="P690" s="96" t="n">
        <x:f>IFERROR(J690/I690,0)</x:f>
        <x:v>0.4444444444444444</x:v>
      </x:c>
      <x:c r="Q690" s="96" t="n">
        <x:f>IFERROR(L690/J690,0)</x:f>
        <x:v>0.125</x:v>
      </x:c>
      <x:c r="R690" s="96" t="n">
        <x:f>IFERROR(L690/F690,0)</x:f>
        <x:v>0.034482758620689655</x:v>
      </x:c>
      <x:c r="S690" s="95" t="n">
        <x:v>136</x:v>
      </x:c>
      <x:c r="T690" s="94" t="str">
        <x:v>末次点击7天</x:v>
      </x:c>
    </x:row>
    <x:row r="691">
      <x:c r="A691" s="92" t="str">
        <x:v>PROC-0690</x:v>
      </x:c>
      <x:c r="B691" s="93" t="n">
        <x:v>46147</x:v>
      </x:c>
      <x:c r="C691" s="94" t="str">
        <x:v>Microsoft Ads</x:v>
      </x:c>
      <x:c r="D691" s="94" t="str">
        <x:v>美国</x:v>
      </x:c>
      <x:c r="E691" s="94" t="str">
        <x:v>购物广告</x:v>
      </x:c>
      <x:c r="F691" s="95" t="n">
        <x:v>37</x:v>
      </x:c>
      <x:c r="G691" s="95" t="n">
        <x:v>33</x:v>
      </x:c>
      <x:c r="H691" s="95" t="n">
        <x:v>22</x:v>
      </x:c>
      <x:c r="I691" s="95" t="n">
        <x:v>20</x:v>
      </x:c>
      <x:c r="J691" s="95" t="n">
        <x:v>10</x:v>
      </x:c>
      <x:c r="K691" s="95" t="n">
        <x:v>3</x:v>
      </x:c>
      <x:c r="L691" s="95" t="n">
        <x:v>1</x:v>
      </x:c>
      <x:c r="M691" s="96" t="n">
        <x:f>IFERROR(G691/F691,0)</x:f>
        <x:v>0.8918918918918919</x:v>
      </x:c>
      <x:c r="N691" s="96" t="n">
        <x:f>IFERROR(H691/G691,0)</x:f>
        <x:v>0.6666666666666666</x:v>
      </x:c>
      <x:c r="O691" s="96" t="n">
        <x:f>IFERROR(I691/H691,0)</x:f>
        <x:v>0.9090909090909091</x:v>
      </x:c>
      <x:c r="P691" s="96" t="n">
        <x:f>IFERROR(J691/I691,0)</x:f>
        <x:v>0.5</x:v>
      </x:c>
      <x:c r="Q691" s="96" t="n">
        <x:f>IFERROR(L691/J691,0)</x:f>
        <x:v>0.1</x:v>
      </x:c>
      <x:c r="R691" s="96" t="n">
        <x:f>IFERROR(L691/F691,0)</x:f>
        <x:v>0.02702702702702703</x:v>
      </x:c>
      <x:c r="S691" s="95" t="n">
        <x:v>150</x:v>
      </x:c>
      <x:c r="T691" s="94" t="str">
        <x:v>末次点击7天</x:v>
      </x:c>
    </x:row>
    <x:row r="692">
      <x:c r="A692" s="92" t="str">
        <x:v>PROC-0691</x:v>
      </x:c>
      <x:c r="B692" s="93" t="n">
        <x:v>46147</x:v>
      </x:c>
      <x:c r="C692" s="94" t="str">
        <x:v>Microsoft Ads</x:v>
      </x:c>
      <x:c r="D692" s="94" t="str">
        <x:v>德国</x:v>
      </x:c>
      <x:c r="E692" s="94" t="str">
        <x:v>通用搜索</x:v>
      </x:c>
      <x:c r="F692" s="95" t="n">
        <x:v>26</x:v>
      </x:c>
      <x:c r="G692" s="95" t="n">
        <x:v>23</x:v>
      </x:c>
      <x:c r="H692" s="95" t="n">
        <x:v>17</x:v>
      </x:c>
      <x:c r="I692" s="95" t="n">
        <x:v>14</x:v>
      </x:c>
      <x:c r="J692" s="95" t="n">
        <x:v>6</x:v>
      </x:c>
      <x:c r="K692" s="95" t="n">
        <x:v>2</x:v>
      </x:c>
      <x:c r="L692" s="95" t="n">
        <x:v>0</x:v>
      </x:c>
      <x:c r="M692" s="96" t="n">
        <x:f>IFERROR(G692/F692,0)</x:f>
        <x:v>0.8846153846153846</x:v>
      </x:c>
      <x:c r="N692" s="96" t="n">
        <x:f>IFERROR(H692/G692,0)</x:f>
        <x:v>0.7391304347826086</x:v>
      </x:c>
      <x:c r="O692" s="96" t="n">
        <x:f>IFERROR(I692/H692,0)</x:f>
        <x:v>0.8235294117647058</x:v>
      </x:c>
      <x:c r="P692" s="96" t="n">
        <x:f>IFERROR(J692/I692,0)</x:f>
        <x:v>0.42857142857142855</x:v>
      </x:c>
      <x:c r="Q692" s="96" t="n">
        <x:f>IFERROR(L692/J692,0)</x:f>
        <x:v>0</x:v>
      </x:c>
      <x:c r="R692" s="96" t="n">
        <x:f>IFERROR(L692/F692,0)</x:f>
        <x:v>0</x:v>
      </x:c>
      <x:c r="S692" s="95" t="n">
        <x:v>83</x:v>
      </x:c>
      <x:c r="T692" s="94" t="str">
        <x:v>末次点击7天</x:v>
      </x:c>
    </x:row>
    <x:row r="693">
      <x:c r="A693" s="92" t="str">
        <x:v>PROC-0692</x:v>
      </x:c>
      <x:c r="B693" s="93" t="n">
        <x:v>46148</x:v>
      </x:c>
      <x:c r="C693" s="94" t="str">
        <x:v>Google Ads</x:v>
      </x:c>
      <x:c r="D693" s="94" t="str">
        <x:v>日本</x:v>
      </x:c>
      <x:c r="E693" s="94" t="str">
        <x:v>品牌搜索</x:v>
      </x:c>
      <x:c r="F693" s="95" t="n">
        <x:v>44</x:v>
      </x:c>
      <x:c r="G693" s="95" t="n">
        <x:v>39</x:v>
      </x:c>
      <x:c r="H693" s="95" t="n">
        <x:v>25</x:v>
      </x:c>
      <x:c r="I693" s="95" t="n">
        <x:v>20</x:v>
      </x:c>
      <x:c r="J693" s="95" t="n">
        <x:v>10</x:v>
      </x:c>
      <x:c r="K693" s="95" t="n">
        <x:v>3</x:v>
      </x:c>
      <x:c r="L693" s="95" t="n">
        <x:v>1</x:v>
      </x:c>
      <x:c r="M693" s="96" t="n">
        <x:f>IFERROR(G693/F693,0)</x:f>
        <x:v>0.8863636363636364</x:v>
      </x:c>
      <x:c r="N693" s="96" t="n">
        <x:f>IFERROR(H693/G693,0)</x:f>
        <x:v>0.6410256410256411</x:v>
      </x:c>
      <x:c r="O693" s="96" t="n">
        <x:f>IFERROR(I693/H693,0)</x:f>
        <x:v>0.8</x:v>
      </x:c>
      <x:c r="P693" s="96" t="n">
        <x:f>IFERROR(J693/I693,0)</x:f>
        <x:v>0.5</x:v>
      </x:c>
      <x:c r="Q693" s="96" t="n">
        <x:f>IFERROR(L693/J693,0)</x:f>
        <x:v>0.1</x:v>
      </x:c>
      <x:c r="R693" s="96" t="n">
        <x:f>IFERROR(L693/F693,0)</x:f>
        <x:v>0.022727272727272728</x:v>
      </x:c>
      <x:c r="S693" s="95" t="n">
        <x:v>124</x:v>
      </x:c>
      <x:c r="T693" s="94" t="str">
        <x:v>末次点击7天</x:v>
      </x:c>
    </x:row>
    <x:row r="694">
      <x:c r="A694" s="92" t="str">
        <x:v>PROC-0693</x:v>
      </x:c>
      <x:c r="B694" s="93" t="n">
        <x:v>46148</x:v>
      </x:c>
      <x:c r="C694" s="94" t="str">
        <x:v>Microsoft Ads</x:v>
      </x:c>
      <x:c r="D694" s="94" t="str">
        <x:v>英国</x:v>
      </x:c>
      <x:c r="E694" s="94" t="str">
        <x:v>购物广告</x:v>
      </x:c>
      <x:c r="F694" s="95" t="n">
        <x:v>62</x:v>
      </x:c>
      <x:c r="G694" s="95" t="n">
        <x:v>59</x:v>
      </x:c>
      <x:c r="H694" s="95" t="n">
        <x:v>39</x:v>
      </x:c>
      <x:c r="I694" s="95" t="n">
        <x:v>35</x:v>
      </x:c>
      <x:c r="J694" s="95" t="n">
        <x:v>18</x:v>
      </x:c>
      <x:c r="K694" s="95" t="n">
        <x:v>6</x:v>
      </x:c>
      <x:c r="L694" s="95" t="n">
        <x:v>2</x:v>
      </x:c>
      <x:c r="M694" s="96" t="n">
        <x:f>IFERROR(G694/F694,0)</x:f>
        <x:v>0.9516129032258065</x:v>
      </x:c>
      <x:c r="N694" s="96" t="n">
        <x:f>IFERROR(H694/G694,0)</x:f>
        <x:v>0.6610169491525424</x:v>
      </x:c>
      <x:c r="O694" s="96" t="n">
        <x:f>IFERROR(I694/H694,0)</x:f>
        <x:v>0.8974358974358975</x:v>
      </x:c>
      <x:c r="P694" s="96" t="n">
        <x:f>IFERROR(J694/I694,0)</x:f>
        <x:v>0.5142857142857142</x:v>
      </x:c>
      <x:c r="Q694" s="96" t="n">
        <x:f>IFERROR(L694/J694,0)</x:f>
        <x:v>0.1111111111111111</x:v>
      </x:c>
      <x:c r="R694" s="96" t="n">
        <x:f>IFERROR(L694/F694,0)</x:f>
        <x:v>0.03225806451612903</x:v>
      </x:c>
      <x:c r="S694" s="95" t="n">
        <x:v>80</x:v>
      </x:c>
      <x:c r="T694" s="94" t="str">
        <x:v>末次点击7天</x:v>
      </x:c>
    </x:row>
    <x:row r="695">
      <x:c r="A695" s="92" t="str">
        <x:v>PROC-0694</x:v>
      </x:c>
      <x:c r="B695" s="93" t="n">
        <x:v>46148</x:v>
      </x:c>
      <x:c r="C695" s="94" t="str">
        <x:v>Microsoft Ads</x:v>
      </x:c>
      <x:c r="D695" s="94" t="str">
        <x:v>德国</x:v>
      </x:c>
      <x:c r="E695" s="94" t="str">
        <x:v>通用搜索</x:v>
      </x:c>
      <x:c r="F695" s="95" t="n">
        <x:v>46</x:v>
      </x:c>
      <x:c r="G695" s="95" t="n">
        <x:v>43</x:v>
      </x:c>
      <x:c r="H695" s="95" t="n">
        <x:v>31</x:v>
      </x:c>
      <x:c r="I695" s="95" t="n">
        <x:v>26</x:v>
      </x:c>
      <x:c r="J695" s="95" t="n">
        <x:v>12</x:v>
      </x:c>
      <x:c r="K695" s="95" t="n">
        <x:v>3</x:v>
      </x:c>
      <x:c r="L695" s="95" t="n">
        <x:v>1</x:v>
      </x:c>
      <x:c r="M695" s="96" t="n">
        <x:f>IFERROR(G695/F695,0)</x:f>
        <x:v>0.9347826086956522</x:v>
      </x:c>
      <x:c r="N695" s="96" t="n">
        <x:f>IFERROR(H695/G695,0)</x:f>
        <x:v>0.7209302325581395</x:v>
      </x:c>
      <x:c r="O695" s="96" t="n">
        <x:f>IFERROR(I695/H695,0)</x:f>
        <x:v>0.8387096774193549</x:v>
      </x:c>
      <x:c r="P695" s="96" t="n">
        <x:f>IFERROR(J695/I695,0)</x:f>
        <x:v>0.46153846153846156</x:v>
      </x:c>
      <x:c r="Q695" s="96" t="n">
        <x:f>IFERROR(L695/J695,0)</x:f>
        <x:v>0.08333333333333333</x:v>
      </x:c>
      <x:c r="R695" s="96" t="n">
        <x:f>IFERROR(L695/F695,0)</x:f>
        <x:v>0.021739130434782608</x:v>
      </x:c>
      <x:c r="S695" s="95" t="n">
        <x:v>120</x:v>
      </x:c>
      <x:c r="T695" s="94" t="str">
        <x:v>末次点击7天</x:v>
      </x:c>
    </x:row>
    <x:row r="696">
      <x:c r="A696" s="92" t="str">
        <x:v>PROC-0695</x:v>
      </x:c>
      <x:c r="B696" s="93" t="n">
        <x:v>46148</x:v>
      </x:c>
      <x:c r="C696" s="94" t="str">
        <x:v>Google Ads</x:v>
      </x:c>
      <x:c r="D696" s="94" t="str">
        <x:v>英国</x:v>
      </x:c>
      <x:c r="E696" s="94" t="str">
        <x:v>购物广告</x:v>
      </x:c>
      <x:c r="F696" s="95" t="n">
        <x:v>29</x:v>
      </x:c>
      <x:c r="G696" s="95" t="n">
        <x:v>26</x:v>
      </x:c>
      <x:c r="H696" s="95" t="n">
        <x:v>19</x:v>
      </x:c>
      <x:c r="I696" s="95" t="n">
        <x:v>16</x:v>
      </x:c>
      <x:c r="J696" s="95" t="n">
        <x:v>7</x:v>
      </x:c>
      <x:c r="K696" s="95" t="n">
        <x:v>2</x:v>
      </x:c>
      <x:c r="L696" s="95" t="n">
        <x:v>1</x:v>
      </x:c>
      <x:c r="M696" s="96" t="n">
        <x:f>IFERROR(G696/F696,0)</x:f>
        <x:v>0.896551724137931</x:v>
      </x:c>
      <x:c r="N696" s="96" t="n">
        <x:f>IFERROR(H696/G696,0)</x:f>
        <x:v>0.7307692307692307</x:v>
      </x:c>
      <x:c r="O696" s="96" t="n">
        <x:f>IFERROR(I696/H696,0)</x:f>
        <x:v>0.8421052631578947</x:v>
      </x:c>
      <x:c r="P696" s="96" t="n">
        <x:f>IFERROR(J696/I696,0)</x:f>
        <x:v>0.4375</x:v>
      </x:c>
      <x:c r="Q696" s="96" t="n">
        <x:f>IFERROR(L696/J696,0)</x:f>
        <x:v>0.14285714285714285</x:v>
      </x:c>
      <x:c r="R696" s="96" t="n">
        <x:f>IFERROR(L696/F696,0)</x:f>
        <x:v>0.034482758620689655</x:v>
      </x:c>
      <x:c r="S696" s="95" t="n">
        <x:v>98</x:v>
      </x:c>
      <x:c r="T696" s="94" t="str">
        <x:v>末次点击7天</x:v>
      </x:c>
    </x:row>
    <x:row r="697">
      <x:c r="A697" s="92" t="str">
        <x:v>PROC-0696</x:v>
      </x:c>
      <x:c r="B697" s="93" t="n">
        <x:v>46148</x:v>
      </x:c>
      <x:c r="C697" s="94" t="str">
        <x:v>Google Ads</x:v>
      </x:c>
      <x:c r="D697" s="94" t="str">
        <x:v>英国</x:v>
      </x:c>
      <x:c r="E697" s="94" t="str">
        <x:v>通用搜索</x:v>
      </x:c>
      <x:c r="F697" s="95" t="n">
        <x:v>24</x:v>
      </x:c>
      <x:c r="G697" s="95" t="n">
        <x:v>22</x:v>
      </x:c>
      <x:c r="H697" s="95" t="n">
        <x:v>14</x:v>
      </x:c>
      <x:c r="I697" s="95" t="n">
        <x:v>11</x:v>
      </x:c>
      <x:c r="J697" s="95" t="n">
        <x:v>5</x:v>
      </x:c>
      <x:c r="K697" s="95" t="n">
        <x:v>1</x:v>
      </x:c>
      <x:c r="L697" s="95" t="n">
        <x:v>0</x:v>
      </x:c>
      <x:c r="M697" s="96" t="n">
        <x:f>IFERROR(G697/F697,0)</x:f>
        <x:v>0.9166666666666666</x:v>
      </x:c>
      <x:c r="N697" s="96" t="n">
        <x:f>IFERROR(H697/G697,0)</x:f>
        <x:v>0.6363636363636364</x:v>
      </x:c>
      <x:c r="O697" s="96" t="n">
        <x:f>IFERROR(I697/H697,0)</x:f>
        <x:v>0.7857142857142857</x:v>
      </x:c>
      <x:c r="P697" s="96" t="n">
        <x:f>IFERROR(J697/I697,0)</x:f>
        <x:v>0.45454545454545453</x:v>
      </x:c>
      <x:c r="Q697" s="96" t="n">
        <x:f>IFERROR(L697/J697,0)</x:f>
        <x:v>0</x:v>
      </x:c>
      <x:c r="R697" s="96" t="n">
        <x:f>IFERROR(L697/F697,0)</x:f>
        <x:v>0</x:v>
      </x:c>
      <x:c r="S697" s="95" t="n">
        <x:v>111</x:v>
      </x:c>
      <x:c r="T697" s="94" t="str">
        <x:v>末次点击7天</x:v>
      </x:c>
    </x:row>
    <x:row r="698">
      <x:c r="A698" s="92" t="str">
        <x:v>PROC-0697</x:v>
      </x:c>
      <x:c r="B698" s="93" t="n">
        <x:v>46148</x:v>
      </x:c>
      <x:c r="C698" s="94" t="str">
        <x:v>Google Ads</x:v>
      </x:c>
      <x:c r="D698" s="94" t="str">
        <x:v>美国</x:v>
      </x:c>
      <x:c r="E698" s="94" t="str">
        <x:v>通用搜索</x:v>
      </x:c>
      <x:c r="F698" s="95" t="n">
        <x:v>48</x:v>
      </x:c>
      <x:c r="G698" s="95" t="n">
        <x:v>43</x:v>
      </x:c>
      <x:c r="H698" s="95" t="n">
        <x:v>30</x:v>
      </x:c>
      <x:c r="I698" s="95" t="n">
        <x:v>24</x:v>
      </x:c>
      <x:c r="J698" s="95" t="n">
        <x:v>11</x:v>
      </x:c>
      <x:c r="K698" s="95" t="n">
        <x:v>4</x:v>
      </x:c>
      <x:c r="L698" s="95" t="n">
        <x:v>1</x:v>
      </x:c>
      <x:c r="M698" s="96" t="n">
        <x:f>IFERROR(G698/F698,0)</x:f>
        <x:v>0.8958333333333334</x:v>
      </x:c>
      <x:c r="N698" s="96" t="n">
        <x:f>IFERROR(H698/G698,0)</x:f>
        <x:v>0.6976744186046512</x:v>
      </x:c>
      <x:c r="O698" s="96" t="n">
        <x:f>IFERROR(I698/H698,0)</x:f>
        <x:v>0.8</x:v>
      </x:c>
      <x:c r="P698" s="96" t="n">
        <x:f>IFERROR(J698/I698,0)</x:f>
        <x:v>0.4583333333333333</x:v>
      </x:c>
      <x:c r="Q698" s="96" t="n">
        <x:f>IFERROR(L698/J698,0)</x:f>
        <x:v>0.09090909090909091</x:v>
      </x:c>
      <x:c r="R698" s="96" t="n">
        <x:f>IFERROR(L698/F698,0)</x:f>
        <x:v>0.020833333333333332</x:v>
      </x:c>
      <x:c r="S698" s="95" t="n">
        <x:v>83</x:v>
      </x:c>
      <x:c r="T698" s="94" t="str">
        <x:v>末次点击7天</x:v>
      </x:c>
    </x:row>
    <x:row r="699">
      <x:c r="A699" s="92" t="str">
        <x:v>PROC-0698</x:v>
      </x:c>
      <x:c r="B699" s="93" t="n">
        <x:v>46149</x:v>
      </x:c>
      <x:c r="C699" s="94" t="str">
        <x:v>Google Ads</x:v>
      </x:c>
      <x:c r="D699" s="94" t="str">
        <x:v>英国</x:v>
      </x:c>
      <x:c r="E699" s="94" t="str">
        <x:v>购物广告</x:v>
      </x:c>
      <x:c r="F699" s="95" t="n">
        <x:v>46</x:v>
      </x:c>
      <x:c r="G699" s="95" t="n">
        <x:v>43</x:v>
      </x:c>
      <x:c r="H699" s="95" t="n">
        <x:v>32</x:v>
      </x:c>
      <x:c r="I699" s="95" t="n">
        <x:v>29</x:v>
      </x:c>
      <x:c r="J699" s="95" t="n">
        <x:v>14</x:v>
      </x:c>
      <x:c r="K699" s="95" t="n">
        <x:v>4</x:v>
      </x:c>
      <x:c r="L699" s="95" t="n">
        <x:v>1</x:v>
      </x:c>
      <x:c r="M699" s="96" t="n">
        <x:f>IFERROR(G699/F699,0)</x:f>
        <x:v>0.9347826086956522</x:v>
      </x:c>
      <x:c r="N699" s="96" t="n">
        <x:f>IFERROR(H699/G699,0)</x:f>
        <x:v>0.7441860465116279</x:v>
      </x:c>
      <x:c r="O699" s="96" t="n">
        <x:f>IFERROR(I699/H699,0)</x:f>
        <x:v>0.90625</x:v>
      </x:c>
      <x:c r="P699" s="96" t="n">
        <x:f>IFERROR(J699/I699,0)</x:f>
        <x:v>0.4827586206896552</x:v>
      </x:c>
      <x:c r="Q699" s="96" t="n">
        <x:f>IFERROR(L699/J699,0)</x:f>
        <x:v>0.07142857142857142</x:v>
      </x:c>
      <x:c r="R699" s="96" t="n">
        <x:f>IFERROR(L699/F699,0)</x:f>
        <x:v>0.021739130434782608</x:v>
      </x:c>
      <x:c r="S699" s="95" t="n">
        <x:v>156</x:v>
      </x:c>
      <x:c r="T699" s="94" t="str">
        <x:v>末次点击7天</x:v>
      </x:c>
    </x:row>
    <x:row r="700">
      <x:c r="A700" s="92" t="str">
        <x:v>PROC-0699</x:v>
      </x:c>
      <x:c r="B700" s="93" t="n">
        <x:v>46149</x:v>
      </x:c>
      <x:c r="C700" s="94" t="str">
        <x:v>Google Ads</x:v>
      </x:c>
      <x:c r="D700" s="94" t="str">
        <x:v>美国</x:v>
      </x:c>
      <x:c r="E700" s="94" t="str">
        <x:v>购物广告</x:v>
      </x:c>
      <x:c r="F700" s="95" t="n">
        <x:v>39</x:v>
      </x:c>
      <x:c r="G700" s="95" t="n">
        <x:v>34</x:v>
      </x:c>
      <x:c r="H700" s="95" t="n">
        <x:v>23</x:v>
      </x:c>
      <x:c r="I700" s="95" t="n">
        <x:v>20</x:v>
      </x:c>
      <x:c r="J700" s="95" t="n">
        <x:v>9</x:v>
      </x:c>
      <x:c r="K700" s="95" t="n">
        <x:v>3</x:v>
      </x:c>
      <x:c r="L700" s="95" t="n">
        <x:v>1</x:v>
      </x:c>
      <x:c r="M700" s="96" t="n">
        <x:f>IFERROR(G700/F700,0)</x:f>
        <x:v>0.8717948717948718</x:v>
      </x:c>
      <x:c r="N700" s="96" t="n">
        <x:f>IFERROR(H700/G700,0)</x:f>
        <x:v>0.6764705882352942</x:v>
      </x:c>
      <x:c r="O700" s="96" t="n">
        <x:f>IFERROR(I700/H700,0)</x:f>
        <x:v>0.8695652173913043</x:v>
      </x:c>
      <x:c r="P700" s="96" t="n">
        <x:f>IFERROR(J700/I700,0)</x:f>
        <x:v>0.45</x:v>
      </x:c>
      <x:c r="Q700" s="96" t="n">
        <x:f>IFERROR(L700/J700,0)</x:f>
        <x:v>0.1111111111111111</x:v>
      </x:c>
      <x:c r="R700" s="96" t="n">
        <x:f>IFERROR(L700/F700,0)</x:f>
        <x:v>0.02564102564102564</x:v>
      </x:c>
      <x:c r="S700" s="95" t="n">
        <x:v>135</x:v>
      </x:c>
      <x:c r="T700" s="94" t="str">
        <x:v>末次点击7天</x:v>
      </x:c>
    </x:row>
    <x:row r="701">
      <x:c r="A701" s="92" t="str">
        <x:v>PROC-0700</x:v>
      </x:c>
      <x:c r="B701" s="93" t="n">
        <x:v>46149</x:v>
      </x:c>
      <x:c r="C701" s="94" t="str">
        <x:v>Google Ads</x:v>
      </x:c>
      <x:c r="D701" s="94" t="str">
        <x:v>日本</x:v>
      </x:c>
      <x:c r="E701" s="94" t="str">
        <x:v>通用搜索</x:v>
      </x:c>
      <x:c r="F701" s="95" t="n">
        <x:v>43</x:v>
      </x:c>
      <x:c r="G701" s="95" t="n">
        <x:v>40</x:v>
      </x:c>
      <x:c r="H701" s="95" t="n">
        <x:v>28</x:v>
      </x:c>
      <x:c r="I701" s="95" t="n">
        <x:v>24</x:v>
      </x:c>
      <x:c r="J701" s="95" t="n">
        <x:v>10</x:v>
      </x:c>
      <x:c r="K701" s="95" t="n">
        <x:v>3</x:v>
      </x:c>
      <x:c r="L701" s="95" t="n">
        <x:v>1</x:v>
      </x:c>
      <x:c r="M701" s="96" t="n">
        <x:f>IFERROR(G701/F701,0)</x:f>
        <x:v>0.9302325581395349</x:v>
      </x:c>
      <x:c r="N701" s="96" t="n">
        <x:f>IFERROR(H701/G701,0)</x:f>
        <x:v>0.7</x:v>
      </x:c>
      <x:c r="O701" s="96" t="n">
        <x:f>IFERROR(I701/H701,0)</x:f>
        <x:v>0.8571428571428571</x:v>
      </x:c>
      <x:c r="P701" s="96" t="n">
        <x:f>IFERROR(J701/I701,0)</x:f>
        <x:v>0.4166666666666667</x:v>
      </x:c>
      <x:c r="Q701" s="96" t="n">
        <x:f>IFERROR(L701/J701,0)</x:f>
        <x:v>0.1</x:v>
      </x:c>
      <x:c r="R701" s="96" t="n">
        <x:f>IFERROR(L701/F701,0)</x:f>
        <x:v>0.023255813953488372</x:v>
      </x:c>
      <x:c r="S701" s="95" t="n">
        <x:v>147</x:v>
      </x:c>
      <x:c r="T701" s="94" t="str">
        <x:v>末次点击7天</x:v>
      </x:c>
    </x:row>
    <x:row r="702">
      <x:c r="A702" s="92" t="str">
        <x:v>PROC-0701</x:v>
      </x:c>
      <x:c r="B702" s="93" t="n">
        <x:v>46149</x:v>
      </x:c>
      <x:c r="C702" s="94" t="str">
        <x:v>Google Ads</x:v>
      </x:c>
      <x:c r="D702" s="94" t="str">
        <x:v>美国</x:v>
      </x:c>
      <x:c r="E702" s="94" t="str">
        <x:v>通用搜索</x:v>
      </x:c>
      <x:c r="F702" s="95" t="n">
        <x:v>56</x:v>
      </x:c>
      <x:c r="G702" s="95" t="n">
        <x:v>51</x:v>
      </x:c>
      <x:c r="H702" s="95" t="n">
        <x:v>35</x:v>
      </x:c>
      <x:c r="I702" s="95" t="n">
        <x:v>29</x:v>
      </x:c>
      <x:c r="J702" s="95" t="n">
        <x:v>13</x:v>
      </x:c>
      <x:c r="K702" s="95" t="n">
        <x:v>4</x:v>
      </x:c>
      <x:c r="L702" s="95" t="n">
        <x:v>1</x:v>
      </x:c>
      <x:c r="M702" s="96" t="n">
        <x:f>IFERROR(G702/F702,0)</x:f>
        <x:v>0.9107142857142857</x:v>
      </x:c>
      <x:c r="N702" s="96" t="n">
        <x:f>IFERROR(H702/G702,0)</x:f>
        <x:v>0.6862745098039216</x:v>
      </x:c>
      <x:c r="O702" s="96" t="n">
        <x:f>IFERROR(I702/H702,0)</x:f>
        <x:v>0.8285714285714286</x:v>
      </x:c>
      <x:c r="P702" s="96" t="n">
        <x:f>IFERROR(J702/I702,0)</x:f>
        <x:v>0.4482758620689655</x:v>
      </x:c>
      <x:c r="Q702" s="96" t="n">
        <x:f>IFERROR(L702/J702,0)</x:f>
        <x:v>0.07692307692307693</x:v>
      </x:c>
      <x:c r="R702" s="96" t="n">
        <x:f>IFERROR(L702/F702,0)</x:f>
        <x:v>0.017857142857142856</x:v>
      </x:c>
      <x:c r="S702" s="95" t="n">
        <x:v>150</x:v>
      </x:c>
      <x:c r="T702" s="94" t="str">
        <x:v>末次点击7天</x:v>
      </x:c>
    </x:row>
    <x:row r="703">
      <x:c r="A703" s="92" t="str">
        <x:v>PROC-0702</x:v>
      </x:c>
      <x:c r="B703" s="93" t="n">
        <x:v>46149</x:v>
      </x:c>
      <x:c r="C703" s="94" t="str">
        <x:v>Google Ads</x:v>
      </x:c>
      <x:c r="D703" s="94" t="str">
        <x:v>英国</x:v>
      </x:c>
      <x:c r="E703" s="94" t="str">
        <x:v>竞品搜索</x:v>
      </x:c>
      <x:c r="F703" s="95" t="n">
        <x:v>22</x:v>
      </x:c>
      <x:c r="G703" s="95" t="n">
        <x:v>20</x:v>
      </x:c>
      <x:c r="H703" s="95" t="n">
        <x:v>16</x:v>
      </x:c>
      <x:c r="I703" s="95" t="n">
        <x:v>14</x:v>
      </x:c>
      <x:c r="J703" s="95" t="n">
        <x:v>5</x:v>
      </x:c>
      <x:c r="K703" s="95" t="n">
        <x:v>1</x:v>
      </x:c>
      <x:c r="L703" s="95" t="n">
        <x:v>0</x:v>
      </x:c>
      <x:c r="M703" s="96" t="n">
        <x:f>IFERROR(G703/F703,0)</x:f>
        <x:v>0.9090909090909091</x:v>
      </x:c>
      <x:c r="N703" s="96" t="n">
        <x:f>IFERROR(H703/G703,0)</x:f>
        <x:v>0.8</x:v>
      </x:c>
      <x:c r="O703" s="96" t="n">
        <x:f>IFERROR(I703/H703,0)</x:f>
        <x:v>0.875</x:v>
      </x:c>
      <x:c r="P703" s="96" t="n">
        <x:f>IFERROR(J703/I703,0)</x:f>
        <x:v>0.35714285714285715</x:v>
      </x:c>
      <x:c r="Q703" s="96" t="n">
        <x:f>IFERROR(L703/J703,0)</x:f>
        <x:v>0</x:v>
      </x:c>
      <x:c r="R703" s="96" t="n">
        <x:f>IFERROR(L703/F703,0)</x:f>
        <x:v>0</x:v>
      </x:c>
      <x:c r="S703" s="95" t="n">
        <x:v>144</x:v>
      </x:c>
      <x:c r="T703" s="94" t="str">
        <x:v>末次点击7天</x:v>
      </x:c>
    </x:row>
    <x:row r="704">
      <x:c r="A704" s="92" t="str">
        <x:v>PROC-0703</x:v>
      </x:c>
      <x:c r="B704" s="93" t="n">
        <x:v>46150</x:v>
      </x:c>
      <x:c r="C704" s="94" t="str">
        <x:v>Google Ads</x:v>
      </x:c>
      <x:c r="D704" s="94" t="str">
        <x:v>英国</x:v>
      </x:c>
      <x:c r="E704" s="94" t="str">
        <x:v>竞品搜索</x:v>
      </x:c>
      <x:c r="F704" s="95" t="n">
        <x:v>31</x:v>
      </x:c>
      <x:c r="G704" s="95" t="n">
        <x:v>29</x:v>
      </x:c>
      <x:c r="H704" s="95" t="n">
        <x:v>19</x:v>
      </x:c>
      <x:c r="I704" s="95" t="n">
        <x:v>16</x:v>
      </x:c>
      <x:c r="J704" s="95" t="n">
        <x:v>6</x:v>
      </x:c>
      <x:c r="K704" s="95" t="n">
        <x:v>2</x:v>
      </x:c>
      <x:c r="L704" s="95" t="n">
        <x:v>0</x:v>
      </x:c>
      <x:c r="M704" s="96" t="n">
        <x:f>IFERROR(G704/F704,0)</x:f>
        <x:v>0.9354838709677419</x:v>
      </x:c>
      <x:c r="N704" s="96" t="n">
        <x:f>IFERROR(H704/G704,0)</x:f>
        <x:v>0.6551724137931034</x:v>
      </x:c>
      <x:c r="O704" s="96" t="n">
        <x:f>IFERROR(I704/H704,0)</x:f>
        <x:v>0.8421052631578947</x:v>
      </x:c>
      <x:c r="P704" s="96" t="n">
        <x:f>IFERROR(J704/I704,0)</x:f>
        <x:v>0.375</x:v>
      </x:c>
      <x:c r="Q704" s="96" t="n">
        <x:f>IFERROR(L704/J704,0)</x:f>
        <x:v>0</x:v>
      </x:c>
      <x:c r="R704" s="96" t="n">
        <x:f>IFERROR(L704/F704,0)</x:f>
        <x:v>0</x:v>
      </x:c>
      <x:c r="S704" s="95" t="n">
        <x:v>55</x:v>
      </x:c>
      <x:c r="T704" s="94" t="str">
        <x:v>末次点击7天</x:v>
      </x:c>
    </x:row>
    <x:row r="705">
      <x:c r="A705" s="92" t="str">
        <x:v>PROC-0704</x:v>
      </x:c>
      <x:c r="B705" s="93" t="n">
        <x:v>46150</x:v>
      </x:c>
      <x:c r="C705" s="94" t="str">
        <x:v>Google Ads</x:v>
      </x:c>
      <x:c r="D705" s="94" t="str">
        <x:v>英国</x:v>
      </x:c>
      <x:c r="E705" s="94" t="str">
        <x:v>购物广告</x:v>
      </x:c>
      <x:c r="F705" s="95" t="n">
        <x:v>43</x:v>
      </x:c>
      <x:c r="G705" s="95" t="n">
        <x:v>38</x:v>
      </x:c>
      <x:c r="H705" s="95" t="n">
        <x:v>29</x:v>
      </x:c>
      <x:c r="I705" s="95" t="n">
        <x:v>26</x:v>
      </x:c>
      <x:c r="J705" s="95" t="n">
        <x:v>12</x:v>
      </x:c>
      <x:c r="K705" s="95" t="n">
        <x:v>2</x:v>
      </x:c>
      <x:c r="L705" s="95" t="n">
        <x:v>1</x:v>
      </x:c>
      <x:c r="M705" s="96" t="n">
        <x:f>IFERROR(G705/F705,0)</x:f>
        <x:v>0.8837209302325582</x:v>
      </x:c>
      <x:c r="N705" s="96" t="n">
        <x:f>IFERROR(H705/G705,0)</x:f>
        <x:v>0.7631578947368421</x:v>
      </x:c>
      <x:c r="O705" s="96" t="n">
        <x:f>IFERROR(I705/H705,0)</x:f>
        <x:v>0.896551724137931</x:v>
      </x:c>
      <x:c r="P705" s="96" t="n">
        <x:f>IFERROR(J705/I705,0)</x:f>
        <x:v>0.46153846153846156</x:v>
      </x:c>
      <x:c r="Q705" s="96" t="n">
        <x:f>IFERROR(L705/J705,0)</x:f>
        <x:v>0.08333333333333333</x:v>
      </x:c>
      <x:c r="R705" s="96" t="n">
        <x:f>IFERROR(L705/F705,0)</x:f>
        <x:v>0.023255813953488372</x:v>
      </x:c>
      <x:c r="S705" s="95" t="n">
        <x:v>145</x:v>
      </x:c>
      <x:c r="T705" s="94" t="str">
        <x:v>末次点击7天</x:v>
      </x:c>
    </x:row>
    <x:row r="706">
      <x:c r="A706" s="92" t="str">
        <x:v>PROC-0705</x:v>
      </x:c>
      <x:c r="B706" s="93" t="n">
        <x:v>46150</x:v>
      </x:c>
      <x:c r="C706" s="94" t="str">
        <x:v>Google Ads</x:v>
      </x:c>
      <x:c r="D706" s="94" t="str">
        <x:v>日本</x:v>
      </x:c>
      <x:c r="E706" s="94" t="str">
        <x:v>购物广告</x:v>
      </x:c>
      <x:c r="F706" s="95" t="n">
        <x:v>54</x:v>
      </x:c>
      <x:c r="G706" s="95" t="n">
        <x:v>47</x:v>
      </x:c>
      <x:c r="H706" s="95" t="n">
        <x:v>32</x:v>
      </x:c>
      <x:c r="I706" s="95" t="n">
        <x:v>28</x:v>
      </x:c>
      <x:c r="J706" s="95" t="n">
        <x:v>12</x:v>
      </x:c>
      <x:c r="K706" s="95" t="n">
        <x:v>4</x:v>
      </x:c>
      <x:c r="L706" s="95" t="n">
        <x:v>1</x:v>
      </x:c>
      <x:c r="M706" s="96" t="n">
        <x:f>IFERROR(G706/F706,0)</x:f>
        <x:v>0.8703703703703703</x:v>
      </x:c>
      <x:c r="N706" s="96" t="n">
        <x:f>IFERROR(H706/G706,0)</x:f>
        <x:v>0.6808510638297872</x:v>
      </x:c>
      <x:c r="O706" s="96" t="n">
        <x:f>IFERROR(I706/H706,0)</x:f>
        <x:v>0.875</x:v>
      </x:c>
      <x:c r="P706" s="96" t="n">
        <x:f>IFERROR(J706/I706,0)</x:f>
        <x:v>0.42857142857142855</x:v>
      </x:c>
      <x:c r="Q706" s="96" t="n">
        <x:f>IFERROR(L706/J706,0)</x:f>
        <x:v>0.08333333333333333</x:v>
      </x:c>
      <x:c r="R706" s="96" t="n">
        <x:f>IFERROR(L706/F706,0)</x:f>
        <x:v>0.018518518518518517</x:v>
      </x:c>
      <x:c r="S706" s="95" t="n">
        <x:v>78</x:v>
      </x:c>
      <x:c r="T706" s="94" t="str">
        <x:v>末次点击7天</x:v>
      </x:c>
    </x:row>
    <x:row r="707">
      <x:c r="A707" s="92" t="str">
        <x:v>PROC-0706</x:v>
      </x:c>
      <x:c r="B707" s="93" t="n">
        <x:v>46150</x:v>
      </x:c>
      <x:c r="C707" s="94" t="str">
        <x:v>Microsoft Ads</x:v>
      </x:c>
      <x:c r="D707" s="94" t="str">
        <x:v>英国</x:v>
      </x:c>
      <x:c r="E707" s="94" t="str">
        <x:v>品牌搜索</x:v>
      </x:c>
      <x:c r="F707" s="95" t="n">
        <x:v>57</x:v>
      </x:c>
      <x:c r="G707" s="95" t="n">
        <x:v>54</x:v>
      </x:c>
      <x:c r="H707" s="95" t="n">
        <x:v>37</x:v>
      </x:c>
      <x:c r="I707" s="95" t="n">
        <x:v>31</x:v>
      </x:c>
      <x:c r="J707" s="95" t="n">
        <x:v>14</x:v>
      </x:c>
      <x:c r="K707" s="95" t="n">
        <x:v>5</x:v>
      </x:c>
      <x:c r="L707" s="95" t="n">
        <x:v>1</x:v>
      </x:c>
      <x:c r="M707" s="96" t="n">
        <x:f>IFERROR(G707/F707,0)</x:f>
        <x:v>0.9473684210526315</x:v>
      </x:c>
      <x:c r="N707" s="96" t="n">
        <x:f>IFERROR(H707/G707,0)</x:f>
        <x:v>0.6851851851851852</x:v>
      </x:c>
      <x:c r="O707" s="96" t="n">
        <x:f>IFERROR(I707/H707,0)</x:f>
        <x:v>0.8378378378378378</x:v>
      </x:c>
      <x:c r="P707" s="96" t="n">
        <x:f>IFERROR(J707/I707,0)</x:f>
        <x:v>0.45161290322580644</x:v>
      </x:c>
      <x:c r="Q707" s="96" t="n">
        <x:f>IFERROR(L707/J707,0)</x:f>
        <x:v>0.07142857142857142</x:v>
      </x:c>
      <x:c r="R707" s="96" t="n">
        <x:f>IFERROR(L707/F707,0)</x:f>
        <x:v>0.017543859649122806</x:v>
      </x:c>
      <x:c r="S707" s="95" t="n">
        <x:v>63</x:v>
      </x:c>
      <x:c r="T707" s="94" t="str">
        <x:v>末次点击7天</x:v>
      </x:c>
    </x:row>
    <x:row r="708">
      <x:c r="A708" s="92" t="str">
        <x:v>PROC-0707</x:v>
      </x:c>
      <x:c r="B708" s="93" t="n">
        <x:v>46150</x:v>
      </x:c>
      <x:c r="C708" s="94" t="str">
        <x:v>Google Ads</x:v>
      </x:c>
      <x:c r="D708" s="94" t="str">
        <x:v>美国</x:v>
      </x:c>
      <x:c r="E708" s="94" t="str">
        <x:v>购物广告</x:v>
      </x:c>
      <x:c r="F708" s="95" t="n">
        <x:v>48</x:v>
      </x:c>
      <x:c r="G708" s="95" t="n">
        <x:v>43</x:v>
      </x:c>
      <x:c r="H708" s="95" t="n">
        <x:v>33</x:v>
      </x:c>
      <x:c r="I708" s="95" t="n">
        <x:v>28</x:v>
      </x:c>
      <x:c r="J708" s="95" t="n">
        <x:v>13</x:v>
      </x:c>
      <x:c r="K708" s="95" t="n">
        <x:v>4</x:v>
      </x:c>
      <x:c r="L708" s="95" t="n">
        <x:v>1</x:v>
      </x:c>
      <x:c r="M708" s="96" t="n">
        <x:f>IFERROR(G708/F708,0)</x:f>
        <x:v>0.8958333333333334</x:v>
      </x:c>
      <x:c r="N708" s="96" t="n">
        <x:f>IFERROR(H708/G708,0)</x:f>
        <x:v>0.7674418604651163</x:v>
      </x:c>
      <x:c r="O708" s="96" t="n">
        <x:f>IFERROR(I708/H708,0)</x:f>
        <x:v>0.8484848484848485</x:v>
      </x:c>
      <x:c r="P708" s="96" t="n">
        <x:f>IFERROR(J708/I708,0)</x:f>
        <x:v>0.4642857142857143</x:v>
      </x:c>
      <x:c r="Q708" s="96" t="n">
        <x:f>IFERROR(L708/J708,0)</x:f>
        <x:v>0.07692307692307693</x:v>
      </x:c>
      <x:c r="R708" s="96" t="n">
        <x:f>IFERROR(L708/F708,0)</x:f>
        <x:v>0.020833333333333332</x:v>
      </x:c>
      <x:c r="S708" s="95" t="n">
        <x:v>78</x:v>
      </x:c>
      <x:c r="T708" s="94" t="str">
        <x:v>末次点击7天</x:v>
      </x:c>
    </x:row>
    <x:row r="709">
      <x:c r="A709" s="92" t="str">
        <x:v>PROC-0708</x:v>
      </x:c>
      <x:c r="B709" s="93" t="n">
        <x:v>46150</x:v>
      </x:c>
      <x:c r="C709" s="94" t="str">
        <x:v>Google Ads</x:v>
      </x:c>
      <x:c r="D709" s="94" t="str">
        <x:v>美国</x:v>
      </x:c>
      <x:c r="E709" s="94" t="str">
        <x:v>通用搜索</x:v>
      </x:c>
      <x:c r="F709" s="95" t="n">
        <x:v>38</x:v>
      </x:c>
      <x:c r="G709" s="95" t="n">
        <x:v>35</x:v>
      </x:c>
      <x:c r="H709" s="95" t="n">
        <x:v>22</x:v>
      </x:c>
      <x:c r="I709" s="95" t="n">
        <x:v>18</x:v>
      </x:c>
      <x:c r="J709" s="95" t="n">
        <x:v>7</x:v>
      </x:c>
      <x:c r="K709" s="95" t="n">
        <x:v>1</x:v>
      </x:c>
      <x:c r="L709" s="95" t="n">
        <x:v>1</x:v>
      </x:c>
      <x:c r="M709" s="96" t="n">
        <x:f>IFERROR(G709/F709,0)</x:f>
        <x:v>0.9210526315789473</x:v>
      </x:c>
      <x:c r="N709" s="96" t="n">
        <x:f>IFERROR(H709/G709,0)</x:f>
        <x:v>0.6285714285714286</x:v>
      </x:c>
      <x:c r="O709" s="96" t="n">
        <x:f>IFERROR(I709/H709,0)</x:f>
        <x:v>0.8181818181818182</x:v>
      </x:c>
      <x:c r="P709" s="96" t="n">
        <x:f>IFERROR(J709/I709,0)</x:f>
        <x:v>0.3888888888888889</x:v>
      </x:c>
      <x:c r="Q709" s="96" t="n">
        <x:f>IFERROR(L709/J709,0)</x:f>
        <x:v>0.14285714285714285</x:v>
      </x:c>
      <x:c r="R709" s="96" t="n">
        <x:f>IFERROR(L709/F709,0)</x:f>
        <x:v>0.02631578947368421</x:v>
      </x:c>
      <x:c r="S709" s="95" t="n">
        <x:v>47</x:v>
      </x:c>
      <x:c r="T709" s="94" t="str">
        <x:v>末次点击7天</x:v>
      </x:c>
    </x:row>
    <x:row r="710">
      <x:c r="A710" s="92" t="str">
        <x:v>PROC-0709</x:v>
      </x:c>
      <x:c r="B710" s="93" t="n">
        <x:v>46151</x:v>
      </x:c>
      <x:c r="C710" s="94" t="str">
        <x:v>Microsoft Ads</x:v>
      </x:c>
      <x:c r="D710" s="94" t="str">
        <x:v>日本</x:v>
      </x:c>
      <x:c r="E710" s="94" t="str">
        <x:v>竞品搜索</x:v>
      </x:c>
      <x:c r="F710" s="95" t="n">
        <x:v>27</x:v>
      </x:c>
      <x:c r="G710" s="95" t="n">
        <x:v>24</x:v>
      </x:c>
      <x:c r="H710" s="95" t="n">
        <x:v>19</x:v>
      </x:c>
      <x:c r="I710" s="95" t="n">
        <x:v>15</x:v>
      </x:c>
      <x:c r="J710" s="95" t="n">
        <x:v>6</x:v>
      </x:c>
      <x:c r="K710" s="95" t="n">
        <x:v>2</x:v>
      </x:c>
      <x:c r="L710" s="95" t="n">
        <x:v>1</x:v>
      </x:c>
      <x:c r="M710" s="96" t="n">
        <x:f>IFERROR(G710/F710,0)</x:f>
        <x:v>0.8888888888888888</x:v>
      </x:c>
      <x:c r="N710" s="96" t="n">
        <x:f>IFERROR(H710/G710,0)</x:f>
        <x:v>0.7916666666666666</x:v>
      </x:c>
      <x:c r="O710" s="96" t="n">
        <x:f>IFERROR(I710/H710,0)</x:f>
        <x:v>0.7894736842105263</x:v>
      </x:c>
      <x:c r="P710" s="96" t="n">
        <x:f>IFERROR(J710/I710,0)</x:f>
        <x:v>0.4</x:v>
      </x:c>
      <x:c r="Q710" s="96" t="n">
        <x:f>IFERROR(L710/J710,0)</x:f>
        <x:v>0.16666666666666666</x:v>
      </x:c>
      <x:c r="R710" s="96" t="n">
        <x:f>IFERROR(L710/F710,0)</x:f>
        <x:v>0.037037037037037035</x:v>
      </x:c>
      <x:c r="S710" s="95" t="n">
        <x:v>134</x:v>
      </x:c>
      <x:c r="T710" s="94" t="str">
        <x:v>末次点击7天</x:v>
      </x:c>
    </x:row>
    <x:row r="711">
      <x:c r="A711" s="92" t="str">
        <x:v>PROC-0710</x:v>
      </x:c>
      <x:c r="B711" s="93" t="n">
        <x:v>46151</x:v>
      </x:c>
      <x:c r="C711" s="94" t="str">
        <x:v>Google Ads</x:v>
      </x:c>
      <x:c r="D711" s="94" t="str">
        <x:v>英国</x:v>
      </x:c>
      <x:c r="E711" s="94" t="str">
        <x:v>品牌搜索</x:v>
      </x:c>
      <x:c r="F711" s="95" t="n">
        <x:v>72</x:v>
      </x:c>
      <x:c r="G711" s="95" t="n">
        <x:v>66</x:v>
      </x:c>
      <x:c r="H711" s="95" t="n">
        <x:v>46</x:v>
      </x:c>
      <x:c r="I711" s="95" t="n">
        <x:v>37</x:v>
      </x:c>
      <x:c r="J711" s="95" t="n">
        <x:v>19</x:v>
      </x:c>
      <x:c r="K711" s="95" t="n">
        <x:v>6</x:v>
      </x:c>
      <x:c r="L711" s="95" t="n">
        <x:v>2</x:v>
      </x:c>
      <x:c r="M711" s="96" t="n">
        <x:f>IFERROR(G711/F711,0)</x:f>
        <x:v>0.9166666666666666</x:v>
      </x:c>
      <x:c r="N711" s="96" t="n">
        <x:f>IFERROR(H711/G711,0)</x:f>
        <x:v>0.696969696969697</x:v>
      </x:c>
      <x:c r="O711" s="96" t="n">
        <x:f>IFERROR(I711/H711,0)</x:f>
        <x:v>0.8043478260869565</x:v>
      </x:c>
      <x:c r="P711" s="96" t="n">
        <x:f>IFERROR(J711/I711,0)</x:f>
        <x:v>0.5135135135135135</x:v>
      </x:c>
      <x:c r="Q711" s="96" t="n">
        <x:f>IFERROR(L711/J711,0)</x:f>
        <x:v>0.10526315789473684</x:v>
      </x:c>
      <x:c r="R711" s="96" t="n">
        <x:f>IFERROR(L711/F711,0)</x:f>
        <x:v>0.027777777777777776</x:v>
      </x:c>
      <x:c r="S711" s="95" t="n">
        <x:v>112</x:v>
      </x:c>
      <x:c r="T711" s="94" t="str">
        <x:v>末次点击7天</x:v>
      </x:c>
    </x:row>
    <x:row r="712">
      <x:c r="A712" s="92" t="str">
        <x:v>PROC-0711</x:v>
      </x:c>
      <x:c r="B712" s="93" t="n">
        <x:v>46151</x:v>
      </x:c>
      <x:c r="C712" s="94" t="str">
        <x:v>Google Ads</x:v>
      </x:c>
      <x:c r="D712" s="94" t="str">
        <x:v>德国</x:v>
      </x:c>
      <x:c r="E712" s="94" t="str">
        <x:v>品牌搜索</x:v>
      </x:c>
      <x:c r="F712" s="95" t="n">
        <x:v>60</x:v>
      </x:c>
      <x:c r="G712" s="95" t="n">
        <x:v>53</x:v>
      </x:c>
      <x:c r="H712" s="95" t="n">
        <x:v>42</x:v>
      </x:c>
      <x:c r="I712" s="95" t="n">
        <x:v>36</x:v>
      </x:c>
      <x:c r="J712" s="95" t="n">
        <x:v>17</x:v>
      </x:c>
      <x:c r="K712" s="95" t="n">
        <x:v>5</x:v>
      </x:c>
      <x:c r="L712" s="95" t="n">
        <x:v>2</x:v>
      </x:c>
      <x:c r="M712" s="96" t="n">
        <x:f>IFERROR(G712/F712,0)</x:f>
        <x:v>0.8833333333333333</x:v>
      </x:c>
      <x:c r="N712" s="96" t="n">
        <x:f>IFERROR(H712/G712,0)</x:f>
        <x:v>0.7924528301886793</x:v>
      </x:c>
      <x:c r="O712" s="96" t="n">
        <x:f>IFERROR(I712/H712,0)</x:f>
        <x:v>0.8571428571428571</x:v>
      </x:c>
      <x:c r="P712" s="96" t="n">
        <x:f>IFERROR(J712/I712,0)</x:f>
        <x:v>0.4722222222222222</x:v>
      </x:c>
      <x:c r="Q712" s="96" t="n">
        <x:f>IFERROR(L712/J712,0)</x:f>
        <x:v>0.11764705882352941</x:v>
      </x:c>
      <x:c r="R712" s="96" t="n">
        <x:f>IFERROR(L712/F712,0)</x:f>
        <x:v>0.03333333333333333</x:v>
      </x:c>
      <x:c r="S712" s="95" t="n">
        <x:v>49</x:v>
      </x:c>
      <x:c r="T712" s="94" t="str">
        <x:v>末次点击7天</x:v>
      </x:c>
    </x:row>
    <x:row r="713">
      <x:c r="A713" s="92" t="str">
        <x:v>PROC-0712</x:v>
      </x:c>
      <x:c r="B713" s="93" t="n">
        <x:v>46151</x:v>
      </x:c>
      <x:c r="C713" s="94" t="str">
        <x:v>Microsoft Ads</x:v>
      </x:c>
      <x:c r="D713" s="94" t="str">
        <x:v>德国</x:v>
      </x:c>
      <x:c r="E713" s="94" t="str">
        <x:v>购物广告</x:v>
      </x:c>
      <x:c r="F713" s="95" t="n">
        <x:v>38</x:v>
      </x:c>
      <x:c r="G713" s="95" t="n">
        <x:v>35</x:v>
      </x:c>
      <x:c r="H713" s="95" t="n">
        <x:v>24</x:v>
      </x:c>
      <x:c r="I713" s="95" t="n">
        <x:v>21</x:v>
      </x:c>
      <x:c r="J713" s="95" t="n">
        <x:v>10</x:v>
      </x:c>
      <x:c r="K713" s="95" t="n">
        <x:v>3</x:v>
      </x:c>
      <x:c r="L713" s="95" t="n">
        <x:v>1</x:v>
      </x:c>
      <x:c r="M713" s="96" t="n">
        <x:f>IFERROR(G713/F713,0)</x:f>
        <x:v>0.9210526315789473</x:v>
      </x:c>
      <x:c r="N713" s="96" t="n">
        <x:f>IFERROR(H713/G713,0)</x:f>
        <x:v>0.6857142857142857</x:v>
      </x:c>
      <x:c r="O713" s="96" t="n">
        <x:f>IFERROR(I713/H713,0)</x:f>
        <x:v>0.875</x:v>
      </x:c>
      <x:c r="P713" s="96" t="n">
        <x:f>IFERROR(J713/I713,0)</x:f>
        <x:v>0.47619047619047616</x:v>
      </x:c>
      <x:c r="Q713" s="96" t="n">
        <x:f>IFERROR(L713/J713,0)</x:f>
        <x:v>0.1</x:v>
      </x:c>
      <x:c r="R713" s="96" t="n">
        <x:f>IFERROR(L713/F713,0)</x:f>
        <x:v>0.02631578947368421</x:v>
      </x:c>
      <x:c r="S713" s="95" t="n">
        <x:v>151</x:v>
      </x:c>
      <x:c r="T713" s="94" t="str">
        <x:v>末次点击7天</x:v>
      </x:c>
    </x:row>
    <x:row r="714">
      <x:c r="A714" s="92" t="str">
        <x:v>PROC-0713</x:v>
      </x:c>
      <x:c r="B714" s="93" t="n">
        <x:v>46151</x:v>
      </x:c>
      <x:c r="C714" s="94" t="str">
        <x:v>Microsoft Ads</x:v>
      </x:c>
      <x:c r="D714" s="94" t="str">
        <x:v>美国</x:v>
      </x:c>
      <x:c r="E714" s="94" t="str">
        <x:v>通用搜索</x:v>
      </x:c>
      <x:c r="F714" s="95" t="n">
        <x:v>36</x:v>
      </x:c>
      <x:c r="G714" s="95" t="n">
        <x:v>32</x:v>
      </x:c>
      <x:c r="H714" s="95" t="n">
        <x:v>24</x:v>
      </x:c>
      <x:c r="I714" s="95" t="n">
        <x:v>19</x:v>
      </x:c>
      <x:c r="J714" s="95" t="n">
        <x:v>7</x:v>
      </x:c>
      <x:c r="K714" s="95" t="n">
        <x:v>2</x:v>
      </x:c>
      <x:c r="L714" s="95" t="n">
        <x:v>1</x:v>
      </x:c>
      <x:c r="M714" s="96" t="n">
        <x:f>IFERROR(G714/F714,0)</x:f>
        <x:v>0.8888888888888888</x:v>
      </x:c>
      <x:c r="N714" s="96" t="n">
        <x:f>IFERROR(H714/G714,0)</x:f>
        <x:v>0.75</x:v>
      </x:c>
      <x:c r="O714" s="96" t="n">
        <x:f>IFERROR(I714/H714,0)</x:f>
        <x:v>0.7916666666666666</x:v>
      </x:c>
      <x:c r="P714" s="96" t="n">
        <x:f>IFERROR(J714/I714,0)</x:f>
        <x:v>0.3684210526315789</x:v>
      </x:c>
      <x:c r="Q714" s="96" t="n">
        <x:f>IFERROR(L714/J714,0)</x:f>
        <x:v>0.14285714285714285</x:v>
      </x:c>
      <x:c r="R714" s="96" t="n">
        <x:f>IFERROR(L714/F714,0)</x:f>
        <x:v>0.027777777777777776</x:v>
      </x:c>
      <x:c r="S714" s="95" t="n">
        <x:v>126</x:v>
      </x:c>
      <x:c r="T714" s="94" t="str">
        <x:v>末次点击7天</x:v>
      </x:c>
    </x:row>
    <x:row r="715">
      <x:c r="A715" s="92" t="str">
        <x:v>PROC-0714</x:v>
      </x:c>
      <x:c r="B715" s="93" t="n">
        <x:v>46152</x:v>
      </x:c>
      <x:c r="C715" s="94" t="str">
        <x:v>Microsoft Ads</x:v>
      </x:c>
      <x:c r="D715" s="94" t="str">
        <x:v>美国</x:v>
      </x:c>
      <x:c r="E715" s="94" t="str">
        <x:v>竞品搜索</x:v>
      </x:c>
      <x:c r="F715" s="95" t="n">
        <x:v>22</x:v>
      </x:c>
      <x:c r="G715" s="95" t="n">
        <x:v>20</x:v>
      </x:c>
      <x:c r="H715" s="95" t="n">
        <x:v>14</x:v>
      </x:c>
      <x:c r="I715" s="95" t="n">
        <x:v>12</x:v>
      </x:c>
      <x:c r="J715" s="95" t="n">
        <x:v>5</x:v>
      </x:c>
      <x:c r="K715" s="95" t="n">
        <x:v>1</x:v>
      </x:c>
      <x:c r="L715" s="95" t="n">
        <x:v>0</x:v>
      </x:c>
      <x:c r="M715" s="96" t="n">
        <x:f>IFERROR(G715/F715,0)</x:f>
        <x:v>0.9090909090909091</x:v>
      </x:c>
      <x:c r="N715" s="96" t="n">
        <x:f>IFERROR(H715/G715,0)</x:f>
        <x:v>0.7</x:v>
      </x:c>
      <x:c r="O715" s="96" t="n">
        <x:f>IFERROR(I715/H715,0)</x:f>
        <x:v>0.8571428571428571</x:v>
      </x:c>
      <x:c r="P715" s="96" t="n">
        <x:f>IFERROR(J715/I715,0)</x:f>
        <x:v>0.4166666666666667</x:v>
      </x:c>
      <x:c r="Q715" s="96" t="n">
        <x:f>IFERROR(L715/J715,0)</x:f>
        <x:v>0</x:v>
      </x:c>
      <x:c r="R715" s="96" t="n">
        <x:f>IFERROR(L715/F715,0)</x:f>
        <x:v>0</x:v>
      </x:c>
      <x:c r="S715" s="95" t="n">
        <x:v>90</x:v>
      </x:c>
      <x:c r="T715" s="94" t="str">
        <x:v>末次点击7天</x:v>
      </x:c>
    </x:row>
    <x:row r="716">
      <x:c r="A716" s="92" t="str">
        <x:v>PROC-0715</x:v>
      </x:c>
      <x:c r="B716" s="93" t="n">
        <x:v>46152</x:v>
      </x:c>
      <x:c r="C716" s="94" t="str">
        <x:v>Microsoft Ads</x:v>
      </x:c>
      <x:c r="D716" s="94" t="str">
        <x:v>日本</x:v>
      </x:c>
      <x:c r="E716" s="94" t="str">
        <x:v>通用搜索</x:v>
      </x:c>
      <x:c r="F716" s="95" t="n">
        <x:v>34</x:v>
      </x:c>
      <x:c r="G716" s="95" t="n">
        <x:v>31</x:v>
      </x:c>
      <x:c r="H716" s="95" t="n">
        <x:v>21</x:v>
      </x:c>
      <x:c r="I716" s="95" t="n">
        <x:v>17</x:v>
      </x:c>
      <x:c r="J716" s="95" t="n">
        <x:v>6</x:v>
      </x:c>
      <x:c r="K716" s="95" t="n">
        <x:v>1</x:v>
      </x:c>
      <x:c r="L716" s="95" t="n">
        <x:v>1</x:v>
      </x:c>
      <x:c r="M716" s="96" t="n">
        <x:f>IFERROR(G716/F716,0)</x:f>
        <x:v>0.9117647058823529</x:v>
      </x:c>
      <x:c r="N716" s="96" t="n">
        <x:f>IFERROR(H716/G716,0)</x:f>
        <x:v>0.6774193548387096</x:v>
      </x:c>
      <x:c r="O716" s="96" t="n">
        <x:f>IFERROR(I716/H716,0)</x:f>
        <x:v>0.8095238095238095</x:v>
      </x:c>
      <x:c r="P716" s="96" t="n">
        <x:f>IFERROR(J716/I716,0)</x:f>
        <x:v>0.35294117647058826</x:v>
      </x:c>
      <x:c r="Q716" s="96" t="n">
        <x:f>IFERROR(L716/J716,0)</x:f>
        <x:v>0.16666666666666666</x:v>
      </x:c>
      <x:c r="R716" s="96" t="n">
        <x:f>IFERROR(L716/F716,0)</x:f>
        <x:v>0.029411764705882353</x:v>
      </x:c>
      <x:c r="S716" s="95" t="n">
        <x:v>88</x:v>
      </x:c>
      <x:c r="T716" s="94" t="str">
        <x:v>末次点击7天</x:v>
      </x:c>
    </x:row>
    <x:row r="717">
      <x:c r="A717" s="92" t="str">
        <x:v>PROC-0716</x:v>
      </x:c>
      <x:c r="B717" s="93" t="n">
        <x:v>46152</x:v>
      </x:c>
      <x:c r="C717" s="94" t="str">
        <x:v>Google Ads</x:v>
      </x:c>
      <x:c r="D717" s="94" t="str">
        <x:v>美国</x:v>
      </x:c>
      <x:c r="E717" s="94" t="str">
        <x:v>购物广告</x:v>
      </x:c>
      <x:c r="F717" s="95" t="n">
        <x:v>88</x:v>
      </x:c>
      <x:c r="G717" s="95" t="n">
        <x:v>81</x:v>
      </x:c>
      <x:c r="H717" s="95" t="n">
        <x:v>60</x:v>
      </x:c>
      <x:c r="I717" s="95" t="n">
        <x:v>53</x:v>
      </x:c>
      <x:c r="J717" s="95" t="n">
        <x:v>26</x:v>
      </x:c>
      <x:c r="K717" s="95" t="n">
        <x:v>8</x:v>
      </x:c>
      <x:c r="L717" s="95" t="n">
        <x:v>2</x:v>
      </x:c>
      <x:c r="M717" s="96" t="n">
        <x:f>IFERROR(G717/F717,0)</x:f>
        <x:v>0.9204545454545454</x:v>
      </x:c>
      <x:c r="N717" s="96" t="n">
        <x:f>IFERROR(H717/G717,0)</x:f>
        <x:v>0.7407407407407407</x:v>
      </x:c>
      <x:c r="O717" s="96" t="n">
        <x:f>IFERROR(I717/H717,0)</x:f>
        <x:v>0.8833333333333333</x:v>
      </x:c>
      <x:c r="P717" s="96" t="n">
        <x:f>IFERROR(J717/I717,0)</x:f>
        <x:v>0.49056603773584906</x:v>
      </x:c>
      <x:c r="Q717" s="96" t="n">
        <x:f>IFERROR(L717/J717,0)</x:f>
        <x:v>0.07692307692307693</x:v>
      </x:c>
      <x:c r="R717" s="96" t="n">
        <x:f>IFERROR(L717/F717,0)</x:f>
        <x:v>0.022727272727272728</x:v>
      </x:c>
      <x:c r="S717" s="95" t="n">
        <x:v>150</x:v>
      </x:c>
      <x:c r="T717" s="94" t="str">
        <x:v>末次点击7天</x:v>
      </x:c>
    </x:row>
    <x:row r="718">
      <x:c r="A718" s="92" t="str">
        <x:v>PROC-0717</x:v>
      </x:c>
      <x:c r="B718" s="93" t="n">
        <x:v>46152</x:v>
      </x:c>
      <x:c r="C718" s="94" t="str">
        <x:v>Microsoft Ads</x:v>
      </x:c>
      <x:c r="D718" s="94" t="str">
        <x:v>日本</x:v>
      </x:c>
      <x:c r="E718" s="94" t="str">
        <x:v>通用搜索</x:v>
      </x:c>
      <x:c r="F718" s="95" t="n">
        <x:v>46</x:v>
      </x:c>
      <x:c r="G718" s="95" t="n">
        <x:v>41</x:v>
      </x:c>
      <x:c r="H718" s="95" t="n">
        <x:v>29</x:v>
      </x:c>
      <x:c r="I718" s="95" t="n">
        <x:v>24</x:v>
      </x:c>
      <x:c r="J718" s="95" t="n">
        <x:v>10</x:v>
      </x:c>
      <x:c r="K718" s="95" t="n">
        <x:v>3</x:v>
      </x:c>
      <x:c r="L718" s="95" t="n">
        <x:v>1</x:v>
      </x:c>
      <x:c r="M718" s="96" t="n">
        <x:f>IFERROR(G718/F718,0)</x:f>
        <x:v>0.8913043478260869</x:v>
      </x:c>
      <x:c r="N718" s="96" t="n">
        <x:f>IFERROR(H718/G718,0)</x:f>
        <x:v>0.7073170731707317</x:v>
      </x:c>
      <x:c r="O718" s="96" t="n">
        <x:f>IFERROR(I718/H718,0)</x:f>
        <x:v>0.8275862068965517</x:v>
      </x:c>
      <x:c r="P718" s="96" t="n">
        <x:f>IFERROR(J718/I718,0)</x:f>
        <x:v>0.4166666666666667</x:v>
      </x:c>
      <x:c r="Q718" s="96" t="n">
        <x:f>IFERROR(L718/J718,0)</x:f>
        <x:v>0.1</x:v>
      </x:c>
      <x:c r="R718" s="96" t="n">
        <x:f>IFERROR(L718/F718,0)</x:f>
        <x:v>0.021739130434782608</x:v>
      </x:c>
      <x:c r="S718" s="95" t="n">
        <x:v>154</x:v>
      </x:c>
      <x:c r="T718" s="94" t="str">
        <x:v>末次点击7天</x:v>
      </x:c>
    </x:row>
    <x:row r="719">
      <x:c r="A719" s="92" t="str">
        <x:v>PROC-0718</x:v>
      </x:c>
      <x:c r="B719" s="93" t="n">
        <x:v>46152</x:v>
      </x:c>
      <x:c r="C719" s="94" t="str">
        <x:v>Google Ads</x:v>
      </x:c>
      <x:c r="D719" s="94" t="str">
        <x:v>日本</x:v>
      </x:c>
      <x:c r="E719" s="94" t="str">
        <x:v>购物广告</x:v>
      </x:c>
      <x:c r="F719" s="95" t="n">
        <x:v>51</x:v>
      </x:c>
      <x:c r="G719" s="95" t="n">
        <x:v>47</x:v>
      </x:c>
      <x:c r="H719" s="95" t="n">
        <x:v>30</x:v>
      </x:c>
      <x:c r="I719" s="95" t="n">
        <x:v>28</x:v>
      </x:c>
      <x:c r="J719" s="95" t="n">
        <x:v>12</x:v>
      </x:c>
      <x:c r="K719" s="95" t="n">
        <x:v>4</x:v>
      </x:c>
      <x:c r="L719" s="95" t="n">
        <x:v>1</x:v>
      </x:c>
      <x:c r="M719" s="96" t="n">
        <x:f>IFERROR(G719/F719,0)</x:f>
        <x:v>0.9215686274509803</x:v>
      </x:c>
      <x:c r="N719" s="96" t="n">
        <x:f>IFERROR(H719/G719,0)</x:f>
        <x:v>0.6382978723404256</x:v>
      </x:c>
      <x:c r="O719" s="96" t="n">
        <x:f>IFERROR(I719/H719,0)</x:f>
        <x:v>0.9333333333333333</x:v>
      </x:c>
      <x:c r="P719" s="96" t="n">
        <x:f>IFERROR(J719/I719,0)</x:f>
        <x:v>0.42857142857142855</x:v>
      </x:c>
      <x:c r="Q719" s="96" t="n">
        <x:f>IFERROR(L719/J719,0)</x:f>
        <x:v>0.08333333333333333</x:v>
      </x:c>
      <x:c r="R719" s="96" t="n">
        <x:f>IFERROR(L719/F719,0)</x:f>
        <x:v>0.0196078431372549</x:v>
      </x:c>
      <x:c r="S719" s="95" t="n">
        <x:v>101</x:v>
      </x:c>
      <x:c r="T719" s="94" t="str">
        <x:v>末次点击7天</x:v>
      </x:c>
    </x:row>
    <x:row r="720">
      <x:c r="A720" s="92" t="str">
        <x:v>PROC-0719</x:v>
      </x:c>
      <x:c r="B720" s="93" t="n">
        <x:v>46152</x:v>
      </x:c>
      <x:c r="C720" s="94" t="str">
        <x:v>Google Ads</x:v>
      </x:c>
      <x:c r="D720" s="94" t="str">
        <x:v>美国</x:v>
      </x:c>
      <x:c r="E720" s="94" t="str">
        <x:v>购物广告</x:v>
      </x:c>
      <x:c r="F720" s="95" t="n">
        <x:v>43</x:v>
      </x:c>
      <x:c r="G720" s="95" t="n">
        <x:v>40</x:v>
      </x:c>
      <x:c r="H720" s="95" t="n">
        <x:v>31</x:v>
      </x:c>
      <x:c r="I720" s="95" t="n">
        <x:v>28</x:v>
      </x:c>
      <x:c r="J720" s="95" t="n">
        <x:v>13</x:v>
      </x:c>
      <x:c r="K720" s="95" t="n">
        <x:v>3</x:v>
      </x:c>
      <x:c r="L720" s="95" t="n">
        <x:v>1</x:v>
      </x:c>
      <x:c r="M720" s="96" t="n">
        <x:f>IFERROR(G720/F720,0)</x:f>
        <x:v>0.9302325581395349</x:v>
      </x:c>
      <x:c r="N720" s="96" t="n">
        <x:f>IFERROR(H720/G720,0)</x:f>
        <x:v>0.775</x:v>
      </x:c>
      <x:c r="O720" s="96" t="n">
        <x:f>IFERROR(I720/H720,0)</x:f>
        <x:v>0.9032258064516129</x:v>
      </x:c>
      <x:c r="P720" s="96" t="n">
        <x:f>IFERROR(J720/I720,0)</x:f>
        <x:v>0.4642857142857143</x:v>
      </x:c>
      <x:c r="Q720" s="96" t="n">
        <x:f>IFERROR(L720/J720,0)</x:f>
        <x:v>0.07692307692307693</x:v>
      </x:c>
      <x:c r="R720" s="96" t="n">
        <x:f>IFERROR(L720/F720,0)</x:f>
        <x:v>0.023255813953488372</x:v>
      </x:c>
      <x:c r="S720" s="95" t="n">
        <x:v>88</x:v>
      </x:c>
      <x:c r="T720" s="94" t="str">
        <x:v>末次点击7天</x:v>
      </x:c>
    </x:row>
    <x:row r="721">
      <x:c r="A721" s="92" t="str">
        <x:v>PROC-0720</x:v>
      </x:c>
      <x:c r="B721" s="93" t="n">
        <x:v>46153</x:v>
      </x:c>
      <x:c r="C721" s="94" t="str">
        <x:v>Microsoft Ads</x:v>
      </x:c>
      <x:c r="D721" s="94" t="str">
        <x:v>美国</x:v>
      </x:c>
      <x:c r="E721" s="94" t="str">
        <x:v>竞品搜索</x:v>
      </x:c>
      <x:c r="F721" s="95" t="n">
        <x:v>23</x:v>
      </x:c>
      <x:c r="G721" s="95" t="n">
        <x:v>22</x:v>
      </x:c>
      <x:c r="H721" s="95" t="n">
        <x:v>14</x:v>
      </x:c>
      <x:c r="I721" s="95" t="n">
        <x:v>12</x:v>
      </x:c>
      <x:c r="J721" s="95" t="n">
        <x:v>4</x:v>
      </x:c>
      <x:c r="K721" s="95" t="n">
        <x:v>1</x:v>
      </x:c>
      <x:c r="L721" s="95" t="n">
        <x:v>0</x:v>
      </x:c>
      <x:c r="M721" s="96" t="n">
        <x:f>IFERROR(G721/F721,0)</x:f>
        <x:v>0.9565217391304348</x:v>
      </x:c>
      <x:c r="N721" s="96" t="n">
        <x:f>IFERROR(H721/G721,0)</x:f>
        <x:v>0.6363636363636364</x:v>
      </x:c>
      <x:c r="O721" s="96" t="n">
        <x:f>IFERROR(I721/H721,0)</x:f>
        <x:v>0.8571428571428571</x:v>
      </x:c>
      <x:c r="P721" s="96" t="n">
        <x:f>IFERROR(J721/I721,0)</x:f>
        <x:v>0.3333333333333333</x:v>
      </x:c>
      <x:c r="Q721" s="96" t="n">
        <x:f>IFERROR(L721/J721,0)</x:f>
        <x:v>0</x:v>
      </x:c>
      <x:c r="R721" s="96" t="n">
        <x:f>IFERROR(L721/F721,0)</x:f>
        <x:v>0</x:v>
      </x:c>
      <x:c r="S721" s="95" t="n">
        <x:v>91</x:v>
      </x:c>
      <x:c r="T721" s="94" t="str">
        <x:v>末次点击7天</x:v>
      </x:c>
    </x:row>
    <x:row r="722">
      <x:c r="A722" s="92" t="str">
        <x:v>PROC-0721</x:v>
      </x:c>
      <x:c r="B722" s="93" t="n">
        <x:v>46153</x:v>
      </x:c>
      <x:c r="C722" s="94" t="str">
        <x:v>Google Ads</x:v>
      </x:c>
      <x:c r="D722" s="94" t="str">
        <x:v>德国</x:v>
      </x:c>
      <x:c r="E722" s="94" t="str">
        <x:v>通用搜索</x:v>
      </x:c>
      <x:c r="F722" s="95" t="n">
        <x:v>41</x:v>
      </x:c>
      <x:c r="G722" s="95" t="n">
        <x:v>36</x:v>
      </x:c>
      <x:c r="H722" s="95" t="n">
        <x:v>24</x:v>
      </x:c>
      <x:c r="I722" s="95" t="n">
        <x:v>20</x:v>
      </x:c>
      <x:c r="J722" s="95" t="n">
        <x:v>8</x:v>
      </x:c>
      <x:c r="K722" s="95" t="n">
        <x:v>2</x:v>
      </x:c>
      <x:c r="L722" s="95" t="n">
        <x:v>1</x:v>
      </x:c>
      <x:c r="M722" s="96" t="n">
        <x:f>IFERROR(G722/F722,0)</x:f>
        <x:v>0.8780487804878049</x:v>
      </x:c>
      <x:c r="N722" s="96" t="n">
        <x:f>IFERROR(H722/G722,0)</x:f>
        <x:v>0.6666666666666666</x:v>
      </x:c>
      <x:c r="O722" s="96" t="n">
        <x:f>IFERROR(I722/H722,0)</x:f>
        <x:v>0.8333333333333334</x:v>
      </x:c>
      <x:c r="P722" s="96" t="n">
        <x:f>IFERROR(J722/I722,0)</x:f>
        <x:v>0.4</x:v>
      </x:c>
      <x:c r="Q722" s="96" t="n">
        <x:f>IFERROR(L722/J722,0)</x:f>
        <x:v>0.125</x:v>
      </x:c>
      <x:c r="R722" s="96" t="n">
        <x:f>IFERROR(L722/F722,0)</x:f>
        <x:v>0.024390243902439025</x:v>
      </x:c>
      <x:c r="S722" s="95" t="n">
        <x:v>119</x:v>
      </x:c>
      <x:c r="T722" s="94" t="str">
        <x:v>末次点击7天</x:v>
      </x:c>
    </x:row>
    <x:row r="723">
      <x:c r="A723" s="92" t="str">
        <x:v>PROC-0722</x:v>
      </x:c>
      <x:c r="B723" s="93" t="n">
        <x:v>46153</x:v>
      </x:c>
      <x:c r="C723" s="94" t="str">
        <x:v>Microsoft Ads</x:v>
      </x:c>
      <x:c r="D723" s="94" t="str">
        <x:v>美国</x:v>
      </x:c>
      <x:c r="E723" s="94" t="str">
        <x:v>品牌搜索</x:v>
      </x:c>
      <x:c r="F723" s="95" t="n">
        <x:v>76</x:v>
      </x:c>
      <x:c r="G723" s="95" t="n">
        <x:v>73</x:v>
      </x:c>
      <x:c r="H723" s="95" t="n">
        <x:v>50</x:v>
      </x:c>
      <x:c r="I723" s="95" t="n">
        <x:v>43</x:v>
      </x:c>
      <x:c r="J723" s="95" t="n">
        <x:v>20</x:v>
      </x:c>
      <x:c r="K723" s="95" t="n">
        <x:v>7</x:v>
      </x:c>
      <x:c r="L723" s="95" t="n">
        <x:v>2</x:v>
      </x:c>
      <x:c r="M723" s="96" t="n">
        <x:f>IFERROR(G723/F723,0)</x:f>
        <x:v>0.9605263157894737</x:v>
      </x:c>
      <x:c r="N723" s="96" t="n">
        <x:f>IFERROR(H723/G723,0)</x:f>
        <x:v>0.684931506849315</x:v>
      </x:c>
      <x:c r="O723" s="96" t="n">
        <x:f>IFERROR(I723/H723,0)</x:f>
        <x:v>0.86</x:v>
      </x:c>
      <x:c r="P723" s="96" t="n">
        <x:f>IFERROR(J723/I723,0)</x:f>
        <x:v>0.46511627906976744</x:v>
      </x:c>
      <x:c r="Q723" s="96" t="n">
        <x:f>IFERROR(L723/J723,0)</x:f>
        <x:v>0.1</x:v>
      </x:c>
      <x:c r="R723" s="96" t="n">
        <x:f>IFERROR(L723/F723,0)</x:f>
        <x:v>0.02631578947368421</x:v>
      </x:c>
      <x:c r="S723" s="95" t="n">
        <x:v>86</x:v>
      </x:c>
      <x:c r="T723" s="94" t="str">
        <x:v>末次点击7天</x:v>
      </x:c>
    </x:row>
    <x:row r="724">
      <x:c r="A724" s="92" t="str">
        <x:v>PROC-0723</x:v>
      </x:c>
      <x:c r="B724" s="93" t="n">
        <x:v>46153</x:v>
      </x:c>
      <x:c r="C724" s="94" t="str">
        <x:v>Microsoft Ads</x:v>
      </x:c>
      <x:c r="D724" s="94" t="str">
        <x:v>美国</x:v>
      </x:c>
      <x:c r="E724" s="94" t="str">
        <x:v>通用搜索</x:v>
      </x:c>
      <x:c r="F724" s="95" t="n">
        <x:v>56</x:v>
      </x:c>
      <x:c r="G724" s="95" t="n">
        <x:v>51</x:v>
      </x:c>
      <x:c r="H724" s="95" t="n">
        <x:v>37</x:v>
      </x:c>
      <x:c r="I724" s="95" t="n">
        <x:v>30</x:v>
      </x:c>
      <x:c r="J724" s="95" t="n">
        <x:v>13</x:v>
      </x:c>
      <x:c r="K724" s="95" t="n">
        <x:v>4</x:v>
      </x:c>
      <x:c r="L724" s="95" t="n">
        <x:v>1</x:v>
      </x:c>
      <x:c r="M724" s="96" t="n">
        <x:f>IFERROR(G724/F724,0)</x:f>
        <x:v>0.9107142857142857</x:v>
      </x:c>
      <x:c r="N724" s="96" t="n">
        <x:f>IFERROR(H724/G724,0)</x:f>
        <x:v>0.7254901960784313</x:v>
      </x:c>
      <x:c r="O724" s="96" t="n">
        <x:f>IFERROR(I724/H724,0)</x:f>
        <x:v>0.8108108108108109</x:v>
      </x:c>
      <x:c r="P724" s="96" t="n">
        <x:f>IFERROR(J724/I724,0)</x:f>
        <x:v>0.43333333333333335</x:v>
      </x:c>
      <x:c r="Q724" s="96" t="n">
        <x:f>IFERROR(L724/J724,0)</x:f>
        <x:v>0.07692307692307693</x:v>
      </x:c>
      <x:c r="R724" s="96" t="n">
        <x:f>IFERROR(L724/F724,0)</x:f>
        <x:v>0.017857142857142856</x:v>
      </x:c>
      <x:c r="S724" s="95" t="n">
        <x:v>102</x:v>
      </x:c>
      <x:c r="T724" s="94" t="str">
        <x:v>末次点击7天</x:v>
      </x:c>
    </x:row>
    <x:row r="725">
      <x:c r="A725" s="92" t="str">
        <x:v>PROC-0724</x:v>
      </x:c>
      <x:c r="B725" s="93" t="n">
        <x:v>46153</x:v>
      </x:c>
      <x:c r="C725" s="94" t="str">
        <x:v>Google Ads</x:v>
      </x:c>
      <x:c r="D725" s="94" t="str">
        <x:v>美国</x:v>
      </x:c>
      <x:c r="E725" s="94" t="str">
        <x:v>购物广告</x:v>
      </x:c>
      <x:c r="F725" s="95" t="n">
        <x:v>63</x:v>
      </x:c>
      <x:c r="G725" s="95" t="n">
        <x:v>57</x:v>
      </x:c>
      <x:c r="H725" s="95" t="n">
        <x:v>39</x:v>
      </x:c>
      <x:c r="I725" s="95" t="n">
        <x:v>35</x:v>
      </x:c>
      <x:c r="J725" s="95" t="n">
        <x:v>16</x:v>
      </x:c>
      <x:c r="K725" s="95" t="n">
        <x:v>4</x:v>
      </x:c>
      <x:c r="L725" s="95" t="n">
        <x:v>1</x:v>
      </x:c>
      <x:c r="M725" s="96" t="n">
        <x:f>IFERROR(G725/F725,0)</x:f>
        <x:v>0.9047619047619048</x:v>
      </x:c>
      <x:c r="N725" s="96" t="n">
        <x:f>IFERROR(H725/G725,0)</x:f>
        <x:v>0.6842105263157895</x:v>
      </x:c>
      <x:c r="O725" s="96" t="n">
        <x:f>IFERROR(I725/H725,0)</x:f>
        <x:v>0.8974358974358975</x:v>
      </x:c>
      <x:c r="P725" s="96" t="n">
        <x:f>IFERROR(J725/I725,0)</x:f>
        <x:v>0.45714285714285713</x:v>
      </x:c>
      <x:c r="Q725" s="96" t="n">
        <x:f>IFERROR(L725/J725,0)</x:f>
        <x:v>0.0625</x:v>
      </x:c>
      <x:c r="R725" s="96" t="n">
        <x:f>IFERROR(L725/F725,0)</x:f>
        <x:v>0.015873015873015872</x:v>
      </x:c>
      <x:c r="S725" s="95" t="n">
        <x:v>97</x:v>
      </x:c>
      <x:c r="T725" s="94" t="str">
        <x:v>末次点击7天</x:v>
      </x:c>
    </x:row>
    <x:row r="726">
      <x:c r="A726" s="92" t="str">
        <x:v>PROC-0725</x:v>
      </x:c>
      <x:c r="B726" s="93" t="n">
        <x:v>46154</x:v>
      </x:c>
      <x:c r="C726" s="94" t="str">
        <x:v>Google Ads</x:v>
      </x:c>
      <x:c r="D726" s="94" t="str">
        <x:v>美国</x:v>
      </x:c>
      <x:c r="E726" s="94" t="str">
        <x:v>通用搜索</x:v>
      </x:c>
      <x:c r="F726" s="95" t="n">
        <x:v>47</x:v>
      </x:c>
      <x:c r="G726" s="95" t="n">
        <x:v>44</x:v>
      </x:c>
      <x:c r="H726" s="95" t="n">
        <x:v>30</x:v>
      </x:c>
      <x:c r="I726" s="95" t="n">
        <x:v>25</x:v>
      </x:c>
      <x:c r="J726" s="95" t="n">
        <x:v>9</x:v>
      </x:c>
      <x:c r="K726" s="95" t="n">
        <x:v>2</x:v>
      </x:c>
      <x:c r="L726" s="95" t="n">
        <x:v>1</x:v>
      </x:c>
      <x:c r="M726" s="96" t="n">
        <x:f>IFERROR(G726/F726,0)</x:f>
        <x:v>0.9361702127659575</x:v>
      </x:c>
      <x:c r="N726" s="96" t="n">
        <x:f>IFERROR(H726/G726,0)</x:f>
        <x:v>0.6818181818181818</x:v>
      </x:c>
      <x:c r="O726" s="96" t="n">
        <x:f>IFERROR(I726/H726,0)</x:f>
        <x:v>0.8333333333333334</x:v>
      </x:c>
      <x:c r="P726" s="96" t="n">
        <x:f>IFERROR(J726/I726,0)</x:f>
        <x:v>0.36</x:v>
      </x:c>
      <x:c r="Q726" s="96" t="n">
        <x:f>IFERROR(L726/J726,0)</x:f>
        <x:v>0.1111111111111111</x:v>
      </x:c>
      <x:c r="R726" s="96" t="n">
        <x:f>IFERROR(L726/F726,0)</x:f>
        <x:v>0.02127659574468085</x:v>
      </x:c>
      <x:c r="S726" s="95" t="n">
        <x:v>85</x:v>
      </x:c>
      <x:c r="T726" s="94" t="str">
        <x:v>末次点击7天</x:v>
      </x:c>
    </x:row>
    <x:row r="727">
      <x:c r="A727" s="92" t="str">
        <x:v>PROC-0726</x:v>
      </x:c>
      <x:c r="B727" s="93" t="n">
        <x:v>46154</x:v>
      </x:c>
      <x:c r="C727" s="94" t="str">
        <x:v>Google Ads</x:v>
      </x:c>
      <x:c r="D727" s="94" t="str">
        <x:v>德国</x:v>
      </x:c>
      <x:c r="E727" s="94" t="str">
        <x:v>竞品搜索</x:v>
      </x:c>
      <x:c r="F727" s="95" t="n">
        <x:v>27</x:v>
      </x:c>
      <x:c r="G727" s="95" t="n">
        <x:v>25</x:v>
      </x:c>
      <x:c r="H727" s="95" t="n">
        <x:v>16</x:v>
      </x:c>
      <x:c r="I727" s="95" t="n">
        <x:v>13</x:v>
      </x:c>
      <x:c r="J727" s="95" t="n">
        <x:v>5</x:v>
      </x:c>
      <x:c r="K727" s="95" t="n">
        <x:v>2</x:v>
      </x:c>
      <x:c r="L727" s="95" t="n">
        <x:v>0</x:v>
      </x:c>
      <x:c r="M727" s="96" t="n">
        <x:f>IFERROR(G727/F727,0)</x:f>
        <x:v>0.9259259259259259</x:v>
      </x:c>
      <x:c r="N727" s="96" t="n">
        <x:f>IFERROR(H727/G727,0)</x:f>
        <x:v>0.64</x:v>
      </x:c>
      <x:c r="O727" s="96" t="n">
        <x:f>IFERROR(I727/H727,0)</x:f>
        <x:v>0.8125</x:v>
      </x:c>
      <x:c r="P727" s="96" t="n">
        <x:f>IFERROR(J727/I727,0)</x:f>
        <x:v>0.38461538461538464</x:v>
      </x:c>
      <x:c r="Q727" s="96" t="n">
        <x:f>IFERROR(L727/J727,0)</x:f>
        <x:v>0</x:v>
      </x:c>
      <x:c r="R727" s="96" t="n">
        <x:f>IFERROR(L727/F727,0)</x:f>
        <x:v>0</x:v>
      </x:c>
      <x:c r="S727" s="95" t="n">
        <x:v>149</x:v>
      </x:c>
      <x:c r="T727" s="94" t="str">
        <x:v>末次点击7天</x:v>
      </x:c>
    </x:row>
    <x:row r="728">
      <x:c r="A728" s="92" t="str">
        <x:v>PROC-0727</x:v>
      </x:c>
      <x:c r="B728" s="93" t="n">
        <x:v>46154</x:v>
      </x:c>
      <x:c r="C728" s="94" t="str">
        <x:v>Google Ads</x:v>
      </x:c>
      <x:c r="D728" s="94" t="str">
        <x:v>日本</x:v>
      </x:c>
      <x:c r="E728" s="94" t="str">
        <x:v>通用搜索</x:v>
      </x:c>
      <x:c r="F728" s="95" t="n">
        <x:v>38</x:v>
      </x:c>
      <x:c r="G728" s="95" t="n">
        <x:v>34</x:v>
      </x:c>
      <x:c r="H728" s="95" t="n">
        <x:v>24</x:v>
      </x:c>
      <x:c r="I728" s="95" t="n">
        <x:v>20</x:v>
      </x:c>
      <x:c r="J728" s="95" t="n">
        <x:v>8</x:v>
      </x:c>
      <x:c r="K728" s="95" t="n">
        <x:v>2</x:v>
      </x:c>
      <x:c r="L728" s="95" t="n">
        <x:v>1</x:v>
      </x:c>
      <x:c r="M728" s="96" t="n">
        <x:f>IFERROR(G728/F728,0)</x:f>
        <x:v>0.8947368421052632</x:v>
      </x:c>
      <x:c r="N728" s="96" t="n">
        <x:f>IFERROR(H728/G728,0)</x:f>
        <x:v>0.7058823529411765</x:v>
      </x:c>
      <x:c r="O728" s="96" t="n">
        <x:f>IFERROR(I728/H728,0)</x:f>
        <x:v>0.8333333333333334</x:v>
      </x:c>
      <x:c r="P728" s="96" t="n">
        <x:f>IFERROR(J728/I728,0)</x:f>
        <x:v>0.4</x:v>
      </x:c>
      <x:c r="Q728" s="96" t="n">
        <x:f>IFERROR(L728/J728,0)</x:f>
        <x:v>0.125</x:v>
      </x:c>
      <x:c r="R728" s="96" t="n">
        <x:f>IFERROR(L728/F728,0)</x:f>
        <x:v>0.02631578947368421</x:v>
      </x:c>
      <x:c r="S728" s="95" t="n">
        <x:v>56</x:v>
      </x:c>
      <x:c r="T728" s="94" t="str">
        <x:v>末次点击7天</x:v>
      </x:c>
    </x:row>
    <x:row r="729">
      <x:c r="A729" s="92" t="str">
        <x:v>PROC-0728</x:v>
      </x:c>
      <x:c r="B729" s="93" t="n">
        <x:v>46154</x:v>
      </x:c>
      <x:c r="C729" s="94" t="str">
        <x:v>Microsoft Ads</x:v>
      </x:c>
      <x:c r="D729" s="94" t="str">
        <x:v>德国</x:v>
      </x:c>
      <x:c r="E729" s="94" t="str">
        <x:v>通用搜索</x:v>
      </x:c>
      <x:c r="F729" s="95" t="n">
        <x:v>21</x:v>
      </x:c>
      <x:c r="G729" s="95" t="n">
        <x:v>20</x:v>
      </x:c>
      <x:c r="H729" s="95" t="n">
        <x:v>13</x:v>
      </x:c>
      <x:c r="I729" s="95" t="n">
        <x:v>11</x:v>
      </x:c>
      <x:c r="J729" s="95" t="n">
        <x:v>5</x:v>
      </x:c>
      <x:c r="K729" s="95" t="n">
        <x:v>1</x:v>
      </x:c>
      <x:c r="L729" s="95" t="n">
        <x:v>0</x:v>
      </x:c>
      <x:c r="M729" s="96" t="n">
        <x:f>IFERROR(G729/F729,0)</x:f>
        <x:v>0.9523809523809523</x:v>
      </x:c>
      <x:c r="N729" s="96" t="n">
        <x:f>IFERROR(H729/G729,0)</x:f>
        <x:v>0.65</x:v>
      </x:c>
      <x:c r="O729" s="96" t="n">
        <x:f>IFERROR(I729/H729,0)</x:f>
        <x:v>0.8461538461538461</x:v>
      </x:c>
      <x:c r="P729" s="96" t="n">
        <x:f>IFERROR(J729/I729,0)</x:f>
        <x:v>0.45454545454545453</x:v>
      </x:c>
      <x:c r="Q729" s="96" t="n">
        <x:f>IFERROR(L729/J729,0)</x:f>
        <x:v>0</x:v>
      </x:c>
      <x:c r="R729" s="96" t="n">
        <x:f>IFERROR(L729/F729,0)</x:f>
        <x:v>0</x:v>
      </x:c>
      <x:c r="S729" s="95" t="n">
        <x:v>141</x:v>
      </x:c>
      <x:c r="T729" s="94" t="str">
        <x:v>末次点击7天</x:v>
      </x:c>
    </x:row>
    <x:row r="730">
      <x:c r="A730" s="92" t="str">
        <x:v>PROC-0729</x:v>
      </x:c>
      <x:c r="B730" s="93" t="n">
        <x:v>46154</x:v>
      </x:c>
      <x:c r="C730" s="94" t="str">
        <x:v>Microsoft Ads</x:v>
      </x:c>
      <x:c r="D730" s="94" t="str">
        <x:v>英国</x:v>
      </x:c>
      <x:c r="E730" s="94" t="str">
        <x:v>购物广告</x:v>
      </x:c>
      <x:c r="F730" s="95" t="n">
        <x:v>83</x:v>
      </x:c>
      <x:c r="G730" s="95" t="n">
        <x:v>76</x:v>
      </x:c>
      <x:c r="H730" s="95" t="n">
        <x:v>54</x:v>
      </x:c>
      <x:c r="I730" s="95" t="n">
        <x:v>46</x:v>
      </x:c>
      <x:c r="J730" s="95" t="n">
        <x:v>19</x:v>
      </x:c>
      <x:c r="K730" s="95" t="n">
        <x:v>6</x:v>
      </x:c>
      <x:c r="L730" s="95" t="n">
        <x:v>2</x:v>
      </x:c>
      <x:c r="M730" s="96" t="n">
        <x:f>IFERROR(G730/F730,0)</x:f>
        <x:v>0.9156626506024096</x:v>
      </x:c>
      <x:c r="N730" s="96" t="n">
        <x:f>IFERROR(H730/G730,0)</x:f>
        <x:v>0.7105263157894737</x:v>
      </x:c>
      <x:c r="O730" s="96" t="n">
        <x:f>IFERROR(I730/H730,0)</x:f>
        <x:v>0.8518518518518519</x:v>
      </x:c>
      <x:c r="P730" s="96" t="n">
        <x:f>IFERROR(J730/I730,0)</x:f>
        <x:v>0.41304347826086957</x:v>
      </x:c>
      <x:c r="Q730" s="96" t="n">
        <x:f>IFERROR(L730/J730,0)</x:f>
        <x:v>0.10526315789473684</x:v>
      </x:c>
      <x:c r="R730" s="96" t="n">
        <x:f>IFERROR(L730/F730,0)</x:f>
        <x:v>0.024096385542168676</x:v>
      </x:c>
      <x:c r="S730" s="95" t="n">
        <x:v>113</x:v>
      </x:c>
      <x:c r="T730" s="94" t="str">
        <x:v>末次点击7天</x:v>
      </x:c>
    </x:row>
    <x:row r="731">
      <x:c r="A731" s="92" t="str">
        <x:v>PROC-0730</x:v>
      </x:c>
      <x:c r="B731" s="93" t="n">
        <x:v>46154</x:v>
      </x:c>
      <x:c r="C731" s="94" t="str">
        <x:v>Google Ads</x:v>
      </x:c>
      <x:c r="D731" s="94" t="str">
        <x:v>美国</x:v>
      </x:c>
      <x:c r="E731" s="94" t="str">
        <x:v>通用搜索</x:v>
      </x:c>
      <x:c r="F731" s="95" t="n">
        <x:v>32</x:v>
      </x:c>
      <x:c r="G731" s="95" t="n">
        <x:v>30</x:v>
      </x:c>
      <x:c r="H731" s="95" t="n">
        <x:v>20</x:v>
      </x:c>
      <x:c r="I731" s="95" t="n">
        <x:v>17</x:v>
      </x:c>
      <x:c r="J731" s="95" t="n">
        <x:v>7</x:v>
      </x:c>
      <x:c r="K731" s="95" t="n">
        <x:v>2</x:v>
      </x:c>
      <x:c r="L731" s="95" t="n">
        <x:v>1</x:v>
      </x:c>
      <x:c r="M731" s="96" t="n">
        <x:f>IFERROR(G731/F731,0)</x:f>
        <x:v>0.9375</x:v>
      </x:c>
      <x:c r="N731" s="96" t="n">
        <x:f>IFERROR(H731/G731,0)</x:f>
        <x:v>0.6666666666666666</x:v>
      </x:c>
      <x:c r="O731" s="96" t="n">
        <x:f>IFERROR(I731/H731,0)</x:f>
        <x:v>0.85</x:v>
      </x:c>
      <x:c r="P731" s="96" t="n">
        <x:f>IFERROR(J731/I731,0)</x:f>
        <x:v>0.4117647058823529</x:v>
      </x:c>
      <x:c r="Q731" s="96" t="n">
        <x:f>IFERROR(L731/J731,0)</x:f>
        <x:v>0.14285714285714285</x:v>
      </x:c>
      <x:c r="R731" s="96" t="n">
        <x:f>IFERROR(L731/F731,0)</x:f>
        <x:v>0.03125</x:v>
      </x:c>
      <x:c r="S731" s="95" t="n">
        <x:v>62</x:v>
      </x:c>
      <x:c r="T731" s="94" t="str">
        <x:v>末次点击7天</x:v>
      </x:c>
    </x:row>
    <x:row r="732">
      <x:c r="A732" s="92" t="str">
        <x:v>PROC-0731</x:v>
      </x:c>
      <x:c r="B732" s="93" t="n">
        <x:v>46155</x:v>
      </x:c>
      <x:c r="C732" s="94" t="str">
        <x:v>Google Ads</x:v>
      </x:c>
      <x:c r="D732" s="94" t="str">
        <x:v>美国</x:v>
      </x:c>
      <x:c r="E732" s="94" t="str">
        <x:v>通用搜索</x:v>
      </x:c>
      <x:c r="F732" s="95" t="n">
        <x:v>49</x:v>
      </x:c>
      <x:c r="G732" s="95" t="n">
        <x:v>47</x:v>
      </x:c>
      <x:c r="H732" s="95" t="n">
        <x:v>29</x:v>
      </x:c>
      <x:c r="I732" s="95" t="n">
        <x:v>24</x:v>
      </x:c>
      <x:c r="J732" s="95" t="n">
        <x:v>9</x:v>
      </x:c>
      <x:c r="K732" s="95" t="n">
        <x:v>2</x:v>
      </x:c>
      <x:c r="L732" s="95" t="n">
        <x:v>1</x:v>
      </x:c>
      <x:c r="M732" s="96" t="n">
        <x:f>IFERROR(G732/F732,0)</x:f>
        <x:v>0.9591836734693877</x:v>
      </x:c>
      <x:c r="N732" s="96" t="n">
        <x:f>IFERROR(H732/G732,0)</x:f>
        <x:v>0.6170212765957447</x:v>
      </x:c>
      <x:c r="O732" s="96" t="n">
        <x:f>IFERROR(I732/H732,0)</x:f>
        <x:v>0.8275862068965517</x:v>
      </x:c>
      <x:c r="P732" s="96" t="n">
        <x:f>IFERROR(J732/I732,0)</x:f>
        <x:v>0.375</x:v>
      </x:c>
      <x:c r="Q732" s="96" t="n">
        <x:f>IFERROR(L732/J732,0)</x:f>
        <x:v>0.1111111111111111</x:v>
      </x:c>
      <x:c r="R732" s="96" t="n">
        <x:f>IFERROR(L732/F732,0)</x:f>
        <x:v>0.02040816326530612</x:v>
      </x:c>
      <x:c r="S732" s="95" t="n">
        <x:v>67</x:v>
      </x:c>
      <x:c r="T732" s="94" t="str">
        <x:v>末次点击7天</x:v>
      </x:c>
    </x:row>
    <x:row r="733">
      <x:c r="A733" s="92" t="str">
        <x:v>PROC-0732</x:v>
      </x:c>
      <x:c r="B733" s="93" t="n">
        <x:v>46155</x:v>
      </x:c>
      <x:c r="C733" s="94" t="str">
        <x:v>Google Ads</x:v>
      </x:c>
      <x:c r="D733" s="94" t="str">
        <x:v>美国</x:v>
      </x:c>
      <x:c r="E733" s="94" t="str">
        <x:v>购物广告</x:v>
      </x:c>
      <x:c r="F733" s="95" t="n">
        <x:v>56</x:v>
      </x:c>
      <x:c r="G733" s="95" t="n">
        <x:v>50</x:v>
      </x:c>
      <x:c r="H733" s="95" t="n">
        <x:v>33</x:v>
      </x:c>
      <x:c r="I733" s="95" t="n">
        <x:v>29</x:v>
      </x:c>
      <x:c r="J733" s="95" t="n">
        <x:v>13</x:v>
      </x:c>
      <x:c r="K733" s="95" t="n">
        <x:v>4</x:v>
      </x:c>
      <x:c r="L733" s="95" t="n">
        <x:v>1</x:v>
      </x:c>
      <x:c r="M733" s="96" t="n">
        <x:f>IFERROR(G733/F733,0)</x:f>
        <x:v>0.8928571428571429</x:v>
      </x:c>
      <x:c r="N733" s="96" t="n">
        <x:f>IFERROR(H733/G733,0)</x:f>
        <x:v>0.66</x:v>
      </x:c>
      <x:c r="O733" s="96" t="n">
        <x:f>IFERROR(I733/H733,0)</x:f>
        <x:v>0.8787878787878788</x:v>
      </x:c>
      <x:c r="P733" s="96" t="n">
        <x:f>IFERROR(J733/I733,0)</x:f>
        <x:v>0.4482758620689655</x:v>
      </x:c>
      <x:c r="Q733" s="96" t="n">
        <x:f>IFERROR(L733/J733,0)</x:f>
        <x:v>0.07692307692307693</x:v>
      </x:c>
      <x:c r="R733" s="96" t="n">
        <x:f>IFERROR(L733/F733,0)</x:f>
        <x:v>0.017857142857142856</x:v>
      </x:c>
      <x:c r="S733" s="95" t="n">
        <x:v>75</x:v>
      </x:c>
      <x:c r="T733" s="94" t="str">
        <x:v>末次点击7天</x:v>
      </x:c>
    </x:row>
    <x:row r="734">
      <x:c r="A734" s="92" t="str">
        <x:v>PROC-0733</x:v>
      </x:c>
      <x:c r="B734" s="93" t="n">
        <x:v>46155</x:v>
      </x:c>
      <x:c r="C734" s="94" t="str">
        <x:v>Google Ads</x:v>
      </x:c>
      <x:c r="D734" s="94" t="str">
        <x:v>德国</x:v>
      </x:c>
      <x:c r="E734" s="94" t="str">
        <x:v>通用搜索</x:v>
      </x:c>
      <x:c r="F734" s="95" t="n">
        <x:v>34</x:v>
      </x:c>
      <x:c r="G734" s="95" t="n">
        <x:v>31</x:v>
      </x:c>
      <x:c r="H734" s="95" t="n">
        <x:v>20</x:v>
      </x:c>
      <x:c r="I734" s="95" t="n">
        <x:v>17</x:v>
      </x:c>
      <x:c r="J734" s="95" t="n">
        <x:v>7</x:v>
      </x:c>
      <x:c r="K734" s="95" t="n">
        <x:v>2</x:v>
      </x:c>
      <x:c r="L734" s="95" t="n">
        <x:v>1</x:v>
      </x:c>
      <x:c r="M734" s="96" t="n">
        <x:f>IFERROR(G734/F734,0)</x:f>
        <x:v>0.9117647058823529</x:v>
      </x:c>
      <x:c r="N734" s="96" t="n">
        <x:f>IFERROR(H734/G734,0)</x:f>
        <x:v>0.6451612903225806</x:v>
      </x:c>
      <x:c r="O734" s="96" t="n">
        <x:f>IFERROR(I734/H734,0)</x:f>
        <x:v>0.85</x:v>
      </x:c>
      <x:c r="P734" s="96" t="n">
        <x:f>IFERROR(J734/I734,0)</x:f>
        <x:v>0.4117647058823529</x:v>
      </x:c>
      <x:c r="Q734" s="96" t="n">
        <x:f>IFERROR(L734/J734,0)</x:f>
        <x:v>0.14285714285714285</x:v>
      </x:c>
      <x:c r="R734" s="96" t="n">
        <x:f>IFERROR(L734/F734,0)</x:f>
        <x:v>0.029411764705882353</x:v>
      </x:c>
      <x:c r="S734" s="95" t="n">
        <x:v>57</x:v>
      </x:c>
      <x:c r="T734" s="94" t="str">
        <x:v>末次点击7天</x:v>
      </x:c>
    </x:row>
    <x:row r="735">
      <x:c r="A735" s="92" t="str">
        <x:v>PROC-0734</x:v>
      </x:c>
      <x:c r="B735" s="93" t="n">
        <x:v>46155</x:v>
      </x:c>
      <x:c r="C735" s="94" t="str">
        <x:v>Google Ads</x:v>
      </x:c>
      <x:c r="D735" s="94" t="str">
        <x:v>英国</x:v>
      </x:c>
      <x:c r="E735" s="94" t="str">
        <x:v>购物广告</x:v>
      </x:c>
      <x:c r="F735" s="95" t="n">
        <x:v>50</x:v>
      </x:c>
      <x:c r="G735" s="95" t="n">
        <x:v>45</x:v>
      </x:c>
      <x:c r="H735" s="95" t="n">
        <x:v>30</x:v>
      </x:c>
      <x:c r="I735" s="95" t="n">
        <x:v>26</x:v>
      </x:c>
      <x:c r="J735" s="95" t="n">
        <x:v>12</x:v>
      </x:c>
      <x:c r="K735" s="95" t="n">
        <x:v>4</x:v>
      </x:c>
      <x:c r="L735" s="95" t="n">
        <x:v>1</x:v>
      </x:c>
      <x:c r="M735" s="96" t="n">
        <x:f>IFERROR(G735/F735,0)</x:f>
        <x:v>0.9</x:v>
      </x:c>
      <x:c r="N735" s="96" t="n">
        <x:f>IFERROR(H735/G735,0)</x:f>
        <x:v>0.6666666666666666</x:v>
      </x:c>
      <x:c r="O735" s="96" t="n">
        <x:f>IFERROR(I735/H735,0)</x:f>
        <x:v>0.8666666666666667</x:v>
      </x:c>
      <x:c r="P735" s="96" t="n">
        <x:f>IFERROR(J735/I735,0)</x:f>
        <x:v>0.46153846153846156</x:v>
      </x:c>
      <x:c r="Q735" s="96" t="n">
        <x:f>IFERROR(L735/J735,0)</x:f>
        <x:v>0.08333333333333333</x:v>
      </x:c>
      <x:c r="R735" s="96" t="n">
        <x:f>IFERROR(L735/F735,0)</x:f>
        <x:v>0.02</x:v>
      </x:c>
      <x:c r="S735" s="95" t="n">
        <x:v>126</x:v>
      </x:c>
      <x:c r="T735" s="94" t="str">
        <x:v>末次点击7天</x:v>
      </x:c>
    </x:row>
    <x:row r="736">
      <x:c r="A736" s="92" t="str">
        <x:v>PROC-0735</x:v>
      </x:c>
      <x:c r="B736" s="93" t="n">
        <x:v>46155</x:v>
      </x:c>
      <x:c r="C736" s="94" t="str">
        <x:v>Google Ads</x:v>
      </x:c>
      <x:c r="D736" s="94" t="str">
        <x:v>美国</x:v>
      </x:c>
      <x:c r="E736" s="94" t="str">
        <x:v>购物广告</x:v>
      </x:c>
      <x:c r="F736" s="95" t="n">
        <x:v>44</x:v>
      </x:c>
      <x:c r="G736" s="95" t="n">
        <x:v>41</x:v>
      </x:c>
      <x:c r="H736" s="95" t="n">
        <x:v>29</x:v>
      </x:c>
      <x:c r="I736" s="95" t="n">
        <x:v>26</x:v>
      </x:c>
      <x:c r="J736" s="95" t="n">
        <x:v>11</x:v>
      </x:c>
      <x:c r="K736" s="95" t="n">
        <x:v>3</x:v>
      </x:c>
      <x:c r="L736" s="95" t="n">
        <x:v>1</x:v>
      </x:c>
      <x:c r="M736" s="96" t="n">
        <x:f>IFERROR(G736/F736,0)</x:f>
        <x:v>0.9318181818181818</x:v>
      </x:c>
      <x:c r="N736" s="96" t="n">
        <x:f>IFERROR(H736/G736,0)</x:f>
        <x:v>0.7073170731707317</x:v>
      </x:c>
      <x:c r="O736" s="96" t="n">
        <x:f>IFERROR(I736/H736,0)</x:f>
        <x:v>0.896551724137931</x:v>
      </x:c>
      <x:c r="P736" s="96" t="n">
        <x:f>IFERROR(J736/I736,0)</x:f>
        <x:v>0.4230769230769231</x:v>
      </x:c>
      <x:c r="Q736" s="96" t="n">
        <x:f>IFERROR(L736/J736,0)</x:f>
        <x:v>0.09090909090909091</x:v>
      </x:c>
      <x:c r="R736" s="96" t="n">
        <x:f>IFERROR(L736/F736,0)</x:f>
        <x:v>0.022727272727272728</x:v>
      </x:c>
      <x:c r="S736" s="95" t="n">
        <x:v>142</x:v>
      </x:c>
      <x:c r="T736" s="94" t="str">
        <x:v>末次点击7天</x:v>
      </x:c>
    </x:row>
    <x:row r="737">
      <x:c r="A737" s="92" t="str">
        <x:v>PROC-0736</x:v>
      </x:c>
      <x:c r="B737" s="93" t="n">
        <x:v>46156</x:v>
      </x:c>
      <x:c r="C737" s="94" t="str">
        <x:v>Google Ads</x:v>
      </x:c>
      <x:c r="D737" s="94" t="str">
        <x:v>英国</x:v>
      </x:c>
      <x:c r="E737" s="94" t="str">
        <x:v>品牌搜索</x:v>
      </x:c>
      <x:c r="F737" s="95" t="n">
        <x:v>78</x:v>
      </x:c>
      <x:c r="G737" s="95" t="n">
        <x:v>72</x:v>
      </x:c>
      <x:c r="H737" s="95" t="n">
        <x:v>49</x:v>
      </x:c>
      <x:c r="I737" s="95" t="n">
        <x:v>43</x:v>
      </x:c>
      <x:c r="J737" s="95" t="n">
        <x:v>20</x:v>
      </x:c>
      <x:c r="K737" s="95" t="n">
        <x:v>5</x:v>
      </x:c>
      <x:c r="L737" s="95" t="n">
        <x:v>2</x:v>
      </x:c>
      <x:c r="M737" s="96" t="n">
        <x:f>IFERROR(G737/F737,0)</x:f>
        <x:v>0.9230769230769231</x:v>
      </x:c>
      <x:c r="N737" s="96" t="n">
        <x:f>IFERROR(H737/G737,0)</x:f>
        <x:v>0.6805555555555556</x:v>
      </x:c>
      <x:c r="O737" s="96" t="n">
        <x:f>IFERROR(I737/H737,0)</x:f>
        <x:v>0.8775510204081632</x:v>
      </x:c>
      <x:c r="P737" s="96" t="n">
        <x:f>IFERROR(J737/I737,0)</x:f>
        <x:v>0.46511627906976744</x:v>
      </x:c>
      <x:c r="Q737" s="96" t="n">
        <x:f>IFERROR(L737/J737,0)</x:f>
        <x:v>0.1</x:v>
      </x:c>
      <x:c r="R737" s="96" t="n">
        <x:f>IFERROR(L737/F737,0)</x:f>
        <x:v>0.02564102564102564</x:v>
      </x:c>
      <x:c r="S737" s="95" t="n">
        <x:v>78</x:v>
      </x:c>
      <x:c r="T737" s="94" t="str">
        <x:v>末次点击7天</x:v>
      </x:c>
    </x:row>
    <x:row r="738">
      <x:c r="A738" s="92" t="str">
        <x:v>PROC-0737</x:v>
      </x:c>
      <x:c r="B738" s="93" t="n">
        <x:v>46156</x:v>
      </x:c>
      <x:c r="C738" s="94" t="str">
        <x:v>Google Ads</x:v>
      </x:c>
      <x:c r="D738" s="94" t="str">
        <x:v>美国</x:v>
      </x:c>
      <x:c r="E738" s="94" t="str">
        <x:v>购物广告</x:v>
      </x:c>
      <x:c r="F738" s="95" t="n">
        <x:v>53</x:v>
      </x:c>
      <x:c r="G738" s="95" t="n">
        <x:v>47</x:v>
      </x:c>
      <x:c r="H738" s="95" t="n">
        <x:v>32</x:v>
      </x:c>
      <x:c r="I738" s="95" t="n">
        <x:v>29</x:v>
      </x:c>
      <x:c r="J738" s="95" t="n">
        <x:v>12</x:v>
      </x:c>
      <x:c r="K738" s="95" t="n">
        <x:v>3</x:v>
      </x:c>
      <x:c r="L738" s="95" t="n">
        <x:v>1</x:v>
      </x:c>
      <x:c r="M738" s="96" t="n">
        <x:f>IFERROR(G738/F738,0)</x:f>
        <x:v>0.8867924528301887</x:v>
      </x:c>
      <x:c r="N738" s="96" t="n">
        <x:f>IFERROR(H738/G738,0)</x:f>
        <x:v>0.6808510638297872</x:v>
      </x:c>
      <x:c r="O738" s="96" t="n">
        <x:f>IFERROR(I738/H738,0)</x:f>
        <x:v>0.90625</x:v>
      </x:c>
      <x:c r="P738" s="96" t="n">
        <x:f>IFERROR(J738/I738,0)</x:f>
        <x:v>0.41379310344827586</x:v>
      </x:c>
      <x:c r="Q738" s="96" t="n">
        <x:f>IFERROR(L738/J738,0)</x:f>
        <x:v>0.08333333333333333</x:v>
      </x:c>
      <x:c r="R738" s="96" t="n">
        <x:f>IFERROR(L738/F738,0)</x:f>
        <x:v>0.018867924528301886</x:v>
      </x:c>
      <x:c r="S738" s="95" t="n">
        <x:v>118</x:v>
      </x:c>
      <x:c r="T738" s="94" t="str">
        <x:v>末次点击7天</x:v>
      </x:c>
    </x:row>
    <x:row r="739">
      <x:c r="A739" s="92" t="str">
        <x:v>PROC-0738</x:v>
      </x:c>
      <x:c r="B739" s="93" t="n">
        <x:v>46156</x:v>
      </x:c>
      <x:c r="C739" s="94" t="str">
        <x:v>Microsoft Ads</x:v>
      </x:c>
      <x:c r="D739" s="94" t="str">
        <x:v>德国</x:v>
      </x:c>
      <x:c r="E739" s="94" t="str">
        <x:v>通用搜索</x:v>
      </x:c>
      <x:c r="F739" s="95" t="n">
        <x:v>48</x:v>
      </x:c>
      <x:c r="G739" s="95" t="n">
        <x:v>45</x:v>
      </x:c>
      <x:c r="H739" s="95" t="n">
        <x:v>29</x:v>
      </x:c>
      <x:c r="I739" s="95" t="n">
        <x:v>25</x:v>
      </x:c>
      <x:c r="J739" s="95" t="n">
        <x:v>11</x:v>
      </x:c>
      <x:c r="K739" s="95" t="n">
        <x:v>3</x:v>
      </x:c>
      <x:c r="L739" s="95" t="n">
        <x:v>1</x:v>
      </x:c>
      <x:c r="M739" s="96" t="n">
        <x:f>IFERROR(G739/F739,0)</x:f>
        <x:v>0.9375</x:v>
      </x:c>
      <x:c r="N739" s="96" t="n">
        <x:f>IFERROR(H739/G739,0)</x:f>
        <x:v>0.6444444444444445</x:v>
      </x:c>
      <x:c r="O739" s="96" t="n">
        <x:f>IFERROR(I739/H739,0)</x:f>
        <x:v>0.8620689655172413</x:v>
      </x:c>
      <x:c r="P739" s="96" t="n">
        <x:f>IFERROR(J739/I739,0)</x:f>
        <x:v>0.44</x:v>
      </x:c>
      <x:c r="Q739" s="96" t="n">
        <x:f>IFERROR(L739/J739,0)</x:f>
        <x:v>0.09090909090909091</x:v>
      </x:c>
      <x:c r="R739" s="96" t="n">
        <x:f>IFERROR(L739/F739,0)</x:f>
        <x:v>0.020833333333333332</x:v>
      </x:c>
      <x:c r="S739" s="95" t="n">
        <x:v>113</x:v>
      </x:c>
      <x:c r="T739" s="94" t="str">
        <x:v>末次点击7天</x:v>
      </x:c>
    </x:row>
    <x:row r="740">
      <x:c r="A740" s="92" t="str">
        <x:v>PROC-0739</x:v>
      </x:c>
      <x:c r="B740" s="93" t="n">
        <x:v>46156</x:v>
      </x:c>
      <x:c r="C740" s="94" t="str">
        <x:v>Google Ads</x:v>
      </x:c>
      <x:c r="D740" s="94" t="str">
        <x:v>美国</x:v>
      </x:c>
      <x:c r="E740" s="94" t="str">
        <x:v>竞品搜索</x:v>
      </x:c>
      <x:c r="F740" s="95" t="n">
        <x:v>25</x:v>
      </x:c>
      <x:c r="G740" s="95" t="n">
        <x:v>22</x:v>
      </x:c>
      <x:c r="H740" s="95" t="n">
        <x:v>16</x:v>
      </x:c>
      <x:c r="I740" s="95" t="n">
        <x:v>13</x:v>
      </x:c>
      <x:c r="J740" s="95" t="n">
        <x:v>5</x:v>
      </x:c>
      <x:c r="K740" s="95" t="n">
        <x:v>1</x:v>
      </x:c>
      <x:c r="L740" s="95" t="n">
        <x:v>0</x:v>
      </x:c>
      <x:c r="M740" s="96" t="n">
        <x:f>IFERROR(G740/F740,0)</x:f>
        <x:v>0.88</x:v>
      </x:c>
      <x:c r="N740" s="96" t="n">
        <x:f>IFERROR(H740/G740,0)</x:f>
        <x:v>0.7272727272727273</x:v>
      </x:c>
      <x:c r="O740" s="96" t="n">
        <x:f>IFERROR(I740/H740,0)</x:f>
        <x:v>0.8125</x:v>
      </x:c>
      <x:c r="P740" s="96" t="n">
        <x:f>IFERROR(J740/I740,0)</x:f>
        <x:v>0.38461538461538464</x:v>
      </x:c>
      <x:c r="Q740" s="96" t="n">
        <x:f>IFERROR(L740/J740,0)</x:f>
        <x:v>0</x:v>
      </x:c>
      <x:c r="R740" s="96" t="n">
        <x:f>IFERROR(L740/F740,0)</x:f>
        <x:v>0</x:v>
      </x:c>
      <x:c r="S740" s="95" t="n">
        <x:v>68</x:v>
      </x:c>
      <x:c r="T740" s="94" t="str">
        <x:v>末次点击7天</x:v>
      </x:c>
    </x:row>
    <x:row r="741">
      <x:c r="A741" s="92" t="str">
        <x:v>PROC-0740</x:v>
      </x:c>
      <x:c r="B741" s="93" t="n">
        <x:v>46156</x:v>
      </x:c>
      <x:c r="C741" s="94" t="str">
        <x:v>Google Ads</x:v>
      </x:c>
      <x:c r="D741" s="94" t="str">
        <x:v>美国</x:v>
      </x:c>
      <x:c r="E741" s="94" t="str">
        <x:v>购物广告</x:v>
      </x:c>
      <x:c r="F741" s="95" t="n">
        <x:v>70</x:v>
      </x:c>
      <x:c r="G741" s="95" t="n">
        <x:v>62</x:v>
      </x:c>
      <x:c r="H741" s="95" t="n">
        <x:v>42</x:v>
      </x:c>
      <x:c r="I741" s="95" t="n">
        <x:v>37</x:v>
      </x:c>
      <x:c r="J741" s="95" t="n">
        <x:v>16</x:v>
      </x:c>
      <x:c r="K741" s="95" t="n">
        <x:v>5</x:v>
      </x:c>
      <x:c r="L741" s="95" t="n">
        <x:v>2</x:v>
      </x:c>
      <x:c r="M741" s="96" t="n">
        <x:f>IFERROR(G741/F741,0)</x:f>
        <x:v>0.8857142857142857</x:v>
      </x:c>
      <x:c r="N741" s="96" t="n">
        <x:f>IFERROR(H741/G741,0)</x:f>
        <x:v>0.6774193548387096</x:v>
      </x:c>
      <x:c r="O741" s="96" t="n">
        <x:f>IFERROR(I741/H741,0)</x:f>
        <x:v>0.8809523809523809</x:v>
      </x:c>
      <x:c r="P741" s="96" t="n">
        <x:f>IFERROR(J741/I741,0)</x:f>
        <x:v>0.43243243243243246</x:v>
      </x:c>
      <x:c r="Q741" s="96" t="n">
        <x:f>IFERROR(L741/J741,0)</x:f>
        <x:v>0.125</x:v>
      </x:c>
      <x:c r="R741" s="96" t="n">
        <x:f>IFERROR(L741/F741,0)</x:f>
        <x:v>0.02857142857142857</x:v>
      </x:c>
      <x:c r="S741" s="95" t="n">
        <x:v>124</x:v>
      </x:c>
      <x:c r="T741" s="94" t="str">
        <x:v>末次点击7天</x:v>
      </x:c>
    </x:row>
    <x:row r="742">
      <x:c r="A742" s="92" t="str">
        <x:v>PROC-0741</x:v>
      </x:c>
      <x:c r="B742" s="93" t="n">
        <x:v>46156</x:v>
      </x:c>
      <x:c r="C742" s="94" t="str">
        <x:v>Google Ads</x:v>
      </x:c>
      <x:c r="D742" s="94" t="str">
        <x:v>美国</x:v>
      </x:c>
      <x:c r="E742" s="94" t="str">
        <x:v>通用搜索</x:v>
      </x:c>
      <x:c r="F742" s="95" t="n">
        <x:v>49</x:v>
      </x:c>
      <x:c r="G742" s="95" t="n">
        <x:v>43</x:v>
      </x:c>
      <x:c r="H742" s="95" t="n">
        <x:v>29</x:v>
      </x:c>
      <x:c r="I742" s="95" t="n">
        <x:v>24</x:v>
      </x:c>
      <x:c r="J742" s="95" t="n">
        <x:v>10</x:v>
      </x:c>
      <x:c r="K742" s="95" t="n">
        <x:v>2</x:v>
      </x:c>
      <x:c r="L742" s="95" t="n">
        <x:v>1</x:v>
      </x:c>
      <x:c r="M742" s="96" t="n">
        <x:f>IFERROR(G742/F742,0)</x:f>
        <x:v>0.8775510204081632</x:v>
      </x:c>
      <x:c r="N742" s="96" t="n">
        <x:f>IFERROR(H742/G742,0)</x:f>
        <x:v>0.6744186046511628</x:v>
      </x:c>
      <x:c r="O742" s="96" t="n">
        <x:f>IFERROR(I742/H742,0)</x:f>
        <x:v>0.8275862068965517</x:v>
      </x:c>
      <x:c r="P742" s="96" t="n">
        <x:f>IFERROR(J742/I742,0)</x:f>
        <x:v>0.4166666666666667</x:v>
      </x:c>
      <x:c r="Q742" s="96" t="n">
        <x:f>IFERROR(L742/J742,0)</x:f>
        <x:v>0.1</x:v>
      </x:c>
      <x:c r="R742" s="96" t="n">
        <x:f>IFERROR(L742/F742,0)</x:f>
        <x:v>0.02040816326530612</x:v>
      </x:c>
      <x:c r="S742" s="95" t="n">
        <x:v>106</x:v>
      </x:c>
      <x:c r="T742" s="94" t="str">
        <x:v>末次点击7天</x:v>
      </x:c>
    </x:row>
    <x:row r="743">
      <x:c r="A743" s="92" t="str">
        <x:v>PROC-0742</x:v>
      </x:c>
      <x:c r="B743" s="93" t="n">
        <x:v>46157</x:v>
      </x:c>
      <x:c r="C743" s="94" t="str">
        <x:v>Microsoft Ads</x:v>
      </x:c>
      <x:c r="D743" s="94" t="str">
        <x:v>日本</x:v>
      </x:c>
      <x:c r="E743" s="94" t="str">
        <x:v>购物广告</x:v>
      </x:c>
      <x:c r="F743" s="95" t="n">
        <x:v>62</x:v>
      </x:c>
      <x:c r="G743" s="95" t="n">
        <x:v>60</x:v>
      </x:c>
      <x:c r="H743" s="95" t="n">
        <x:v>38</x:v>
      </x:c>
      <x:c r="I743" s="95" t="n">
        <x:v>34</x:v>
      </x:c>
      <x:c r="J743" s="95" t="n">
        <x:v>15</x:v>
      </x:c>
      <x:c r="K743" s="95" t="n">
        <x:v>4</x:v>
      </x:c>
      <x:c r="L743" s="95" t="n">
        <x:v>1</x:v>
      </x:c>
      <x:c r="M743" s="96" t="n">
        <x:f>IFERROR(G743/F743,0)</x:f>
        <x:v>0.967741935483871</x:v>
      </x:c>
      <x:c r="N743" s="96" t="n">
        <x:f>IFERROR(H743/G743,0)</x:f>
        <x:v>0.6333333333333333</x:v>
      </x:c>
      <x:c r="O743" s="96" t="n">
        <x:f>IFERROR(I743/H743,0)</x:f>
        <x:v>0.8947368421052632</x:v>
      </x:c>
      <x:c r="P743" s="96" t="n">
        <x:f>IFERROR(J743/I743,0)</x:f>
        <x:v>0.4411764705882353</x:v>
      </x:c>
      <x:c r="Q743" s="96" t="n">
        <x:f>IFERROR(L743/J743,0)</x:f>
        <x:v>0.06666666666666667</x:v>
      </x:c>
      <x:c r="R743" s="96" t="n">
        <x:f>IFERROR(L743/F743,0)</x:f>
        <x:v>0.016129032258064516</x:v>
      </x:c>
      <x:c r="S743" s="95" t="n">
        <x:v>113</x:v>
      </x:c>
      <x:c r="T743" s="94" t="str">
        <x:v>末次点击7天</x:v>
      </x:c>
    </x:row>
    <x:row r="744">
      <x:c r="A744" s="92" t="str">
        <x:v>PROC-0743</x:v>
      </x:c>
      <x:c r="B744" s="93" t="n">
        <x:v>46157</x:v>
      </x:c>
      <x:c r="C744" s="94" t="str">
        <x:v>Google Ads</x:v>
      </x:c>
      <x:c r="D744" s="94" t="str">
        <x:v>德国</x:v>
      </x:c>
      <x:c r="E744" s="94" t="str">
        <x:v>品牌搜索</x:v>
      </x:c>
      <x:c r="F744" s="95" t="n">
        <x:v>42</x:v>
      </x:c>
      <x:c r="G744" s="95" t="n">
        <x:v>39</x:v>
      </x:c>
      <x:c r="H744" s="95" t="n">
        <x:v>31</x:v>
      </x:c>
      <x:c r="I744" s="95" t="n">
        <x:v>24</x:v>
      </x:c>
      <x:c r="J744" s="95" t="n">
        <x:v>11</x:v>
      </x:c>
      <x:c r="K744" s="95" t="n">
        <x:v>2</x:v>
      </x:c>
      <x:c r="L744" s="95" t="n">
        <x:v>1</x:v>
      </x:c>
      <x:c r="M744" s="96" t="n">
        <x:f>IFERROR(G744/F744,0)</x:f>
        <x:v>0.9285714285714286</x:v>
      </x:c>
      <x:c r="N744" s="96" t="n">
        <x:f>IFERROR(H744/G744,0)</x:f>
        <x:v>0.7948717948717948</x:v>
      </x:c>
      <x:c r="O744" s="96" t="n">
        <x:f>IFERROR(I744/H744,0)</x:f>
        <x:v>0.7741935483870968</x:v>
      </x:c>
      <x:c r="P744" s="96" t="n">
        <x:f>IFERROR(J744/I744,0)</x:f>
        <x:v>0.4583333333333333</x:v>
      </x:c>
      <x:c r="Q744" s="96" t="n">
        <x:f>IFERROR(L744/J744,0)</x:f>
        <x:v>0.09090909090909091</x:v>
      </x:c>
      <x:c r="R744" s="96" t="n">
        <x:f>IFERROR(L744/F744,0)</x:f>
        <x:v>0.023809523809523808</x:v>
      </x:c>
      <x:c r="S744" s="95" t="n">
        <x:v>102</x:v>
      </x:c>
      <x:c r="T744" s="94" t="str">
        <x:v>末次点击7天</x:v>
      </x:c>
    </x:row>
    <x:row r="745">
      <x:c r="A745" s="92" t="str">
        <x:v>PROC-0744</x:v>
      </x:c>
      <x:c r="B745" s="93" t="n">
        <x:v>46157</x:v>
      </x:c>
      <x:c r="C745" s="94" t="str">
        <x:v>Google Ads</x:v>
      </x:c>
      <x:c r="D745" s="94" t="str">
        <x:v>德国</x:v>
      </x:c>
      <x:c r="E745" s="94" t="str">
        <x:v>通用搜索</x:v>
      </x:c>
      <x:c r="F745" s="95" t="n">
        <x:v>38</x:v>
      </x:c>
      <x:c r="G745" s="95" t="n">
        <x:v>35</x:v>
      </x:c>
      <x:c r="H745" s="95" t="n">
        <x:v>24</x:v>
      </x:c>
      <x:c r="I745" s="95" t="n">
        <x:v>21</x:v>
      </x:c>
      <x:c r="J745" s="95" t="n">
        <x:v>8</x:v>
      </x:c>
      <x:c r="K745" s="95" t="n">
        <x:v>2</x:v>
      </x:c>
      <x:c r="L745" s="95" t="n">
        <x:v>1</x:v>
      </x:c>
      <x:c r="M745" s="96" t="n">
        <x:f>IFERROR(G745/F745,0)</x:f>
        <x:v>0.9210526315789473</x:v>
      </x:c>
      <x:c r="N745" s="96" t="n">
        <x:f>IFERROR(H745/G745,0)</x:f>
        <x:v>0.6857142857142857</x:v>
      </x:c>
      <x:c r="O745" s="96" t="n">
        <x:f>IFERROR(I745/H745,0)</x:f>
        <x:v>0.875</x:v>
      </x:c>
      <x:c r="P745" s="96" t="n">
        <x:f>IFERROR(J745/I745,0)</x:f>
        <x:v>0.38095238095238093</x:v>
      </x:c>
      <x:c r="Q745" s="96" t="n">
        <x:f>IFERROR(L745/J745,0)</x:f>
        <x:v>0.125</x:v>
      </x:c>
      <x:c r="R745" s="96" t="n">
        <x:f>IFERROR(L745/F745,0)</x:f>
        <x:v>0.02631578947368421</x:v>
      </x:c>
      <x:c r="S745" s="95" t="n">
        <x:v>109</x:v>
      </x:c>
      <x:c r="T745" s="94" t="str">
        <x:v>末次点击7天</x:v>
      </x:c>
    </x:row>
    <x:row r="746">
      <x:c r="A746" s="92" t="str">
        <x:v>PROC-0745</x:v>
      </x:c>
      <x:c r="B746" s="93" t="n">
        <x:v>46157</x:v>
      </x:c>
      <x:c r="C746" s="94" t="str">
        <x:v>Google Ads</x:v>
      </x:c>
      <x:c r="D746" s="94" t="str">
        <x:v>美国</x:v>
      </x:c>
      <x:c r="E746" s="94" t="str">
        <x:v>购物广告</x:v>
      </x:c>
      <x:c r="F746" s="95" t="n">
        <x:v>59</x:v>
      </x:c>
      <x:c r="G746" s="95" t="n">
        <x:v>55</x:v>
      </x:c>
      <x:c r="H746" s="95" t="n">
        <x:v>34</x:v>
      </x:c>
      <x:c r="I746" s="95" t="n">
        <x:v>30</x:v>
      </x:c>
      <x:c r="J746" s="95" t="n">
        <x:v>12</x:v>
      </x:c>
      <x:c r="K746" s="95" t="n">
        <x:v>3</x:v>
      </x:c>
      <x:c r="L746" s="95" t="n">
        <x:v>1</x:v>
      </x:c>
      <x:c r="M746" s="96" t="n">
        <x:f>IFERROR(G746/F746,0)</x:f>
        <x:v>0.9322033898305084</x:v>
      </x:c>
      <x:c r="N746" s="96" t="n">
        <x:f>IFERROR(H746/G746,0)</x:f>
        <x:v>0.6181818181818182</x:v>
      </x:c>
      <x:c r="O746" s="96" t="n">
        <x:f>IFERROR(I746/H746,0)</x:f>
        <x:v>0.8823529411764706</x:v>
      </x:c>
      <x:c r="P746" s="96" t="n">
        <x:f>IFERROR(J746/I746,0)</x:f>
        <x:v>0.4</x:v>
      </x:c>
      <x:c r="Q746" s="96" t="n">
        <x:f>IFERROR(L746/J746,0)</x:f>
        <x:v>0.08333333333333333</x:v>
      </x:c>
      <x:c r="R746" s="96" t="n">
        <x:f>IFERROR(L746/F746,0)</x:f>
        <x:v>0.01694915254237288</x:v>
      </x:c>
      <x:c r="S746" s="95" t="n">
        <x:v>45</x:v>
      </x:c>
      <x:c r="T746" s="94" t="str">
        <x:v>末次点击7天</x:v>
      </x:c>
    </x:row>
    <x:row r="747">
      <x:c r="A747" s="92" t="str">
        <x:v>PROC-0746</x:v>
      </x:c>
      <x:c r="B747" s="93" t="n">
        <x:v>46157</x:v>
      </x:c>
      <x:c r="C747" s="94" t="str">
        <x:v>Google Ads</x:v>
      </x:c>
      <x:c r="D747" s="94" t="str">
        <x:v>美国</x:v>
      </x:c>
      <x:c r="E747" s="94" t="str">
        <x:v>品牌搜索</x:v>
      </x:c>
      <x:c r="F747" s="95" t="n">
        <x:v>60</x:v>
      </x:c>
      <x:c r="G747" s="95" t="n">
        <x:v>54</x:v>
      </x:c>
      <x:c r="H747" s="95" t="n">
        <x:v>38</x:v>
      </x:c>
      <x:c r="I747" s="95" t="n">
        <x:v>30</x:v>
      </x:c>
      <x:c r="J747" s="95" t="n">
        <x:v>15</x:v>
      </x:c>
      <x:c r="K747" s="95" t="n">
        <x:v>4</x:v>
      </x:c>
      <x:c r="L747" s="95" t="n">
        <x:v>2</x:v>
      </x:c>
      <x:c r="M747" s="96" t="n">
        <x:f>IFERROR(G747/F747,0)</x:f>
        <x:v>0.9</x:v>
      </x:c>
      <x:c r="N747" s="96" t="n">
        <x:f>IFERROR(H747/G747,0)</x:f>
        <x:v>0.7037037037037037</x:v>
      </x:c>
      <x:c r="O747" s="96" t="n">
        <x:f>IFERROR(I747/H747,0)</x:f>
        <x:v>0.7894736842105263</x:v>
      </x:c>
      <x:c r="P747" s="96" t="n">
        <x:f>IFERROR(J747/I747,0)</x:f>
        <x:v>0.5</x:v>
      </x:c>
      <x:c r="Q747" s="96" t="n">
        <x:f>IFERROR(L747/J747,0)</x:f>
        <x:v>0.13333333333333333</x:v>
      </x:c>
      <x:c r="R747" s="96" t="n">
        <x:f>IFERROR(L747/F747,0)</x:f>
        <x:v>0.03333333333333333</x:v>
      </x:c>
      <x:c r="S747" s="95" t="n">
        <x:v>74</x:v>
      </x:c>
      <x:c r="T747" s="94" t="str">
        <x:v>末次点击7天</x:v>
      </x:c>
    </x:row>
    <x:row r="748">
      <x:c r="A748" s="92" t="str">
        <x:v>PROC-0747</x:v>
      </x:c>
      <x:c r="B748" s="93" t="n">
        <x:v>46158</x:v>
      </x:c>
      <x:c r="C748" s="94" t="str">
        <x:v>Google Ads</x:v>
      </x:c>
      <x:c r="D748" s="94" t="str">
        <x:v>美国</x:v>
      </x:c>
      <x:c r="E748" s="94" t="str">
        <x:v>通用搜索</x:v>
      </x:c>
      <x:c r="F748" s="95" t="n">
        <x:v>37</x:v>
      </x:c>
      <x:c r="G748" s="95" t="n">
        <x:v>33</x:v>
      </x:c>
      <x:c r="H748" s="95" t="n">
        <x:v>24</x:v>
      </x:c>
      <x:c r="I748" s="95" t="n">
        <x:v>20</x:v>
      </x:c>
      <x:c r="J748" s="95" t="n">
        <x:v>8</x:v>
      </x:c>
      <x:c r="K748" s="95" t="n">
        <x:v>2</x:v>
      </x:c>
      <x:c r="L748" s="95" t="n">
        <x:v>1</x:v>
      </x:c>
      <x:c r="M748" s="96" t="n">
        <x:f>IFERROR(G748/F748,0)</x:f>
        <x:v>0.8918918918918919</x:v>
      </x:c>
      <x:c r="N748" s="96" t="n">
        <x:f>IFERROR(H748/G748,0)</x:f>
        <x:v>0.7272727272727273</x:v>
      </x:c>
      <x:c r="O748" s="96" t="n">
        <x:f>IFERROR(I748/H748,0)</x:f>
        <x:v>0.8333333333333334</x:v>
      </x:c>
      <x:c r="P748" s="96" t="n">
        <x:f>IFERROR(J748/I748,0)</x:f>
        <x:v>0.4</x:v>
      </x:c>
      <x:c r="Q748" s="96" t="n">
        <x:f>IFERROR(L748/J748,0)</x:f>
        <x:v>0.125</x:v>
      </x:c>
      <x:c r="R748" s="96" t="n">
        <x:f>IFERROR(L748/F748,0)</x:f>
        <x:v>0.02702702702702703</x:v>
      </x:c>
      <x:c r="S748" s="95" t="n">
        <x:v>126</x:v>
      </x:c>
      <x:c r="T748" s="94" t="str">
        <x:v>末次点击7天</x:v>
      </x:c>
    </x:row>
    <x:row r="749">
      <x:c r="A749" s="92" t="str">
        <x:v>PROC-0748</x:v>
      </x:c>
      <x:c r="B749" s="93" t="n">
        <x:v>46158</x:v>
      </x:c>
      <x:c r="C749" s="94" t="str">
        <x:v>Google Ads</x:v>
      </x:c>
      <x:c r="D749" s="94" t="str">
        <x:v>美国</x:v>
      </x:c>
      <x:c r="E749" s="94" t="str">
        <x:v>购物广告</x:v>
      </x:c>
      <x:c r="F749" s="95" t="n">
        <x:v>77</x:v>
      </x:c>
      <x:c r="G749" s="95" t="n">
        <x:v>68</x:v>
      </x:c>
      <x:c r="H749" s="95" t="n">
        <x:v>49</x:v>
      </x:c>
      <x:c r="I749" s="95" t="n">
        <x:v>42</x:v>
      </x:c>
      <x:c r="J749" s="95" t="n">
        <x:v>20</x:v>
      </x:c>
      <x:c r="K749" s="95" t="n">
        <x:v>5</x:v>
      </x:c>
      <x:c r="L749" s="95" t="n">
        <x:v>2</x:v>
      </x:c>
      <x:c r="M749" s="96" t="n">
        <x:f>IFERROR(G749/F749,0)</x:f>
        <x:v>0.8831168831168831</x:v>
      </x:c>
      <x:c r="N749" s="96" t="n">
        <x:f>IFERROR(H749/G749,0)</x:f>
        <x:v>0.7205882352941176</x:v>
      </x:c>
      <x:c r="O749" s="96" t="n">
        <x:f>IFERROR(I749/H749,0)</x:f>
        <x:v>0.8571428571428571</x:v>
      </x:c>
      <x:c r="P749" s="96" t="n">
        <x:f>IFERROR(J749/I749,0)</x:f>
        <x:v>0.47619047619047616</x:v>
      </x:c>
      <x:c r="Q749" s="96" t="n">
        <x:f>IFERROR(L749/J749,0)</x:f>
        <x:v>0.1</x:v>
      </x:c>
      <x:c r="R749" s="96" t="n">
        <x:f>IFERROR(L749/F749,0)</x:f>
        <x:v>0.025974025974025976</x:v>
      </x:c>
      <x:c r="S749" s="95" t="n">
        <x:v>130</x:v>
      </x:c>
      <x:c r="T749" s="94" t="str">
        <x:v>末次点击7天</x:v>
      </x:c>
    </x:row>
    <x:row r="750">
      <x:c r="A750" s="92" t="str">
        <x:v>PROC-0749</x:v>
      </x:c>
      <x:c r="B750" s="93" t="n">
        <x:v>46158</x:v>
      </x:c>
      <x:c r="C750" s="94" t="str">
        <x:v>Google Ads</x:v>
      </x:c>
      <x:c r="D750" s="94" t="str">
        <x:v>美国</x:v>
      </x:c>
      <x:c r="E750" s="94" t="str">
        <x:v>通用搜索</x:v>
      </x:c>
      <x:c r="F750" s="95" t="n">
        <x:v>37</x:v>
      </x:c>
      <x:c r="G750" s="95" t="n">
        <x:v>33</x:v>
      </x:c>
      <x:c r="H750" s="95" t="n">
        <x:v>21</x:v>
      </x:c>
      <x:c r="I750" s="95" t="n">
        <x:v>17</x:v>
      </x:c>
      <x:c r="J750" s="95" t="n">
        <x:v>7</x:v>
      </x:c>
      <x:c r="K750" s="95" t="n">
        <x:v>2</x:v>
      </x:c>
      <x:c r="L750" s="95" t="n">
        <x:v>0</x:v>
      </x:c>
      <x:c r="M750" s="96" t="n">
        <x:f>IFERROR(G750/F750,0)</x:f>
        <x:v>0.8918918918918919</x:v>
      </x:c>
      <x:c r="N750" s="96" t="n">
        <x:f>IFERROR(H750/G750,0)</x:f>
        <x:v>0.6363636363636364</x:v>
      </x:c>
      <x:c r="O750" s="96" t="n">
        <x:f>IFERROR(I750/H750,0)</x:f>
        <x:v>0.8095238095238095</x:v>
      </x:c>
      <x:c r="P750" s="96" t="n">
        <x:f>IFERROR(J750/I750,0)</x:f>
        <x:v>0.4117647058823529</x:v>
      </x:c>
      <x:c r="Q750" s="96" t="n">
        <x:f>IFERROR(L750/J750,0)</x:f>
        <x:v>0</x:v>
      </x:c>
      <x:c r="R750" s="96" t="n">
        <x:f>IFERROR(L750/F750,0)</x:f>
        <x:v>0</x:v>
      </x:c>
      <x:c r="S750" s="95" t="n">
        <x:v>110</x:v>
      </x:c>
      <x:c r="T750" s="94" t="str">
        <x:v>末次点击7天</x:v>
      </x:c>
    </x:row>
    <x:row r="751">
      <x:c r="A751" s="92" t="str">
        <x:v>PROC-0750</x:v>
      </x:c>
      <x:c r="B751" s="93" t="n">
        <x:v>46158</x:v>
      </x:c>
      <x:c r="C751" s="94" t="str">
        <x:v>Microsoft Ads</x:v>
      </x:c>
      <x:c r="D751" s="94" t="str">
        <x:v>英国</x:v>
      </x:c>
      <x:c r="E751" s="94" t="str">
        <x:v>购物广告</x:v>
      </x:c>
      <x:c r="F751" s="95" t="n">
        <x:v>60</x:v>
      </x:c>
      <x:c r="G751" s="95" t="n">
        <x:v>57</x:v>
      </x:c>
      <x:c r="H751" s="95" t="n">
        <x:v>39</x:v>
      </x:c>
      <x:c r="I751" s="95" t="n">
        <x:v>34</x:v>
      </x:c>
      <x:c r="J751" s="95" t="n">
        <x:v>16</x:v>
      </x:c>
      <x:c r="K751" s="95" t="n">
        <x:v>5</x:v>
      </x:c>
      <x:c r="L751" s="95" t="n">
        <x:v>1</x:v>
      </x:c>
      <x:c r="M751" s="96" t="n">
        <x:f>IFERROR(G751/F751,0)</x:f>
        <x:v>0.95</x:v>
      </x:c>
      <x:c r="N751" s="96" t="n">
        <x:f>IFERROR(H751/G751,0)</x:f>
        <x:v>0.6842105263157895</x:v>
      </x:c>
      <x:c r="O751" s="96" t="n">
        <x:f>IFERROR(I751/H751,0)</x:f>
        <x:v>0.8717948717948718</x:v>
      </x:c>
      <x:c r="P751" s="96" t="n">
        <x:f>IFERROR(J751/I751,0)</x:f>
        <x:v>0.47058823529411764</x:v>
      </x:c>
      <x:c r="Q751" s="96" t="n">
        <x:f>IFERROR(L751/J751,0)</x:f>
        <x:v>0.0625</x:v>
      </x:c>
      <x:c r="R751" s="96" t="n">
        <x:f>IFERROR(L751/F751,0)</x:f>
        <x:v>0.016666666666666666</x:v>
      </x:c>
      <x:c r="S751" s="95" t="n">
        <x:v>75</x:v>
      </x:c>
      <x:c r="T751" s="94" t="str">
        <x:v>末次点击7天</x:v>
      </x:c>
    </x:row>
    <x:row r="752">
      <x:c r="A752" s="92" t="str">
        <x:v>PROC-0751</x:v>
      </x:c>
      <x:c r="B752" s="93" t="n">
        <x:v>46158</x:v>
      </x:c>
      <x:c r="C752" s="94" t="str">
        <x:v>Google Ads</x:v>
      </x:c>
      <x:c r="D752" s="94" t="str">
        <x:v>美国</x:v>
      </x:c>
      <x:c r="E752" s="94" t="str">
        <x:v>通用搜索</x:v>
      </x:c>
      <x:c r="F752" s="95" t="n">
        <x:v>33</x:v>
      </x:c>
      <x:c r="G752" s="95" t="n">
        <x:v>30</x:v>
      </x:c>
      <x:c r="H752" s="95" t="n">
        <x:v>21</x:v>
      </x:c>
      <x:c r="I752" s="95" t="n">
        <x:v>18</x:v>
      </x:c>
      <x:c r="J752" s="95" t="n">
        <x:v>7</x:v>
      </x:c>
      <x:c r="K752" s="95" t="n">
        <x:v>2</x:v>
      </x:c>
      <x:c r="L752" s="95" t="n">
        <x:v>1</x:v>
      </x:c>
      <x:c r="M752" s="96" t="n">
        <x:f>IFERROR(G752/F752,0)</x:f>
        <x:v>0.9090909090909091</x:v>
      </x:c>
      <x:c r="N752" s="96" t="n">
        <x:f>IFERROR(H752/G752,0)</x:f>
        <x:v>0.7</x:v>
      </x:c>
      <x:c r="O752" s="96" t="n">
        <x:f>IFERROR(I752/H752,0)</x:f>
        <x:v>0.8571428571428571</x:v>
      </x:c>
      <x:c r="P752" s="96" t="n">
        <x:f>IFERROR(J752/I752,0)</x:f>
        <x:v>0.3888888888888889</x:v>
      </x:c>
      <x:c r="Q752" s="96" t="n">
        <x:f>IFERROR(L752/J752,0)</x:f>
        <x:v>0.14285714285714285</x:v>
      </x:c>
      <x:c r="R752" s="96" t="n">
        <x:f>IFERROR(L752/F752,0)</x:f>
        <x:v>0.030303030303030304</x:v>
      </x:c>
      <x:c r="S752" s="95" t="n">
        <x:v>106</x:v>
      </x:c>
      <x:c r="T752" s="94" t="str">
        <x:v>末次点击7天</x:v>
      </x:c>
    </x:row>
    <x:row r="753">
      <x:c r="A753" s="92" t="str">
        <x:v>PROC-0752</x:v>
      </x:c>
      <x:c r="B753" s="93" t="n">
        <x:v>46158</x:v>
      </x:c>
      <x:c r="C753" s="94" t="str">
        <x:v>Microsoft Ads</x:v>
      </x:c>
      <x:c r="D753" s="94" t="str">
        <x:v>英国</x:v>
      </x:c>
      <x:c r="E753" s="94" t="str">
        <x:v>品牌搜索</x:v>
      </x:c>
      <x:c r="F753" s="95" t="n">
        <x:v>85</x:v>
      </x:c>
      <x:c r="G753" s="95" t="n">
        <x:v>75</x:v>
      </x:c>
      <x:c r="H753" s="95" t="n">
        <x:v>52</x:v>
      </x:c>
      <x:c r="I753" s="95" t="n">
        <x:v>42</x:v>
      </x:c>
      <x:c r="J753" s="95" t="n">
        <x:v>18</x:v>
      </x:c>
      <x:c r="K753" s="95" t="n">
        <x:v>5</x:v>
      </x:c>
      <x:c r="L753" s="95" t="n">
        <x:v>2</x:v>
      </x:c>
      <x:c r="M753" s="96" t="n">
        <x:f>IFERROR(G753/F753,0)</x:f>
        <x:v>0.8823529411764706</x:v>
      </x:c>
      <x:c r="N753" s="96" t="n">
        <x:f>IFERROR(H753/G753,0)</x:f>
        <x:v>0.6933333333333334</x:v>
      </x:c>
      <x:c r="O753" s="96" t="n">
        <x:f>IFERROR(I753/H753,0)</x:f>
        <x:v>0.8076923076923077</x:v>
      </x:c>
      <x:c r="P753" s="96" t="n">
        <x:f>IFERROR(J753/I753,0)</x:f>
        <x:v>0.42857142857142855</x:v>
      </x:c>
      <x:c r="Q753" s="96" t="n">
        <x:f>IFERROR(L753/J753,0)</x:f>
        <x:v>0.1111111111111111</x:v>
      </x:c>
      <x:c r="R753" s="96" t="n">
        <x:f>IFERROR(L753/F753,0)</x:f>
        <x:v>0.023529411764705882</x:v>
      </x:c>
      <x:c r="S753" s="95" t="n">
        <x:v>72</x:v>
      </x:c>
      <x:c r="T753" s="94" t="str">
        <x:v>末次点击7天</x:v>
      </x:c>
    </x:row>
    <x:row r="754">
      <x:c r="A754" s="92" t="str">
        <x:v>PROC-0753</x:v>
      </x:c>
      <x:c r="B754" s="93" t="n">
        <x:v>46159</x:v>
      </x:c>
      <x:c r="C754" s="94" t="str">
        <x:v>Microsoft Ads</x:v>
      </x:c>
      <x:c r="D754" s="94" t="str">
        <x:v>美国</x:v>
      </x:c>
      <x:c r="E754" s="94" t="str">
        <x:v>竞品搜索</x:v>
      </x:c>
      <x:c r="F754" s="95" t="n">
        <x:v>19</x:v>
      </x:c>
      <x:c r="G754" s="95" t="n">
        <x:v>17</x:v>
      </x:c>
      <x:c r="H754" s="95" t="n">
        <x:v>11</x:v>
      </x:c>
      <x:c r="I754" s="95" t="n">
        <x:v>9</x:v>
      </x:c>
      <x:c r="J754" s="95" t="n">
        <x:v>3</x:v>
      </x:c>
      <x:c r="K754" s="95" t="n">
        <x:v>1</x:v>
      </x:c>
      <x:c r="L754" s="95" t="n">
        <x:v>0</x:v>
      </x:c>
      <x:c r="M754" s="96" t="n">
        <x:f>IFERROR(G754/F754,0)</x:f>
        <x:v>0.8947368421052632</x:v>
      </x:c>
      <x:c r="N754" s="96" t="n">
        <x:f>IFERROR(H754/G754,0)</x:f>
        <x:v>0.6470588235294118</x:v>
      </x:c>
      <x:c r="O754" s="96" t="n">
        <x:f>IFERROR(I754/H754,0)</x:f>
        <x:v>0.8181818181818182</x:v>
      </x:c>
      <x:c r="P754" s="96" t="n">
        <x:f>IFERROR(J754/I754,0)</x:f>
        <x:v>0.3333333333333333</x:v>
      </x:c>
      <x:c r="Q754" s="96" t="n">
        <x:f>IFERROR(L754/J754,0)</x:f>
        <x:v>0</x:v>
      </x:c>
      <x:c r="R754" s="96" t="n">
        <x:f>IFERROR(L754/F754,0)</x:f>
        <x:v>0</x:v>
      </x:c>
      <x:c r="S754" s="95" t="n">
        <x:v>138</x:v>
      </x:c>
      <x:c r="T754" s="94" t="str">
        <x:v>末次点击7天</x:v>
      </x:c>
    </x:row>
    <x:row r="755">
      <x:c r="A755" s="92" t="str">
        <x:v>PROC-0754</x:v>
      </x:c>
      <x:c r="B755" s="93" t="n">
        <x:v>46159</x:v>
      </x:c>
      <x:c r="C755" s="94" t="str">
        <x:v>Microsoft Ads</x:v>
      </x:c>
      <x:c r="D755" s="94" t="str">
        <x:v>美国</x:v>
      </x:c>
      <x:c r="E755" s="94" t="str">
        <x:v>购物广告</x:v>
      </x:c>
      <x:c r="F755" s="95" t="n">
        <x:v>71</x:v>
      </x:c>
      <x:c r="G755" s="95" t="n">
        <x:v>63</x:v>
      </x:c>
      <x:c r="H755" s="95" t="n">
        <x:v>47</x:v>
      </x:c>
      <x:c r="I755" s="95" t="n">
        <x:v>40</x:v>
      </x:c>
      <x:c r="J755" s="95" t="n">
        <x:v>18</x:v>
      </x:c>
      <x:c r="K755" s="95" t="n">
        <x:v>5</x:v>
      </x:c>
      <x:c r="L755" s="95" t="n">
        <x:v>1</x:v>
      </x:c>
      <x:c r="M755" s="96" t="n">
        <x:f>IFERROR(G755/F755,0)</x:f>
        <x:v>0.8873239436619719</x:v>
      </x:c>
      <x:c r="N755" s="96" t="n">
        <x:f>IFERROR(H755/G755,0)</x:f>
        <x:v>0.746031746031746</x:v>
      </x:c>
      <x:c r="O755" s="96" t="n">
        <x:f>IFERROR(I755/H755,0)</x:f>
        <x:v>0.851063829787234</x:v>
      </x:c>
      <x:c r="P755" s="96" t="n">
        <x:f>IFERROR(J755/I755,0)</x:f>
        <x:v>0.45</x:v>
      </x:c>
      <x:c r="Q755" s="96" t="n">
        <x:f>IFERROR(L755/J755,0)</x:f>
        <x:v>0.05555555555555555</x:v>
      </x:c>
      <x:c r="R755" s="96" t="n">
        <x:f>IFERROR(L755/F755,0)</x:f>
        <x:v>0.014084507042253521</x:v>
      </x:c>
      <x:c r="S755" s="95" t="n">
        <x:v>138</x:v>
      </x:c>
      <x:c r="T755" s="94" t="str">
        <x:v>末次点击7天</x:v>
      </x:c>
    </x:row>
    <x:row r="756">
      <x:c r="A756" s="92" t="str">
        <x:v>PROC-0755</x:v>
      </x:c>
      <x:c r="B756" s="93" t="n">
        <x:v>46159</x:v>
      </x:c>
      <x:c r="C756" s="94" t="str">
        <x:v>Google Ads</x:v>
      </x:c>
      <x:c r="D756" s="94" t="str">
        <x:v>英国</x:v>
      </x:c>
      <x:c r="E756" s="94" t="str">
        <x:v>通用搜索</x:v>
      </x:c>
      <x:c r="F756" s="95" t="n">
        <x:v>36</x:v>
      </x:c>
      <x:c r="G756" s="95" t="n">
        <x:v>34</x:v>
      </x:c>
      <x:c r="H756" s="95" t="n">
        <x:v>22</x:v>
      </x:c>
      <x:c r="I756" s="95" t="n">
        <x:v>19</x:v>
      </x:c>
      <x:c r="J756" s="95" t="n">
        <x:v>8</x:v>
      </x:c>
      <x:c r="K756" s="95" t="n">
        <x:v>2</x:v>
      </x:c>
      <x:c r="L756" s="95" t="n">
        <x:v>1</x:v>
      </x:c>
      <x:c r="M756" s="96" t="n">
        <x:f>IFERROR(G756/F756,0)</x:f>
        <x:v>0.9444444444444444</x:v>
      </x:c>
      <x:c r="N756" s="96" t="n">
        <x:f>IFERROR(H756/G756,0)</x:f>
        <x:v>0.6470588235294118</x:v>
      </x:c>
      <x:c r="O756" s="96" t="n">
        <x:f>IFERROR(I756/H756,0)</x:f>
        <x:v>0.8636363636363636</x:v>
      </x:c>
      <x:c r="P756" s="96" t="n">
        <x:f>IFERROR(J756/I756,0)</x:f>
        <x:v>0.42105263157894735</x:v>
      </x:c>
      <x:c r="Q756" s="96" t="n">
        <x:f>IFERROR(L756/J756,0)</x:f>
        <x:v>0.125</x:v>
      </x:c>
      <x:c r="R756" s="96" t="n">
        <x:f>IFERROR(L756/F756,0)</x:f>
        <x:v>0.027777777777777776</x:v>
      </x:c>
      <x:c r="S756" s="95" t="n">
        <x:v>113</x:v>
      </x:c>
      <x:c r="T756" s="94" t="str">
        <x:v>末次点击7天</x:v>
      </x:c>
    </x:row>
    <x:row r="757">
      <x:c r="A757" s="92" t="str">
        <x:v>PROC-0756</x:v>
      </x:c>
      <x:c r="B757" s="93" t="n">
        <x:v>46159</x:v>
      </x:c>
      <x:c r="C757" s="94" t="str">
        <x:v>Google Ads</x:v>
      </x:c>
      <x:c r="D757" s="94" t="str">
        <x:v>美国</x:v>
      </x:c>
      <x:c r="E757" s="94" t="str">
        <x:v>竞品搜索</x:v>
      </x:c>
      <x:c r="F757" s="95" t="n">
        <x:v>23</x:v>
      </x:c>
      <x:c r="G757" s="95" t="n">
        <x:v>21</x:v>
      </x:c>
      <x:c r="H757" s="95" t="n">
        <x:v>15</x:v>
      </x:c>
      <x:c r="I757" s="95" t="n">
        <x:v>13</x:v>
      </x:c>
      <x:c r="J757" s="95" t="n">
        <x:v>6</x:v>
      </x:c>
      <x:c r="K757" s="95" t="n">
        <x:v>1</x:v>
      </x:c>
      <x:c r="L757" s="95" t="n">
        <x:v>0</x:v>
      </x:c>
      <x:c r="M757" s="96" t="n">
        <x:f>IFERROR(G757/F757,0)</x:f>
        <x:v>0.9130434782608695</x:v>
      </x:c>
      <x:c r="N757" s="96" t="n">
        <x:f>IFERROR(H757/G757,0)</x:f>
        <x:v>0.7142857142857143</x:v>
      </x:c>
      <x:c r="O757" s="96" t="n">
        <x:f>IFERROR(I757/H757,0)</x:f>
        <x:v>0.8666666666666667</x:v>
      </x:c>
      <x:c r="P757" s="96" t="n">
        <x:f>IFERROR(J757/I757,0)</x:f>
        <x:v>0.46153846153846156</x:v>
      </x:c>
      <x:c r="Q757" s="96" t="n">
        <x:f>IFERROR(L757/J757,0)</x:f>
        <x:v>0</x:v>
      </x:c>
      <x:c r="R757" s="96" t="n">
        <x:f>IFERROR(L757/F757,0)</x:f>
        <x:v>0</x:v>
      </x:c>
      <x:c r="S757" s="95" t="n">
        <x:v>53</x:v>
      </x:c>
      <x:c r="T757" s="94" t="str">
        <x:v>末次点击7天</x:v>
      </x:c>
    </x:row>
    <x:row r="758">
      <x:c r="A758" s="92" t="str">
        <x:v>PROC-0757</x:v>
      </x:c>
      <x:c r="B758" s="93" t="n">
        <x:v>46159</x:v>
      </x:c>
      <x:c r="C758" s="94" t="str">
        <x:v>Microsoft Ads</x:v>
      </x:c>
      <x:c r="D758" s="94" t="str">
        <x:v>美国</x:v>
      </x:c>
      <x:c r="E758" s="94" t="str">
        <x:v>竞品搜索</x:v>
      </x:c>
      <x:c r="F758" s="95" t="n">
        <x:v>36</x:v>
      </x:c>
      <x:c r="G758" s="95" t="n">
        <x:v>33</x:v>
      </x:c>
      <x:c r="H758" s="95" t="n">
        <x:v>22</x:v>
      </x:c>
      <x:c r="I758" s="95" t="n">
        <x:v>18</x:v>
      </x:c>
      <x:c r="J758" s="95" t="n">
        <x:v>8</x:v>
      </x:c>
      <x:c r="K758" s="95" t="n">
        <x:v>2</x:v>
      </x:c>
      <x:c r="L758" s="95" t="n">
        <x:v>1</x:v>
      </x:c>
      <x:c r="M758" s="96" t="n">
        <x:f>IFERROR(G758/F758,0)</x:f>
        <x:v>0.9166666666666666</x:v>
      </x:c>
      <x:c r="N758" s="96" t="n">
        <x:f>IFERROR(H758/G758,0)</x:f>
        <x:v>0.6666666666666666</x:v>
      </x:c>
      <x:c r="O758" s="96" t="n">
        <x:f>IFERROR(I758/H758,0)</x:f>
        <x:v>0.8181818181818182</x:v>
      </x:c>
      <x:c r="P758" s="96" t="n">
        <x:f>IFERROR(J758/I758,0)</x:f>
        <x:v>0.4444444444444444</x:v>
      </x:c>
      <x:c r="Q758" s="96" t="n">
        <x:f>IFERROR(L758/J758,0)</x:f>
        <x:v>0.125</x:v>
      </x:c>
      <x:c r="R758" s="96" t="n">
        <x:f>IFERROR(L758/F758,0)</x:f>
        <x:v>0.027777777777777776</x:v>
      </x:c>
      <x:c r="S758" s="95" t="n">
        <x:v>129</x:v>
      </x:c>
      <x:c r="T758" s="94" t="str">
        <x:v>末次点击7天</x:v>
      </x:c>
    </x:row>
    <x:row r="759">
      <x:c r="A759" s="92" t="str">
        <x:v>PROC-0758</x:v>
      </x:c>
      <x:c r="B759" s="93" t="n">
        <x:v>46160</x:v>
      </x:c>
      <x:c r="C759" s="94" t="str">
        <x:v>Google Ads</x:v>
      </x:c>
      <x:c r="D759" s="94" t="str">
        <x:v>英国</x:v>
      </x:c>
      <x:c r="E759" s="94" t="str">
        <x:v>购物广告</x:v>
      </x:c>
      <x:c r="F759" s="95" t="n">
        <x:v>30</x:v>
      </x:c>
      <x:c r="G759" s="95" t="n">
        <x:v>26</x:v>
      </x:c>
      <x:c r="H759" s="95" t="n">
        <x:v>19</x:v>
      </x:c>
      <x:c r="I759" s="95" t="n">
        <x:v>16</x:v>
      </x:c>
      <x:c r="J759" s="95" t="n">
        <x:v>8</x:v>
      </x:c>
      <x:c r="K759" s="95" t="n">
        <x:v>3</x:v>
      </x:c>
      <x:c r="L759" s="95" t="n">
        <x:v>1</x:v>
      </x:c>
      <x:c r="M759" s="96" t="n">
        <x:f>IFERROR(G759/F759,0)</x:f>
        <x:v>0.8666666666666667</x:v>
      </x:c>
      <x:c r="N759" s="96" t="n">
        <x:f>IFERROR(H759/G759,0)</x:f>
        <x:v>0.7307692307692307</x:v>
      </x:c>
      <x:c r="O759" s="96" t="n">
        <x:f>IFERROR(I759/H759,0)</x:f>
        <x:v>0.8421052631578947</x:v>
      </x:c>
      <x:c r="P759" s="96" t="n">
        <x:f>IFERROR(J759/I759,0)</x:f>
        <x:v>0.5</x:v>
      </x:c>
      <x:c r="Q759" s="96" t="n">
        <x:f>IFERROR(L759/J759,0)</x:f>
        <x:v>0.125</x:v>
      </x:c>
      <x:c r="R759" s="96" t="n">
        <x:f>IFERROR(L759/F759,0)</x:f>
        <x:v>0.03333333333333333</x:v>
      </x:c>
      <x:c r="S759" s="95" t="n">
        <x:v>52</x:v>
      </x:c>
      <x:c r="T759" s="94" t="str">
        <x:v>末次点击7天</x:v>
      </x:c>
    </x:row>
    <x:row r="760">
      <x:c r="A760" s="92" t="str">
        <x:v>PROC-0759</x:v>
      </x:c>
      <x:c r="B760" s="93" t="n">
        <x:v>46160</x:v>
      </x:c>
      <x:c r="C760" s="94" t="str">
        <x:v>Microsoft Ads</x:v>
      </x:c>
      <x:c r="D760" s="94" t="str">
        <x:v>美国</x:v>
      </x:c>
      <x:c r="E760" s="94" t="str">
        <x:v>购物广告</x:v>
      </x:c>
      <x:c r="F760" s="95" t="n">
        <x:v>41</x:v>
      </x:c>
      <x:c r="G760" s="95" t="n">
        <x:v>38</x:v>
      </x:c>
      <x:c r="H760" s="95" t="n">
        <x:v>28</x:v>
      </x:c>
      <x:c r="I760" s="95" t="n">
        <x:v>24</x:v>
      </x:c>
      <x:c r="J760" s="95" t="n">
        <x:v>12</x:v>
      </x:c>
      <x:c r="K760" s="95" t="n">
        <x:v>2</x:v>
      </x:c>
      <x:c r="L760" s="95" t="n">
        <x:v>1</x:v>
      </x:c>
      <x:c r="M760" s="96" t="n">
        <x:f>IFERROR(G760/F760,0)</x:f>
        <x:v>0.926829268292683</x:v>
      </x:c>
      <x:c r="N760" s="96" t="n">
        <x:f>IFERROR(H760/G760,0)</x:f>
        <x:v>0.7368421052631579</x:v>
      </x:c>
      <x:c r="O760" s="96" t="n">
        <x:f>IFERROR(I760/H760,0)</x:f>
        <x:v>0.8571428571428571</x:v>
      </x:c>
      <x:c r="P760" s="96" t="n">
        <x:f>IFERROR(J760/I760,0)</x:f>
        <x:v>0.5</x:v>
      </x:c>
      <x:c r="Q760" s="96" t="n">
        <x:f>IFERROR(L760/J760,0)</x:f>
        <x:v>0.08333333333333333</x:v>
      </x:c>
      <x:c r="R760" s="96" t="n">
        <x:f>IFERROR(L760/F760,0)</x:f>
        <x:v>0.024390243902439025</x:v>
      </x:c>
      <x:c r="S760" s="95" t="n">
        <x:v>102</x:v>
      </x:c>
      <x:c r="T760" s="94" t="str">
        <x:v>末次点击7天</x:v>
      </x:c>
    </x:row>
    <x:row r="761">
      <x:c r="A761" s="92" t="str">
        <x:v>PROC-0760</x:v>
      </x:c>
      <x:c r="B761" s="93" t="n">
        <x:v>46160</x:v>
      </x:c>
      <x:c r="C761" s="94" t="str">
        <x:v>Google Ads</x:v>
      </x:c>
      <x:c r="D761" s="94" t="str">
        <x:v>英国</x:v>
      </x:c>
      <x:c r="E761" s="94" t="str">
        <x:v>竞品搜索</x:v>
      </x:c>
      <x:c r="F761" s="95" t="n">
        <x:v>32</x:v>
      </x:c>
      <x:c r="G761" s="95" t="n">
        <x:v>30</x:v>
      </x:c>
      <x:c r="H761" s="95" t="n">
        <x:v>22</x:v>
      </x:c>
      <x:c r="I761" s="95" t="n">
        <x:v>19</x:v>
      </x:c>
      <x:c r="J761" s="95" t="n">
        <x:v>8</x:v>
      </x:c>
      <x:c r="K761" s="95" t="n">
        <x:v>3</x:v>
      </x:c>
      <x:c r="L761" s="95" t="n">
        <x:v>1</x:v>
      </x:c>
      <x:c r="M761" s="96" t="n">
        <x:f>IFERROR(G761/F761,0)</x:f>
        <x:v>0.9375</x:v>
      </x:c>
      <x:c r="N761" s="96" t="n">
        <x:f>IFERROR(H761/G761,0)</x:f>
        <x:v>0.7333333333333333</x:v>
      </x:c>
      <x:c r="O761" s="96" t="n">
        <x:f>IFERROR(I761/H761,0)</x:f>
        <x:v>0.8636363636363636</x:v>
      </x:c>
      <x:c r="P761" s="96" t="n">
        <x:f>IFERROR(J761/I761,0)</x:f>
        <x:v>0.42105263157894735</x:v>
      </x:c>
      <x:c r="Q761" s="96" t="n">
        <x:f>IFERROR(L761/J761,0)</x:f>
        <x:v>0.125</x:v>
      </x:c>
      <x:c r="R761" s="96" t="n">
        <x:f>IFERROR(L761/F761,0)</x:f>
        <x:v>0.03125</x:v>
      </x:c>
      <x:c r="S761" s="95" t="n">
        <x:v>65</x:v>
      </x:c>
      <x:c r="T761" s="94" t="str">
        <x:v>末次点击7天</x:v>
      </x:c>
    </x:row>
    <x:row r="762">
      <x:c r="A762" s="92" t="str">
        <x:v>PROC-0761</x:v>
      </x:c>
      <x:c r="B762" s="93" t="n">
        <x:v>46160</x:v>
      </x:c>
      <x:c r="C762" s="94" t="str">
        <x:v>Microsoft Ads</x:v>
      </x:c>
      <x:c r="D762" s="94" t="str">
        <x:v>英国</x:v>
      </x:c>
      <x:c r="E762" s="94" t="str">
        <x:v>购物广告</x:v>
      </x:c>
      <x:c r="F762" s="95" t="n">
        <x:v>55</x:v>
      </x:c>
      <x:c r="G762" s="95" t="n">
        <x:v>49</x:v>
      </x:c>
      <x:c r="H762" s="95" t="n">
        <x:v>34</x:v>
      </x:c>
      <x:c r="I762" s="95" t="n">
        <x:v>30</x:v>
      </x:c>
      <x:c r="J762" s="95" t="n">
        <x:v>15</x:v>
      </x:c>
      <x:c r="K762" s="95" t="n">
        <x:v>4</x:v>
      </x:c>
      <x:c r="L762" s="95" t="n">
        <x:v>1</x:v>
      </x:c>
      <x:c r="M762" s="96" t="n">
        <x:f>IFERROR(G762/F762,0)</x:f>
        <x:v>0.8909090909090909</x:v>
      </x:c>
      <x:c r="N762" s="96" t="n">
        <x:f>IFERROR(H762/G762,0)</x:f>
        <x:v>0.6938775510204082</x:v>
      </x:c>
      <x:c r="O762" s="96" t="n">
        <x:f>IFERROR(I762/H762,0)</x:f>
        <x:v>0.8823529411764706</x:v>
      </x:c>
      <x:c r="P762" s="96" t="n">
        <x:f>IFERROR(J762/I762,0)</x:f>
        <x:v>0.5</x:v>
      </x:c>
      <x:c r="Q762" s="96" t="n">
        <x:f>IFERROR(L762/J762,0)</x:f>
        <x:v>0.06666666666666667</x:v>
      </x:c>
      <x:c r="R762" s="96" t="n">
        <x:f>IFERROR(L762/F762,0)</x:f>
        <x:v>0.01818181818181818</x:v>
      </x:c>
      <x:c r="S762" s="95" t="n">
        <x:v>130</x:v>
      </x:c>
      <x:c r="T762" s="94" t="str">
        <x:v>末次点击7天</x:v>
      </x:c>
    </x:row>
    <x:row r="763">
      <x:c r="A763" s="92" t="str">
        <x:v>PROC-0762</x:v>
      </x:c>
      <x:c r="B763" s="93" t="n">
        <x:v>46160</x:v>
      </x:c>
      <x:c r="C763" s="94" t="str">
        <x:v>Google Ads</x:v>
      </x:c>
      <x:c r="D763" s="94" t="str">
        <x:v>美国</x:v>
      </x:c>
      <x:c r="E763" s="94" t="str">
        <x:v>通用搜索</x:v>
      </x:c>
      <x:c r="F763" s="95" t="n">
        <x:v>38</x:v>
      </x:c>
      <x:c r="G763" s="95" t="n">
        <x:v>34</x:v>
      </x:c>
      <x:c r="H763" s="95" t="n">
        <x:v>23</x:v>
      </x:c>
      <x:c r="I763" s="95" t="n">
        <x:v>19</x:v>
      </x:c>
      <x:c r="J763" s="95" t="n">
        <x:v>8</x:v>
      </x:c>
      <x:c r="K763" s="95" t="n">
        <x:v>2</x:v>
      </x:c>
      <x:c r="L763" s="95" t="n">
        <x:v>1</x:v>
      </x:c>
      <x:c r="M763" s="96" t="n">
        <x:f>IFERROR(G763/F763,0)</x:f>
        <x:v>0.8947368421052632</x:v>
      </x:c>
      <x:c r="N763" s="96" t="n">
        <x:f>IFERROR(H763/G763,0)</x:f>
        <x:v>0.6764705882352942</x:v>
      </x:c>
      <x:c r="O763" s="96" t="n">
        <x:f>IFERROR(I763/H763,0)</x:f>
        <x:v>0.8260869565217391</x:v>
      </x:c>
      <x:c r="P763" s="96" t="n">
        <x:f>IFERROR(J763/I763,0)</x:f>
        <x:v>0.42105263157894735</x:v>
      </x:c>
      <x:c r="Q763" s="96" t="n">
        <x:f>IFERROR(L763/J763,0)</x:f>
        <x:v>0.125</x:v>
      </x:c>
      <x:c r="R763" s="96" t="n">
        <x:f>IFERROR(L763/F763,0)</x:f>
        <x:v>0.02631578947368421</x:v>
      </x:c>
      <x:c r="S763" s="95" t="n">
        <x:v>81</x:v>
      </x:c>
      <x:c r="T763" s="94" t="str">
        <x:v>末次点击7天</x:v>
      </x:c>
    </x:row>
    <x:row r="764">
      <x:c r="A764" s="92" t="str">
        <x:v>PROC-0763</x:v>
      </x:c>
      <x:c r="B764" s="93" t="n">
        <x:v>46160</x:v>
      </x:c>
      <x:c r="C764" s="94" t="str">
        <x:v>Google Ads</x:v>
      </x:c>
      <x:c r="D764" s="94" t="str">
        <x:v>日本</x:v>
      </x:c>
      <x:c r="E764" s="94" t="str">
        <x:v>品牌搜索</x:v>
      </x:c>
      <x:c r="F764" s="95" t="n">
        <x:v>34</x:v>
      </x:c>
      <x:c r="G764" s="95" t="n">
        <x:v>31</x:v>
      </x:c>
      <x:c r="H764" s="95" t="n">
        <x:v>23</x:v>
      </x:c>
      <x:c r="I764" s="95" t="n">
        <x:v>20</x:v>
      </x:c>
      <x:c r="J764" s="95" t="n">
        <x:v>10</x:v>
      </x:c>
      <x:c r="K764" s="95" t="n">
        <x:v>3</x:v>
      </x:c>
      <x:c r="L764" s="95" t="n">
        <x:v>1</x:v>
      </x:c>
      <x:c r="M764" s="96" t="n">
        <x:f>IFERROR(G764/F764,0)</x:f>
        <x:v>0.9117647058823529</x:v>
      </x:c>
      <x:c r="N764" s="96" t="n">
        <x:f>IFERROR(H764/G764,0)</x:f>
        <x:v>0.7419354838709677</x:v>
      </x:c>
      <x:c r="O764" s="96" t="n">
        <x:f>IFERROR(I764/H764,0)</x:f>
        <x:v>0.8695652173913043</x:v>
      </x:c>
      <x:c r="P764" s="96" t="n">
        <x:f>IFERROR(J764/I764,0)</x:f>
        <x:v>0.5</x:v>
      </x:c>
      <x:c r="Q764" s="96" t="n">
        <x:f>IFERROR(L764/J764,0)</x:f>
        <x:v>0.1</x:v>
      </x:c>
      <x:c r="R764" s="96" t="n">
        <x:f>IFERROR(L764/F764,0)</x:f>
        <x:v>0.029411764705882353</x:v>
      </x:c>
      <x:c r="S764" s="95" t="n">
        <x:v>49</x:v>
      </x:c>
      <x:c r="T764" s="94" t="str">
        <x:v>末次点击7天</x:v>
      </x:c>
    </x:row>
    <x:row r="765">
      <x:c r="A765" s="92" t="str">
        <x:v>PROC-0764</x:v>
      </x:c>
      <x:c r="B765" s="93" t="n">
        <x:v>46161</x:v>
      </x:c>
      <x:c r="C765" s="94" t="str">
        <x:v>Google Ads</x:v>
      </x:c>
      <x:c r="D765" s="94" t="str">
        <x:v>英国</x:v>
      </x:c>
      <x:c r="E765" s="94" t="str">
        <x:v>通用搜索</x:v>
      </x:c>
      <x:c r="F765" s="95" t="n">
        <x:v>33</x:v>
      </x:c>
      <x:c r="G765" s="95" t="n">
        <x:v>29</x:v>
      </x:c>
      <x:c r="H765" s="95" t="n">
        <x:v>20</x:v>
      </x:c>
      <x:c r="I765" s="95" t="n">
        <x:v>17</x:v>
      </x:c>
      <x:c r="J765" s="95" t="n">
        <x:v>7</x:v>
      </x:c>
      <x:c r="K765" s="95" t="n">
        <x:v>2</x:v>
      </x:c>
      <x:c r="L765" s="95" t="n">
        <x:v>1</x:v>
      </x:c>
      <x:c r="M765" s="96" t="n">
        <x:f>IFERROR(G765/F765,0)</x:f>
        <x:v>0.8787878787878788</x:v>
      </x:c>
      <x:c r="N765" s="96" t="n">
        <x:f>IFERROR(H765/G765,0)</x:f>
        <x:v>0.6896551724137931</x:v>
      </x:c>
      <x:c r="O765" s="96" t="n">
        <x:f>IFERROR(I765/H765,0)</x:f>
        <x:v>0.85</x:v>
      </x:c>
      <x:c r="P765" s="96" t="n">
        <x:f>IFERROR(J765/I765,0)</x:f>
        <x:v>0.4117647058823529</x:v>
      </x:c>
      <x:c r="Q765" s="96" t="n">
        <x:f>IFERROR(L765/J765,0)</x:f>
        <x:v>0.14285714285714285</x:v>
      </x:c>
      <x:c r="R765" s="96" t="n">
        <x:f>IFERROR(L765/F765,0)</x:f>
        <x:v>0.030303030303030304</x:v>
      </x:c>
      <x:c r="S765" s="95" t="n">
        <x:v>72</x:v>
      </x:c>
      <x:c r="T765" s="94" t="str">
        <x:v>末次点击7天</x:v>
      </x:c>
    </x:row>
    <x:row r="766">
      <x:c r="A766" s="92" t="str">
        <x:v>PROC-0765</x:v>
      </x:c>
      <x:c r="B766" s="93" t="n">
        <x:v>46161</x:v>
      </x:c>
      <x:c r="C766" s="94" t="str">
        <x:v>Google Ads</x:v>
      </x:c>
      <x:c r="D766" s="94" t="str">
        <x:v>美国</x:v>
      </x:c>
      <x:c r="E766" s="94" t="str">
        <x:v>品牌搜索</x:v>
      </x:c>
      <x:c r="F766" s="95" t="n">
        <x:v>56</x:v>
      </x:c>
      <x:c r="G766" s="95" t="n">
        <x:v>53</x:v>
      </x:c>
      <x:c r="H766" s="95" t="n">
        <x:v>35</x:v>
      </x:c>
      <x:c r="I766" s="95" t="n">
        <x:v>30</x:v>
      </x:c>
      <x:c r="J766" s="95" t="n">
        <x:v>14</x:v>
      </x:c>
      <x:c r="K766" s="95" t="n">
        <x:v>5</x:v>
      </x:c>
      <x:c r="L766" s="95" t="n">
        <x:v>2</x:v>
      </x:c>
      <x:c r="M766" s="96" t="n">
        <x:f>IFERROR(G766/F766,0)</x:f>
        <x:v>0.9464285714285714</x:v>
      </x:c>
      <x:c r="N766" s="96" t="n">
        <x:f>IFERROR(H766/G766,0)</x:f>
        <x:v>0.660377358490566</x:v>
      </x:c>
      <x:c r="O766" s="96" t="n">
        <x:f>IFERROR(I766/H766,0)</x:f>
        <x:v>0.8571428571428571</x:v>
      </x:c>
      <x:c r="P766" s="96" t="n">
        <x:f>IFERROR(J766/I766,0)</x:f>
        <x:v>0.4666666666666667</x:v>
      </x:c>
      <x:c r="Q766" s="96" t="n">
        <x:f>IFERROR(L766/J766,0)</x:f>
        <x:v>0.14285714285714285</x:v>
      </x:c>
      <x:c r="R766" s="96" t="n">
        <x:f>IFERROR(L766/F766,0)</x:f>
        <x:v>0.03571428571428571</x:v>
      </x:c>
      <x:c r="S766" s="95" t="n">
        <x:v>79</x:v>
      </x:c>
      <x:c r="T766" s="94" t="str">
        <x:v>末次点击7天</x:v>
      </x:c>
    </x:row>
    <x:row r="767">
      <x:c r="A767" s="92" t="str">
        <x:v>PROC-0766</x:v>
      </x:c>
      <x:c r="B767" s="93" t="n">
        <x:v>46161</x:v>
      </x:c>
      <x:c r="C767" s="94" t="str">
        <x:v>Microsoft Ads</x:v>
      </x:c>
      <x:c r="D767" s="94" t="str">
        <x:v>德国</x:v>
      </x:c>
      <x:c r="E767" s="94" t="str">
        <x:v>品牌搜索</x:v>
      </x:c>
      <x:c r="F767" s="95" t="n">
        <x:v>32</x:v>
      </x:c>
      <x:c r="G767" s="95" t="n">
        <x:v>28</x:v>
      </x:c>
      <x:c r="H767" s="95" t="n">
        <x:v>18</x:v>
      </x:c>
      <x:c r="I767" s="95" t="n">
        <x:v>14</x:v>
      </x:c>
      <x:c r="J767" s="95" t="n">
        <x:v>7</x:v>
      </x:c>
      <x:c r="K767" s="95" t="n">
        <x:v>2</x:v>
      </x:c>
      <x:c r="L767" s="95" t="n">
        <x:v>1</x:v>
      </x:c>
      <x:c r="M767" s="96" t="n">
        <x:f>IFERROR(G767/F767,0)</x:f>
        <x:v>0.875</x:v>
      </x:c>
      <x:c r="N767" s="96" t="n">
        <x:f>IFERROR(H767/G767,0)</x:f>
        <x:v>0.6428571428571429</x:v>
      </x:c>
      <x:c r="O767" s="96" t="n">
        <x:f>IFERROR(I767/H767,0)</x:f>
        <x:v>0.7777777777777778</x:v>
      </x:c>
      <x:c r="P767" s="96" t="n">
        <x:f>IFERROR(J767/I767,0)</x:f>
        <x:v>0.5</x:v>
      </x:c>
      <x:c r="Q767" s="96" t="n">
        <x:f>IFERROR(L767/J767,0)</x:f>
        <x:v>0.14285714285714285</x:v>
      </x:c>
      <x:c r="R767" s="96" t="n">
        <x:f>IFERROR(L767/F767,0)</x:f>
        <x:v>0.03125</x:v>
      </x:c>
      <x:c r="S767" s="95" t="n">
        <x:v>90</x:v>
      </x:c>
      <x:c r="T767" s="94" t="str">
        <x:v>末次点击7天</x:v>
      </x:c>
    </x:row>
    <x:row r="768">
      <x:c r="A768" s="92" t="str">
        <x:v>PROC-0767</x:v>
      </x:c>
      <x:c r="B768" s="93" t="n">
        <x:v>46161</x:v>
      </x:c>
      <x:c r="C768" s="94" t="str">
        <x:v>Microsoft Ads</x:v>
      </x:c>
      <x:c r="D768" s="94" t="str">
        <x:v>美国</x:v>
      </x:c>
      <x:c r="E768" s="94" t="str">
        <x:v>品牌搜索</x:v>
      </x:c>
      <x:c r="F768" s="95" t="n">
        <x:v>67</x:v>
      </x:c>
      <x:c r="G768" s="95" t="n">
        <x:v>63</x:v>
      </x:c>
      <x:c r="H768" s="95" t="n">
        <x:v>47</x:v>
      </x:c>
      <x:c r="I768" s="95" t="n">
        <x:v>39</x:v>
      </x:c>
      <x:c r="J768" s="95" t="n">
        <x:v>19</x:v>
      </x:c>
      <x:c r="K768" s="95" t="n">
        <x:v>5</x:v>
      </x:c>
      <x:c r="L768" s="95" t="n">
        <x:v>2</x:v>
      </x:c>
      <x:c r="M768" s="96" t="n">
        <x:f>IFERROR(G768/F768,0)</x:f>
        <x:v>0.9402985074626866</x:v>
      </x:c>
      <x:c r="N768" s="96" t="n">
        <x:f>IFERROR(H768/G768,0)</x:f>
        <x:v>0.746031746031746</x:v>
      </x:c>
      <x:c r="O768" s="96" t="n">
        <x:f>IFERROR(I768/H768,0)</x:f>
        <x:v>0.8297872340425532</x:v>
      </x:c>
      <x:c r="P768" s="96" t="n">
        <x:f>IFERROR(J768/I768,0)</x:f>
        <x:v>0.48717948717948717</x:v>
      </x:c>
      <x:c r="Q768" s="96" t="n">
        <x:f>IFERROR(L768/J768,0)</x:f>
        <x:v>0.10526315789473684</x:v>
      </x:c>
      <x:c r="R768" s="96" t="n">
        <x:f>IFERROR(L768/F768,0)</x:f>
        <x:v>0.029850746268656716</x:v>
      </x:c>
      <x:c r="S768" s="95" t="n">
        <x:v>105</x:v>
      </x:c>
      <x:c r="T768" s="94" t="str">
        <x:v>末次点击7天</x:v>
      </x:c>
    </x:row>
    <x:row r="769">
      <x:c r="A769" s="92" t="str">
        <x:v>PROC-0768</x:v>
      </x:c>
      <x:c r="B769" s="93" t="n">
        <x:v>46161</x:v>
      </x:c>
      <x:c r="C769" s="94" t="str">
        <x:v>Microsoft Ads</x:v>
      </x:c>
      <x:c r="D769" s="94" t="str">
        <x:v>美国</x:v>
      </x:c>
      <x:c r="E769" s="94" t="str">
        <x:v>购物广告</x:v>
      </x:c>
      <x:c r="F769" s="95" t="n">
        <x:v>75</x:v>
      </x:c>
      <x:c r="G769" s="95" t="n">
        <x:v>67</x:v>
      </x:c>
      <x:c r="H769" s="95" t="n">
        <x:v>46</x:v>
      </x:c>
      <x:c r="I769" s="95" t="n">
        <x:v>42</x:v>
      </x:c>
      <x:c r="J769" s="95" t="n">
        <x:v>18</x:v>
      </x:c>
      <x:c r="K769" s="95" t="n">
        <x:v>6</x:v>
      </x:c>
      <x:c r="L769" s="95" t="n">
        <x:v>1</x:v>
      </x:c>
      <x:c r="M769" s="96" t="n">
        <x:f>IFERROR(G769/F769,0)</x:f>
        <x:v>0.8933333333333333</x:v>
      </x:c>
      <x:c r="N769" s="96" t="n">
        <x:f>IFERROR(H769/G769,0)</x:f>
        <x:v>0.6865671641791045</x:v>
      </x:c>
      <x:c r="O769" s="96" t="n">
        <x:f>IFERROR(I769/H769,0)</x:f>
        <x:v>0.9130434782608695</x:v>
      </x:c>
      <x:c r="P769" s="96" t="n">
        <x:f>IFERROR(J769/I769,0)</x:f>
        <x:v>0.42857142857142855</x:v>
      </x:c>
      <x:c r="Q769" s="96" t="n">
        <x:f>IFERROR(L769/J769,0)</x:f>
        <x:v>0.05555555555555555</x:v>
      </x:c>
      <x:c r="R769" s="96" t="n">
        <x:f>IFERROR(L769/F769,0)</x:f>
        <x:v>0.013333333333333334</x:v>
      </x:c>
      <x:c r="S769" s="95" t="n">
        <x:v>93</x:v>
      </x:c>
      <x:c r="T769" s="94" t="str">
        <x:v>末次点击7天</x:v>
      </x:c>
    </x:row>
    <x:row r="770">
      <x:c r="A770" s="92" t="str">
        <x:v>PROC-0769</x:v>
      </x:c>
      <x:c r="B770" s="93" t="n">
        <x:v>46162</x:v>
      </x:c>
      <x:c r="C770" s="94" t="str">
        <x:v>Microsoft Ads</x:v>
      </x:c>
      <x:c r="D770" s="94" t="str">
        <x:v>德国</x:v>
      </x:c>
      <x:c r="E770" s="94" t="str">
        <x:v>竞品搜索</x:v>
      </x:c>
      <x:c r="F770" s="95" t="n">
        <x:v>19</x:v>
      </x:c>
      <x:c r="G770" s="95" t="n">
        <x:v>17</x:v>
      </x:c>
      <x:c r="H770" s="95" t="n">
        <x:v>12</x:v>
      </x:c>
      <x:c r="I770" s="95" t="n">
        <x:v>10</x:v>
      </x:c>
      <x:c r="J770" s="95" t="n">
        <x:v>4</x:v>
      </x:c>
      <x:c r="K770" s="95" t="n">
        <x:v>1</x:v>
      </x:c>
      <x:c r="L770" s="95" t="n">
        <x:v>0</x:v>
      </x:c>
      <x:c r="M770" s="96" t="n">
        <x:f>IFERROR(G770/F770,0)</x:f>
        <x:v>0.8947368421052632</x:v>
      </x:c>
      <x:c r="N770" s="96" t="n">
        <x:f>IFERROR(H770/G770,0)</x:f>
        <x:v>0.7058823529411765</x:v>
      </x:c>
      <x:c r="O770" s="96" t="n">
        <x:f>IFERROR(I770/H770,0)</x:f>
        <x:v>0.8333333333333334</x:v>
      </x:c>
      <x:c r="P770" s="96" t="n">
        <x:f>IFERROR(J770/I770,0)</x:f>
        <x:v>0.4</x:v>
      </x:c>
      <x:c r="Q770" s="96" t="n">
        <x:f>IFERROR(L770/J770,0)</x:f>
        <x:v>0</x:v>
      </x:c>
      <x:c r="R770" s="96" t="n">
        <x:f>IFERROR(L770/F770,0)</x:f>
        <x:v>0</x:v>
      </x:c>
      <x:c r="S770" s="95" t="n">
        <x:v>82</x:v>
      </x:c>
      <x:c r="T770" s="94" t="str">
        <x:v>末次点击7天</x:v>
      </x:c>
    </x:row>
    <x:row r="771">
      <x:c r="A771" s="92" t="str">
        <x:v>PROC-0770</x:v>
      </x:c>
      <x:c r="B771" s="93" t="n">
        <x:v>46162</x:v>
      </x:c>
      <x:c r="C771" s="94" t="str">
        <x:v>Microsoft Ads</x:v>
      </x:c>
      <x:c r="D771" s="94" t="str">
        <x:v>日本</x:v>
      </x:c>
      <x:c r="E771" s="94" t="str">
        <x:v>购物广告</x:v>
      </x:c>
      <x:c r="F771" s="95" t="n">
        <x:v>59</x:v>
      </x:c>
      <x:c r="G771" s="95" t="n">
        <x:v>54</x:v>
      </x:c>
      <x:c r="H771" s="95" t="n">
        <x:v>40</x:v>
      </x:c>
      <x:c r="I771" s="95" t="n">
        <x:v>36</x:v>
      </x:c>
      <x:c r="J771" s="95" t="n">
        <x:v>18</x:v>
      </x:c>
      <x:c r="K771" s="95" t="n">
        <x:v>4</x:v>
      </x:c>
      <x:c r="L771" s="95" t="n">
        <x:v>2</x:v>
      </x:c>
      <x:c r="M771" s="96" t="n">
        <x:f>IFERROR(G771/F771,0)</x:f>
        <x:v>0.9152542372881356</x:v>
      </x:c>
      <x:c r="N771" s="96" t="n">
        <x:f>IFERROR(H771/G771,0)</x:f>
        <x:v>0.7407407407407407</x:v>
      </x:c>
      <x:c r="O771" s="96" t="n">
        <x:f>IFERROR(I771/H771,0)</x:f>
        <x:v>0.9</x:v>
      </x:c>
      <x:c r="P771" s="96" t="n">
        <x:f>IFERROR(J771/I771,0)</x:f>
        <x:v>0.5</x:v>
      </x:c>
      <x:c r="Q771" s="96" t="n">
        <x:f>IFERROR(L771/J771,0)</x:f>
        <x:v>0.1111111111111111</x:v>
      </x:c>
      <x:c r="R771" s="96" t="n">
        <x:f>IFERROR(L771/F771,0)</x:f>
        <x:v>0.03389830508474576</x:v>
      </x:c>
      <x:c r="S771" s="95" t="n">
        <x:v>54</x:v>
      </x:c>
      <x:c r="T771" s="94" t="str">
        <x:v>末次点击7天</x:v>
      </x:c>
    </x:row>
    <x:row r="772">
      <x:c r="A772" s="92" t="str">
        <x:v>PROC-0771</x:v>
      </x:c>
      <x:c r="B772" s="93" t="n">
        <x:v>46162</x:v>
      </x:c>
      <x:c r="C772" s="94" t="str">
        <x:v>Google Ads</x:v>
      </x:c>
      <x:c r="D772" s="94" t="str">
        <x:v>日本</x:v>
      </x:c>
      <x:c r="E772" s="94" t="str">
        <x:v>购物广告</x:v>
      </x:c>
      <x:c r="F772" s="95" t="n">
        <x:v>68</x:v>
      </x:c>
      <x:c r="G772" s="95" t="n">
        <x:v>60</x:v>
      </x:c>
      <x:c r="H772" s="95" t="n">
        <x:v>43</x:v>
      </x:c>
      <x:c r="I772" s="95" t="n">
        <x:v>39</x:v>
      </x:c>
      <x:c r="J772" s="95" t="n">
        <x:v>19</x:v>
      </x:c>
      <x:c r="K772" s="95" t="n">
        <x:v>5</x:v>
      </x:c>
      <x:c r="L772" s="95" t="n">
        <x:v>1</x:v>
      </x:c>
      <x:c r="M772" s="96" t="n">
        <x:f>IFERROR(G772/F772,0)</x:f>
        <x:v>0.8823529411764706</x:v>
      </x:c>
      <x:c r="N772" s="96" t="n">
        <x:f>IFERROR(H772/G772,0)</x:f>
        <x:v>0.7166666666666667</x:v>
      </x:c>
      <x:c r="O772" s="96" t="n">
        <x:f>IFERROR(I772/H772,0)</x:f>
        <x:v>0.9069767441860465</x:v>
      </x:c>
      <x:c r="P772" s="96" t="n">
        <x:f>IFERROR(J772/I772,0)</x:f>
        <x:v>0.48717948717948717</x:v>
      </x:c>
      <x:c r="Q772" s="96" t="n">
        <x:f>IFERROR(L772/J772,0)</x:f>
        <x:v>0.05263157894736842</x:v>
      </x:c>
      <x:c r="R772" s="96" t="n">
        <x:f>IFERROR(L772/F772,0)</x:f>
        <x:v>0.014705882352941176</x:v>
      </x:c>
      <x:c r="S772" s="95" t="n">
        <x:v>124</x:v>
      </x:c>
      <x:c r="T772" s="94" t="str">
        <x:v>末次点击7天</x:v>
      </x:c>
    </x:row>
    <x:row r="773">
      <x:c r="A773" s="92" t="str">
        <x:v>PROC-0772</x:v>
      </x:c>
      <x:c r="B773" s="93" t="n">
        <x:v>46162</x:v>
      </x:c>
      <x:c r="C773" s="94" t="str">
        <x:v>Microsoft Ads</x:v>
      </x:c>
      <x:c r="D773" s="94" t="str">
        <x:v>英国</x:v>
      </x:c>
      <x:c r="E773" s="94" t="str">
        <x:v>购物广告</x:v>
      </x:c>
      <x:c r="F773" s="95" t="n">
        <x:v>55</x:v>
      </x:c>
      <x:c r="G773" s="95" t="n">
        <x:v>49</x:v>
      </x:c>
      <x:c r="H773" s="95" t="n">
        <x:v>35</x:v>
      </x:c>
      <x:c r="I773" s="95" t="n">
        <x:v>31</x:v>
      </x:c>
      <x:c r="J773" s="95" t="n">
        <x:v>13</x:v>
      </x:c>
      <x:c r="K773" s="95" t="n">
        <x:v>3</x:v>
      </x:c>
      <x:c r="L773" s="95" t="n">
        <x:v>1</x:v>
      </x:c>
      <x:c r="M773" s="96" t="n">
        <x:f>IFERROR(G773/F773,0)</x:f>
        <x:v>0.8909090909090909</x:v>
      </x:c>
      <x:c r="N773" s="96" t="n">
        <x:f>IFERROR(H773/G773,0)</x:f>
        <x:v>0.7142857142857143</x:v>
      </x:c>
      <x:c r="O773" s="96" t="n">
        <x:f>IFERROR(I773/H773,0)</x:f>
        <x:v>0.8857142857142857</x:v>
      </x:c>
      <x:c r="P773" s="96" t="n">
        <x:f>IFERROR(J773/I773,0)</x:f>
        <x:v>0.41935483870967744</x:v>
      </x:c>
      <x:c r="Q773" s="96" t="n">
        <x:f>IFERROR(L773/J773,0)</x:f>
        <x:v>0.07692307692307693</x:v>
      </x:c>
      <x:c r="R773" s="96" t="n">
        <x:f>IFERROR(L773/F773,0)</x:f>
        <x:v>0.01818181818181818</x:v>
      </x:c>
      <x:c r="S773" s="95" t="n">
        <x:v>111</x:v>
      </x:c>
      <x:c r="T773" s="94" t="str">
        <x:v>末次点击7天</x:v>
      </x:c>
    </x:row>
    <x:row r="774">
      <x:c r="A774" s="92" t="str">
        <x:v>PROC-0773</x:v>
      </x:c>
      <x:c r="B774" s="93" t="n">
        <x:v>46162</x:v>
      </x:c>
      <x:c r="C774" s="94" t="str">
        <x:v>Microsoft Ads</x:v>
      </x:c>
      <x:c r="D774" s="94" t="str">
        <x:v>美国</x:v>
      </x:c>
      <x:c r="E774" s="94" t="str">
        <x:v>购物广告</x:v>
      </x:c>
      <x:c r="F774" s="95" t="n">
        <x:v>62</x:v>
      </x:c>
      <x:c r="G774" s="95" t="n">
        <x:v>58</x:v>
      </x:c>
      <x:c r="H774" s="95" t="n">
        <x:v>42</x:v>
      </x:c>
      <x:c r="I774" s="95" t="n">
        <x:v>38</x:v>
      </x:c>
      <x:c r="J774" s="95" t="n">
        <x:v>18</x:v>
      </x:c>
      <x:c r="K774" s="95" t="n">
        <x:v>6</x:v>
      </x:c>
      <x:c r="L774" s="95" t="n">
        <x:v>1</x:v>
      </x:c>
      <x:c r="M774" s="96" t="n">
        <x:f>IFERROR(G774/F774,0)</x:f>
        <x:v>0.9354838709677419</x:v>
      </x:c>
      <x:c r="N774" s="96" t="n">
        <x:f>IFERROR(H774/G774,0)</x:f>
        <x:v>0.7241379310344828</x:v>
      </x:c>
      <x:c r="O774" s="96" t="n">
        <x:f>IFERROR(I774/H774,0)</x:f>
        <x:v>0.9047619047619048</x:v>
      </x:c>
      <x:c r="P774" s="96" t="n">
        <x:f>IFERROR(J774/I774,0)</x:f>
        <x:v>0.47368421052631576</x:v>
      </x:c>
      <x:c r="Q774" s="96" t="n">
        <x:f>IFERROR(L774/J774,0)</x:f>
        <x:v>0.05555555555555555</x:v>
      </x:c>
      <x:c r="R774" s="96" t="n">
        <x:f>IFERROR(L774/F774,0)</x:f>
        <x:v>0.016129032258064516</x:v>
      </x:c>
      <x:c r="S774" s="95" t="n">
        <x:v>112</x:v>
      </x:c>
      <x:c r="T774" s="94" t="str">
        <x:v>末次点击7天</x:v>
      </x:c>
    </x:row>
    <x:row r="775">
      <x:c r="A775" s="92" t="str">
        <x:v>PROC-0774</x:v>
      </x:c>
      <x:c r="B775" s="93" t="n">
        <x:v>46162</x:v>
      </x:c>
      <x:c r="C775" s="94" t="str">
        <x:v>Google Ads</x:v>
      </x:c>
      <x:c r="D775" s="94" t="str">
        <x:v>美国</x:v>
      </x:c>
      <x:c r="E775" s="94" t="str">
        <x:v>品牌搜索</x:v>
      </x:c>
      <x:c r="F775" s="95" t="n">
        <x:v>73</x:v>
      </x:c>
      <x:c r="G775" s="95" t="n">
        <x:v>66</x:v>
      </x:c>
      <x:c r="H775" s="95" t="n">
        <x:v>46</x:v>
      </x:c>
      <x:c r="I775" s="95" t="n">
        <x:v>37</x:v>
      </x:c>
      <x:c r="J775" s="95" t="n">
        <x:v>19</x:v>
      </x:c>
      <x:c r="K775" s="95" t="n">
        <x:v>6</x:v>
      </x:c>
      <x:c r="L775" s="95" t="n">
        <x:v>2</x:v>
      </x:c>
      <x:c r="M775" s="96" t="n">
        <x:f>IFERROR(G775/F775,0)</x:f>
        <x:v>0.9041095890410958</x:v>
      </x:c>
      <x:c r="N775" s="96" t="n">
        <x:f>IFERROR(H775/G775,0)</x:f>
        <x:v>0.696969696969697</x:v>
      </x:c>
      <x:c r="O775" s="96" t="n">
        <x:f>IFERROR(I775/H775,0)</x:f>
        <x:v>0.8043478260869565</x:v>
      </x:c>
      <x:c r="P775" s="96" t="n">
        <x:f>IFERROR(J775/I775,0)</x:f>
        <x:v>0.5135135135135135</x:v>
      </x:c>
      <x:c r="Q775" s="96" t="n">
        <x:f>IFERROR(L775/J775,0)</x:f>
        <x:v>0.10526315789473684</x:v>
      </x:c>
      <x:c r="R775" s="96" t="n">
        <x:f>IFERROR(L775/F775,0)</x:f>
        <x:v>0.0273972602739726</x:v>
      </x:c>
      <x:c r="S775" s="95" t="n">
        <x:v>143</x:v>
      </x:c>
      <x:c r="T775" s="94" t="str">
        <x:v>末次点击7天</x:v>
      </x:c>
    </x:row>
    <x:row r="776">
      <x:c r="A776" s="92" t="str">
        <x:v>PROC-0775</x:v>
      </x:c>
      <x:c r="B776" s="93" t="n">
        <x:v>46163</x:v>
      </x:c>
      <x:c r="C776" s="94" t="str">
        <x:v>Google Ads</x:v>
      </x:c>
      <x:c r="D776" s="94" t="str">
        <x:v>德国</x:v>
      </x:c>
      <x:c r="E776" s="94" t="str">
        <x:v>竞品搜索</x:v>
      </x:c>
      <x:c r="F776" s="95" t="n">
        <x:v>31</x:v>
      </x:c>
      <x:c r="G776" s="95" t="n">
        <x:v>29</x:v>
      </x:c>
      <x:c r="H776" s="95" t="n">
        <x:v>19</x:v>
      </x:c>
      <x:c r="I776" s="95" t="n">
        <x:v>17</x:v>
      </x:c>
      <x:c r="J776" s="95" t="n">
        <x:v>7</x:v>
      </x:c>
      <x:c r="K776" s="95" t="n">
        <x:v>2</x:v>
      </x:c>
      <x:c r="L776" s="95" t="n">
        <x:v>0</x:v>
      </x:c>
      <x:c r="M776" s="96" t="n">
        <x:f>IFERROR(G776/F776,0)</x:f>
        <x:v>0.9354838709677419</x:v>
      </x:c>
      <x:c r="N776" s="96" t="n">
        <x:f>IFERROR(H776/G776,0)</x:f>
        <x:v>0.6551724137931034</x:v>
      </x:c>
      <x:c r="O776" s="96" t="n">
        <x:f>IFERROR(I776/H776,0)</x:f>
        <x:v>0.8947368421052632</x:v>
      </x:c>
      <x:c r="P776" s="96" t="n">
        <x:f>IFERROR(J776/I776,0)</x:f>
        <x:v>0.4117647058823529</x:v>
      </x:c>
      <x:c r="Q776" s="96" t="n">
        <x:f>IFERROR(L776/J776,0)</x:f>
        <x:v>0</x:v>
      </x:c>
      <x:c r="R776" s="96" t="n">
        <x:f>IFERROR(L776/F776,0)</x:f>
        <x:v>0</x:v>
      </x:c>
      <x:c r="S776" s="95" t="n">
        <x:v>52</x:v>
      </x:c>
      <x:c r="T776" s="94" t="str">
        <x:v>末次点击7天</x:v>
      </x:c>
    </x:row>
    <x:row r="777">
      <x:c r="A777" s="92" t="str">
        <x:v>PROC-0776</x:v>
      </x:c>
      <x:c r="B777" s="93" t="n">
        <x:v>46163</x:v>
      </x:c>
      <x:c r="C777" s="94" t="str">
        <x:v>Google Ads</x:v>
      </x:c>
      <x:c r="D777" s="94" t="str">
        <x:v>美国</x:v>
      </x:c>
      <x:c r="E777" s="94" t="str">
        <x:v>购物广告</x:v>
      </x:c>
      <x:c r="F777" s="95" t="n">
        <x:v>55</x:v>
      </x:c>
      <x:c r="G777" s="95" t="n">
        <x:v>50</x:v>
      </x:c>
      <x:c r="H777" s="95" t="n">
        <x:v>32</x:v>
      </x:c>
      <x:c r="I777" s="95" t="n">
        <x:v>29</x:v>
      </x:c>
      <x:c r="J777" s="95" t="n">
        <x:v>15</x:v>
      </x:c>
      <x:c r="K777" s="95" t="n">
        <x:v>4</x:v>
      </x:c>
      <x:c r="L777" s="95" t="n">
        <x:v>1</x:v>
      </x:c>
      <x:c r="M777" s="96" t="n">
        <x:f>IFERROR(G777/F777,0)</x:f>
        <x:v>0.9090909090909091</x:v>
      </x:c>
      <x:c r="N777" s="96" t="n">
        <x:f>IFERROR(H777/G777,0)</x:f>
        <x:v>0.64</x:v>
      </x:c>
      <x:c r="O777" s="96" t="n">
        <x:f>IFERROR(I777/H777,0)</x:f>
        <x:v>0.90625</x:v>
      </x:c>
      <x:c r="P777" s="96" t="n">
        <x:f>IFERROR(J777/I777,0)</x:f>
        <x:v>0.5172413793103449</x:v>
      </x:c>
      <x:c r="Q777" s="96" t="n">
        <x:f>IFERROR(L777/J777,0)</x:f>
        <x:v>0.06666666666666667</x:v>
      </x:c>
      <x:c r="R777" s="96" t="n">
        <x:f>IFERROR(L777/F777,0)</x:f>
        <x:v>0.01818181818181818</x:v>
      </x:c>
      <x:c r="S777" s="95" t="n">
        <x:v>45</x:v>
      </x:c>
      <x:c r="T777" s="94" t="str">
        <x:v>末次点击7天</x:v>
      </x:c>
    </x:row>
    <x:row r="778">
      <x:c r="A778" s="92" t="str">
        <x:v>PROC-0777</x:v>
      </x:c>
      <x:c r="B778" s="93" t="n">
        <x:v>46163</x:v>
      </x:c>
      <x:c r="C778" s="94" t="str">
        <x:v>Google Ads</x:v>
      </x:c>
      <x:c r="D778" s="94" t="str">
        <x:v>美国</x:v>
      </x:c>
      <x:c r="E778" s="94" t="str">
        <x:v>品牌搜索</x:v>
      </x:c>
      <x:c r="F778" s="95" t="n">
        <x:v>61</x:v>
      </x:c>
      <x:c r="G778" s="95" t="n">
        <x:v>54</x:v>
      </x:c>
      <x:c r="H778" s="95" t="n">
        <x:v>35</x:v>
      </x:c>
      <x:c r="I778" s="95" t="n">
        <x:v>28</x:v>
      </x:c>
      <x:c r="J778" s="95" t="n">
        <x:v>14</x:v>
      </x:c>
      <x:c r="K778" s="95" t="n">
        <x:v>4</x:v>
      </x:c>
      <x:c r="L778" s="95" t="n">
        <x:v>2</x:v>
      </x:c>
      <x:c r="M778" s="96" t="n">
        <x:f>IFERROR(G778/F778,0)</x:f>
        <x:v>0.8852459016393442</x:v>
      </x:c>
      <x:c r="N778" s="96" t="n">
        <x:f>IFERROR(H778/G778,0)</x:f>
        <x:v>0.6481481481481481</x:v>
      </x:c>
      <x:c r="O778" s="96" t="n">
        <x:f>IFERROR(I778/H778,0)</x:f>
        <x:v>0.8</x:v>
      </x:c>
      <x:c r="P778" s="96" t="n">
        <x:f>IFERROR(J778/I778,0)</x:f>
        <x:v>0.5</x:v>
      </x:c>
      <x:c r="Q778" s="96" t="n">
        <x:f>IFERROR(L778/J778,0)</x:f>
        <x:v>0.14285714285714285</x:v>
      </x:c>
      <x:c r="R778" s="96" t="n">
        <x:f>IFERROR(L778/F778,0)</x:f>
        <x:v>0.03278688524590164</x:v>
      </x:c>
      <x:c r="S778" s="95" t="n">
        <x:v>132</x:v>
      </x:c>
      <x:c r="T778" s="94" t="str">
        <x:v>末次点击7天</x:v>
      </x:c>
    </x:row>
    <x:row r="779">
      <x:c r="A779" s="92" t="str">
        <x:v>PROC-0778</x:v>
      </x:c>
      <x:c r="B779" s="93" t="n">
        <x:v>46163</x:v>
      </x:c>
      <x:c r="C779" s="94" t="str">
        <x:v>Google Ads</x:v>
      </x:c>
      <x:c r="D779" s="94" t="str">
        <x:v>日本</x:v>
      </x:c>
      <x:c r="E779" s="94" t="str">
        <x:v>竞品搜索</x:v>
      </x:c>
      <x:c r="F779" s="95" t="n">
        <x:v>17</x:v>
      </x:c>
      <x:c r="G779" s="95" t="n">
        <x:v>15</x:v>
      </x:c>
      <x:c r="H779" s="95" t="n">
        <x:v>9</x:v>
      </x:c>
      <x:c r="I779" s="95" t="n">
        <x:v>8</x:v>
      </x:c>
      <x:c r="J779" s="95" t="n">
        <x:v>3</x:v>
      </x:c>
      <x:c r="K779" s="95" t="n">
        <x:v>1</x:v>
      </x:c>
      <x:c r="L779" s="95" t="n">
        <x:v>0</x:v>
      </x:c>
      <x:c r="M779" s="96" t="n">
        <x:f>IFERROR(G779/F779,0)</x:f>
        <x:v>0.8823529411764706</x:v>
      </x:c>
      <x:c r="N779" s="96" t="n">
        <x:f>IFERROR(H779/G779,0)</x:f>
        <x:v>0.6</x:v>
      </x:c>
      <x:c r="O779" s="96" t="n">
        <x:f>IFERROR(I779/H779,0)</x:f>
        <x:v>0.8888888888888888</x:v>
      </x:c>
      <x:c r="P779" s="96" t="n">
        <x:f>IFERROR(J779/I779,0)</x:f>
        <x:v>0.375</x:v>
      </x:c>
      <x:c r="Q779" s="96" t="n">
        <x:f>IFERROR(L779/J779,0)</x:f>
        <x:v>0</x:v>
      </x:c>
      <x:c r="R779" s="96" t="n">
        <x:f>IFERROR(L779/F779,0)</x:f>
        <x:v>0</x:v>
      </x:c>
      <x:c r="S779" s="95" t="n">
        <x:v>70</x:v>
      </x:c>
      <x:c r="T779" s="94" t="str">
        <x:v>末次点击7天</x:v>
      </x:c>
    </x:row>
    <x:row r="780">
      <x:c r="A780" s="92" t="str">
        <x:v>PROC-0779</x:v>
      </x:c>
      <x:c r="B780" s="93" t="n">
        <x:v>46163</x:v>
      </x:c>
      <x:c r="C780" s="94" t="str">
        <x:v>Google Ads</x:v>
      </x:c>
      <x:c r="D780" s="94" t="str">
        <x:v>英国</x:v>
      </x:c>
      <x:c r="E780" s="94" t="str">
        <x:v>品牌搜索</x:v>
      </x:c>
      <x:c r="F780" s="95" t="n">
        <x:v>48</x:v>
      </x:c>
      <x:c r="G780" s="95" t="n">
        <x:v>45</x:v>
      </x:c>
      <x:c r="H780" s="95" t="n">
        <x:v>31</x:v>
      </x:c>
      <x:c r="I780" s="95" t="n">
        <x:v>25</x:v>
      </x:c>
      <x:c r="J780" s="95" t="n">
        <x:v>12</x:v>
      </x:c>
      <x:c r="K780" s="95" t="n">
        <x:v>3</x:v>
      </x:c>
      <x:c r="L780" s="95" t="n">
        <x:v>1</x:v>
      </x:c>
      <x:c r="M780" s="96" t="n">
        <x:f>IFERROR(G780/F780,0)</x:f>
        <x:v>0.9375</x:v>
      </x:c>
      <x:c r="N780" s="96" t="n">
        <x:f>IFERROR(H780/G780,0)</x:f>
        <x:v>0.6888888888888889</x:v>
      </x:c>
      <x:c r="O780" s="96" t="n">
        <x:f>IFERROR(I780/H780,0)</x:f>
        <x:v>0.8064516129032258</x:v>
      </x:c>
      <x:c r="P780" s="96" t="n">
        <x:f>IFERROR(J780/I780,0)</x:f>
        <x:v>0.48</x:v>
      </x:c>
      <x:c r="Q780" s="96" t="n">
        <x:f>IFERROR(L780/J780,0)</x:f>
        <x:v>0.08333333333333333</x:v>
      </x:c>
      <x:c r="R780" s="96" t="n">
        <x:f>IFERROR(L780/F780,0)</x:f>
        <x:v>0.020833333333333332</x:v>
      </x:c>
      <x:c r="S780" s="95" t="n">
        <x:v>108</x:v>
      </x:c>
      <x:c r="T780" s="94" t="str">
        <x:v>末次点击7天</x:v>
      </x:c>
    </x:row>
    <x:row r="781">
      <x:c r="A781" s="92" t="str">
        <x:v>PROC-0780</x:v>
      </x:c>
      <x:c r="B781" s="93" t="n">
        <x:v>46163</x:v>
      </x:c>
      <x:c r="C781" s="94" t="str">
        <x:v>Google Ads</x:v>
      </x:c>
      <x:c r="D781" s="94" t="str">
        <x:v>美国</x:v>
      </x:c>
      <x:c r="E781" s="94" t="str">
        <x:v>品牌搜索</x:v>
      </x:c>
      <x:c r="F781" s="95" t="n">
        <x:v>72</x:v>
      </x:c>
      <x:c r="G781" s="95" t="n">
        <x:v>66</x:v>
      </x:c>
      <x:c r="H781" s="95" t="n">
        <x:v>49</x:v>
      </x:c>
      <x:c r="I781" s="95" t="n">
        <x:v>39</x:v>
      </x:c>
      <x:c r="J781" s="95" t="n">
        <x:v>20</x:v>
      </x:c>
      <x:c r="K781" s="95" t="n">
        <x:v>6</x:v>
      </x:c>
      <x:c r="L781" s="95" t="n">
        <x:v>2</x:v>
      </x:c>
      <x:c r="M781" s="96" t="n">
        <x:f>IFERROR(G781/F781,0)</x:f>
        <x:v>0.9166666666666666</x:v>
      </x:c>
      <x:c r="N781" s="96" t="n">
        <x:f>IFERROR(H781/G781,0)</x:f>
        <x:v>0.7424242424242424</x:v>
      </x:c>
      <x:c r="O781" s="96" t="n">
        <x:f>IFERROR(I781/H781,0)</x:f>
        <x:v>0.7959183673469388</x:v>
      </x:c>
      <x:c r="P781" s="96" t="n">
        <x:f>IFERROR(J781/I781,0)</x:f>
        <x:v>0.5128205128205128</x:v>
      </x:c>
      <x:c r="Q781" s="96" t="n">
        <x:f>IFERROR(L781/J781,0)</x:f>
        <x:v>0.1</x:v>
      </x:c>
      <x:c r="R781" s="96" t="n">
        <x:f>IFERROR(L781/F781,0)</x:f>
        <x:v>0.027777777777777776</x:v>
      </x:c>
      <x:c r="S781" s="95" t="n">
        <x:v>50</x:v>
      </x:c>
      <x:c r="T781" s="94" t="str">
        <x:v>末次点击7天</x:v>
      </x:c>
    </x:row>
    <x:row r="782">
      <x:c r="A782" s="92" t="str">
        <x:v>PROC-0781</x:v>
      </x:c>
      <x:c r="B782" s="93" t="n">
        <x:v>46164</x:v>
      </x:c>
      <x:c r="C782" s="94" t="str">
        <x:v>Google Ads</x:v>
      </x:c>
      <x:c r="D782" s="94" t="str">
        <x:v>美国</x:v>
      </x:c>
      <x:c r="E782" s="94" t="str">
        <x:v>竞品搜索</x:v>
      </x:c>
      <x:c r="F782" s="95" t="n">
        <x:v>38</x:v>
      </x:c>
      <x:c r="G782" s="95" t="n">
        <x:v>34</x:v>
      </x:c>
      <x:c r="H782" s="95" t="n">
        <x:v>24</x:v>
      </x:c>
      <x:c r="I782" s="95" t="n">
        <x:v>19</x:v>
      </x:c>
      <x:c r="J782" s="95" t="n">
        <x:v>8</x:v>
      </x:c>
      <x:c r="K782" s="95" t="n">
        <x:v>2</x:v>
      </x:c>
      <x:c r="L782" s="95" t="n">
        <x:v>1</x:v>
      </x:c>
      <x:c r="M782" s="96" t="n">
        <x:f>IFERROR(G782/F782,0)</x:f>
        <x:v>0.8947368421052632</x:v>
      </x:c>
      <x:c r="N782" s="96" t="n">
        <x:f>IFERROR(H782/G782,0)</x:f>
        <x:v>0.7058823529411765</x:v>
      </x:c>
      <x:c r="O782" s="96" t="n">
        <x:f>IFERROR(I782/H782,0)</x:f>
        <x:v>0.7916666666666666</x:v>
      </x:c>
      <x:c r="P782" s="96" t="n">
        <x:f>IFERROR(J782/I782,0)</x:f>
        <x:v>0.42105263157894735</x:v>
      </x:c>
      <x:c r="Q782" s="96" t="n">
        <x:f>IFERROR(L782/J782,0)</x:f>
        <x:v>0.125</x:v>
      </x:c>
      <x:c r="R782" s="96" t="n">
        <x:f>IFERROR(L782/F782,0)</x:f>
        <x:v>0.02631578947368421</x:v>
      </x:c>
      <x:c r="S782" s="95" t="n">
        <x:v>139</x:v>
      </x:c>
      <x:c r="T782" s="94" t="str">
        <x:v>末次点击7天</x:v>
      </x:c>
    </x:row>
    <x:row r="783">
      <x:c r="A783" s="92" t="str">
        <x:v>PROC-0782</x:v>
      </x:c>
      <x:c r="B783" s="93" t="n">
        <x:v>46164</x:v>
      </x:c>
      <x:c r="C783" s="94" t="str">
        <x:v>Google Ads</x:v>
      </x:c>
      <x:c r="D783" s="94" t="str">
        <x:v>美国</x:v>
      </x:c>
      <x:c r="E783" s="94" t="str">
        <x:v>通用搜索</x:v>
      </x:c>
      <x:c r="F783" s="95" t="n">
        <x:v>62</x:v>
      </x:c>
      <x:c r="G783" s="95" t="n">
        <x:v>58</x:v>
      </x:c>
      <x:c r="H783" s="95" t="n">
        <x:v>42</x:v>
      </x:c>
      <x:c r="I783" s="95" t="n">
        <x:v>33</x:v>
      </x:c>
      <x:c r="J783" s="95" t="n">
        <x:v>14</x:v>
      </x:c>
      <x:c r="K783" s="95" t="n">
        <x:v>4</x:v>
      </x:c>
      <x:c r="L783" s="95" t="n">
        <x:v>1</x:v>
      </x:c>
      <x:c r="M783" s="96" t="n">
        <x:f>IFERROR(G783/F783,0)</x:f>
        <x:v>0.9354838709677419</x:v>
      </x:c>
      <x:c r="N783" s="96" t="n">
        <x:f>IFERROR(H783/G783,0)</x:f>
        <x:v>0.7241379310344828</x:v>
      </x:c>
      <x:c r="O783" s="96" t="n">
        <x:f>IFERROR(I783/H783,0)</x:f>
        <x:v>0.7857142857142857</x:v>
      </x:c>
      <x:c r="P783" s="96" t="n">
        <x:f>IFERROR(J783/I783,0)</x:f>
        <x:v>0.42424242424242425</x:v>
      </x:c>
      <x:c r="Q783" s="96" t="n">
        <x:f>IFERROR(L783/J783,0)</x:f>
        <x:v>0.07142857142857142</x:v>
      </x:c>
      <x:c r="R783" s="96" t="n">
        <x:f>IFERROR(L783/F783,0)</x:f>
        <x:v>0.016129032258064516</x:v>
      </x:c>
      <x:c r="S783" s="95" t="n">
        <x:v>90</x:v>
      </x:c>
      <x:c r="T783" s="94" t="str">
        <x:v>末次点击7天</x:v>
      </x:c>
    </x:row>
    <x:row r="784">
      <x:c r="A784" s="92" t="str">
        <x:v>PROC-0783</x:v>
      </x:c>
      <x:c r="B784" s="93" t="n">
        <x:v>46164</x:v>
      </x:c>
      <x:c r="C784" s="94" t="str">
        <x:v>Google Ads</x:v>
      </x:c>
      <x:c r="D784" s="94" t="str">
        <x:v>德国</x:v>
      </x:c>
      <x:c r="E784" s="94" t="str">
        <x:v>竞品搜索</x:v>
      </x:c>
      <x:c r="F784" s="95" t="n">
        <x:v>41</x:v>
      </x:c>
      <x:c r="G784" s="95" t="n">
        <x:v>37</x:v>
      </x:c>
      <x:c r="H784" s="95" t="n">
        <x:v>26</x:v>
      </x:c>
      <x:c r="I784" s="95" t="n">
        <x:v>22</x:v>
      </x:c>
      <x:c r="J784" s="95" t="n">
        <x:v>8</x:v>
      </x:c>
      <x:c r="K784" s="95" t="n">
        <x:v>2</x:v>
      </x:c>
      <x:c r="L784" s="95" t="n">
        <x:v>1</x:v>
      </x:c>
      <x:c r="M784" s="96" t="n">
        <x:f>IFERROR(G784/F784,0)</x:f>
        <x:v>0.9024390243902439</x:v>
      </x:c>
      <x:c r="N784" s="96" t="n">
        <x:f>IFERROR(H784/G784,0)</x:f>
        <x:v>0.7027027027027027</x:v>
      </x:c>
      <x:c r="O784" s="96" t="n">
        <x:f>IFERROR(I784/H784,0)</x:f>
        <x:v>0.8461538461538461</x:v>
      </x:c>
      <x:c r="P784" s="96" t="n">
        <x:f>IFERROR(J784/I784,0)</x:f>
        <x:v>0.36363636363636365</x:v>
      </x:c>
      <x:c r="Q784" s="96" t="n">
        <x:f>IFERROR(L784/J784,0)</x:f>
        <x:v>0.125</x:v>
      </x:c>
      <x:c r="R784" s="96" t="n">
        <x:f>IFERROR(L784/F784,0)</x:f>
        <x:v>0.024390243902439025</x:v>
      </x:c>
      <x:c r="S784" s="95" t="n">
        <x:v>100</x:v>
      </x:c>
      <x:c r="T784" s="94" t="str">
        <x:v>末次点击7天</x:v>
      </x:c>
    </x:row>
    <x:row r="785">
      <x:c r="A785" s="92" t="str">
        <x:v>PROC-0784</x:v>
      </x:c>
      <x:c r="B785" s="93" t="n">
        <x:v>46164</x:v>
      </x:c>
      <x:c r="C785" s="94" t="str">
        <x:v>Google Ads</x:v>
      </x:c>
      <x:c r="D785" s="94" t="str">
        <x:v>德国</x:v>
      </x:c>
      <x:c r="E785" s="94" t="str">
        <x:v>通用搜索</x:v>
      </x:c>
      <x:c r="F785" s="95" t="n">
        <x:v>33</x:v>
      </x:c>
      <x:c r="G785" s="95" t="n">
        <x:v>29</x:v>
      </x:c>
      <x:c r="H785" s="95" t="n">
        <x:v>20</x:v>
      </x:c>
      <x:c r="I785" s="95" t="n">
        <x:v>16</x:v>
      </x:c>
      <x:c r="J785" s="95" t="n">
        <x:v>7</x:v>
      </x:c>
      <x:c r="K785" s="95" t="n">
        <x:v>2</x:v>
      </x:c>
      <x:c r="L785" s="95" t="n">
        <x:v>0</x:v>
      </x:c>
      <x:c r="M785" s="96" t="n">
        <x:f>IFERROR(G785/F785,0)</x:f>
        <x:v>0.8787878787878788</x:v>
      </x:c>
      <x:c r="N785" s="96" t="n">
        <x:f>IFERROR(H785/G785,0)</x:f>
        <x:v>0.6896551724137931</x:v>
      </x:c>
      <x:c r="O785" s="96" t="n">
        <x:f>IFERROR(I785/H785,0)</x:f>
        <x:v>0.8</x:v>
      </x:c>
      <x:c r="P785" s="96" t="n">
        <x:f>IFERROR(J785/I785,0)</x:f>
        <x:v>0.4375</x:v>
      </x:c>
      <x:c r="Q785" s="96" t="n">
        <x:f>IFERROR(L785/J785,0)</x:f>
        <x:v>0</x:v>
      </x:c>
      <x:c r="R785" s="96" t="n">
        <x:f>IFERROR(L785/F785,0)</x:f>
        <x:v>0</x:v>
      </x:c>
      <x:c r="S785" s="95" t="n">
        <x:v>147</x:v>
      </x:c>
      <x:c r="T785" s="94" t="str">
        <x:v>末次点击7天</x:v>
      </x:c>
    </x:row>
    <x:row r="786">
      <x:c r="A786" s="92" t="str">
        <x:v>PROC-0785</x:v>
      </x:c>
      <x:c r="B786" s="93" t="n">
        <x:v>46164</x:v>
      </x:c>
      <x:c r="C786" s="94" t="str">
        <x:v>Google Ads</x:v>
      </x:c>
      <x:c r="D786" s="94" t="str">
        <x:v>德国</x:v>
      </x:c>
      <x:c r="E786" s="94" t="str">
        <x:v>购物广告</x:v>
      </x:c>
      <x:c r="F786" s="95" t="n">
        <x:v>28</x:v>
      </x:c>
      <x:c r="G786" s="95" t="n">
        <x:v>26</x:v>
      </x:c>
      <x:c r="H786" s="95" t="n">
        <x:v>17</x:v>
      </x:c>
      <x:c r="I786" s="95" t="n">
        <x:v>15</x:v>
      </x:c>
      <x:c r="J786" s="95" t="n">
        <x:v>7</x:v>
      </x:c>
      <x:c r="K786" s="95" t="n">
        <x:v>2</x:v>
      </x:c>
      <x:c r="L786" s="95" t="n">
        <x:v>1</x:v>
      </x:c>
      <x:c r="M786" s="96" t="n">
        <x:f>IFERROR(G786/F786,0)</x:f>
        <x:v>0.9285714285714286</x:v>
      </x:c>
      <x:c r="N786" s="96" t="n">
        <x:f>IFERROR(H786/G786,0)</x:f>
        <x:v>0.6538461538461539</x:v>
      </x:c>
      <x:c r="O786" s="96" t="n">
        <x:f>IFERROR(I786/H786,0)</x:f>
        <x:v>0.8823529411764706</x:v>
      </x:c>
      <x:c r="P786" s="96" t="n">
        <x:f>IFERROR(J786/I786,0)</x:f>
        <x:v>0.4666666666666667</x:v>
      </x:c>
      <x:c r="Q786" s="96" t="n">
        <x:f>IFERROR(L786/J786,0)</x:f>
        <x:v>0.14285714285714285</x:v>
      </x:c>
      <x:c r="R786" s="96" t="n">
        <x:f>IFERROR(L786/F786,0)</x:f>
        <x:v>0.03571428571428571</x:v>
      </x:c>
      <x:c r="S786" s="95" t="n">
        <x:v>124</x:v>
      </x:c>
      <x:c r="T786" s="94" t="str">
        <x:v>末次点击7天</x:v>
      </x:c>
    </x:row>
    <x:row r="787">
      <x:c r="A787" s="92" t="str">
        <x:v>PROC-0786</x:v>
      </x:c>
      <x:c r="B787" s="93" t="n">
        <x:v>46165</x:v>
      </x:c>
      <x:c r="C787" s="94" t="str">
        <x:v>Google Ads</x:v>
      </x:c>
      <x:c r="D787" s="94" t="str">
        <x:v>日本</x:v>
      </x:c>
      <x:c r="E787" s="94" t="str">
        <x:v>品牌搜索</x:v>
      </x:c>
      <x:c r="F787" s="95" t="n">
        <x:v>69</x:v>
      </x:c>
      <x:c r="G787" s="95" t="n">
        <x:v>60</x:v>
      </x:c>
      <x:c r="H787" s="95" t="n">
        <x:v>45</x:v>
      </x:c>
      <x:c r="I787" s="95" t="n">
        <x:v>37</x:v>
      </x:c>
      <x:c r="J787" s="95" t="n">
        <x:v>16</x:v>
      </x:c>
      <x:c r="K787" s="95" t="n">
        <x:v>4</x:v>
      </x:c>
      <x:c r="L787" s="95" t="n">
        <x:v>1</x:v>
      </x:c>
      <x:c r="M787" s="96" t="n">
        <x:f>IFERROR(G787/F787,0)</x:f>
        <x:v>0.8695652173913043</x:v>
      </x:c>
      <x:c r="N787" s="96" t="n">
        <x:f>IFERROR(H787/G787,0)</x:f>
        <x:v>0.75</x:v>
      </x:c>
      <x:c r="O787" s="96" t="n">
        <x:f>IFERROR(I787/H787,0)</x:f>
        <x:v>0.8222222222222222</x:v>
      </x:c>
      <x:c r="P787" s="96" t="n">
        <x:f>IFERROR(J787/I787,0)</x:f>
        <x:v>0.43243243243243246</x:v>
      </x:c>
      <x:c r="Q787" s="96" t="n">
        <x:f>IFERROR(L787/J787,0)</x:f>
        <x:v>0.0625</x:v>
      </x:c>
      <x:c r="R787" s="96" t="n">
        <x:f>IFERROR(L787/F787,0)</x:f>
        <x:v>0.014492753623188406</x:v>
      </x:c>
      <x:c r="S787" s="95" t="n">
        <x:v>150</x:v>
      </x:c>
      <x:c r="T787" s="94" t="str">
        <x:v>末次点击7天</x:v>
      </x:c>
    </x:row>
    <x:row r="788">
      <x:c r="A788" s="92" t="str">
        <x:v>PROC-0787</x:v>
      </x:c>
      <x:c r="B788" s="93" t="n">
        <x:v>46165</x:v>
      </x:c>
      <x:c r="C788" s="94" t="str">
        <x:v>Google Ads</x:v>
      </x:c>
      <x:c r="D788" s="94" t="str">
        <x:v>英国</x:v>
      </x:c>
      <x:c r="E788" s="94" t="str">
        <x:v>通用搜索</x:v>
      </x:c>
      <x:c r="F788" s="95" t="n">
        <x:v>37</x:v>
      </x:c>
      <x:c r="G788" s="95" t="n">
        <x:v>35</x:v>
      </x:c>
      <x:c r="H788" s="95" t="n">
        <x:v>26</x:v>
      </x:c>
      <x:c r="I788" s="95" t="n">
        <x:v>22</x:v>
      </x:c>
      <x:c r="J788" s="95" t="n">
        <x:v>9</x:v>
      </x:c>
      <x:c r="K788" s="95" t="n">
        <x:v>3</x:v>
      </x:c>
      <x:c r="L788" s="95" t="n">
        <x:v>1</x:v>
      </x:c>
      <x:c r="M788" s="96" t="n">
        <x:f>IFERROR(G788/F788,0)</x:f>
        <x:v>0.9459459459459459</x:v>
      </x:c>
      <x:c r="N788" s="96" t="n">
        <x:f>IFERROR(H788/G788,0)</x:f>
        <x:v>0.7428571428571429</x:v>
      </x:c>
      <x:c r="O788" s="96" t="n">
        <x:f>IFERROR(I788/H788,0)</x:f>
        <x:v>0.8461538461538461</x:v>
      </x:c>
      <x:c r="P788" s="96" t="n">
        <x:f>IFERROR(J788/I788,0)</x:f>
        <x:v>0.4090909090909091</x:v>
      </x:c>
      <x:c r="Q788" s="96" t="n">
        <x:f>IFERROR(L788/J788,0)</x:f>
        <x:v>0.1111111111111111</x:v>
      </x:c>
      <x:c r="R788" s="96" t="n">
        <x:f>IFERROR(L788/F788,0)</x:f>
        <x:v>0.02702702702702703</x:v>
      </x:c>
      <x:c r="S788" s="95" t="n">
        <x:v>136</x:v>
      </x:c>
      <x:c r="T788" s="94" t="str">
        <x:v>末次点击7天</x:v>
      </x:c>
    </x:row>
    <x:row r="789">
      <x:c r="A789" s="92" t="str">
        <x:v>PROC-0788</x:v>
      </x:c>
      <x:c r="B789" s="93" t="n">
        <x:v>46165</x:v>
      </x:c>
      <x:c r="C789" s="94" t="str">
        <x:v>Microsoft Ads</x:v>
      </x:c>
      <x:c r="D789" s="94" t="str">
        <x:v>英国</x:v>
      </x:c>
      <x:c r="E789" s="94" t="str">
        <x:v>竞品搜索</x:v>
      </x:c>
      <x:c r="F789" s="95" t="n">
        <x:v>20</x:v>
      </x:c>
      <x:c r="G789" s="95" t="n">
        <x:v>19</x:v>
      </x:c>
      <x:c r="H789" s="95" t="n">
        <x:v>13</x:v>
      </x:c>
      <x:c r="I789" s="95" t="n">
        <x:v>11</x:v>
      </x:c>
      <x:c r="J789" s="95" t="n">
        <x:v>5</x:v>
      </x:c>
      <x:c r="K789" s="95" t="n">
        <x:v>1</x:v>
      </x:c>
      <x:c r="L789" s="95" t="n">
        <x:v>0</x:v>
      </x:c>
      <x:c r="M789" s="96" t="n">
        <x:f>IFERROR(G789/F789,0)</x:f>
        <x:v>0.95</x:v>
      </x:c>
      <x:c r="N789" s="96" t="n">
        <x:f>IFERROR(H789/G789,0)</x:f>
        <x:v>0.6842105263157895</x:v>
      </x:c>
      <x:c r="O789" s="96" t="n">
        <x:f>IFERROR(I789/H789,0)</x:f>
        <x:v>0.8461538461538461</x:v>
      </x:c>
      <x:c r="P789" s="96" t="n">
        <x:f>IFERROR(J789/I789,0)</x:f>
        <x:v>0.45454545454545453</x:v>
      </x:c>
      <x:c r="Q789" s="96" t="n">
        <x:f>IFERROR(L789/J789,0)</x:f>
        <x:v>0</x:v>
      </x:c>
      <x:c r="R789" s="96" t="n">
        <x:f>IFERROR(L789/F789,0)</x:f>
        <x:v>0</x:v>
      </x:c>
      <x:c r="S789" s="95" t="n">
        <x:v>64</x:v>
      </x:c>
      <x:c r="T789" s="94" t="str">
        <x:v>末次点击7天</x:v>
      </x:c>
    </x:row>
    <x:row r="790">
      <x:c r="A790" s="92" t="str">
        <x:v>PROC-0789</x:v>
      </x:c>
      <x:c r="B790" s="93" t="n">
        <x:v>46165</x:v>
      </x:c>
      <x:c r="C790" s="94" t="str">
        <x:v>Google Ads</x:v>
      </x:c>
      <x:c r="D790" s="94" t="str">
        <x:v>美国</x:v>
      </x:c>
      <x:c r="E790" s="94" t="str">
        <x:v>通用搜索</x:v>
      </x:c>
      <x:c r="F790" s="95" t="n">
        <x:v>38</x:v>
      </x:c>
      <x:c r="G790" s="95" t="n">
        <x:v>36</x:v>
      </x:c>
      <x:c r="H790" s="95" t="n">
        <x:v>27</x:v>
      </x:c>
      <x:c r="I790" s="95" t="n">
        <x:v>22</x:v>
      </x:c>
      <x:c r="J790" s="95" t="n">
        <x:v>9</x:v>
      </x:c>
      <x:c r="K790" s="95" t="n">
        <x:v>2</x:v>
      </x:c>
      <x:c r="L790" s="95" t="n">
        <x:v>1</x:v>
      </x:c>
      <x:c r="M790" s="96" t="n">
        <x:f>IFERROR(G790/F790,0)</x:f>
        <x:v>0.9473684210526315</x:v>
      </x:c>
      <x:c r="N790" s="96" t="n">
        <x:f>IFERROR(H790/G790,0)</x:f>
        <x:v>0.75</x:v>
      </x:c>
      <x:c r="O790" s="96" t="n">
        <x:f>IFERROR(I790/H790,0)</x:f>
        <x:v>0.8148148148148148</x:v>
      </x:c>
      <x:c r="P790" s="96" t="n">
        <x:f>IFERROR(J790/I790,0)</x:f>
        <x:v>0.4090909090909091</x:v>
      </x:c>
      <x:c r="Q790" s="96" t="n">
        <x:f>IFERROR(L790/J790,0)</x:f>
        <x:v>0.1111111111111111</x:v>
      </x:c>
      <x:c r="R790" s="96" t="n">
        <x:f>IFERROR(L790/F790,0)</x:f>
        <x:v>0.02631578947368421</x:v>
      </x:c>
      <x:c r="S790" s="95" t="n">
        <x:v>114</x:v>
      </x:c>
      <x:c r="T790" s="94" t="str">
        <x:v>末次点击7天</x:v>
      </x:c>
    </x:row>
    <x:row r="791">
      <x:c r="A791" s="92" t="str">
        <x:v>PROC-0790</x:v>
      </x:c>
      <x:c r="B791" s="93" t="n">
        <x:v>46165</x:v>
      </x:c>
      <x:c r="C791" s="94" t="str">
        <x:v>Google Ads</x:v>
      </x:c>
      <x:c r="D791" s="94" t="str">
        <x:v>英国</x:v>
      </x:c>
      <x:c r="E791" s="94" t="str">
        <x:v>购物广告</x:v>
      </x:c>
      <x:c r="F791" s="95" t="n">
        <x:v>57</x:v>
      </x:c>
      <x:c r="G791" s="95" t="n">
        <x:v>50</x:v>
      </x:c>
      <x:c r="H791" s="95" t="n">
        <x:v>31</x:v>
      </x:c>
      <x:c r="I791" s="95" t="n">
        <x:v>28</x:v>
      </x:c>
      <x:c r="J791" s="95" t="n">
        <x:v>13</x:v>
      </x:c>
      <x:c r="K791" s="95" t="n">
        <x:v>3</x:v>
      </x:c>
      <x:c r="L791" s="95" t="n">
        <x:v>1</x:v>
      </x:c>
      <x:c r="M791" s="96" t="n">
        <x:f>IFERROR(G791/F791,0)</x:f>
        <x:v>0.8771929824561403</x:v>
      </x:c>
      <x:c r="N791" s="96" t="n">
        <x:f>IFERROR(H791/G791,0)</x:f>
        <x:v>0.62</x:v>
      </x:c>
      <x:c r="O791" s="96" t="n">
        <x:f>IFERROR(I791/H791,0)</x:f>
        <x:v>0.9032258064516129</x:v>
      </x:c>
      <x:c r="P791" s="96" t="n">
        <x:f>IFERROR(J791/I791,0)</x:f>
        <x:v>0.4642857142857143</x:v>
      </x:c>
      <x:c r="Q791" s="96" t="n">
        <x:f>IFERROR(L791/J791,0)</x:f>
        <x:v>0.07692307692307693</x:v>
      </x:c>
      <x:c r="R791" s="96" t="n">
        <x:f>IFERROR(L791/F791,0)</x:f>
        <x:v>0.017543859649122806</x:v>
      </x:c>
      <x:c r="S791" s="95" t="n">
        <x:v>144</x:v>
      </x:c>
      <x:c r="T791" s="94" t="str">
        <x:v>末次点击7天</x:v>
      </x:c>
    </x:row>
    <x:row r="792">
      <x:c r="A792" s="92" t="str">
        <x:v>PROC-0791</x:v>
      </x:c>
      <x:c r="B792" s="93" t="n">
        <x:v>46165</x:v>
      </x:c>
      <x:c r="C792" s="94" t="str">
        <x:v>Google Ads</x:v>
      </x:c>
      <x:c r="D792" s="94" t="str">
        <x:v>美国</x:v>
      </x:c>
      <x:c r="E792" s="94" t="str">
        <x:v>竞品搜索</x:v>
      </x:c>
      <x:c r="F792" s="95" t="n">
        <x:v>26</x:v>
      </x:c>
      <x:c r="G792" s="95" t="n">
        <x:v>24</x:v>
      </x:c>
      <x:c r="H792" s="95" t="n">
        <x:v>16</x:v>
      </x:c>
      <x:c r="I792" s="95" t="n">
        <x:v>13</x:v>
      </x:c>
      <x:c r="J792" s="95" t="n">
        <x:v>5</x:v>
      </x:c>
      <x:c r="K792" s="95" t="n">
        <x:v>1</x:v>
      </x:c>
      <x:c r="L792" s="95" t="n">
        <x:v>0</x:v>
      </x:c>
      <x:c r="M792" s="96" t="n">
        <x:f>IFERROR(G792/F792,0)</x:f>
        <x:v>0.9230769230769231</x:v>
      </x:c>
      <x:c r="N792" s="96" t="n">
        <x:f>IFERROR(H792/G792,0)</x:f>
        <x:v>0.6666666666666666</x:v>
      </x:c>
      <x:c r="O792" s="96" t="n">
        <x:f>IFERROR(I792/H792,0)</x:f>
        <x:v>0.8125</x:v>
      </x:c>
      <x:c r="P792" s="96" t="n">
        <x:f>IFERROR(J792/I792,0)</x:f>
        <x:v>0.38461538461538464</x:v>
      </x:c>
      <x:c r="Q792" s="96" t="n">
        <x:f>IFERROR(L792/J792,0)</x:f>
        <x:v>0</x:v>
      </x:c>
      <x:c r="R792" s="96" t="n">
        <x:f>IFERROR(L792/F792,0)</x:f>
        <x:v>0</x:v>
      </x:c>
      <x:c r="S792" s="95" t="n">
        <x:v>61</x:v>
      </x:c>
      <x:c r="T792" s="94" t="str">
        <x:v>末次点击7天</x:v>
      </x:c>
    </x:row>
    <x:row r="793">
      <x:c r="A793" s="92" t="str">
        <x:v>PROC-0792</x:v>
      </x:c>
      <x:c r="B793" s="93" t="n">
        <x:v>46166</x:v>
      </x:c>
      <x:c r="C793" s="94" t="str">
        <x:v>Google Ads</x:v>
      </x:c>
      <x:c r="D793" s="94" t="str">
        <x:v>美国</x:v>
      </x:c>
      <x:c r="E793" s="94" t="str">
        <x:v>通用搜索</x:v>
      </x:c>
      <x:c r="F793" s="95" t="n">
        <x:v>47</x:v>
      </x:c>
      <x:c r="G793" s="95" t="n">
        <x:v>42</x:v>
      </x:c>
      <x:c r="H793" s="95" t="n">
        <x:v>33</x:v>
      </x:c>
      <x:c r="I793" s="95" t="n">
        <x:v>28</x:v>
      </x:c>
      <x:c r="J793" s="95" t="n">
        <x:v>13</x:v>
      </x:c>
      <x:c r="K793" s="95" t="n">
        <x:v>4</x:v>
      </x:c>
      <x:c r="L793" s="95" t="n">
        <x:v>1</x:v>
      </x:c>
      <x:c r="M793" s="96" t="n">
        <x:f>IFERROR(G793/F793,0)</x:f>
        <x:v>0.8936170212765957</x:v>
      </x:c>
      <x:c r="N793" s="96" t="n">
        <x:f>IFERROR(H793/G793,0)</x:f>
        <x:v>0.7857142857142857</x:v>
      </x:c>
      <x:c r="O793" s="96" t="n">
        <x:f>IFERROR(I793/H793,0)</x:f>
        <x:v>0.8484848484848485</x:v>
      </x:c>
      <x:c r="P793" s="96" t="n">
        <x:f>IFERROR(J793/I793,0)</x:f>
        <x:v>0.4642857142857143</x:v>
      </x:c>
      <x:c r="Q793" s="96" t="n">
        <x:f>IFERROR(L793/J793,0)</x:f>
        <x:v>0.07692307692307693</x:v>
      </x:c>
      <x:c r="R793" s="96" t="n">
        <x:f>IFERROR(L793/F793,0)</x:f>
        <x:v>0.02127659574468085</x:v>
      </x:c>
      <x:c r="S793" s="95" t="n">
        <x:v>152</x:v>
      </x:c>
      <x:c r="T793" s="94" t="str">
        <x:v>末次点击7天</x:v>
      </x:c>
    </x:row>
    <x:row r="794">
      <x:c r="A794" s="92" t="str">
        <x:v>PROC-0793</x:v>
      </x:c>
      <x:c r="B794" s="93" t="n">
        <x:v>46166</x:v>
      </x:c>
      <x:c r="C794" s="94" t="str">
        <x:v>Microsoft Ads</x:v>
      </x:c>
      <x:c r="D794" s="94" t="str">
        <x:v>德国</x:v>
      </x:c>
      <x:c r="E794" s="94" t="str">
        <x:v>品牌搜索</x:v>
      </x:c>
      <x:c r="F794" s="95" t="n">
        <x:v>101</x:v>
      </x:c>
      <x:c r="G794" s="95" t="n">
        <x:v>92</x:v>
      </x:c>
      <x:c r="H794" s="95" t="n">
        <x:v>57</x:v>
      </x:c>
      <x:c r="I794" s="95" t="n">
        <x:v>46</x:v>
      </x:c>
      <x:c r="J794" s="95" t="n">
        <x:v>24</x:v>
      </x:c>
      <x:c r="K794" s="95" t="n">
        <x:v>6</x:v>
      </x:c>
      <x:c r="L794" s="95" t="n">
        <x:v>2</x:v>
      </x:c>
      <x:c r="M794" s="96" t="n">
        <x:f>IFERROR(G794/F794,0)</x:f>
        <x:v>0.9108910891089109</x:v>
      </x:c>
      <x:c r="N794" s="96" t="n">
        <x:f>IFERROR(H794/G794,0)</x:f>
        <x:v>0.6195652173913043</x:v>
      </x:c>
      <x:c r="O794" s="96" t="n">
        <x:f>IFERROR(I794/H794,0)</x:f>
        <x:v>0.8070175438596491</x:v>
      </x:c>
      <x:c r="P794" s="96" t="n">
        <x:f>IFERROR(J794/I794,0)</x:f>
        <x:v>0.5217391304347826</x:v>
      </x:c>
      <x:c r="Q794" s="96" t="n">
        <x:f>IFERROR(L794/J794,0)</x:f>
        <x:v>0.08333333333333333</x:v>
      </x:c>
      <x:c r="R794" s="96" t="n">
        <x:f>IFERROR(L794/F794,0)</x:f>
        <x:v>0.019801980198019802</x:v>
      </x:c>
      <x:c r="S794" s="95" t="n">
        <x:v>56</x:v>
      </x:c>
      <x:c r="T794" s="94" t="str">
        <x:v>末次点击7天</x:v>
      </x:c>
    </x:row>
    <x:row r="795">
      <x:c r="A795" s="92" t="str">
        <x:v>PROC-0794</x:v>
      </x:c>
      <x:c r="B795" s="93" t="n">
        <x:v>46166</x:v>
      </x:c>
      <x:c r="C795" s="94" t="str">
        <x:v>Google Ads</x:v>
      </x:c>
      <x:c r="D795" s="94" t="str">
        <x:v>美国</x:v>
      </x:c>
      <x:c r="E795" s="94" t="str">
        <x:v>购物广告</x:v>
      </x:c>
      <x:c r="F795" s="95" t="n">
        <x:v>52</x:v>
      </x:c>
      <x:c r="G795" s="95" t="n">
        <x:v>47</x:v>
      </x:c>
      <x:c r="H795" s="95" t="n">
        <x:v>35</x:v>
      </x:c>
      <x:c r="I795" s="95" t="n">
        <x:v>32</x:v>
      </x:c>
      <x:c r="J795" s="95" t="n">
        <x:v>16</x:v>
      </x:c>
      <x:c r="K795" s="95" t="n">
        <x:v>4</x:v>
      </x:c>
      <x:c r="L795" s="95" t="n">
        <x:v>1</x:v>
      </x:c>
      <x:c r="M795" s="96" t="n">
        <x:f>IFERROR(G795/F795,0)</x:f>
        <x:v>0.9038461538461539</x:v>
      </x:c>
      <x:c r="N795" s="96" t="n">
        <x:f>IFERROR(H795/G795,0)</x:f>
        <x:v>0.7446808510638298</x:v>
      </x:c>
      <x:c r="O795" s="96" t="n">
        <x:f>IFERROR(I795/H795,0)</x:f>
        <x:v>0.9142857142857143</x:v>
      </x:c>
      <x:c r="P795" s="96" t="n">
        <x:f>IFERROR(J795/I795,0)</x:f>
        <x:v>0.5</x:v>
      </x:c>
      <x:c r="Q795" s="96" t="n">
        <x:f>IFERROR(L795/J795,0)</x:f>
        <x:v>0.0625</x:v>
      </x:c>
      <x:c r="R795" s="96" t="n">
        <x:f>IFERROR(L795/F795,0)</x:f>
        <x:v>0.019230769230769232</x:v>
      </x:c>
      <x:c r="S795" s="95" t="n">
        <x:v>90</x:v>
      </x:c>
      <x:c r="T795" s="94" t="str">
        <x:v>末次点击7天</x:v>
      </x:c>
    </x:row>
    <x:row r="796">
      <x:c r="A796" s="92" t="str">
        <x:v>PROC-0795</x:v>
      </x:c>
      <x:c r="B796" s="93" t="n">
        <x:v>46166</x:v>
      </x:c>
      <x:c r="C796" s="94" t="str">
        <x:v>Microsoft Ads</x:v>
      </x:c>
      <x:c r="D796" s="94" t="str">
        <x:v>日本</x:v>
      </x:c>
      <x:c r="E796" s="94" t="str">
        <x:v>竞品搜索</x:v>
      </x:c>
      <x:c r="F796" s="95" t="n">
        <x:v>28</x:v>
      </x:c>
      <x:c r="G796" s="95" t="n">
        <x:v>26</x:v>
      </x:c>
      <x:c r="H796" s="95" t="n">
        <x:v>17</x:v>
      </x:c>
      <x:c r="I796" s="95" t="n">
        <x:v>15</x:v>
      </x:c>
      <x:c r="J796" s="95" t="n">
        <x:v>7</x:v>
      </x:c>
      <x:c r="K796" s="95" t="n">
        <x:v>2</x:v>
      </x:c>
      <x:c r="L796" s="95" t="n">
        <x:v>0</x:v>
      </x:c>
      <x:c r="M796" s="96" t="n">
        <x:f>IFERROR(G796/F796,0)</x:f>
        <x:v>0.9285714285714286</x:v>
      </x:c>
      <x:c r="N796" s="96" t="n">
        <x:f>IFERROR(H796/G796,0)</x:f>
        <x:v>0.6538461538461539</x:v>
      </x:c>
      <x:c r="O796" s="96" t="n">
        <x:f>IFERROR(I796/H796,0)</x:f>
        <x:v>0.8823529411764706</x:v>
      </x:c>
      <x:c r="P796" s="96" t="n">
        <x:f>IFERROR(J796/I796,0)</x:f>
        <x:v>0.4666666666666667</x:v>
      </x:c>
      <x:c r="Q796" s="96" t="n">
        <x:f>IFERROR(L796/J796,0)</x:f>
        <x:v>0</x:v>
      </x:c>
      <x:c r="R796" s="96" t="n">
        <x:f>IFERROR(L796/F796,0)</x:f>
        <x:v>0</x:v>
      </x:c>
      <x:c r="S796" s="95" t="n">
        <x:v>96</x:v>
      </x:c>
      <x:c r="T796" s="94" t="str">
        <x:v>末次点击7天</x:v>
      </x:c>
    </x:row>
    <x:row r="797">
      <x:c r="A797" s="92" t="str">
        <x:v>PROC-0796</x:v>
      </x:c>
      <x:c r="B797" s="93" t="n">
        <x:v>46166</x:v>
      </x:c>
      <x:c r="C797" s="94" t="str">
        <x:v>Google Ads</x:v>
      </x:c>
      <x:c r="D797" s="94" t="str">
        <x:v>美国</x:v>
      </x:c>
      <x:c r="E797" s="94" t="str">
        <x:v>购物广告</x:v>
      </x:c>
      <x:c r="F797" s="95" t="n">
        <x:v>75</x:v>
      </x:c>
      <x:c r="G797" s="95" t="n">
        <x:v>66</x:v>
      </x:c>
      <x:c r="H797" s="95" t="n">
        <x:v>47</x:v>
      </x:c>
      <x:c r="I797" s="95" t="n">
        <x:v>40</x:v>
      </x:c>
      <x:c r="J797" s="95" t="n">
        <x:v>20</x:v>
      </x:c>
      <x:c r="K797" s="95" t="n">
        <x:v>6</x:v>
      </x:c>
      <x:c r="L797" s="95" t="n">
        <x:v>2</x:v>
      </x:c>
      <x:c r="M797" s="96" t="n">
        <x:f>IFERROR(G797/F797,0)</x:f>
        <x:v>0.88</x:v>
      </x:c>
      <x:c r="N797" s="96" t="n">
        <x:f>IFERROR(H797/G797,0)</x:f>
        <x:v>0.7121212121212122</x:v>
      </x:c>
      <x:c r="O797" s="96" t="n">
        <x:f>IFERROR(I797/H797,0)</x:f>
        <x:v>0.851063829787234</x:v>
      </x:c>
      <x:c r="P797" s="96" t="n">
        <x:f>IFERROR(J797/I797,0)</x:f>
        <x:v>0.5</x:v>
      </x:c>
      <x:c r="Q797" s="96" t="n">
        <x:f>IFERROR(L797/J797,0)</x:f>
        <x:v>0.1</x:v>
      </x:c>
      <x:c r="R797" s="96" t="n">
        <x:f>IFERROR(L797/F797,0)</x:f>
        <x:v>0.02666666666666667</x:v>
      </x:c>
      <x:c r="S797" s="95" t="n">
        <x:v>154</x:v>
      </x:c>
      <x:c r="T797" s="94" t="str">
        <x:v>末次点击7天</x:v>
      </x:c>
    </x:row>
    <x:row r="798">
      <x:c r="A798" s="92" t="str">
        <x:v>PROC-0797</x:v>
      </x:c>
      <x:c r="B798" s="93" t="n">
        <x:v>46167</x:v>
      </x:c>
      <x:c r="C798" s="94" t="str">
        <x:v>Google Ads</x:v>
      </x:c>
      <x:c r="D798" s="94" t="str">
        <x:v>德国</x:v>
      </x:c>
      <x:c r="E798" s="94" t="str">
        <x:v>购物广告</x:v>
      </x:c>
      <x:c r="F798" s="95" t="n">
        <x:v>52</x:v>
      </x:c>
      <x:c r="G798" s="95" t="n">
        <x:v>47</x:v>
      </x:c>
      <x:c r="H798" s="95" t="n">
        <x:v>31</x:v>
      </x:c>
      <x:c r="I798" s="95" t="n">
        <x:v>27</x:v>
      </x:c>
      <x:c r="J798" s="95" t="n">
        <x:v>11</x:v>
      </x:c>
      <x:c r="K798" s="95" t="n">
        <x:v>3</x:v>
      </x:c>
      <x:c r="L798" s="95" t="n">
        <x:v>1</x:v>
      </x:c>
      <x:c r="M798" s="96" t="n">
        <x:f>IFERROR(G798/F798,0)</x:f>
        <x:v>0.9038461538461539</x:v>
      </x:c>
      <x:c r="N798" s="96" t="n">
        <x:f>IFERROR(H798/G798,0)</x:f>
        <x:v>0.6595744680851063</x:v>
      </x:c>
      <x:c r="O798" s="96" t="n">
        <x:f>IFERROR(I798/H798,0)</x:f>
        <x:v>0.8709677419354839</x:v>
      </x:c>
      <x:c r="P798" s="96" t="n">
        <x:f>IFERROR(J798/I798,0)</x:f>
        <x:v>0.4074074074074074</x:v>
      </x:c>
      <x:c r="Q798" s="96" t="n">
        <x:f>IFERROR(L798/J798,0)</x:f>
        <x:v>0.09090909090909091</x:v>
      </x:c>
      <x:c r="R798" s="96" t="n">
        <x:f>IFERROR(L798/F798,0)</x:f>
        <x:v>0.019230769230769232</x:v>
      </x:c>
      <x:c r="S798" s="95" t="n">
        <x:v>49</x:v>
      </x:c>
      <x:c r="T798" s="94" t="str">
        <x:v>末次点击7天</x:v>
      </x:c>
    </x:row>
    <x:row r="799">
      <x:c r="A799" s="92" t="str">
        <x:v>PROC-0798</x:v>
      </x:c>
      <x:c r="B799" s="93" t="n">
        <x:v>46167</x:v>
      </x:c>
      <x:c r="C799" s="94" t="str">
        <x:v>Microsoft Ads</x:v>
      </x:c>
      <x:c r="D799" s="94" t="str">
        <x:v>英国</x:v>
      </x:c>
      <x:c r="E799" s="94" t="str">
        <x:v>通用搜索</x:v>
      </x:c>
      <x:c r="F799" s="95" t="n">
        <x:v>37</x:v>
      </x:c>
      <x:c r="G799" s="95" t="n">
        <x:v>33</x:v>
      </x:c>
      <x:c r="H799" s="95" t="n">
        <x:v>26</x:v>
      </x:c>
      <x:c r="I799" s="95" t="n">
        <x:v>21</x:v>
      </x:c>
      <x:c r="J799" s="95" t="n">
        <x:v>10</x:v>
      </x:c>
      <x:c r="K799" s="95" t="n">
        <x:v>3</x:v>
      </x:c>
      <x:c r="L799" s="95" t="n">
        <x:v>1</x:v>
      </x:c>
      <x:c r="M799" s="96" t="n">
        <x:f>IFERROR(G799/F799,0)</x:f>
        <x:v>0.8918918918918919</x:v>
      </x:c>
      <x:c r="N799" s="96" t="n">
        <x:f>IFERROR(H799/G799,0)</x:f>
        <x:v>0.7878787878787878</x:v>
      </x:c>
      <x:c r="O799" s="96" t="n">
        <x:f>IFERROR(I799/H799,0)</x:f>
        <x:v>0.8076923076923077</x:v>
      </x:c>
      <x:c r="P799" s="96" t="n">
        <x:f>IFERROR(J799/I799,0)</x:f>
        <x:v>0.47619047619047616</x:v>
      </x:c>
      <x:c r="Q799" s="96" t="n">
        <x:f>IFERROR(L799/J799,0)</x:f>
        <x:v>0.1</x:v>
      </x:c>
      <x:c r="R799" s="96" t="n">
        <x:f>IFERROR(L799/F799,0)</x:f>
        <x:v>0.02702702702702703</x:v>
      </x:c>
      <x:c r="S799" s="95" t="n">
        <x:v>80</x:v>
      </x:c>
      <x:c r="T799" s="94" t="str">
        <x:v>末次点击7天</x:v>
      </x:c>
    </x:row>
    <x:row r="800">
      <x:c r="A800" s="92" t="str">
        <x:v>PROC-0799</x:v>
      </x:c>
      <x:c r="B800" s="93" t="n">
        <x:v>46167</x:v>
      </x:c>
      <x:c r="C800" s="94" t="str">
        <x:v>Google Ads</x:v>
      </x:c>
      <x:c r="D800" s="94" t="str">
        <x:v>美国</x:v>
      </x:c>
      <x:c r="E800" s="94" t="str">
        <x:v>通用搜索</x:v>
      </x:c>
      <x:c r="F800" s="95" t="n">
        <x:v>39</x:v>
      </x:c>
      <x:c r="G800" s="95" t="n">
        <x:v>36</x:v>
      </x:c>
      <x:c r="H800" s="95" t="n">
        <x:v>27</x:v>
      </x:c>
      <x:c r="I800" s="95" t="n">
        <x:v>22</x:v>
      </x:c>
      <x:c r="J800" s="95" t="n">
        <x:v>9</x:v>
      </x:c>
      <x:c r="K800" s="95" t="n">
        <x:v>2</x:v>
      </x:c>
      <x:c r="L800" s="95" t="n">
        <x:v>1</x:v>
      </x:c>
      <x:c r="M800" s="96" t="n">
        <x:f>IFERROR(G800/F800,0)</x:f>
        <x:v>0.9230769230769231</x:v>
      </x:c>
      <x:c r="N800" s="96" t="n">
        <x:f>IFERROR(H800/G800,0)</x:f>
        <x:v>0.75</x:v>
      </x:c>
      <x:c r="O800" s="96" t="n">
        <x:f>IFERROR(I800/H800,0)</x:f>
        <x:v>0.8148148148148148</x:v>
      </x:c>
      <x:c r="P800" s="96" t="n">
        <x:f>IFERROR(J800/I800,0)</x:f>
        <x:v>0.4090909090909091</x:v>
      </x:c>
      <x:c r="Q800" s="96" t="n">
        <x:f>IFERROR(L800/J800,0)</x:f>
        <x:v>0.1111111111111111</x:v>
      </x:c>
      <x:c r="R800" s="96" t="n">
        <x:f>IFERROR(L800/F800,0)</x:f>
        <x:v>0.02564102564102564</x:v>
      </x:c>
      <x:c r="S800" s="95" t="n">
        <x:v>114</x:v>
      </x:c>
      <x:c r="T800" s="94" t="str">
        <x:v>末次点击7天</x:v>
      </x:c>
    </x:row>
    <x:row r="801">
      <x:c r="A801" s="92" t="str">
        <x:v>PROC-0800</x:v>
      </x:c>
      <x:c r="B801" s="93" t="n">
        <x:v>46167</x:v>
      </x:c>
      <x:c r="C801" s="94" t="str">
        <x:v>Google Ads</x:v>
      </x:c>
      <x:c r="D801" s="94" t="str">
        <x:v>美国</x:v>
      </x:c>
      <x:c r="E801" s="94" t="str">
        <x:v>购物广告</x:v>
      </x:c>
      <x:c r="F801" s="95" t="n">
        <x:v>53</x:v>
      </x:c>
      <x:c r="G801" s="95" t="n">
        <x:v>50</x:v>
      </x:c>
      <x:c r="H801" s="95" t="n">
        <x:v>33</x:v>
      </x:c>
      <x:c r="I801" s="95" t="n">
        <x:v>28</x:v>
      </x:c>
      <x:c r="J801" s="95" t="n">
        <x:v>12</x:v>
      </x:c>
      <x:c r="K801" s="95" t="n">
        <x:v>4</x:v>
      </x:c>
      <x:c r="L801" s="95" t="n">
        <x:v>1</x:v>
      </x:c>
      <x:c r="M801" s="96" t="n">
        <x:f>IFERROR(G801/F801,0)</x:f>
        <x:v>0.9433962264150944</x:v>
      </x:c>
      <x:c r="N801" s="96" t="n">
        <x:f>IFERROR(H801/G801,0)</x:f>
        <x:v>0.66</x:v>
      </x:c>
      <x:c r="O801" s="96" t="n">
        <x:f>IFERROR(I801/H801,0)</x:f>
        <x:v>0.8484848484848485</x:v>
      </x:c>
      <x:c r="P801" s="96" t="n">
        <x:f>IFERROR(J801/I801,0)</x:f>
        <x:v>0.42857142857142855</x:v>
      </x:c>
      <x:c r="Q801" s="96" t="n">
        <x:f>IFERROR(L801/J801,0)</x:f>
        <x:v>0.08333333333333333</x:v>
      </x:c>
      <x:c r="R801" s="96" t="n">
        <x:f>IFERROR(L801/F801,0)</x:f>
        <x:v>0.018867924528301886</x:v>
      </x:c>
      <x:c r="S801" s="95" t="n">
        <x:v>76</x:v>
      </x:c>
      <x:c r="T801" s="94" t="str">
        <x:v>末次点击7天</x:v>
      </x:c>
    </x:row>
    <x:row r="802">
      <x:c r="A802" s="92" t="str">
        <x:v>PROC-0801</x:v>
      </x:c>
      <x:c r="B802" s="93" t="n">
        <x:v>46167</x:v>
      </x:c>
      <x:c r="C802" s="94" t="str">
        <x:v>Google Ads</x:v>
      </x:c>
      <x:c r="D802" s="94" t="str">
        <x:v>日本</x:v>
      </x:c>
      <x:c r="E802" s="94" t="str">
        <x:v>购物广告</x:v>
      </x:c>
      <x:c r="F802" s="95" t="n">
        <x:v>42</x:v>
      </x:c>
      <x:c r="G802" s="95" t="n">
        <x:v>37</x:v>
      </x:c>
      <x:c r="H802" s="95" t="n">
        <x:v>29</x:v>
      </x:c>
      <x:c r="I802" s="95" t="n">
        <x:v>25</x:v>
      </x:c>
      <x:c r="J802" s="95" t="n">
        <x:v>11</x:v>
      </x:c>
      <x:c r="K802" s="95" t="n">
        <x:v>3</x:v>
      </x:c>
      <x:c r="L802" s="95" t="n">
        <x:v>1</x:v>
      </x:c>
      <x:c r="M802" s="96" t="n">
        <x:f>IFERROR(G802/F802,0)</x:f>
        <x:v>0.8809523809523809</x:v>
      </x:c>
      <x:c r="N802" s="96" t="n">
        <x:f>IFERROR(H802/G802,0)</x:f>
        <x:v>0.7837837837837838</x:v>
      </x:c>
      <x:c r="O802" s="96" t="n">
        <x:f>IFERROR(I802/H802,0)</x:f>
        <x:v>0.8620689655172413</x:v>
      </x:c>
      <x:c r="P802" s="96" t="n">
        <x:f>IFERROR(J802/I802,0)</x:f>
        <x:v>0.44</x:v>
      </x:c>
      <x:c r="Q802" s="96" t="n">
        <x:f>IFERROR(L802/J802,0)</x:f>
        <x:v>0.09090909090909091</x:v>
      </x:c>
      <x:c r="R802" s="96" t="n">
        <x:f>IFERROR(L802/F802,0)</x:f>
        <x:v>0.023809523809523808</x:v>
      </x:c>
      <x:c r="S802" s="95" t="n">
        <x:v>66</x:v>
      </x:c>
      <x:c r="T802" s="94" t="str">
        <x:v>末次点击7天</x:v>
      </x:c>
    </x:row>
    <x:row r="803">
      <x:c r="A803" s="92" t="str">
        <x:v>PROC-0802</x:v>
      </x:c>
      <x:c r="B803" s="93" t="n">
        <x:v>46167</x:v>
      </x:c>
      <x:c r="C803" s="94" t="str">
        <x:v>Google Ads</x:v>
      </x:c>
      <x:c r="D803" s="94" t="str">
        <x:v>美国</x:v>
      </x:c>
      <x:c r="E803" s="94" t="str">
        <x:v>品牌搜索</x:v>
      </x:c>
      <x:c r="F803" s="95" t="n">
        <x:v>43</x:v>
      </x:c>
      <x:c r="G803" s="95" t="n">
        <x:v>39</x:v>
      </x:c>
      <x:c r="H803" s="95" t="n">
        <x:v>25</x:v>
      </x:c>
      <x:c r="I803" s="95" t="n">
        <x:v>21</x:v>
      </x:c>
      <x:c r="J803" s="95" t="n">
        <x:v>10</x:v>
      </x:c>
      <x:c r="K803" s="95" t="n">
        <x:v>3</x:v>
      </x:c>
      <x:c r="L803" s="95" t="n">
        <x:v>1</x:v>
      </x:c>
      <x:c r="M803" s="96" t="n">
        <x:f>IFERROR(G803/F803,0)</x:f>
        <x:v>0.9069767441860465</x:v>
      </x:c>
      <x:c r="N803" s="96" t="n">
        <x:f>IFERROR(H803/G803,0)</x:f>
        <x:v>0.6410256410256411</x:v>
      </x:c>
      <x:c r="O803" s="96" t="n">
        <x:f>IFERROR(I803/H803,0)</x:f>
        <x:v>0.84</x:v>
      </x:c>
      <x:c r="P803" s="96" t="n">
        <x:f>IFERROR(J803/I803,0)</x:f>
        <x:v>0.47619047619047616</x:v>
      </x:c>
      <x:c r="Q803" s="96" t="n">
        <x:f>IFERROR(L803/J803,0)</x:f>
        <x:v>0.1</x:v>
      </x:c>
      <x:c r="R803" s="96" t="n">
        <x:f>IFERROR(L803/F803,0)</x:f>
        <x:v>0.023255813953488372</x:v>
      </x:c>
      <x:c r="S803" s="95" t="n">
        <x:v>59</x:v>
      </x:c>
      <x:c r="T803" s="94" t="str">
        <x:v>末次点击7天</x:v>
      </x:c>
    </x:row>
    <x:row r="804">
      <x:c r="A804" s="92" t="str">
        <x:v>PROC-0803</x:v>
      </x:c>
      <x:c r="B804" s="93" t="n">
        <x:v>46168</x:v>
      </x:c>
      <x:c r="C804" s="94" t="str">
        <x:v>Microsoft Ads</x:v>
      </x:c>
      <x:c r="D804" s="94" t="str">
        <x:v>德国</x:v>
      </x:c>
      <x:c r="E804" s="94" t="str">
        <x:v>品牌搜索</x:v>
      </x:c>
      <x:c r="F804" s="95" t="n">
        <x:v>45</x:v>
      </x:c>
      <x:c r="G804" s="95" t="n">
        <x:v>40</x:v>
      </x:c>
      <x:c r="H804" s="95" t="n">
        <x:v>29</x:v>
      </x:c>
      <x:c r="I804" s="95" t="n">
        <x:v>24</x:v>
      </x:c>
      <x:c r="J804" s="95" t="n">
        <x:v>11</x:v>
      </x:c>
      <x:c r="K804" s="95" t="n">
        <x:v>2</x:v>
      </x:c>
      <x:c r="L804" s="95" t="n">
        <x:v>1</x:v>
      </x:c>
      <x:c r="M804" s="96" t="n">
        <x:f>IFERROR(G804/F804,0)</x:f>
        <x:v>0.8888888888888888</x:v>
      </x:c>
      <x:c r="N804" s="96" t="n">
        <x:f>IFERROR(H804/G804,0)</x:f>
        <x:v>0.725</x:v>
      </x:c>
      <x:c r="O804" s="96" t="n">
        <x:f>IFERROR(I804/H804,0)</x:f>
        <x:v>0.8275862068965517</x:v>
      </x:c>
      <x:c r="P804" s="96" t="n">
        <x:f>IFERROR(J804/I804,0)</x:f>
        <x:v>0.4583333333333333</x:v>
      </x:c>
      <x:c r="Q804" s="96" t="n">
        <x:f>IFERROR(L804/J804,0)</x:f>
        <x:v>0.09090909090909091</x:v>
      </x:c>
      <x:c r="R804" s="96" t="n">
        <x:f>IFERROR(L804/F804,0)</x:f>
        <x:v>0.022222222222222223</x:v>
      </x:c>
      <x:c r="S804" s="95" t="n">
        <x:v>73</x:v>
      </x:c>
      <x:c r="T804" s="94" t="str">
        <x:v>末次点击7天</x:v>
      </x:c>
    </x:row>
    <x:row r="805">
      <x:c r="A805" s="92" t="str">
        <x:v>PROC-0804</x:v>
      </x:c>
      <x:c r="B805" s="93" t="n">
        <x:v>46168</x:v>
      </x:c>
      <x:c r="C805" s="94" t="str">
        <x:v>Google Ads</x:v>
      </x:c>
      <x:c r="D805" s="94" t="str">
        <x:v>美国</x:v>
      </x:c>
      <x:c r="E805" s="94" t="str">
        <x:v>竞品搜索</x:v>
      </x:c>
      <x:c r="F805" s="95" t="n">
        <x:v>25</x:v>
      </x:c>
      <x:c r="G805" s="95" t="n">
        <x:v>23</x:v>
      </x:c>
      <x:c r="H805" s="95" t="n">
        <x:v>16</x:v>
      </x:c>
      <x:c r="I805" s="95" t="n">
        <x:v>13</x:v>
      </x:c>
      <x:c r="J805" s="95" t="n">
        <x:v>6</x:v>
      </x:c>
      <x:c r="K805" s="95" t="n">
        <x:v>1</x:v>
      </x:c>
      <x:c r="L805" s="95" t="n">
        <x:v>1</x:v>
      </x:c>
      <x:c r="M805" s="96" t="n">
        <x:f>IFERROR(G805/F805,0)</x:f>
        <x:v>0.92</x:v>
      </x:c>
      <x:c r="N805" s="96" t="n">
        <x:f>IFERROR(H805/G805,0)</x:f>
        <x:v>0.6956521739130435</x:v>
      </x:c>
      <x:c r="O805" s="96" t="n">
        <x:f>IFERROR(I805/H805,0)</x:f>
        <x:v>0.8125</x:v>
      </x:c>
      <x:c r="P805" s="96" t="n">
        <x:f>IFERROR(J805/I805,0)</x:f>
        <x:v>0.46153846153846156</x:v>
      </x:c>
      <x:c r="Q805" s="96" t="n">
        <x:f>IFERROR(L805/J805,0)</x:f>
        <x:v>0.16666666666666666</x:v>
      </x:c>
      <x:c r="R805" s="96" t="n">
        <x:f>IFERROR(L805/F805,0)</x:f>
        <x:v>0.04</x:v>
      </x:c>
      <x:c r="S805" s="95" t="n">
        <x:v>155</x:v>
      </x:c>
      <x:c r="T805" s="94" t="str">
        <x:v>末次点击7天</x:v>
      </x:c>
    </x:row>
    <x:row r="806">
      <x:c r="A806" s="92" t="str">
        <x:v>PROC-0805</x:v>
      </x:c>
      <x:c r="B806" s="93" t="n">
        <x:v>46168</x:v>
      </x:c>
      <x:c r="C806" s="94" t="str">
        <x:v>Microsoft Ads</x:v>
      </x:c>
      <x:c r="D806" s="94" t="str">
        <x:v>英国</x:v>
      </x:c>
      <x:c r="E806" s="94" t="str">
        <x:v>购物广告</x:v>
      </x:c>
      <x:c r="F806" s="95" t="n">
        <x:v>45</x:v>
      </x:c>
      <x:c r="G806" s="95" t="n">
        <x:v>43</x:v>
      </x:c>
      <x:c r="H806" s="95" t="n">
        <x:v>31</x:v>
      </x:c>
      <x:c r="I806" s="95" t="n">
        <x:v>27</x:v>
      </x:c>
      <x:c r="J806" s="95" t="n">
        <x:v>14</x:v>
      </x:c>
      <x:c r="K806" s="95" t="n">
        <x:v>5</x:v>
      </x:c>
      <x:c r="L806" s="95" t="n">
        <x:v>1</x:v>
      </x:c>
      <x:c r="M806" s="96" t="n">
        <x:f>IFERROR(G806/F806,0)</x:f>
        <x:v>0.9555555555555556</x:v>
      </x:c>
      <x:c r="N806" s="96" t="n">
        <x:f>IFERROR(H806/G806,0)</x:f>
        <x:v>0.7209302325581395</x:v>
      </x:c>
      <x:c r="O806" s="96" t="n">
        <x:f>IFERROR(I806/H806,0)</x:f>
        <x:v>0.8709677419354839</x:v>
      </x:c>
      <x:c r="P806" s="96" t="n">
        <x:f>IFERROR(J806/I806,0)</x:f>
        <x:v>0.5185185185185185</x:v>
      </x:c>
      <x:c r="Q806" s="96" t="n">
        <x:f>IFERROR(L806/J806,0)</x:f>
        <x:v>0.07142857142857142</x:v>
      </x:c>
      <x:c r="R806" s="96" t="n">
        <x:f>IFERROR(L806/F806,0)</x:f>
        <x:v>0.022222222222222223</x:v>
      </x:c>
      <x:c r="S806" s="95" t="n">
        <x:v>44</x:v>
      </x:c>
      <x:c r="T806" s="94" t="str">
        <x:v>末次点击7天</x:v>
      </x:c>
    </x:row>
    <x:row r="807">
      <x:c r="A807" s="92" t="str">
        <x:v>PROC-0806</x:v>
      </x:c>
      <x:c r="B807" s="93" t="n">
        <x:v>46168</x:v>
      </x:c>
      <x:c r="C807" s="94" t="str">
        <x:v>Microsoft Ads</x:v>
      </x:c>
      <x:c r="D807" s="94" t="str">
        <x:v>德国</x:v>
      </x:c>
      <x:c r="E807" s="94" t="str">
        <x:v>购物广告</x:v>
      </x:c>
      <x:c r="F807" s="95" t="n">
        <x:v>50</x:v>
      </x:c>
      <x:c r="G807" s="95" t="n">
        <x:v>48</x:v>
      </x:c>
      <x:c r="H807" s="95" t="n">
        <x:v>31</x:v>
      </x:c>
      <x:c r="I807" s="95" t="n">
        <x:v>29</x:v>
      </x:c>
      <x:c r="J807" s="95" t="n">
        <x:v>14</x:v>
      </x:c>
      <x:c r="K807" s="95" t="n">
        <x:v>4</x:v>
      </x:c>
      <x:c r="L807" s="95" t="n">
        <x:v>1</x:v>
      </x:c>
      <x:c r="M807" s="96" t="n">
        <x:f>IFERROR(G807/F807,0)</x:f>
        <x:v>0.96</x:v>
      </x:c>
      <x:c r="N807" s="96" t="n">
        <x:f>IFERROR(H807/G807,0)</x:f>
        <x:v>0.6458333333333334</x:v>
      </x:c>
      <x:c r="O807" s="96" t="n">
        <x:f>IFERROR(I807/H807,0)</x:f>
        <x:v>0.9354838709677419</x:v>
      </x:c>
      <x:c r="P807" s="96" t="n">
        <x:f>IFERROR(J807/I807,0)</x:f>
        <x:v>0.4827586206896552</x:v>
      </x:c>
      <x:c r="Q807" s="96" t="n">
        <x:f>IFERROR(L807/J807,0)</x:f>
        <x:v>0.07142857142857142</x:v>
      </x:c>
      <x:c r="R807" s="96" t="n">
        <x:f>IFERROR(L807/F807,0)</x:f>
        <x:v>0.02</x:v>
      </x:c>
      <x:c r="S807" s="95" t="n">
        <x:v>115</x:v>
      </x:c>
      <x:c r="T807" s="94" t="str">
        <x:v>末次点击7天</x:v>
      </x:c>
    </x:row>
    <x:row r="808">
      <x:c r="A808" s="92" t="str">
        <x:v>PROC-0807</x:v>
      </x:c>
      <x:c r="B808" s="93" t="n">
        <x:v>46168</x:v>
      </x:c>
      <x:c r="C808" s="94" t="str">
        <x:v>Microsoft Ads</x:v>
      </x:c>
      <x:c r="D808" s="94" t="str">
        <x:v>美国</x:v>
      </x:c>
      <x:c r="E808" s="94" t="str">
        <x:v>通用搜索</x:v>
      </x:c>
      <x:c r="F808" s="95" t="n">
        <x:v>33</x:v>
      </x:c>
      <x:c r="G808" s="95" t="n">
        <x:v>30</x:v>
      </x:c>
      <x:c r="H808" s="95" t="n">
        <x:v>21</x:v>
      </x:c>
      <x:c r="I808" s="95" t="n">
        <x:v>17</x:v>
      </x:c>
      <x:c r="J808" s="95" t="n">
        <x:v>8</x:v>
      </x:c>
      <x:c r="K808" s="95" t="n">
        <x:v>2</x:v>
      </x:c>
      <x:c r="L808" s="95" t="n">
        <x:v>1</x:v>
      </x:c>
      <x:c r="M808" s="96" t="n">
        <x:f>IFERROR(G808/F808,0)</x:f>
        <x:v>0.9090909090909091</x:v>
      </x:c>
      <x:c r="N808" s="96" t="n">
        <x:f>IFERROR(H808/G808,0)</x:f>
        <x:v>0.7</x:v>
      </x:c>
      <x:c r="O808" s="96" t="n">
        <x:f>IFERROR(I808/H808,0)</x:f>
        <x:v>0.8095238095238095</x:v>
      </x:c>
      <x:c r="P808" s="96" t="n">
        <x:f>IFERROR(J808/I808,0)</x:f>
        <x:v>0.47058823529411764</x:v>
      </x:c>
      <x:c r="Q808" s="96" t="n">
        <x:f>IFERROR(L808/J808,0)</x:f>
        <x:v>0.125</x:v>
      </x:c>
      <x:c r="R808" s="96" t="n">
        <x:f>IFERROR(L808/F808,0)</x:f>
        <x:v>0.030303030303030304</x:v>
      </x:c>
      <x:c r="S808" s="95" t="n">
        <x:v>58</x:v>
      </x:c>
      <x:c r="T808" s="94" t="str">
        <x:v>末次点击7天</x:v>
      </x:c>
    </x:row>
    <x:row r="809">
      <x:c r="A809" s="92" t="str">
        <x:v>PROC-0808</x:v>
      </x:c>
      <x:c r="B809" s="93" t="n">
        <x:v>46169</x:v>
      </x:c>
      <x:c r="C809" s="94" t="str">
        <x:v>Google Ads</x:v>
      </x:c>
      <x:c r="D809" s="94" t="str">
        <x:v>日本</x:v>
      </x:c>
      <x:c r="E809" s="94" t="str">
        <x:v>通用搜索</x:v>
      </x:c>
      <x:c r="F809" s="95" t="n">
        <x:v>27</x:v>
      </x:c>
      <x:c r="G809" s="95" t="n">
        <x:v>26</x:v>
      </x:c>
      <x:c r="H809" s="95" t="n">
        <x:v>17</x:v>
      </x:c>
      <x:c r="I809" s="95" t="n">
        <x:v>14</x:v>
      </x:c>
      <x:c r="J809" s="95" t="n">
        <x:v>5</x:v>
      </x:c>
      <x:c r="K809" s="95" t="n">
        <x:v>2</x:v>
      </x:c>
      <x:c r="L809" s="95" t="n">
        <x:v>0</x:v>
      </x:c>
      <x:c r="M809" s="96" t="n">
        <x:f>IFERROR(G809/F809,0)</x:f>
        <x:v>0.9629629629629629</x:v>
      </x:c>
      <x:c r="N809" s="96" t="n">
        <x:f>IFERROR(H809/G809,0)</x:f>
        <x:v>0.6538461538461539</x:v>
      </x:c>
      <x:c r="O809" s="96" t="n">
        <x:f>IFERROR(I809/H809,0)</x:f>
        <x:v>0.8235294117647058</x:v>
      </x:c>
      <x:c r="P809" s="96" t="n">
        <x:f>IFERROR(J809/I809,0)</x:f>
        <x:v>0.35714285714285715</x:v>
      </x:c>
      <x:c r="Q809" s="96" t="n">
        <x:f>IFERROR(L809/J809,0)</x:f>
        <x:v>0</x:v>
      </x:c>
      <x:c r="R809" s="96" t="n">
        <x:f>IFERROR(L809/F809,0)</x:f>
        <x:v>0</x:v>
      </x:c>
      <x:c r="S809" s="95" t="n">
        <x:v>102</x:v>
      </x:c>
      <x:c r="T809" s="94" t="str">
        <x:v>末次点击7天</x:v>
      </x:c>
    </x:row>
    <x:row r="810">
      <x:c r="A810" s="92" t="str">
        <x:v>PROC-0809</x:v>
      </x:c>
      <x:c r="B810" s="93" t="n">
        <x:v>46169</x:v>
      </x:c>
      <x:c r="C810" s="94" t="str">
        <x:v>Google Ads</x:v>
      </x:c>
      <x:c r="D810" s="94" t="str">
        <x:v>日本</x:v>
      </x:c>
      <x:c r="E810" s="94" t="str">
        <x:v>品牌搜索</x:v>
      </x:c>
      <x:c r="F810" s="95" t="n">
        <x:v>40</x:v>
      </x:c>
      <x:c r="G810" s="95" t="n">
        <x:v>36</x:v>
      </x:c>
      <x:c r="H810" s="95" t="n">
        <x:v>26</x:v>
      </x:c>
      <x:c r="I810" s="95" t="n">
        <x:v>22</x:v>
      </x:c>
      <x:c r="J810" s="95" t="n">
        <x:v>11</x:v>
      </x:c>
      <x:c r="K810" s="95" t="n">
        <x:v>3</x:v>
      </x:c>
      <x:c r="L810" s="95" t="n">
        <x:v>1</x:v>
      </x:c>
      <x:c r="M810" s="96" t="n">
        <x:f>IFERROR(G810/F810,0)</x:f>
        <x:v>0.9</x:v>
      </x:c>
      <x:c r="N810" s="96" t="n">
        <x:f>IFERROR(H810/G810,0)</x:f>
        <x:v>0.7222222222222222</x:v>
      </x:c>
      <x:c r="O810" s="96" t="n">
        <x:f>IFERROR(I810/H810,0)</x:f>
        <x:v>0.8461538461538461</x:v>
      </x:c>
      <x:c r="P810" s="96" t="n">
        <x:f>IFERROR(J810/I810,0)</x:f>
        <x:v>0.5</x:v>
      </x:c>
      <x:c r="Q810" s="96" t="n">
        <x:f>IFERROR(L810/J810,0)</x:f>
        <x:v>0.09090909090909091</x:v>
      </x:c>
      <x:c r="R810" s="96" t="n">
        <x:f>IFERROR(L810/F810,0)</x:f>
        <x:v>0.025</x:v>
      </x:c>
      <x:c r="S810" s="95" t="n">
        <x:v>132</x:v>
      </x:c>
      <x:c r="T810" s="94" t="str">
        <x:v>末次点击7天</x:v>
      </x:c>
    </x:row>
    <x:row r="811">
      <x:c r="A811" s="92" t="str">
        <x:v>PROC-0810</x:v>
      </x:c>
      <x:c r="B811" s="93" t="n">
        <x:v>46169</x:v>
      </x:c>
      <x:c r="C811" s="94" t="str">
        <x:v>Microsoft Ads</x:v>
      </x:c>
      <x:c r="D811" s="94" t="str">
        <x:v>美国</x:v>
      </x:c>
      <x:c r="E811" s="94" t="str">
        <x:v>通用搜索</x:v>
      </x:c>
      <x:c r="F811" s="95" t="n">
        <x:v>47</x:v>
      </x:c>
      <x:c r="G811" s="95" t="n">
        <x:v>42</x:v>
      </x:c>
      <x:c r="H811" s="95" t="n">
        <x:v>30</x:v>
      </x:c>
      <x:c r="I811" s="95" t="n">
        <x:v>26</x:v>
      </x:c>
      <x:c r="J811" s="95" t="n">
        <x:v>10</x:v>
      </x:c>
      <x:c r="K811" s="95" t="n">
        <x:v>2</x:v>
      </x:c>
      <x:c r="L811" s="95" t="n">
        <x:v>1</x:v>
      </x:c>
      <x:c r="M811" s="96" t="n">
        <x:f>IFERROR(G811/F811,0)</x:f>
        <x:v>0.8936170212765957</x:v>
      </x:c>
      <x:c r="N811" s="96" t="n">
        <x:f>IFERROR(H811/G811,0)</x:f>
        <x:v>0.7142857142857143</x:v>
      </x:c>
      <x:c r="O811" s="96" t="n">
        <x:f>IFERROR(I811/H811,0)</x:f>
        <x:v>0.8666666666666667</x:v>
      </x:c>
      <x:c r="P811" s="96" t="n">
        <x:f>IFERROR(J811/I811,0)</x:f>
        <x:v>0.38461538461538464</x:v>
      </x:c>
      <x:c r="Q811" s="96" t="n">
        <x:f>IFERROR(L811/J811,0)</x:f>
        <x:v>0.1</x:v>
      </x:c>
      <x:c r="R811" s="96" t="n">
        <x:f>IFERROR(L811/F811,0)</x:f>
        <x:v>0.02127659574468085</x:v>
      </x:c>
      <x:c r="S811" s="95" t="n">
        <x:v>70</x:v>
      </x:c>
      <x:c r="T811" s="94" t="str">
        <x:v>末次点击7天</x:v>
      </x:c>
    </x:row>
    <x:row r="812">
      <x:c r="A812" s="92" t="str">
        <x:v>PROC-0811</x:v>
      </x:c>
      <x:c r="B812" s="93" t="n">
        <x:v>46169</x:v>
      </x:c>
      <x:c r="C812" s="94" t="str">
        <x:v>Google Ads</x:v>
      </x:c>
      <x:c r="D812" s="94" t="str">
        <x:v>美国</x:v>
      </x:c>
      <x:c r="E812" s="94" t="str">
        <x:v>竞品搜索</x:v>
      </x:c>
      <x:c r="F812" s="95" t="n">
        <x:v>20</x:v>
      </x:c>
      <x:c r="G812" s="95" t="n">
        <x:v>18</x:v>
      </x:c>
      <x:c r="H812" s="95" t="n">
        <x:v>12</x:v>
      </x:c>
      <x:c r="I812" s="95" t="n">
        <x:v>10</x:v>
      </x:c>
      <x:c r="J812" s="95" t="n">
        <x:v>4</x:v>
      </x:c>
      <x:c r="K812" s="95" t="n">
        <x:v>1</x:v>
      </x:c>
      <x:c r="L812" s="95" t="n">
        <x:v>0</x:v>
      </x:c>
      <x:c r="M812" s="96" t="n">
        <x:f>IFERROR(G812/F812,0)</x:f>
        <x:v>0.9</x:v>
      </x:c>
      <x:c r="N812" s="96" t="n">
        <x:f>IFERROR(H812/G812,0)</x:f>
        <x:v>0.6666666666666666</x:v>
      </x:c>
      <x:c r="O812" s="96" t="n">
        <x:f>IFERROR(I812/H812,0)</x:f>
        <x:v>0.8333333333333334</x:v>
      </x:c>
      <x:c r="P812" s="96" t="n">
        <x:f>IFERROR(J812/I812,0)</x:f>
        <x:v>0.4</x:v>
      </x:c>
      <x:c r="Q812" s="96" t="n">
        <x:f>IFERROR(L812/J812,0)</x:f>
        <x:v>0</x:v>
      </x:c>
      <x:c r="R812" s="96" t="n">
        <x:f>IFERROR(L812/F812,0)</x:f>
        <x:v>0</x:v>
      </x:c>
      <x:c r="S812" s="95" t="n">
        <x:v>82</x:v>
      </x:c>
      <x:c r="T812" s="94" t="str">
        <x:v>末次点击7天</x:v>
      </x:c>
    </x:row>
    <x:row r="813">
      <x:c r="A813" s="92" t="str">
        <x:v>PROC-0812</x:v>
      </x:c>
      <x:c r="B813" s="93" t="n">
        <x:v>46169</x:v>
      </x:c>
      <x:c r="C813" s="94" t="str">
        <x:v>Google Ads</x:v>
      </x:c>
      <x:c r="D813" s="94" t="str">
        <x:v>英国</x:v>
      </x:c>
      <x:c r="E813" s="94" t="str">
        <x:v>通用搜索</x:v>
      </x:c>
      <x:c r="F813" s="95" t="n">
        <x:v>46</x:v>
      </x:c>
      <x:c r="G813" s="95" t="n">
        <x:v>41</x:v>
      </x:c>
      <x:c r="H813" s="95" t="n">
        <x:v>30</x:v>
      </x:c>
      <x:c r="I813" s="95" t="n">
        <x:v>25</x:v>
      </x:c>
      <x:c r="J813" s="95" t="n">
        <x:v>11</x:v>
      </x:c>
      <x:c r="K813" s="95" t="n">
        <x:v>4</x:v>
      </x:c>
      <x:c r="L813" s="95" t="n">
        <x:v>1</x:v>
      </x:c>
      <x:c r="M813" s="96" t="n">
        <x:f>IFERROR(G813/F813,0)</x:f>
        <x:v>0.8913043478260869</x:v>
      </x:c>
      <x:c r="N813" s="96" t="n">
        <x:f>IFERROR(H813/G813,0)</x:f>
        <x:v>0.7317073170731707</x:v>
      </x:c>
      <x:c r="O813" s="96" t="n">
        <x:f>IFERROR(I813/H813,0)</x:f>
        <x:v>0.8333333333333334</x:v>
      </x:c>
      <x:c r="P813" s="96" t="n">
        <x:f>IFERROR(J813/I813,0)</x:f>
        <x:v>0.44</x:v>
      </x:c>
      <x:c r="Q813" s="96" t="n">
        <x:f>IFERROR(L813/J813,0)</x:f>
        <x:v>0.09090909090909091</x:v>
      </x:c>
      <x:c r="R813" s="96" t="n">
        <x:f>IFERROR(L813/F813,0)</x:f>
        <x:v>0.021739130434782608</x:v>
      </x:c>
      <x:c r="S813" s="95" t="n">
        <x:v>126</x:v>
      </x:c>
      <x:c r="T813" s="94" t="str">
        <x:v>末次点击7天</x:v>
      </x:c>
    </x:row>
    <x:row r="814">
      <x:c r="A814" s="92" t="str">
        <x:v>PROC-0813</x:v>
      </x:c>
      <x:c r="B814" s="93" t="n">
        <x:v>46169</x:v>
      </x:c>
      <x:c r="C814" s="94" t="str">
        <x:v>Google Ads</x:v>
      </x:c>
      <x:c r="D814" s="94" t="str">
        <x:v>英国</x:v>
      </x:c>
      <x:c r="E814" s="94" t="str">
        <x:v>通用搜索</x:v>
      </x:c>
      <x:c r="F814" s="95" t="n">
        <x:v>46</x:v>
      </x:c>
      <x:c r="G814" s="95" t="n">
        <x:v>40</x:v>
      </x:c>
      <x:c r="H814" s="95" t="n">
        <x:v>28</x:v>
      </x:c>
      <x:c r="I814" s="95" t="n">
        <x:v>23</x:v>
      </x:c>
      <x:c r="J814" s="95" t="n">
        <x:v>10</x:v>
      </x:c>
      <x:c r="K814" s="95" t="n">
        <x:v>2</x:v>
      </x:c>
      <x:c r="L814" s="95" t="n">
        <x:v>1</x:v>
      </x:c>
      <x:c r="M814" s="96" t="n">
        <x:f>IFERROR(G814/F814,0)</x:f>
        <x:v>0.8695652173913043</x:v>
      </x:c>
      <x:c r="N814" s="96" t="n">
        <x:f>IFERROR(H814/G814,0)</x:f>
        <x:v>0.7</x:v>
      </x:c>
      <x:c r="O814" s="96" t="n">
        <x:f>IFERROR(I814/H814,0)</x:f>
        <x:v>0.8214285714285714</x:v>
      </x:c>
      <x:c r="P814" s="96" t="n">
        <x:f>IFERROR(J814/I814,0)</x:f>
        <x:v>0.43478260869565216</x:v>
      </x:c>
      <x:c r="Q814" s="96" t="n">
        <x:f>IFERROR(L814/J814,0)</x:f>
        <x:v>0.1</x:v>
      </x:c>
      <x:c r="R814" s="96" t="n">
        <x:f>IFERROR(L814/F814,0)</x:f>
        <x:v>0.021739130434782608</x:v>
      </x:c>
      <x:c r="S814" s="95" t="n">
        <x:v>60</x:v>
      </x:c>
      <x:c r="T814" s="94" t="str">
        <x:v>末次点击7天</x:v>
      </x:c>
    </x:row>
    <x:row r="815">
      <x:c r="A815" s="92" t="str">
        <x:v>PROC-0814</x:v>
      </x:c>
      <x:c r="B815" s="93" t="n">
        <x:v>46170</x:v>
      </x:c>
      <x:c r="C815" s="94" t="str">
        <x:v>Google Ads</x:v>
      </x:c>
      <x:c r="D815" s="94" t="str">
        <x:v>德国</x:v>
      </x:c>
      <x:c r="E815" s="94" t="str">
        <x:v>品牌搜索</x:v>
      </x:c>
      <x:c r="F815" s="95" t="n">
        <x:v>42</x:v>
      </x:c>
      <x:c r="G815" s="95" t="n">
        <x:v>38</x:v>
      </x:c>
      <x:c r="H815" s="95" t="n">
        <x:v>26</x:v>
      </x:c>
      <x:c r="I815" s="95" t="n">
        <x:v>22</x:v>
      </x:c>
      <x:c r="J815" s="95" t="n">
        <x:v>11</x:v>
      </x:c>
      <x:c r="K815" s="95" t="n">
        <x:v>4</x:v>
      </x:c>
      <x:c r="L815" s="95" t="n">
        <x:v>1</x:v>
      </x:c>
      <x:c r="M815" s="96" t="n">
        <x:f>IFERROR(G815/F815,0)</x:f>
        <x:v>0.9047619047619048</x:v>
      </x:c>
      <x:c r="N815" s="96" t="n">
        <x:f>IFERROR(H815/G815,0)</x:f>
        <x:v>0.6842105263157895</x:v>
      </x:c>
      <x:c r="O815" s="96" t="n">
        <x:f>IFERROR(I815/H815,0)</x:f>
        <x:v>0.8461538461538461</x:v>
      </x:c>
      <x:c r="P815" s="96" t="n">
        <x:f>IFERROR(J815/I815,0)</x:f>
        <x:v>0.5</x:v>
      </x:c>
      <x:c r="Q815" s="96" t="n">
        <x:f>IFERROR(L815/J815,0)</x:f>
        <x:v>0.09090909090909091</x:v>
      </x:c>
      <x:c r="R815" s="96" t="n">
        <x:f>IFERROR(L815/F815,0)</x:f>
        <x:v>0.023809523809523808</x:v>
      </x:c>
      <x:c r="S815" s="95" t="n">
        <x:v>128</x:v>
      </x:c>
      <x:c r="T815" s="94" t="str">
        <x:v>末次点击7天</x:v>
      </x:c>
    </x:row>
    <x:row r="816">
      <x:c r="A816" s="92" t="str">
        <x:v>PROC-0815</x:v>
      </x:c>
      <x:c r="B816" s="93" t="n">
        <x:v>46170</x:v>
      </x:c>
      <x:c r="C816" s="94" t="str">
        <x:v>Google Ads</x:v>
      </x:c>
      <x:c r="D816" s="94" t="str">
        <x:v>美国</x:v>
      </x:c>
      <x:c r="E816" s="94" t="str">
        <x:v>竞品搜索</x:v>
      </x:c>
      <x:c r="F816" s="95" t="n">
        <x:v>16</x:v>
      </x:c>
      <x:c r="G816" s="95" t="n">
        <x:v>14</x:v>
      </x:c>
      <x:c r="H816" s="95" t="n">
        <x:v>10</x:v>
      </x:c>
      <x:c r="I816" s="95" t="n">
        <x:v>9</x:v>
      </x:c>
      <x:c r="J816" s="95" t="n">
        <x:v>4</x:v>
      </x:c>
      <x:c r="K816" s="95" t="n">
        <x:v>1</x:v>
      </x:c>
      <x:c r="L816" s="95" t="n">
        <x:v>0</x:v>
      </x:c>
      <x:c r="M816" s="96" t="n">
        <x:f>IFERROR(G816/F816,0)</x:f>
        <x:v>0.875</x:v>
      </x:c>
      <x:c r="N816" s="96" t="n">
        <x:f>IFERROR(H816/G816,0)</x:f>
        <x:v>0.7142857142857143</x:v>
      </x:c>
      <x:c r="O816" s="96" t="n">
        <x:f>IFERROR(I816/H816,0)</x:f>
        <x:v>0.9</x:v>
      </x:c>
      <x:c r="P816" s="96" t="n">
        <x:f>IFERROR(J816/I816,0)</x:f>
        <x:v>0.4444444444444444</x:v>
      </x:c>
      <x:c r="Q816" s="96" t="n">
        <x:f>IFERROR(L816/J816,0)</x:f>
        <x:v>0</x:v>
      </x:c>
      <x:c r="R816" s="96" t="n">
        <x:f>IFERROR(L816/F816,0)</x:f>
        <x:v>0</x:v>
      </x:c>
      <x:c r="S816" s="95" t="n">
        <x:v>53</x:v>
      </x:c>
      <x:c r="T816" s="94" t="str">
        <x:v>末次点击7天</x:v>
      </x:c>
    </x:row>
    <x:row r="817">
      <x:c r="A817" s="92" t="str">
        <x:v>PROC-0816</x:v>
      </x:c>
      <x:c r="B817" s="93" t="n">
        <x:v>46170</x:v>
      </x:c>
      <x:c r="C817" s="94" t="str">
        <x:v>Google Ads</x:v>
      </x:c>
      <x:c r="D817" s="94" t="str">
        <x:v>美国</x:v>
      </x:c>
      <x:c r="E817" s="94" t="str">
        <x:v>购物广告</x:v>
      </x:c>
      <x:c r="F817" s="95" t="n">
        <x:v>67</x:v>
      </x:c>
      <x:c r="G817" s="95" t="n">
        <x:v>60</x:v>
      </x:c>
      <x:c r="H817" s="95" t="n">
        <x:v>43</x:v>
      </x:c>
      <x:c r="I817" s="95" t="n">
        <x:v>37</x:v>
      </x:c>
      <x:c r="J817" s="95" t="n">
        <x:v>16</x:v>
      </x:c>
      <x:c r="K817" s="95" t="n">
        <x:v>5</x:v>
      </x:c>
      <x:c r="L817" s="95" t="n">
        <x:v>1</x:v>
      </x:c>
      <x:c r="M817" s="96" t="n">
        <x:f>IFERROR(G817/F817,0)</x:f>
        <x:v>0.8955223880597015</x:v>
      </x:c>
      <x:c r="N817" s="96" t="n">
        <x:f>IFERROR(H817/G817,0)</x:f>
        <x:v>0.7166666666666667</x:v>
      </x:c>
      <x:c r="O817" s="96" t="n">
        <x:f>IFERROR(I817/H817,0)</x:f>
        <x:v>0.8604651162790697</x:v>
      </x:c>
      <x:c r="P817" s="96" t="n">
        <x:f>IFERROR(J817/I817,0)</x:f>
        <x:v>0.43243243243243246</x:v>
      </x:c>
      <x:c r="Q817" s="96" t="n">
        <x:f>IFERROR(L817/J817,0)</x:f>
        <x:v>0.0625</x:v>
      </x:c>
      <x:c r="R817" s="96" t="n">
        <x:f>IFERROR(L817/F817,0)</x:f>
        <x:v>0.014925373134328358</x:v>
      </x:c>
      <x:c r="S817" s="95" t="n">
        <x:v>42</x:v>
      </x:c>
      <x:c r="T817" s="94" t="str">
        <x:v>末次点击7天</x:v>
      </x:c>
    </x:row>
    <x:row r="818">
      <x:c r="A818" s="92" t="str">
        <x:v>PROC-0817</x:v>
      </x:c>
      <x:c r="B818" s="93" t="n">
        <x:v>46170</x:v>
      </x:c>
      <x:c r="C818" s="94" t="str">
        <x:v>Google Ads</x:v>
      </x:c>
      <x:c r="D818" s="94" t="str">
        <x:v>美国</x:v>
      </x:c>
      <x:c r="E818" s="94" t="str">
        <x:v>品牌搜索</x:v>
      </x:c>
      <x:c r="F818" s="95" t="n">
        <x:v>53</x:v>
      </x:c>
      <x:c r="G818" s="95" t="n">
        <x:v>48</x:v>
      </x:c>
      <x:c r="H818" s="95" t="n">
        <x:v>32</x:v>
      </x:c>
      <x:c r="I818" s="95" t="n">
        <x:v>26</x:v>
      </x:c>
      <x:c r="J818" s="95" t="n">
        <x:v>12</x:v>
      </x:c>
      <x:c r="K818" s="95" t="n">
        <x:v>3</x:v>
      </x:c>
      <x:c r="L818" s="95" t="n">
        <x:v>1</x:v>
      </x:c>
      <x:c r="M818" s="96" t="n">
        <x:f>IFERROR(G818/F818,0)</x:f>
        <x:v>0.9056603773584906</x:v>
      </x:c>
      <x:c r="N818" s="96" t="n">
        <x:f>IFERROR(H818/G818,0)</x:f>
        <x:v>0.6666666666666666</x:v>
      </x:c>
      <x:c r="O818" s="96" t="n">
        <x:f>IFERROR(I818/H818,0)</x:f>
        <x:v>0.8125</x:v>
      </x:c>
      <x:c r="P818" s="96" t="n">
        <x:f>IFERROR(J818/I818,0)</x:f>
        <x:v>0.46153846153846156</x:v>
      </x:c>
      <x:c r="Q818" s="96" t="n">
        <x:f>IFERROR(L818/J818,0)</x:f>
        <x:v>0.08333333333333333</x:v>
      </x:c>
      <x:c r="R818" s="96" t="n">
        <x:f>IFERROR(L818/F818,0)</x:f>
        <x:v>0.018867924528301886</x:v>
      </x:c>
      <x:c r="S818" s="95" t="n">
        <x:v>50</x:v>
      </x:c>
      <x:c r="T818" s="94" t="str">
        <x:v>末次点击7天</x:v>
      </x:c>
    </x:row>
    <x:row r="819">
      <x:c r="A819" s="92" t="str">
        <x:v>PROC-0818</x:v>
      </x:c>
      <x:c r="B819" s="93" t="n">
        <x:v>46170</x:v>
      </x:c>
      <x:c r="C819" s="94" t="str">
        <x:v>Google Ads</x:v>
      </x:c>
      <x:c r="D819" s="94" t="str">
        <x:v>日本</x:v>
      </x:c>
      <x:c r="E819" s="94" t="str">
        <x:v>购物广告</x:v>
      </x:c>
      <x:c r="F819" s="95" t="n">
        <x:v>35</x:v>
      </x:c>
      <x:c r="G819" s="95" t="n">
        <x:v>33</x:v>
      </x:c>
      <x:c r="H819" s="95" t="n">
        <x:v>23</x:v>
      </x:c>
      <x:c r="I819" s="95" t="n">
        <x:v>21</x:v>
      </x:c>
      <x:c r="J819" s="95" t="n">
        <x:v>10</x:v>
      </x:c>
      <x:c r="K819" s="95" t="n">
        <x:v>3</x:v>
      </x:c>
      <x:c r="L819" s="95" t="n">
        <x:v>1</x:v>
      </x:c>
      <x:c r="M819" s="96" t="n">
        <x:f>IFERROR(G819/F819,0)</x:f>
        <x:v>0.9428571428571428</x:v>
      </x:c>
      <x:c r="N819" s="96" t="n">
        <x:f>IFERROR(H819/G819,0)</x:f>
        <x:v>0.696969696969697</x:v>
      </x:c>
      <x:c r="O819" s="96" t="n">
        <x:f>IFERROR(I819/H819,0)</x:f>
        <x:v>0.9130434782608695</x:v>
      </x:c>
      <x:c r="P819" s="96" t="n">
        <x:f>IFERROR(J819/I819,0)</x:f>
        <x:v>0.47619047619047616</x:v>
      </x:c>
      <x:c r="Q819" s="96" t="n">
        <x:f>IFERROR(L819/J819,0)</x:f>
        <x:v>0.1</x:v>
      </x:c>
      <x:c r="R819" s="96" t="n">
        <x:f>IFERROR(L819/F819,0)</x:f>
        <x:v>0.02857142857142857</x:v>
      </x:c>
      <x:c r="S819" s="95" t="n">
        <x:v>131</x:v>
      </x:c>
      <x:c r="T819" s="94" t="str">
        <x:v>末次点击7天</x:v>
      </x:c>
    </x:row>
    <x:row r="820">
      <x:c r="A820" s="92" t="str">
        <x:v>PROC-0819</x:v>
      </x:c>
      <x:c r="B820" s="93" t="n">
        <x:v>46171</x:v>
      </x:c>
      <x:c r="C820" s="94" t="str">
        <x:v>Microsoft Ads</x:v>
      </x:c>
      <x:c r="D820" s="94" t="str">
        <x:v>美国</x:v>
      </x:c>
      <x:c r="E820" s="94" t="str">
        <x:v>购物广告</x:v>
      </x:c>
      <x:c r="F820" s="95" t="n">
        <x:v>68</x:v>
      </x:c>
      <x:c r="G820" s="95" t="n">
        <x:v>61</x:v>
      </x:c>
      <x:c r="H820" s="95" t="n">
        <x:v>44</x:v>
      </x:c>
      <x:c r="I820" s="95" t="n">
        <x:v>39</x:v>
      </x:c>
      <x:c r="J820" s="95" t="n">
        <x:v>19</x:v>
      </x:c>
      <x:c r="K820" s="95" t="n">
        <x:v>6</x:v>
      </x:c>
      <x:c r="L820" s="95" t="n">
        <x:v>2</x:v>
      </x:c>
      <x:c r="M820" s="96" t="n">
        <x:f>IFERROR(G820/F820,0)</x:f>
        <x:v>0.8970588235294118</x:v>
      </x:c>
      <x:c r="N820" s="96" t="n">
        <x:f>IFERROR(H820/G820,0)</x:f>
        <x:v>0.7213114754098361</x:v>
      </x:c>
      <x:c r="O820" s="96" t="n">
        <x:f>IFERROR(I820/H820,0)</x:f>
        <x:v>0.8863636363636364</x:v>
      </x:c>
      <x:c r="P820" s="96" t="n">
        <x:f>IFERROR(J820/I820,0)</x:f>
        <x:v>0.48717948717948717</x:v>
      </x:c>
      <x:c r="Q820" s="96" t="n">
        <x:f>IFERROR(L820/J820,0)</x:f>
        <x:v>0.10526315789473684</x:v>
      </x:c>
      <x:c r="R820" s="96" t="n">
        <x:f>IFERROR(L820/F820,0)</x:f>
        <x:v>0.029411764705882353</x:v>
      </x:c>
      <x:c r="S820" s="95" t="n">
        <x:v>99</x:v>
      </x:c>
      <x:c r="T820" s="94" t="str">
        <x:v>末次点击7天</x:v>
      </x:c>
    </x:row>
    <x:row r="821">
      <x:c r="A821" s="92" t="str">
        <x:v>PROC-0820</x:v>
      </x:c>
      <x:c r="B821" s="93" t="n">
        <x:v>46171</x:v>
      </x:c>
      <x:c r="C821" s="94" t="str">
        <x:v>Google Ads</x:v>
      </x:c>
      <x:c r="D821" s="94" t="str">
        <x:v>德国</x:v>
      </x:c>
      <x:c r="E821" s="94" t="str">
        <x:v>通用搜索</x:v>
      </x:c>
      <x:c r="F821" s="95" t="n">
        <x:v>22</x:v>
      </x:c>
      <x:c r="G821" s="95" t="n">
        <x:v>21</x:v>
      </x:c>
      <x:c r="H821" s="95" t="n">
        <x:v>14</x:v>
      </x:c>
      <x:c r="I821" s="95" t="n">
        <x:v>12</x:v>
      </x:c>
      <x:c r="J821" s="95" t="n">
        <x:v>5</x:v>
      </x:c>
      <x:c r="K821" s="95" t="n">
        <x:v>1</x:v>
      </x:c>
      <x:c r="L821" s="95" t="n">
        <x:v>0</x:v>
      </x:c>
      <x:c r="M821" s="96" t="n">
        <x:f>IFERROR(G821/F821,0)</x:f>
        <x:v>0.9545454545454546</x:v>
      </x:c>
      <x:c r="N821" s="96" t="n">
        <x:f>IFERROR(H821/G821,0)</x:f>
        <x:v>0.6666666666666666</x:v>
      </x:c>
      <x:c r="O821" s="96" t="n">
        <x:f>IFERROR(I821/H821,0)</x:f>
        <x:v>0.8571428571428571</x:v>
      </x:c>
      <x:c r="P821" s="96" t="n">
        <x:f>IFERROR(J821/I821,0)</x:f>
        <x:v>0.4166666666666667</x:v>
      </x:c>
      <x:c r="Q821" s="96" t="n">
        <x:f>IFERROR(L821/J821,0)</x:f>
        <x:v>0</x:v>
      </x:c>
      <x:c r="R821" s="96" t="n">
        <x:f>IFERROR(L821/F821,0)</x:f>
        <x:v>0</x:v>
      </x:c>
      <x:c r="S821" s="95" t="n">
        <x:v>77</x:v>
      </x:c>
      <x:c r="T821" s="94" t="str">
        <x:v>末次点击7天</x:v>
      </x:c>
    </x:row>
    <x:row r="822">
      <x:c r="A822" s="92" t="str">
        <x:v>PROC-0821</x:v>
      </x:c>
      <x:c r="B822" s="93" t="n">
        <x:v>46171</x:v>
      </x:c>
      <x:c r="C822" s="94" t="str">
        <x:v>Google Ads</x:v>
      </x:c>
      <x:c r="D822" s="94" t="str">
        <x:v>德国</x:v>
      </x:c>
      <x:c r="E822" s="94" t="str">
        <x:v>品牌搜索</x:v>
      </x:c>
      <x:c r="F822" s="95" t="n">
        <x:v>86</x:v>
      </x:c>
      <x:c r="G822" s="95" t="n">
        <x:v>81</x:v>
      </x:c>
      <x:c r="H822" s="95" t="n">
        <x:v>59</x:v>
      </x:c>
      <x:c r="I822" s="95" t="n">
        <x:v>49</x:v>
      </x:c>
      <x:c r="J822" s="95" t="n">
        <x:v>21</x:v>
      </x:c>
      <x:c r="K822" s="95" t="n">
        <x:v>4</x:v>
      </x:c>
      <x:c r="L822" s="95" t="n">
        <x:v>2</x:v>
      </x:c>
      <x:c r="M822" s="96" t="n">
        <x:f>IFERROR(G822/F822,0)</x:f>
        <x:v>0.9418604651162791</x:v>
      </x:c>
      <x:c r="N822" s="96" t="n">
        <x:f>IFERROR(H822/G822,0)</x:f>
        <x:v>0.7283950617283951</x:v>
      </x:c>
      <x:c r="O822" s="96" t="n">
        <x:f>IFERROR(I822/H822,0)</x:f>
        <x:v>0.8305084745762712</x:v>
      </x:c>
      <x:c r="P822" s="96" t="n">
        <x:f>IFERROR(J822/I822,0)</x:f>
        <x:v>0.42857142857142855</x:v>
      </x:c>
      <x:c r="Q822" s="96" t="n">
        <x:f>IFERROR(L822/J822,0)</x:f>
        <x:v>0.09523809523809523</x:v>
      </x:c>
      <x:c r="R822" s="96" t="n">
        <x:f>IFERROR(L822/F822,0)</x:f>
        <x:v>0.023255813953488372</x:v>
      </x:c>
      <x:c r="S822" s="95" t="n">
        <x:v>46</x:v>
      </x:c>
      <x:c r="T822" s="94" t="str">
        <x:v>末次点击7天</x:v>
      </x:c>
    </x:row>
    <x:row r="823">
      <x:c r="A823" s="92" t="str">
        <x:v>PROC-0822</x:v>
      </x:c>
      <x:c r="B823" s="93" t="n">
        <x:v>46171</x:v>
      </x:c>
      <x:c r="C823" s="94" t="str">
        <x:v>Google Ads</x:v>
      </x:c>
      <x:c r="D823" s="94" t="str">
        <x:v>德国</x:v>
      </x:c>
      <x:c r="E823" s="94" t="str">
        <x:v>通用搜索</x:v>
      </x:c>
      <x:c r="F823" s="95" t="n">
        <x:v>56</x:v>
      </x:c>
      <x:c r="G823" s="95" t="n">
        <x:v>53</x:v>
      </x:c>
      <x:c r="H823" s="95" t="n">
        <x:v>36</x:v>
      </x:c>
      <x:c r="I823" s="95" t="n">
        <x:v>29</x:v>
      </x:c>
      <x:c r="J823" s="95" t="n">
        <x:v>11</x:v>
      </x:c>
      <x:c r="K823" s="95" t="n">
        <x:v>3</x:v>
      </x:c>
      <x:c r="L823" s="95" t="n">
        <x:v>1</x:v>
      </x:c>
      <x:c r="M823" s="96" t="n">
        <x:f>IFERROR(G823/F823,0)</x:f>
        <x:v>0.9464285714285714</x:v>
      </x:c>
      <x:c r="N823" s="96" t="n">
        <x:f>IFERROR(H823/G823,0)</x:f>
        <x:v>0.6792452830188679</x:v>
      </x:c>
      <x:c r="O823" s="96" t="n">
        <x:f>IFERROR(I823/H823,0)</x:f>
        <x:v>0.8055555555555556</x:v>
      </x:c>
      <x:c r="P823" s="96" t="n">
        <x:f>IFERROR(J823/I823,0)</x:f>
        <x:v>0.3793103448275862</x:v>
      </x:c>
      <x:c r="Q823" s="96" t="n">
        <x:f>IFERROR(L823/J823,0)</x:f>
        <x:v>0.09090909090909091</x:v>
      </x:c>
      <x:c r="R823" s="96" t="n">
        <x:f>IFERROR(L823/F823,0)</x:f>
        <x:v>0.017857142857142856</x:v>
      </x:c>
      <x:c r="S823" s="95" t="n">
        <x:v>155</x:v>
      </x:c>
      <x:c r="T823" s="94" t="str">
        <x:v>末次点击7天</x:v>
      </x:c>
    </x:row>
    <x:row r="824">
      <x:c r="A824" s="92" t="str">
        <x:v>PROC-0823</x:v>
      </x:c>
      <x:c r="B824" s="93" t="n">
        <x:v>46171</x:v>
      </x:c>
      <x:c r="C824" s="94" t="str">
        <x:v>Microsoft Ads</x:v>
      </x:c>
      <x:c r="D824" s="94" t="str">
        <x:v>英国</x:v>
      </x:c>
      <x:c r="E824" s="94" t="str">
        <x:v>通用搜索</x:v>
      </x:c>
      <x:c r="F824" s="95" t="n">
        <x:v>55</x:v>
      </x:c>
      <x:c r="G824" s="95" t="n">
        <x:v>52</x:v>
      </x:c>
      <x:c r="H824" s="95" t="n">
        <x:v>38</x:v>
      </x:c>
      <x:c r="I824" s="95" t="n">
        <x:v>31</x:v>
      </x:c>
      <x:c r="J824" s="95" t="n">
        <x:v>11</x:v>
      </x:c>
      <x:c r="K824" s="95" t="n">
        <x:v>4</x:v>
      </x:c>
      <x:c r="L824" s="95" t="n">
        <x:v>1</x:v>
      </x:c>
      <x:c r="M824" s="96" t="n">
        <x:f>IFERROR(G824/F824,0)</x:f>
        <x:v>0.9454545454545454</x:v>
      </x:c>
      <x:c r="N824" s="96" t="n">
        <x:f>IFERROR(H824/G824,0)</x:f>
        <x:v>0.7307692307692307</x:v>
      </x:c>
      <x:c r="O824" s="96" t="n">
        <x:f>IFERROR(I824/H824,0)</x:f>
        <x:v>0.8157894736842105</x:v>
      </x:c>
      <x:c r="P824" s="96" t="n">
        <x:f>IFERROR(J824/I824,0)</x:f>
        <x:v>0.3548387096774194</x:v>
      </x:c>
      <x:c r="Q824" s="96" t="n">
        <x:f>IFERROR(L824/J824,0)</x:f>
        <x:v>0.09090909090909091</x:v>
      </x:c>
      <x:c r="R824" s="96" t="n">
        <x:f>IFERROR(L824/F824,0)</x:f>
        <x:v>0.01818181818181818</x:v>
      </x:c>
      <x:c r="S824" s="95" t="n">
        <x:v>65</x:v>
      </x:c>
      <x:c r="T824" s="94" t="str">
        <x:v>末次点击7天</x:v>
      </x:c>
    </x:row>
    <x:row r="825">
      <x:c r="A825" s="92" t="str">
        <x:v>PROC-0824</x:v>
      </x:c>
      <x:c r="B825" s="93" t="n">
        <x:v>46171</x:v>
      </x:c>
      <x:c r="C825" s="94" t="str">
        <x:v>Google Ads</x:v>
      </x:c>
      <x:c r="D825" s="94" t="str">
        <x:v>英国</x:v>
      </x:c>
      <x:c r="E825" s="94" t="str">
        <x:v>品牌搜索</x:v>
      </x:c>
      <x:c r="F825" s="95" t="n">
        <x:v>57</x:v>
      </x:c>
      <x:c r="G825" s="95" t="n">
        <x:v>51</x:v>
      </x:c>
      <x:c r="H825" s="95" t="n">
        <x:v>37</x:v>
      </x:c>
      <x:c r="I825" s="95" t="n">
        <x:v>29</x:v>
      </x:c>
      <x:c r="J825" s="95" t="n">
        <x:v>15</x:v>
      </x:c>
      <x:c r="K825" s="95" t="n">
        <x:v>4</x:v>
      </x:c>
      <x:c r="L825" s="95" t="n">
        <x:v>2</x:v>
      </x:c>
      <x:c r="M825" s="96" t="n">
        <x:f>IFERROR(G825/F825,0)</x:f>
        <x:v>0.8947368421052632</x:v>
      </x:c>
      <x:c r="N825" s="96" t="n">
        <x:f>IFERROR(H825/G825,0)</x:f>
        <x:v>0.7254901960784313</x:v>
      </x:c>
      <x:c r="O825" s="96" t="n">
        <x:f>IFERROR(I825/H825,0)</x:f>
        <x:v>0.7837837837837838</x:v>
      </x:c>
      <x:c r="P825" s="96" t="n">
        <x:f>IFERROR(J825/I825,0)</x:f>
        <x:v>0.5172413793103449</x:v>
      </x:c>
      <x:c r="Q825" s="96" t="n">
        <x:f>IFERROR(L825/J825,0)</x:f>
        <x:v>0.13333333333333333</x:v>
      </x:c>
      <x:c r="R825" s="96" t="n">
        <x:f>IFERROR(L825/F825,0)</x:f>
        <x:v>0.03508771929824561</x:v>
      </x:c>
      <x:c r="S825" s="95" t="n">
        <x:v>143</x:v>
      </x:c>
      <x:c r="T825" s="94" t="str">
        <x:v>末次点击7天</x:v>
      </x:c>
    </x:row>
    <x:row r="826">
      <x:c r="A826" s="92" t="str">
        <x:v>PROC-0825</x:v>
      </x:c>
      <x:c r="B826" s="93" t="n">
        <x:v>46172</x:v>
      </x:c>
      <x:c r="C826" s="94" t="str">
        <x:v>Microsoft Ads</x:v>
      </x:c>
      <x:c r="D826" s="94" t="str">
        <x:v>英国</x:v>
      </x:c>
      <x:c r="E826" s="94" t="str">
        <x:v>通用搜索</x:v>
      </x:c>
      <x:c r="F826" s="95" t="n">
        <x:v>46</x:v>
      </x:c>
      <x:c r="G826" s="95" t="n">
        <x:v>44</x:v>
      </x:c>
      <x:c r="H826" s="95" t="n">
        <x:v>31</x:v>
      </x:c>
      <x:c r="I826" s="95" t="n">
        <x:v>25</x:v>
      </x:c>
      <x:c r="J826" s="95" t="n">
        <x:v>11</x:v>
      </x:c>
      <x:c r="K826" s="95" t="n">
        <x:v>3</x:v>
      </x:c>
      <x:c r="L826" s="95" t="n">
        <x:v>1</x:v>
      </x:c>
      <x:c r="M826" s="96" t="n">
        <x:f>IFERROR(G826/F826,0)</x:f>
        <x:v>0.9565217391304348</x:v>
      </x:c>
      <x:c r="N826" s="96" t="n">
        <x:f>IFERROR(H826/G826,0)</x:f>
        <x:v>0.7045454545454546</x:v>
      </x:c>
      <x:c r="O826" s="96" t="n">
        <x:f>IFERROR(I826/H826,0)</x:f>
        <x:v>0.8064516129032258</x:v>
      </x:c>
      <x:c r="P826" s="96" t="n">
        <x:f>IFERROR(J826/I826,0)</x:f>
        <x:v>0.44</x:v>
      </x:c>
      <x:c r="Q826" s="96" t="n">
        <x:f>IFERROR(L826/J826,0)</x:f>
        <x:v>0.09090909090909091</x:v>
      </x:c>
      <x:c r="R826" s="96" t="n">
        <x:f>IFERROR(L826/F826,0)</x:f>
        <x:v>0.021739130434782608</x:v>
      </x:c>
      <x:c r="S826" s="95" t="n">
        <x:v>105</x:v>
      </x:c>
      <x:c r="T826" s="94" t="str">
        <x:v>末次点击7天</x:v>
      </x:c>
    </x:row>
    <x:row r="827">
      <x:c r="A827" s="92" t="str">
        <x:v>PROC-0826</x:v>
      </x:c>
      <x:c r="B827" s="93" t="n">
        <x:v>46172</x:v>
      </x:c>
      <x:c r="C827" s="94" t="str">
        <x:v>Microsoft Ads</x:v>
      </x:c>
      <x:c r="D827" s="94" t="str">
        <x:v>美国</x:v>
      </x:c>
      <x:c r="E827" s="94" t="str">
        <x:v>通用搜索</x:v>
      </x:c>
      <x:c r="F827" s="95" t="n">
        <x:v>49</x:v>
      </x:c>
      <x:c r="G827" s="95" t="n">
        <x:v>46</x:v>
      </x:c>
      <x:c r="H827" s="95" t="n">
        <x:v>31</x:v>
      </x:c>
      <x:c r="I827" s="95" t="n">
        <x:v>25</x:v>
      </x:c>
      <x:c r="J827" s="95" t="n">
        <x:v>10</x:v>
      </x:c>
      <x:c r="K827" s="95" t="n">
        <x:v>2</x:v>
      </x:c>
      <x:c r="L827" s="95" t="n">
        <x:v>1</x:v>
      </x:c>
      <x:c r="M827" s="96" t="n">
        <x:f>IFERROR(G827/F827,0)</x:f>
        <x:v>0.9387755102040817</x:v>
      </x:c>
      <x:c r="N827" s="96" t="n">
        <x:f>IFERROR(H827/G827,0)</x:f>
        <x:v>0.6739130434782609</x:v>
      </x:c>
      <x:c r="O827" s="96" t="n">
        <x:f>IFERROR(I827/H827,0)</x:f>
        <x:v>0.8064516129032258</x:v>
      </x:c>
      <x:c r="P827" s="96" t="n">
        <x:f>IFERROR(J827/I827,0)</x:f>
        <x:v>0.4</x:v>
      </x:c>
      <x:c r="Q827" s="96" t="n">
        <x:f>IFERROR(L827/J827,0)</x:f>
        <x:v>0.1</x:v>
      </x:c>
      <x:c r="R827" s="96" t="n">
        <x:f>IFERROR(L827/F827,0)</x:f>
        <x:v>0.02040816326530612</x:v>
      </x:c>
      <x:c r="S827" s="95" t="n">
        <x:v>109</x:v>
      </x:c>
      <x:c r="T827" s="94" t="str">
        <x:v>末次点击7天</x:v>
      </x:c>
    </x:row>
    <x:row r="828">
      <x:c r="A828" s="92" t="str">
        <x:v>PROC-0827</x:v>
      </x:c>
      <x:c r="B828" s="93" t="n">
        <x:v>46172</x:v>
      </x:c>
      <x:c r="C828" s="94" t="str">
        <x:v>Microsoft Ads</x:v>
      </x:c>
      <x:c r="D828" s="94" t="str">
        <x:v>美国</x:v>
      </x:c>
      <x:c r="E828" s="94" t="str">
        <x:v>通用搜索</x:v>
      </x:c>
      <x:c r="F828" s="95" t="n">
        <x:v>39</x:v>
      </x:c>
      <x:c r="G828" s="95" t="n">
        <x:v>35</x:v>
      </x:c>
      <x:c r="H828" s="95" t="n">
        <x:v>24</x:v>
      </x:c>
      <x:c r="I828" s="95" t="n">
        <x:v>20</x:v>
      </x:c>
      <x:c r="J828" s="95" t="n">
        <x:v>9</x:v>
      </x:c>
      <x:c r="K828" s="95" t="n">
        <x:v>2</x:v>
      </x:c>
      <x:c r="L828" s="95" t="n">
        <x:v>1</x:v>
      </x:c>
      <x:c r="M828" s="96" t="n">
        <x:f>IFERROR(G828/F828,0)</x:f>
        <x:v>0.8974358974358975</x:v>
      </x:c>
      <x:c r="N828" s="96" t="n">
        <x:f>IFERROR(H828/G828,0)</x:f>
        <x:v>0.6857142857142857</x:v>
      </x:c>
      <x:c r="O828" s="96" t="n">
        <x:f>IFERROR(I828/H828,0)</x:f>
        <x:v>0.8333333333333334</x:v>
      </x:c>
      <x:c r="P828" s="96" t="n">
        <x:f>IFERROR(J828/I828,0)</x:f>
        <x:v>0.45</x:v>
      </x:c>
      <x:c r="Q828" s="96" t="n">
        <x:f>IFERROR(L828/J828,0)</x:f>
        <x:v>0.1111111111111111</x:v>
      </x:c>
      <x:c r="R828" s="96" t="n">
        <x:f>IFERROR(L828/F828,0)</x:f>
        <x:v>0.02564102564102564</x:v>
      </x:c>
      <x:c r="S828" s="95" t="n">
        <x:v>54</x:v>
      </x:c>
      <x:c r="T828" s="94" t="str">
        <x:v>末次点击7天</x:v>
      </x:c>
    </x:row>
    <x:row r="829">
      <x:c r="A829" s="92" t="str">
        <x:v>PROC-0828</x:v>
      </x:c>
      <x:c r="B829" s="93" t="n">
        <x:v>46172</x:v>
      </x:c>
      <x:c r="C829" s="94" t="str">
        <x:v>Microsoft Ads</x:v>
      </x:c>
      <x:c r="D829" s="94" t="str">
        <x:v>美国</x:v>
      </x:c>
      <x:c r="E829" s="94" t="str">
        <x:v>通用搜索</x:v>
      </x:c>
      <x:c r="F829" s="95" t="n">
        <x:v>58</x:v>
      </x:c>
      <x:c r="G829" s="95" t="n">
        <x:v>53</x:v>
      </x:c>
      <x:c r="H829" s="95" t="n">
        <x:v>37</x:v>
      </x:c>
      <x:c r="I829" s="95" t="n">
        <x:v>31</x:v>
      </x:c>
      <x:c r="J829" s="95" t="n">
        <x:v>13</x:v>
      </x:c>
      <x:c r="K829" s="95" t="n">
        <x:v>4</x:v>
      </x:c>
      <x:c r="L829" s="95" t="n">
        <x:v>1</x:v>
      </x:c>
      <x:c r="M829" s="96" t="n">
        <x:f>IFERROR(G829/F829,0)</x:f>
        <x:v>0.9137931034482759</x:v>
      </x:c>
      <x:c r="N829" s="96" t="n">
        <x:f>IFERROR(H829/G829,0)</x:f>
        <x:v>0.6981132075471698</x:v>
      </x:c>
      <x:c r="O829" s="96" t="n">
        <x:f>IFERROR(I829/H829,0)</x:f>
        <x:v>0.8378378378378378</x:v>
      </x:c>
      <x:c r="P829" s="96" t="n">
        <x:f>IFERROR(J829/I829,0)</x:f>
        <x:v>0.41935483870967744</x:v>
      </x:c>
      <x:c r="Q829" s="96" t="n">
        <x:f>IFERROR(L829/J829,0)</x:f>
        <x:v>0.07692307692307693</x:v>
      </x:c>
      <x:c r="R829" s="96" t="n">
        <x:f>IFERROR(L829/F829,0)</x:f>
        <x:v>0.017241379310344827</x:v>
      </x:c>
      <x:c r="S829" s="95" t="n">
        <x:v>66</x:v>
      </x:c>
      <x:c r="T829" s="94" t="str">
        <x:v>末次点击7天</x:v>
      </x:c>
    </x:row>
    <x:row r="830">
      <x:c r="A830" s="92" t="str">
        <x:v>PROC-0829</x:v>
      </x:c>
      <x:c r="B830" s="93" t="n">
        <x:v>46172</x:v>
      </x:c>
      <x:c r="C830" s="94" t="str">
        <x:v>Google Ads</x:v>
      </x:c>
      <x:c r="D830" s="94" t="str">
        <x:v>德国</x:v>
      </x:c>
      <x:c r="E830" s="94" t="str">
        <x:v>通用搜索</x:v>
      </x:c>
      <x:c r="F830" s="95" t="n">
        <x:v>58</x:v>
      </x:c>
      <x:c r="G830" s="95" t="n">
        <x:v>54</x:v>
      </x:c>
      <x:c r="H830" s="95" t="n">
        <x:v>40</x:v>
      </x:c>
      <x:c r="I830" s="95" t="n">
        <x:v>34</x:v>
      </x:c>
      <x:c r="J830" s="95" t="n">
        <x:v>14</x:v>
      </x:c>
      <x:c r="K830" s="95" t="n">
        <x:v>4</x:v>
      </x:c>
      <x:c r="L830" s="95" t="n">
        <x:v>1</x:v>
      </x:c>
      <x:c r="M830" s="96" t="n">
        <x:f>IFERROR(G830/F830,0)</x:f>
        <x:v>0.9310344827586207</x:v>
      </x:c>
      <x:c r="N830" s="96" t="n">
        <x:f>IFERROR(H830/G830,0)</x:f>
        <x:v>0.7407407407407407</x:v>
      </x:c>
      <x:c r="O830" s="96" t="n">
        <x:f>IFERROR(I830/H830,0)</x:f>
        <x:v>0.85</x:v>
      </x:c>
      <x:c r="P830" s="96" t="n">
        <x:f>IFERROR(J830/I830,0)</x:f>
        <x:v>0.4117647058823529</x:v>
      </x:c>
      <x:c r="Q830" s="96" t="n">
        <x:f>IFERROR(L830/J830,0)</x:f>
        <x:v>0.07142857142857142</x:v>
      </x:c>
      <x:c r="R830" s="96" t="n">
        <x:f>IFERROR(L830/F830,0)</x:f>
        <x:v>0.017241379310344827</x:v>
      </x:c>
      <x:c r="S830" s="95" t="n">
        <x:v>126</x:v>
      </x:c>
      <x:c r="T830" s="94" t="str">
        <x:v>末次点击7天</x:v>
      </x:c>
    </x:row>
    <x:row r="831">
      <x:c r="A831" s="92" t="str">
        <x:v>PROC-0830</x:v>
      </x:c>
      <x:c r="B831" s="93" t="n">
        <x:v>46173</x:v>
      </x:c>
      <x:c r="C831" s="94" t="str">
        <x:v>Google Ads</x:v>
      </x:c>
      <x:c r="D831" s="94" t="str">
        <x:v>英国</x:v>
      </x:c>
      <x:c r="E831" s="94" t="str">
        <x:v>品牌搜索</x:v>
      </x:c>
      <x:c r="F831" s="95" t="n">
        <x:v>69</x:v>
      </x:c>
      <x:c r="G831" s="95" t="n">
        <x:v>64</x:v>
      </x:c>
      <x:c r="H831" s="95" t="n">
        <x:v>44</x:v>
      </x:c>
      <x:c r="I831" s="95" t="n">
        <x:v>37</x:v>
      </x:c>
      <x:c r="J831" s="95" t="n">
        <x:v>17</x:v>
      </x:c>
      <x:c r="K831" s="95" t="n">
        <x:v>4</x:v>
      </x:c>
      <x:c r="L831" s="95" t="n">
        <x:v>2</x:v>
      </x:c>
      <x:c r="M831" s="96" t="n">
        <x:f>IFERROR(G831/F831,0)</x:f>
        <x:v>0.927536231884058</x:v>
      </x:c>
      <x:c r="N831" s="96" t="n">
        <x:f>IFERROR(H831/G831,0)</x:f>
        <x:v>0.6875</x:v>
      </x:c>
      <x:c r="O831" s="96" t="n">
        <x:f>IFERROR(I831/H831,0)</x:f>
        <x:v>0.8409090909090909</x:v>
      </x:c>
      <x:c r="P831" s="96" t="n">
        <x:f>IFERROR(J831/I831,0)</x:f>
        <x:v>0.4594594594594595</x:v>
      </x:c>
      <x:c r="Q831" s="96" t="n">
        <x:f>IFERROR(L831/J831,0)</x:f>
        <x:v>0.11764705882352941</x:v>
      </x:c>
      <x:c r="R831" s="96" t="n">
        <x:f>IFERROR(L831/F831,0)</x:f>
        <x:v>0.028985507246376812</x:v>
      </x:c>
      <x:c r="S831" s="95" t="n">
        <x:v>73</x:v>
      </x:c>
      <x:c r="T831" s="94" t="str">
        <x:v>末次点击7天</x:v>
      </x:c>
    </x:row>
    <x:row r="832">
      <x:c r="A832" s="92" t="str">
        <x:v>PROC-0831</x:v>
      </x:c>
      <x:c r="B832" s="93" t="n">
        <x:v>46173</x:v>
      </x:c>
      <x:c r="C832" s="94" t="str">
        <x:v>Google Ads</x:v>
      </x:c>
      <x:c r="D832" s="94" t="str">
        <x:v>日本</x:v>
      </x:c>
      <x:c r="E832" s="94" t="str">
        <x:v>通用搜索</x:v>
      </x:c>
      <x:c r="F832" s="95" t="n">
        <x:v>41</x:v>
      </x:c>
      <x:c r="G832" s="95" t="n">
        <x:v>36</x:v>
      </x:c>
      <x:c r="H832" s="95" t="n">
        <x:v>23</x:v>
      </x:c>
      <x:c r="I832" s="95" t="n">
        <x:v>19</x:v>
      </x:c>
      <x:c r="J832" s="95" t="n">
        <x:v>7</x:v>
      </x:c>
      <x:c r="K832" s="95" t="n">
        <x:v>2</x:v>
      </x:c>
      <x:c r="L832" s="95" t="n">
        <x:v>1</x:v>
      </x:c>
      <x:c r="M832" s="96" t="n">
        <x:f>IFERROR(G832/F832,0)</x:f>
        <x:v>0.8780487804878049</x:v>
      </x:c>
      <x:c r="N832" s="96" t="n">
        <x:f>IFERROR(H832/G832,0)</x:f>
        <x:v>0.6388888888888888</x:v>
      </x:c>
      <x:c r="O832" s="96" t="n">
        <x:f>IFERROR(I832/H832,0)</x:f>
        <x:v>0.8260869565217391</x:v>
      </x:c>
      <x:c r="P832" s="96" t="n">
        <x:f>IFERROR(J832/I832,0)</x:f>
        <x:v>0.3684210526315789</x:v>
      </x:c>
      <x:c r="Q832" s="96" t="n">
        <x:f>IFERROR(L832/J832,0)</x:f>
        <x:v>0.14285714285714285</x:v>
      </x:c>
      <x:c r="R832" s="96" t="n">
        <x:f>IFERROR(L832/F832,0)</x:f>
        <x:v>0.024390243902439025</x:v>
      </x:c>
      <x:c r="S832" s="95" t="n">
        <x:v>45</x:v>
      </x:c>
      <x:c r="T832" s="94" t="str">
        <x:v>末次点击7天</x:v>
      </x:c>
    </x:row>
    <x:row r="833">
      <x:c r="A833" s="92" t="str">
        <x:v>PROC-0832</x:v>
      </x:c>
      <x:c r="B833" s="93" t="n">
        <x:v>46173</x:v>
      </x:c>
      <x:c r="C833" s="94" t="str">
        <x:v>Google Ads</x:v>
      </x:c>
      <x:c r="D833" s="94" t="str">
        <x:v>德国</x:v>
      </x:c>
      <x:c r="E833" s="94" t="str">
        <x:v>购物广告</x:v>
      </x:c>
      <x:c r="F833" s="95" t="n">
        <x:v>45</x:v>
      </x:c>
      <x:c r="G833" s="95" t="n">
        <x:v>41</x:v>
      </x:c>
      <x:c r="H833" s="95" t="n">
        <x:v>29</x:v>
      </x:c>
      <x:c r="I833" s="95" t="n">
        <x:v>27</x:v>
      </x:c>
      <x:c r="J833" s="95" t="n">
        <x:v>12</x:v>
      </x:c>
      <x:c r="K833" s="95" t="n">
        <x:v>4</x:v>
      </x:c>
      <x:c r="L833" s="95" t="n">
        <x:v>1</x:v>
      </x:c>
      <x:c r="M833" s="96" t="n">
        <x:f>IFERROR(G833/F833,0)</x:f>
        <x:v>0.9111111111111111</x:v>
      </x:c>
      <x:c r="N833" s="96" t="n">
        <x:f>IFERROR(H833/G833,0)</x:f>
        <x:v>0.7073170731707317</x:v>
      </x:c>
      <x:c r="O833" s="96" t="n">
        <x:f>IFERROR(I833/H833,0)</x:f>
        <x:v>0.9310344827586207</x:v>
      </x:c>
      <x:c r="P833" s="96" t="n">
        <x:f>IFERROR(J833/I833,0)</x:f>
        <x:v>0.4444444444444444</x:v>
      </x:c>
      <x:c r="Q833" s="96" t="n">
        <x:f>IFERROR(L833/J833,0)</x:f>
        <x:v>0.08333333333333333</x:v>
      </x:c>
      <x:c r="R833" s="96" t="n">
        <x:f>IFERROR(L833/F833,0)</x:f>
        <x:v>0.022222222222222223</x:v>
      </x:c>
      <x:c r="S833" s="95" t="n">
        <x:v>106</x:v>
      </x:c>
      <x:c r="T833" s="94" t="str">
        <x:v>末次点击7天</x:v>
      </x:c>
    </x:row>
    <x:row r="834">
      <x:c r="A834" s="92" t="str">
        <x:v>PROC-0833</x:v>
      </x:c>
      <x:c r="B834" s="93" t="n">
        <x:v>46173</x:v>
      </x:c>
      <x:c r="C834" s="94" t="str">
        <x:v>Google Ads</x:v>
      </x:c>
      <x:c r="D834" s="94" t="str">
        <x:v>美国</x:v>
      </x:c>
      <x:c r="E834" s="94" t="str">
        <x:v>通用搜索</x:v>
      </x:c>
      <x:c r="F834" s="95" t="n">
        <x:v>29</x:v>
      </x:c>
      <x:c r="G834" s="95" t="n">
        <x:v>26</x:v>
      </x:c>
      <x:c r="H834" s="95" t="n">
        <x:v>17</x:v>
      </x:c>
      <x:c r="I834" s="95" t="n">
        <x:v>14</x:v>
      </x:c>
      <x:c r="J834" s="95" t="n">
        <x:v>5</x:v>
      </x:c>
      <x:c r="K834" s="95" t="n">
        <x:v>2</x:v>
      </x:c>
      <x:c r="L834" s="95" t="n">
        <x:v>0</x:v>
      </x:c>
      <x:c r="M834" s="96" t="n">
        <x:f>IFERROR(G834/F834,0)</x:f>
        <x:v>0.896551724137931</x:v>
      </x:c>
      <x:c r="N834" s="96" t="n">
        <x:f>IFERROR(H834/G834,0)</x:f>
        <x:v>0.6538461538461539</x:v>
      </x:c>
      <x:c r="O834" s="96" t="n">
        <x:f>IFERROR(I834/H834,0)</x:f>
        <x:v>0.8235294117647058</x:v>
      </x:c>
      <x:c r="P834" s="96" t="n">
        <x:f>IFERROR(J834/I834,0)</x:f>
        <x:v>0.35714285714285715</x:v>
      </x:c>
      <x:c r="Q834" s="96" t="n">
        <x:f>IFERROR(L834/J834,0)</x:f>
        <x:v>0</x:v>
      </x:c>
      <x:c r="R834" s="96" t="n">
        <x:f>IFERROR(L834/F834,0)</x:f>
        <x:v>0</x:v>
      </x:c>
      <x:c r="S834" s="95" t="n">
        <x:v>112</x:v>
      </x:c>
      <x:c r="T834" s="94" t="str">
        <x:v>末次点击7天</x:v>
      </x:c>
    </x:row>
    <x:row r="835">
      <x:c r="A835" s="92" t="str">
        <x:v>PROC-0834</x:v>
      </x:c>
      <x:c r="B835" s="93" t="n">
        <x:v>46173</x:v>
      </x:c>
      <x:c r="C835" s="94" t="str">
        <x:v>Google Ads</x:v>
      </x:c>
      <x:c r="D835" s="94" t="str">
        <x:v>日本</x:v>
      </x:c>
      <x:c r="E835" s="94" t="str">
        <x:v>通用搜索</x:v>
      </x:c>
      <x:c r="F835" s="95" t="n">
        <x:v>40</x:v>
      </x:c>
      <x:c r="G835" s="95" t="n">
        <x:v>36</x:v>
      </x:c>
      <x:c r="H835" s="95" t="n">
        <x:v>24</x:v>
      </x:c>
      <x:c r="I835" s="95" t="n">
        <x:v>20</x:v>
      </x:c>
      <x:c r="J835" s="95" t="n">
        <x:v>9</x:v>
      </x:c>
      <x:c r="K835" s="95" t="n">
        <x:v>3</x:v>
      </x:c>
      <x:c r="L835" s="95" t="n">
        <x:v>1</x:v>
      </x:c>
      <x:c r="M835" s="96" t="n">
        <x:f>IFERROR(G835/F835,0)</x:f>
        <x:v>0.9</x:v>
      </x:c>
      <x:c r="N835" s="96" t="n">
        <x:f>IFERROR(H835/G835,0)</x:f>
        <x:v>0.6666666666666666</x:v>
      </x:c>
      <x:c r="O835" s="96" t="n">
        <x:f>IFERROR(I835/H835,0)</x:f>
        <x:v>0.8333333333333334</x:v>
      </x:c>
      <x:c r="P835" s="96" t="n">
        <x:f>IFERROR(J835/I835,0)</x:f>
        <x:v>0.45</x:v>
      </x:c>
      <x:c r="Q835" s="96" t="n">
        <x:f>IFERROR(L835/J835,0)</x:f>
        <x:v>0.1111111111111111</x:v>
      </x:c>
      <x:c r="R835" s="96" t="n">
        <x:f>IFERROR(L835/F835,0)</x:f>
        <x:v>0.025</x:v>
      </x:c>
      <x:c r="S835" s="95" t="n">
        <x:v>98</x:v>
      </x:c>
      <x:c r="T835" s="94" t="str">
        <x:v>末次点击7天</x:v>
      </x:c>
    </x:row>
    <x:row r="836">
      <x:c r="A836" s="92" t="str">
        <x:v>PROC-0835</x:v>
      </x:c>
      <x:c r="B836" s="93" t="n">
        <x:v>46173</x:v>
      </x:c>
      <x:c r="C836" s="94" t="str">
        <x:v>Google Ads</x:v>
      </x:c>
      <x:c r="D836" s="94" t="str">
        <x:v>日本</x:v>
      </x:c>
      <x:c r="E836" s="94" t="str">
        <x:v>品牌搜索</x:v>
      </x:c>
      <x:c r="F836" s="95" t="n">
        <x:v>45</x:v>
      </x:c>
      <x:c r="G836" s="95" t="n">
        <x:v>42</x:v>
      </x:c>
      <x:c r="H836" s="95" t="n">
        <x:v>32</x:v>
      </x:c>
      <x:c r="I836" s="95" t="n">
        <x:v>26</x:v>
      </x:c>
      <x:c r="J836" s="95" t="n">
        <x:v>12</x:v>
      </x:c>
      <x:c r="K836" s="95" t="n">
        <x:v>4</x:v>
      </x:c>
      <x:c r="L836" s="95" t="n">
        <x:v>1</x:v>
      </x:c>
      <x:c r="M836" s="96" t="n">
        <x:f>IFERROR(G836/F836,0)</x:f>
        <x:v>0.9333333333333333</x:v>
      </x:c>
      <x:c r="N836" s="96" t="n">
        <x:f>IFERROR(H836/G836,0)</x:f>
        <x:v>0.7619047619047619</x:v>
      </x:c>
      <x:c r="O836" s="96" t="n">
        <x:f>IFERROR(I836/H836,0)</x:f>
        <x:v>0.8125</x:v>
      </x:c>
      <x:c r="P836" s="96" t="n">
        <x:f>IFERROR(J836/I836,0)</x:f>
        <x:v>0.46153846153846156</x:v>
      </x:c>
      <x:c r="Q836" s="96" t="n">
        <x:f>IFERROR(L836/J836,0)</x:f>
        <x:v>0.08333333333333333</x:v>
      </x:c>
      <x:c r="R836" s="96" t="n">
        <x:f>IFERROR(L836/F836,0)</x:f>
        <x:v>0.022222222222222223</x:v>
      </x:c>
      <x:c r="S836" s="95" t="n">
        <x:v>92</x:v>
      </x:c>
      <x:c r="T836" s="94" t="str">
        <x:v>末次点击7天</x:v>
      </x:c>
    </x:row>
    <x:row r="837">
      <x:c r="A837" s="92" t="str">
        <x:v>PROC-0836</x:v>
      </x:c>
      <x:c r="B837" s="93" t="n">
        <x:v>46174</x:v>
      </x:c>
      <x:c r="C837" s="94" t="str">
        <x:v>Google Ads</x:v>
      </x:c>
      <x:c r="D837" s="94" t="str">
        <x:v>日本</x:v>
      </x:c>
      <x:c r="E837" s="94" t="str">
        <x:v>购物广告</x:v>
      </x:c>
      <x:c r="F837" s="95" t="n">
        <x:v>65</x:v>
      </x:c>
      <x:c r="G837" s="95" t="n">
        <x:v>60</x:v>
      </x:c>
      <x:c r="H837" s="95" t="n">
        <x:v>38</x:v>
      </x:c>
      <x:c r="I837" s="95" t="n">
        <x:v>34</x:v>
      </x:c>
      <x:c r="J837" s="95" t="n">
        <x:v>15</x:v>
      </x:c>
      <x:c r="K837" s="95" t="n">
        <x:v>5</x:v>
      </x:c>
      <x:c r="L837" s="95" t="n">
        <x:v>1</x:v>
      </x:c>
      <x:c r="M837" s="96" t="n">
        <x:f>IFERROR(G837/F837,0)</x:f>
        <x:v>0.9230769230769231</x:v>
      </x:c>
      <x:c r="N837" s="96" t="n">
        <x:f>IFERROR(H837/G837,0)</x:f>
        <x:v>0.6333333333333333</x:v>
      </x:c>
      <x:c r="O837" s="96" t="n">
        <x:f>IFERROR(I837/H837,0)</x:f>
        <x:v>0.8947368421052632</x:v>
      </x:c>
      <x:c r="P837" s="96" t="n">
        <x:f>IFERROR(J837/I837,0)</x:f>
        <x:v>0.4411764705882353</x:v>
      </x:c>
      <x:c r="Q837" s="96" t="n">
        <x:f>IFERROR(L837/J837,0)</x:f>
        <x:v>0.06666666666666667</x:v>
      </x:c>
      <x:c r="R837" s="96" t="n">
        <x:f>IFERROR(L837/F837,0)</x:f>
        <x:v>0.015384615384615385</x:v>
      </x:c>
      <x:c r="S837" s="95" t="n">
        <x:v>131</x:v>
      </x:c>
      <x:c r="T837" s="94" t="str">
        <x:v>末次点击7天</x:v>
      </x:c>
    </x:row>
    <x:row r="838">
      <x:c r="A838" s="92" t="str">
        <x:v>PROC-0837</x:v>
      </x:c>
      <x:c r="B838" s="93" t="n">
        <x:v>46174</x:v>
      </x:c>
      <x:c r="C838" s="94" t="str">
        <x:v>Google Ads</x:v>
      </x:c>
      <x:c r="D838" s="94" t="str">
        <x:v>美国</x:v>
      </x:c>
      <x:c r="E838" s="94" t="str">
        <x:v>购物广告</x:v>
      </x:c>
      <x:c r="F838" s="95" t="n">
        <x:v>61</x:v>
      </x:c>
      <x:c r="G838" s="95" t="n">
        <x:v>57</x:v>
      </x:c>
      <x:c r="H838" s="95" t="n">
        <x:v>40</x:v>
      </x:c>
      <x:c r="I838" s="95" t="n">
        <x:v>35</x:v>
      </x:c>
      <x:c r="J838" s="95" t="n">
        <x:v>15</x:v>
      </x:c>
      <x:c r="K838" s="95" t="n">
        <x:v>5</x:v>
      </x:c>
      <x:c r="L838" s="95" t="n">
        <x:v>1</x:v>
      </x:c>
      <x:c r="M838" s="96" t="n">
        <x:f>IFERROR(G838/F838,0)</x:f>
        <x:v>0.9344262295081968</x:v>
      </x:c>
      <x:c r="N838" s="96" t="n">
        <x:f>IFERROR(H838/G838,0)</x:f>
        <x:v>0.7017543859649122</x:v>
      </x:c>
      <x:c r="O838" s="96" t="n">
        <x:f>IFERROR(I838/H838,0)</x:f>
        <x:v>0.875</x:v>
      </x:c>
      <x:c r="P838" s="96" t="n">
        <x:f>IFERROR(J838/I838,0)</x:f>
        <x:v>0.42857142857142855</x:v>
      </x:c>
      <x:c r="Q838" s="96" t="n">
        <x:f>IFERROR(L838/J838,0)</x:f>
        <x:v>0.06666666666666667</x:v>
      </x:c>
      <x:c r="R838" s="96" t="n">
        <x:f>IFERROR(L838/F838,0)</x:f>
        <x:v>0.01639344262295082</x:v>
      </x:c>
      <x:c r="S838" s="95" t="n">
        <x:v>50</x:v>
      </x:c>
      <x:c r="T838" s="94" t="str">
        <x:v>末次点击7天</x:v>
      </x:c>
    </x:row>
    <x:row r="839">
      <x:c r="A839" s="92" t="str">
        <x:v>PROC-0838</x:v>
      </x:c>
      <x:c r="B839" s="93" t="n">
        <x:v>46174</x:v>
      </x:c>
      <x:c r="C839" s="94" t="str">
        <x:v>Google Ads</x:v>
      </x:c>
      <x:c r="D839" s="94" t="str">
        <x:v>英国</x:v>
      </x:c>
      <x:c r="E839" s="94" t="str">
        <x:v>通用搜索</x:v>
      </x:c>
      <x:c r="F839" s="95" t="n">
        <x:v>40</x:v>
      </x:c>
      <x:c r="G839" s="95" t="n">
        <x:v>38</x:v>
      </x:c>
      <x:c r="H839" s="95" t="n">
        <x:v>29</x:v>
      </x:c>
      <x:c r="I839" s="95" t="n">
        <x:v>24</x:v>
      </x:c>
      <x:c r="J839" s="95" t="n">
        <x:v>11</x:v>
      </x:c>
      <x:c r="K839" s="95" t="n">
        <x:v>3</x:v>
      </x:c>
      <x:c r="L839" s="95" t="n">
        <x:v>1</x:v>
      </x:c>
      <x:c r="M839" s="96" t="n">
        <x:f>IFERROR(G839/F839,0)</x:f>
        <x:v>0.95</x:v>
      </x:c>
      <x:c r="N839" s="96" t="n">
        <x:f>IFERROR(H839/G839,0)</x:f>
        <x:v>0.7631578947368421</x:v>
      </x:c>
      <x:c r="O839" s="96" t="n">
        <x:f>IFERROR(I839/H839,0)</x:f>
        <x:v>0.8275862068965517</x:v>
      </x:c>
      <x:c r="P839" s="96" t="n">
        <x:f>IFERROR(J839/I839,0)</x:f>
        <x:v>0.4583333333333333</x:v>
      </x:c>
      <x:c r="Q839" s="96" t="n">
        <x:f>IFERROR(L839/J839,0)</x:f>
        <x:v>0.09090909090909091</x:v>
      </x:c>
      <x:c r="R839" s="96" t="n">
        <x:f>IFERROR(L839/F839,0)</x:f>
        <x:v>0.025</x:v>
      </x:c>
      <x:c r="S839" s="95" t="n">
        <x:v>55</x:v>
      </x:c>
      <x:c r="T839" s="94" t="str">
        <x:v>末次点击7天</x:v>
      </x:c>
    </x:row>
    <x:row r="840">
      <x:c r="A840" s="92" t="str">
        <x:v>PROC-0839</x:v>
      </x:c>
      <x:c r="B840" s="93" t="n">
        <x:v>46174</x:v>
      </x:c>
      <x:c r="C840" s="94" t="str">
        <x:v>Google Ads</x:v>
      </x:c>
      <x:c r="D840" s="94" t="str">
        <x:v>美国</x:v>
      </x:c>
      <x:c r="E840" s="94" t="str">
        <x:v>通用搜索</x:v>
      </x:c>
      <x:c r="F840" s="95" t="n">
        <x:v>44</x:v>
      </x:c>
      <x:c r="G840" s="95" t="n">
        <x:v>40</x:v>
      </x:c>
      <x:c r="H840" s="95" t="n">
        <x:v>29</x:v>
      </x:c>
      <x:c r="I840" s="95" t="n">
        <x:v>25</x:v>
      </x:c>
      <x:c r="J840" s="95" t="n">
        <x:v>10</x:v>
      </x:c>
      <x:c r="K840" s="95" t="n">
        <x:v>3</x:v>
      </x:c>
      <x:c r="L840" s="95" t="n">
        <x:v>1</x:v>
      </x:c>
      <x:c r="M840" s="96" t="n">
        <x:f>IFERROR(G840/F840,0)</x:f>
        <x:v>0.9090909090909091</x:v>
      </x:c>
      <x:c r="N840" s="96" t="n">
        <x:f>IFERROR(H840/G840,0)</x:f>
        <x:v>0.725</x:v>
      </x:c>
      <x:c r="O840" s="96" t="n">
        <x:f>IFERROR(I840/H840,0)</x:f>
        <x:v>0.8620689655172413</x:v>
      </x:c>
      <x:c r="P840" s="96" t="n">
        <x:f>IFERROR(J840/I840,0)</x:f>
        <x:v>0.4</x:v>
      </x:c>
      <x:c r="Q840" s="96" t="n">
        <x:f>IFERROR(L840/J840,0)</x:f>
        <x:v>0.1</x:v>
      </x:c>
      <x:c r="R840" s="96" t="n">
        <x:f>IFERROR(L840/F840,0)</x:f>
        <x:v>0.022727272727272728</x:v>
      </x:c>
      <x:c r="S840" s="95" t="n">
        <x:v>96</x:v>
      </x:c>
      <x:c r="T840" s="94" t="str">
        <x:v>末次点击7天</x:v>
      </x:c>
    </x:row>
    <x:row r="841">
      <x:c r="A841" s="92" t="str">
        <x:v>PROC-0840</x:v>
      </x:c>
      <x:c r="B841" s="93" t="n">
        <x:v>46174</x:v>
      </x:c>
      <x:c r="C841" s="94" t="str">
        <x:v>Google Ads</x:v>
      </x:c>
      <x:c r="D841" s="94" t="str">
        <x:v>美国</x:v>
      </x:c>
      <x:c r="E841" s="94" t="str">
        <x:v>购物广告</x:v>
      </x:c>
      <x:c r="F841" s="95" t="n">
        <x:v>52</x:v>
      </x:c>
      <x:c r="G841" s="95" t="n">
        <x:v>47</x:v>
      </x:c>
      <x:c r="H841" s="95" t="n">
        <x:v>32</x:v>
      </x:c>
      <x:c r="I841" s="95" t="n">
        <x:v>28</x:v>
      </x:c>
      <x:c r="J841" s="95" t="n">
        <x:v>11</x:v>
      </x:c>
      <x:c r="K841" s="95" t="n">
        <x:v>2</x:v>
      </x:c>
      <x:c r="L841" s="95" t="n">
        <x:v>1</x:v>
      </x:c>
      <x:c r="M841" s="96" t="n">
        <x:f>IFERROR(G841/F841,0)</x:f>
        <x:v>0.9038461538461539</x:v>
      </x:c>
      <x:c r="N841" s="96" t="n">
        <x:f>IFERROR(H841/G841,0)</x:f>
        <x:v>0.6808510638297872</x:v>
      </x:c>
      <x:c r="O841" s="96" t="n">
        <x:f>IFERROR(I841/H841,0)</x:f>
        <x:v>0.875</x:v>
      </x:c>
      <x:c r="P841" s="96" t="n">
        <x:f>IFERROR(J841/I841,0)</x:f>
        <x:v>0.39285714285714285</x:v>
      </x:c>
      <x:c r="Q841" s="96" t="n">
        <x:f>IFERROR(L841/J841,0)</x:f>
        <x:v>0.09090909090909091</x:v>
      </x:c>
      <x:c r="R841" s="96" t="n">
        <x:f>IFERROR(L841/F841,0)</x:f>
        <x:v>0.019230769230769232</x:v>
      </x:c>
      <x:c r="S841" s="95" t="n">
        <x:v>112</x:v>
      </x:c>
      <x:c r="T841" s="94" t="str">
        <x:v>末次点击7天</x:v>
      </x:c>
    </x:row>
    <x:row r="842">
      <x:c r="A842" s="92" t="str">
        <x:v>PROC-0841</x:v>
      </x:c>
      <x:c r="B842" s="93" t="n">
        <x:v>46175</x:v>
      </x:c>
      <x:c r="C842" s="94" t="str">
        <x:v>Microsoft Ads</x:v>
      </x:c>
      <x:c r="D842" s="94" t="str">
        <x:v>德国</x:v>
      </x:c>
      <x:c r="E842" s="94" t="str">
        <x:v>品牌搜索</x:v>
      </x:c>
      <x:c r="F842" s="95" t="n">
        <x:v>39</x:v>
      </x:c>
      <x:c r="G842" s="95" t="n">
        <x:v>37</x:v>
      </x:c>
      <x:c r="H842" s="95" t="n">
        <x:v>27</x:v>
      </x:c>
      <x:c r="I842" s="95" t="n">
        <x:v>22</x:v>
      </x:c>
      <x:c r="J842" s="95" t="n">
        <x:v>12</x:v>
      </x:c>
      <x:c r="K842" s="95" t="n">
        <x:v>4</x:v>
      </x:c>
      <x:c r="L842" s="95" t="n">
        <x:v>1</x:v>
      </x:c>
      <x:c r="M842" s="96" t="n">
        <x:f>IFERROR(G842/F842,0)</x:f>
        <x:v>0.9487179487179487</x:v>
      </x:c>
      <x:c r="N842" s="96" t="n">
        <x:f>IFERROR(H842/G842,0)</x:f>
        <x:v>0.7297297297297297</x:v>
      </x:c>
      <x:c r="O842" s="96" t="n">
        <x:f>IFERROR(I842/H842,0)</x:f>
        <x:v>0.8148148148148148</x:v>
      </x:c>
      <x:c r="P842" s="96" t="n">
        <x:f>IFERROR(J842/I842,0)</x:f>
        <x:v>0.5454545454545454</x:v>
      </x:c>
      <x:c r="Q842" s="96" t="n">
        <x:f>IFERROR(L842/J842,0)</x:f>
        <x:v>0.08333333333333333</x:v>
      </x:c>
      <x:c r="R842" s="96" t="n">
        <x:f>IFERROR(L842/F842,0)</x:f>
        <x:v>0.02564102564102564</x:v>
      </x:c>
      <x:c r="S842" s="95" t="n">
        <x:v>156</x:v>
      </x:c>
      <x:c r="T842" s="94" t="str">
        <x:v>末次点击7天</x:v>
      </x:c>
    </x:row>
    <x:row r="843">
      <x:c r="A843" s="92" t="str">
        <x:v>PROC-0842</x:v>
      </x:c>
      <x:c r="B843" s="93" t="n">
        <x:v>46175</x:v>
      </x:c>
      <x:c r="C843" s="94" t="str">
        <x:v>Google Ads</x:v>
      </x:c>
      <x:c r="D843" s="94" t="str">
        <x:v>日本</x:v>
      </x:c>
      <x:c r="E843" s="94" t="str">
        <x:v>品牌搜索</x:v>
      </x:c>
      <x:c r="F843" s="95" t="n">
        <x:v>72</x:v>
      </x:c>
      <x:c r="G843" s="95" t="n">
        <x:v>66</x:v>
      </x:c>
      <x:c r="H843" s="95" t="n">
        <x:v>45</x:v>
      </x:c>
      <x:c r="I843" s="95" t="n">
        <x:v>36</x:v>
      </x:c>
      <x:c r="J843" s="95" t="n">
        <x:v>17</x:v>
      </x:c>
      <x:c r="K843" s="95" t="n">
        <x:v>5</x:v>
      </x:c>
      <x:c r="L843" s="95" t="n">
        <x:v>2</x:v>
      </x:c>
      <x:c r="M843" s="96" t="n">
        <x:f>IFERROR(G843/F843,0)</x:f>
        <x:v>0.9166666666666666</x:v>
      </x:c>
      <x:c r="N843" s="96" t="n">
        <x:f>IFERROR(H843/G843,0)</x:f>
        <x:v>0.6818181818181818</x:v>
      </x:c>
      <x:c r="O843" s="96" t="n">
        <x:f>IFERROR(I843/H843,0)</x:f>
        <x:v>0.8</x:v>
      </x:c>
      <x:c r="P843" s="96" t="n">
        <x:f>IFERROR(J843/I843,0)</x:f>
        <x:v>0.4722222222222222</x:v>
      </x:c>
      <x:c r="Q843" s="96" t="n">
        <x:f>IFERROR(L843/J843,0)</x:f>
        <x:v>0.11764705882352941</x:v>
      </x:c>
      <x:c r="R843" s="96" t="n">
        <x:f>IFERROR(L843/F843,0)</x:f>
        <x:v>0.027777777777777776</x:v>
      </x:c>
      <x:c r="S843" s="95" t="n">
        <x:v>51</x:v>
      </x:c>
      <x:c r="T843" s="94" t="str">
        <x:v>末次点击7天</x:v>
      </x:c>
    </x:row>
    <x:row r="844">
      <x:c r="A844" s="92" t="str">
        <x:v>PROC-0843</x:v>
      </x:c>
      <x:c r="B844" s="93" t="n">
        <x:v>46175</x:v>
      </x:c>
      <x:c r="C844" s="94" t="str">
        <x:v>Google Ads</x:v>
      </x:c>
      <x:c r="D844" s="94" t="str">
        <x:v>德国</x:v>
      </x:c>
      <x:c r="E844" s="94" t="str">
        <x:v>通用搜索</x:v>
      </x:c>
      <x:c r="F844" s="95" t="n">
        <x:v>47</x:v>
      </x:c>
      <x:c r="G844" s="95" t="n">
        <x:v>43</x:v>
      </x:c>
      <x:c r="H844" s="95" t="n">
        <x:v>28</x:v>
      </x:c>
      <x:c r="I844" s="95" t="n">
        <x:v>22</x:v>
      </x:c>
      <x:c r="J844" s="95" t="n">
        <x:v>9</x:v>
      </x:c>
      <x:c r="K844" s="95" t="n">
        <x:v>2</x:v>
      </x:c>
      <x:c r="L844" s="95" t="n">
        <x:v>1</x:v>
      </x:c>
      <x:c r="M844" s="96" t="n">
        <x:f>IFERROR(G844/F844,0)</x:f>
        <x:v>0.9148936170212766</x:v>
      </x:c>
      <x:c r="N844" s="96" t="n">
        <x:f>IFERROR(H844/G844,0)</x:f>
        <x:v>0.6511627906976745</x:v>
      </x:c>
      <x:c r="O844" s="96" t="n">
        <x:f>IFERROR(I844/H844,0)</x:f>
        <x:v>0.7857142857142857</x:v>
      </x:c>
      <x:c r="P844" s="96" t="n">
        <x:f>IFERROR(J844/I844,0)</x:f>
        <x:v>0.4090909090909091</x:v>
      </x:c>
      <x:c r="Q844" s="96" t="n">
        <x:f>IFERROR(L844/J844,0)</x:f>
        <x:v>0.1111111111111111</x:v>
      </x:c>
      <x:c r="R844" s="96" t="n">
        <x:f>IFERROR(L844/F844,0)</x:f>
        <x:v>0.02127659574468085</x:v>
      </x:c>
      <x:c r="S844" s="95" t="n">
        <x:v>77</x:v>
      </x:c>
      <x:c r="T844" s="94" t="str">
        <x:v>末次点击7天</x:v>
      </x:c>
    </x:row>
    <x:row r="845">
      <x:c r="A845" s="92" t="str">
        <x:v>PROC-0844</x:v>
      </x:c>
      <x:c r="B845" s="93" t="n">
        <x:v>46175</x:v>
      </x:c>
      <x:c r="C845" s="94" t="str">
        <x:v>Google Ads</x:v>
      </x:c>
      <x:c r="D845" s="94" t="str">
        <x:v>英国</x:v>
      </x:c>
      <x:c r="E845" s="94" t="str">
        <x:v>通用搜索</x:v>
      </x:c>
      <x:c r="F845" s="95" t="n">
        <x:v>31</x:v>
      </x:c>
      <x:c r="G845" s="95" t="n">
        <x:v>27</x:v>
      </x:c>
      <x:c r="H845" s="95" t="n">
        <x:v>19</x:v>
      </x:c>
      <x:c r="I845" s="95" t="n">
        <x:v>16</x:v>
      </x:c>
      <x:c r="J845" s="95" t="n">
        <x:v>6</x:v>
      </x:c>
      <x:c r="K845" s="95" t="n">
        <x:v>1</x:v>
      </x:c>
      <x:c r="L845" s="95" t="n">
        <x:v>0</x:v>
      </x:c>
      <x:c r="M845" s="96" t="n">
        <x:f>IFERROR(G845/F845,0)</x:f>
        <x:v>0.8709677419354839</x:v>
      </x:c>
      <x:c r="N845" s="96" t="n">
        <x:f>IFERROR(H845/G845,0)</x:f>
        <x:v>0.7037037037037037</x:v>
      </x:c>
      <x:c r="O845" s="96" t="n">
        <x:f>IFERROR(I845/H845,0)</x:f>
        <x:v>0.8421052631578947</x:v>
      </x:c>
      <x:c r="P845" s="96" t="n">
        <x:f>IFERROR(J845/I845,0)</x:f>
        <x:v>0.375</x:v>
      </x:c>
      <x:c r="Q845" s="96" t="n">
        <x:f>IFERROR(L845/J845,0)</x:f>
        <x:v>0</x:v>
      </x:c>
      <x:c r="R845" s="96" t="n">
        <x:f>IFERROR(L845/F845,0)</x:f>
        <x:v>0</x:v>
      </x:c>
      <x:c r="S845" s="95" t="n">
        <x:v>112</x:v>
      </x:c>
      <x:c r="T845" s="94" t="str">
        <x:v>末次点击7天</x:v>
      </x:c>
    </x:row>
    <x:row r="846">
      <x:c r="A846" s="92" t="str">
        <x:v>PROC-0845</x:v>
      </x:c>
      <x:c r="B846" s="93" t="n">
        <x:v>46175</x:v>
      </x:c>
      <x:c r="C846" s="94" t="str">
        <x:v>Google Ads</x:v>
      </x:c>
      <x:c r="D846" s="94" t="str">
        <x:v>日本</x:v>
      </x:c>
      <x:c r="E846" s="94" t="str">
        <x:v>竞品搜索</x:v>
      </x:c>
      <x:c r="F846" s="95" t="n">
        <x:v>21</x:v>
      </x:c>
      <x:c r="G846" s="95" t="n">
        <x:v>19</x:v>
      </x:c>
      <x:c r="H846" s="95" t="n">
        <x:v>14</x:v>
      </x:c>
      <x:c r="I846" s="95" t="n">
        <x:v>11</x:v>
      </x:c>
      <x:c r="J846" s="95" t="n">
        <x:v>5</x:v>
      </x:c>
      <x:c r="K846" s="95" t="n">
        <x:v>1</x:v>
      </x:c>
      <x:c r="L846" s="95" t="n">
        <x:v>0</x:v>
      </x:c>
      <x:c r="M846" s="96" t="n">
        <x:f>IFERROR(G846/F846,0)</x:f>
        <x:v>0.9047619047619048</x:v>
      </x:c>
      <x:c r="N846" s="96" t="n">
        <x:f>IFERROR(H846/G846,0)</x:f>
        <x:v>0.7368421052631579</x:v>
      </x:c>
      <x:c r="O846" s="96" t="n">
        <x:f>IFERROR(I846/H846,0)</x:f>
        <x:v>0.7857142857142857</x:v>
      </x:c>
      <x:c r="P846" s="96" t="n">
        <x:f>IFERROR(J846/I846,0)</x:f>
        <x:v>0.45454545454545453</x:v>
      </x:c>
      <x:c r="Q846" s="96" t="n">
        <x:f>IFERROR(L846/J846,0)</x:f>
        <x:v>0</x:v>
      </x:c>
      <x:c r="R846" s="96" t="n">
        <x:f>IFERROR(L846/F846,0)</x:f>
        <x:v>0</x:v>
      </x:c>
      <x:c r="S846" s="95" t="n">
        <x:v>82</x:v>
      </x:c>
      <x:c r="T846" s="94" t="str">
        <x:v>末次点击7天</x:v>
      </x:c>
    </x:row>
    <x:row r="847">
      <x:c r="A847" s="92" t="str">
        <x:v>PROC-0846</x:v>
      </x:c>
      <x:c r="B847" s="93" t="n">
        <x:v>46175</x:v>
      </x:c>
      <x:c r="C847" s="94" t="str">
        <x:v>Google Ads</x:v>
      </x:c>
      <x:c r="D847" s="94" t="str">
        <x:v>美国</x:v>
      </x:c>
      <x:c r="E847" s="94" t="str">
        <x:v>购物广告</x:v>
      </x:c>
      <x:c r="F847" s="95" t="n">
        <x:v>70</x:v>
      </x:c>
      <x:c r="G847" s="95" t="n">
        <x:v>62</x:v>
      </x:c>
      <x:c r="H847" s="95" t="n">
        <x:v>47</x:v>
      </x:c>
      <x:c r="I847" s="95" t="n">
        <x:v>43</x:v>
      </x:c>
      <x:c r="J847" s="95" t="n">
        <x:v>19</x:v>
      </x:c>
      <x:c r="K847" s="95" t="n">
        <x:v>5</x:v>
      </x:c>
      <x:c r="L847" s="95" t="n">
        <x:v>1</x:v>
      </x:c>
      <x:c r="M847" s="96" t="n">
        <x:f>IFERROR(G847/F847,0)</x:f>
        <x:v>0.8857142857142857</x:v>
      </x:c>
      <x:c r="N847" s="96" t="n">
        <x:f>IFERROR(H847/G847,0)</x:f>
        <x:v>0.7580645161290323</x:v>
      </x:c>
      <x:c r="O847" s="96" t="n">
        <x:f>IFERROR(I847/H847,0)</x:f>
        <x:v>0.9148936170212766</x:v>
      </x:c>
      <x:c r="P847" s="96" t="n">
        <x:f>IFERROR(J847/I847,0)</x:f>
        <x:v>0.4418604651162791</x:v>
      </x:c>
      <x:c r="Q847" s="96" t="n">
        <x:f>IFERROR(L847/J847,0)</x:f>
        <x:v>0.05263157894736842</x:v>
      </x:c>
      <x:c r="R847" s="96" t="n">
        <x:f>IFERROR(L847/F847,0)</x:f>
        <x:v>0.014285714285714285</x:v>
      </x:c>
      <x:c r="S847" s="95" t="n">
        <x:v>60</x:v>
      </x:c>
      <x:c r="T847" s="94" t="str">
        <x:v>末次点击7天</x:v>
      </x:c>
    </x:row>
    <x:row r="848">
      <x:c r="A848" s="92" t="str">
        <x:v>PROC-0847</x:v>
      </x:c>
      <x:c r="B848" s="93" t="n">
        <x:v>46176</x:v>
      </x:c>
      <x:c r="C848" s="94" t="str">
        <x:v>Google Ads</x:v>
      </x:c>
      <x:c r="D848" s="94" t="str">
        <x:v>美国</x:v>
      </x:c>
      <x:c r="E848" s="94" t="str">
        <x:v>通用搜索</x:v>
      </x:c>
      <x:c r="F848" s="95" t="n">
        <x:v>40</x:v>
      </x:c>
      <x:c r="G848" s="95" t="n">
        <x:v>35</x:v>
      </x:c>
      <x:c r="H848" s="95" t="n">
        <x:v>24</x:v>
      </x:c>
      <x:c r="I848" s="95" t="n">
        <x:v>19</x:v>
      </x:c>
      <x:c r="J848" s="95" t="n">
        <x:v>7</x:v>
      </x:c>
      <x:c r="K848" s="95" t="n">
        <x:v>2</x:v>
      </x:c>
      <x:c r="L848" s="95" t="n">
        <x:v>1</x:v>
      </x:c>
      <x:c r="M848" s="96" t="n">
        <x:f>IFERROR(G848/F848,0)</x:f>
        <x:v>0.875</x:v>
      </x:c>
      <x:c r="N848" s="96" t="n">
        <x:f>IFERROR(H848/G848,0)</x:f>
        <x:v>0.6857142857142857</x:v>
      </x:c>
      <x:c r="O848" s="96" t="n">
        <x:f>IFERROR(I848/H848,0)</x:f>
        <x:v>0.7916666666666666</x:v>
      </x:c>
      <x:c r="P848" s="96" t="n">
        <x:f>IFERROR(J848/I848,0)</x:f>
        <x:v>0.3684210526315789</x:v>
      </x:c>
      <x:c r="Q848" s="96" t="n">
        <x:f>IFERROR(L848/J848,0)</x:f>
        <x:v>0.14285714285714285</x:v>
      </x:c>
      <x:c r="R848" s="96" t="n">
        <x:f>IFERROR(L848/F848,0)</x:f>
        <x:v>0.025</x:v>
      </x:c>
      <x:c r="S848" s="95" t="n">
        <x:v>152</x:v>
      </x:c>
      <x:c r="T848" s="94" t="str">
        <x:v>末次点击7天</x:v>
      </x:c>
    </x:row>
    <x:row r="849">
      <x:c r="A849" s="92" t="str">
        <x:v>PROC-0848</x:v>
      </x:c>
      <x:c r="B849" s="93" t="n">
        <x:v>46176</x:v>
      </x:c>
      <x:c r="C849" s="94" t="str">
        <x:v>Microsoft Ads</x:v>
      </x:c>
      <x:c r="D849" s="94" t="str">
        <x:v>日本</x:v>
      </x:c>
      <x:c r="E849" s="94" t="str">
        <x:v>购物广告</x:v>
      </x:c>
      <x:c r="F849" s="95" t="n">
        <x:v>43</x:v>
      </x:c>
      <x:c r="G849" s="95" t="n">
        <x:v>39</x:v>
      </x:c>
      <x:c r="H849" s="95" t="n">
        <x:v>28</x:v>
      </x:c>
      <x:c r="I849" s="95" t="n">
        <x:v>24</x:v>
      </x:c>
      <x:c r="J849" s="95" t="n">
        <x:v>11</x:v>
      </x:c>
      <x:c r="K849" s="95" t="n">
        <x:v>3</x:v>
      </x:c>
      <x:c r="L849" s="95" t="n">
        <x:v>1</x:v>
      </x:c>
      <x:c r="M849" s="96" t="n">
        <x:f>IFERROR(G849/F849,0)</x:f>
        <x:v>0.9069767441860465</x:v>
      </x:c>
      <x:c r="N849" s="96" t="n">
        <x:f>IFERROR(H849/G849,0)</x:f>
        <x:v>0.717948717948718</x:v>
      </x:c>
      <x:c r="O849" s="96" t="n">
        <x:f>IFERROR(I849/H849,0)</x:f>
        <x:v>0.8571428571428571</x:v>
      </x:c>
      <x:c r="P849" s="96" t="n">
        <x:f>IFERROR(J849/I849,0)</x:f>
        <x:v>0.4583333333333333</x:v>
      </x:c>
      <x:c r="Q849" s="96" t="n">
        <x:f>IFERROR(L849/J849,0)</x:f>
        <x:v>0.09090909090909091</x:v>
      </x:c>
      <x:c r="R849" s="96" t="n">
        <x:f>IFERROR(L849/F849,0)</x:f>
        <x:v>0.023255813953488372</x:v>
      </x:c>
      <x:c r="S849" s="95" t="n">
        <x:v>51</x:v>
      </x:c>
      <x:c r="T849" s="94" t="str">
        <x:v>末次点击7天</x:v>
      </x:c>
    </x:row>
    <x:row r="850">
      <x:c r="A850" s="92" t="str">
        <x:v>PROC-0849</x:v>
      </x:c>
      <x:c r="B850" s="93" t="n">
        <x:v>46176</x:v>
      </x:c>
      <x:c r="C850" s="94" t="str">
        <x:v>Google Ads</x:v>
      </x:c>
      <x:c r="D850" s="94" t="str">
        <x:v>日本</x:v>
      </x:c>
      <x:c r="E850" s="94" t="str">
        <x:v>竞品搜索</x:v>
      </x:c>
      <x:c r="F850" s="95" t="n">
        <x:v>22</x:v>
      </x:c>
      <x:c r="G850" s="95" t="n">
        <x:v>19</x:v>
      </x:c>
      <x:c r="H850" s="95" t="n">
        <x:v>14</x:v>
      </x:c>
      <x:c r="I850" s="95" t="n">
        <x:v>12</x:v>
      </x:c>
      <x:c r="J850" s="95" t="n">
        <x:v>5</x:v>
      </x:c>
      <x:c r="K850" s="95" t="n">
        <x:v>2</x:v>
      </x:c>
      <x:c r="L850" s="95" t="n">
        <x:v>0</x:v>
      </x:c>
      <x:c r="M850" s="96" t="n">
        <x:f>IFERROR(G850/F850,0)</x:f>
        <x:v>0.8636363636363636</x:v>
      </x:c>
      <x:c r="N850" s="96" t="n">
        <x:f>IFERROR(H850/G850,0)</x:f>
        <x:v>0.7368421052631579</x:v>
      </x:c>
      <x:c r="O850" s="96" t="n">
        <x:f>IFERROR(I850/H850,0)</x:f>
        <x:v>0.8571428571428571</x:v>
      </x:c>
      <x:c r="P850" s="96" t="n">
        <x:f>IFERROR(J850/I850,0)</x:f>
        <x:v>0.4166666666666667</x:v>
      </x:c>
      <x:c r="Q850" s="96" t="n">
        <x:f>IFERROR(L850/J850,0)</x:f>
        <x:v>0</x:v>
      </x:c>
      <x:c r="R850" s="96" t="n">
        <x:f>IFERROR(L850/F850,0)</x:f>
        <x:v>0</x:v>
      </x:c>
      <x:c r="S850" s="95" t="n">
        <x:v>56</x:v>
      </x:c>
      <x:c r="T850" s="94" t="str">
        <x:v>末次点击7天</x:v>
      </x:c>
    </x:row>
    <x:row r="851">
      <x:c r="A851" s="92" t="str">
        <x:v>PROC-0850</x:v>
      </x:c>
      <x:c r="B851" s="93" t="n">
        <x:v>46176</x:v>
      </x:c>
      <x:c r="C851" s="94" t="str">
        <x:v>Microsoft Ads</x:v>
      </x:c>
      <x:c r="D851" s="94" t="str">
        <x:v>日本</x:v>
      </x:c>
      <x:c r="E851" s="94" t="str">
        <x:v>通用搜索</x:v>
      </x:c>
      <x:c r="F851" s="95" t="n">
        <x:v>35</x:v>
      </x:c>
      <x:c r="G851" s="95" t="n">
        <x:v>33</x:v>
      </x:c>
      <x:c r="H851" s="95" t="n">
        <x:v>24</x:v>
      </x:c>
      <x:c r="I851" s="95" t="n">
        <x:v>21</x:v>
      </x:c>
      <x:c r="J851" s="95" t="n">
        <x:v>9</x:v>
      </x:c>
      <x:c r="K851" s="95" t="n">
        <x:v>3</x:v>
      </x:c>
      <x:c r="L851" s="95" t="n">
        <x:v>1</x:v>
      </x:c>
      <x:c r="M851" s="96" t="n">
        <x:f>IFERROR(G851/F851,0)</x:f>
        <x:v>0.9428571428571428</x:v>
      </x:c>
      <x:c r="N851" s="96" t="n">
        <x:f>IFERROR(H851/G851,0)</x:f>
        <x:v>0.7272727272727273</x:v>
      </x:c>
      <x:c r="O851" s="96" t="n">
        <x:f>IFERROR(I851/H851,0)</x:f>
        <x:v>0.875</x:v>
      </x:c>
      <x:c r="P851" s="96" t="n">
        <x:f>IFERROR(J851/I851,0)</x:f>
        <x:v>0.42857142857142855</x:v>
      </x:c>
      <x:c r="Q851" s="96" t="n">
        <x:f>IFERROR(L851/J851,0)</x:f>
        <x:v>0.1111111111111111</x:v>
      </x:c>
      <x:c r="R851" s="96" t="n">
        <x:f>IFERROR(L851/F851,0)</x:f>
        <x:v>0.02857142857142857</x:v>
      </x:c>
      <x:c r="S851" s="95" t="n">
        <x:v>92</x:v>
      </x:c>
      <x:c r="T851" s="94" t="str">
        <x:v>末次点击7天</x:v>
      </x:c>
    </x:row>
    <x:row r="852">
      <x:c r="A852" s="92" t="str">
        <x:v>PROC-0851</x:v>
      </x:c>
      <x:c r="B852" s="93" t="n">
        <x:v>46176</x:v>
      </x:c>
      <x:c r="C852" s="94" t="str">
        <x:v>Microsoft Ads</x:v>
      </x:c>
      <x:c r="D852" s="94" t="str">
        <x:v>美国</x:v>
      </x:c>
      <x:c r="E852" s="94" t="str">
        <x:v>通用搜索</x:v>
      </x:c>
      <x:c r="F852" s="95" t="n">
        <x:v>33</x:v>
      </x:c>
      <x:c r="G852" s="95" t="n">
        <x:v>30</x:v>
      </x:c>
      <x:c r="H852" s="95" t="n">
        <x:v>19</x:v>
      </x:c>
      <x:c r="I852" s="95" t="n">
        <x:v>15</x:v>
      </x:c>
      <x:c r="J852" s="95" t="n">
        <x:v>6</x:v>
      </x:c>
      <x:c r="K852" s="95" t="n">
        <x:v>2</x:v>
      </x:c>
      <x:c r="L852" s="95" t="n">
        <x:v>0</x:v>
      </x:c>
      <x:c r="M852" s="96" t="n">
        <x:f>IFERROR(G852/F852,0)</x:f>
        <x:v>0.9090909090909091</x:v>
      </x:c>
      <x:c r="N852" s="96" t="n">
        <x:f>IFERROR(H852/G852,0)</x:f>
        <x:v>0.6333333333333333</x:v>
      </x:c>
      <x:c r="O852" s="96" t="n">
        <x:f>IFERROR(I852/H852,0)</x:f>
        <x:v>0.7894736842105263</x:v>
      </x:c>
      <x:c r="P852" s="96" t="n">
        <x:f>IFERROR(J852/I852,0)</x:f>
        <x:v>0.4</x:v>
      </x:c>
      <x:c r="Q852" s="96" t="n">
        <x:f>IFERROR(L852/J852,0)</x:f>
        <x:v>0</x:v>
      </x:c>
      <x:c r="R852" s="96" t="n">
        <x:f>IFERROR(L852/F852,0)</x:f>
        <x:v>0</x:v>
      </x:c>
      <x:c r="S852" s="95" t="n">
        <x:v>43</x:v>
      </x:c>
      <x:c r="T852" s="94" t="str">
        <x:v>末次点击7天</x:v>
      </x:c>
    </x:row>
    <x:row r="853">
      <x:c r="A853" s="92" t="str">
        <x:v>PROC-0852</x:v>
      </x:c>
      <x:c r="B853" s="93" t="n">
        <x:v>46177</x:v>
      </x:c>
      <x:c r="C853" s="94" t="str">
        <x:v>Google Ads</x:v>
      </x:c>
      <x:c r="D853" s="94" t="str">
        <x:v>日本</x:v>
      </x:c>
      <x:c r="E853" s="94" t="str">
        <x:v>品牌搜索</x:v>
      </x:c>
      <x:c r="F853" s="95" t="n">
        <x:v>60</x:v>
      </x:c>
      <x:c r="G853" s="95" t="n">
        <x:v>55</x:v>
      </x:c>
      <x:c r="H853" s="95" t="n">
        <x:v>36</x:v>
      </x:c>
      <x:c r="I853" s="95" t="n">
        <x:v>30</x:v>
      </x:c>
      <x:c r="J853" s="95" t="n">
        <x:v>15</x:v>
      </x:c>
      <x:c r="K853" s="95" t="n">
        <x:v>4</x:v>
      </x:c>
      <x:c r="L853" s="95" t="n">
        <x:v>2</x:v>
      </x:c>
      <x:c r="M853" s="96" t="n">
        <x:f>IFERROR(G853/F853,0)</x:f>
        <x:v>0.9166666666666666</x:v>
      </x:c>
      <x:c r="N853" s="96" t="n">
        <x:f>IFERROR(H853/G853,0)</x:f>
        <x:v>0.6545454545454545</x:v>
      </x:c>
      <x:c r="O853" s="96" t="n">
        <x:f>IFERROR(I853/H853,0)</x:f>
        <x:v>0.8333333333333334</x:v>
      </x:c>
      <x:c r="P853" s="96" t="n">
        <x:f>IFERROR(J853/I853,0)</x:f>
        <x:v>0.5</x:v>
      </x:c>
      <x:c r="Q853" s="96" t="n">
        <x:f>IFERROR(L853/J853,0)</x:f>
        <x:v>0.13333333333333333</x:v>
      </x:c>
      <x:c r="R853" s="96" t="n">
        <x:f>IFERROR(L853/F853,0)</x:f>
        <x:v>0.03333333333333333</x:v>
      </x:c>
      <x:c r="S853" s="95" t="n">
        <x:v>125</x:v>
      </x:c>
      <x:c r="T853" s="94" t="str">
        <x:v>末次点击7天</x:v>
      </x:c>
    </x:row>
    <x:row r="854">
      <x:c r="A854" s="92" t="str">
        <x:v>PROC-0853</x:v>
      </x:c>
      <x:c r="B854" s="93" t="n">
        <x:v>46177</x:v>
      </x:c>
      <x:c r="C854" s="94" t="str">
        <x:v>Microsoft Ads</x:v>
      </x:c>
      <x:c r="D854" s="94" t="str">
        <x:v>美国</x:v>
      </x:c>
      <x:c r="E854" s="94" t="str">
        <x:v>品牌搜索</x:v>
      </x:c>
      <x:c r="F854" s="95" t="n">
        <x:v>76</x:v>
      </x:c>
      <x:c r="G854" s="95" t="n">
        <x:v>73</x:v>
      </x:c>
      <x:c r="H854" s="95" t="n">
        <x:v>50</x:v>
      </x:c>
      <x:c r="I854" s="95" t="n">
        <x:v>43</x:v>
      </x:c>
      <x:c r="J854" s="95" t="n">
        <x:v>19</x:v>
      </x:c>
      <x:c r="K854" s="95" t="n">
        <x:v>6</x:v>
      </x:c>
      <x:c r="L854" s="95" t="n">
        <x:v>2</x:v>
      </x:c>
      <x:c r="M854" s="96" t="n">
        <x:f>IFERROR(G854/F854,0)</x:f>
        <x:v>0.9605263157894737</x:v>
      </x:c>
      <x:c r="N854" s="96" t="n">
        <x:f>IFERROR(H854/G854,0)</x:f>
        <x:v>0.684931506849315</x:v>
      </x:c>
      <x:c r="O854" s="96" t="n">
        <x:f>IFERROR(I854/H854,0)</x:f>
        <x:v>0.86</x:v>
      </x:c>
      <x:c r="P854" s="96" t="n">
        <x:f>IFERROR(J854/I854,0)</x:f>
        <x:v>0.4418604651162791</x:v>
      </x:c>
      <x:c r="Q854" s="96" t="n">
        <x:f>IFERROR(L854/J854,0)</x:f>
        <x:v>0.10526315789473684</x:v>
      </x:c>
      <x:c r="R854" s="96" t="n">
        <x:f>IFERROR(L854/F854,0)</x:f>
        <x:v>0.02631578947368421</x:v>
      </x:c>
      <x:c r="S854" s="95" t="n">
        <x:v>117</x:v>
      </x:c>
      <x:c r="T854" s="94" t="str">
        <x:v>末次点击7天</x:v>
      </x:c>
    </x:row>
    <x:row r="855">
      <x:c r="A855" s="92" t="str">
        <x:v>PROC-0854</x:v>
      </x:c>
      <x:c r="B855" s="93" t="n">
        <x:v>46177</x:v>
      </x:c>
      <x:c r="C855" s="94" t="str">
        <x:v>Microsoft Ads</x:v>
      </x:c>
      <x:c r="D855" s="94" t="str">
        <x:v>英国</x:v>
      </x:c>
      <x:c r="E855" s="94" t="str">
        <x:v>品牌搜索</x:v>
      </x:c>
      <x:c r="F855" s="95" t="n">
        <x:v>57</x:v>
      </x:c>
      <x:c r="G855" s="95" t="n">
        <x:v>55</x:v>
      </x:c>
      <x:c r="H855" s="95" t="n">
        <x:v>39</x:v>
      </x:c>
      <x:c r="I855" s="95" t="n">
        <x:v>32</x:v>
      </x:c>
      <x:c r="J855" s="95" t="n">
        <x:v>14</x:v>
      </x:c>
      <x:c r="K855" s="95" t="n">
        <x:v>4</x:v>
      </x:c>
      <x:c r="L855" s="95" t="n">
        <x:v>1</x:v>
      </x:c>
      <x:c r="M855" s="96" t="n">
        <x:f>IFERROR(G855/F855,0)</x:f>
        <x:v>0.9649122807017544</x:v>
      </x:c>
      <x:c r="N855" s="96" t="n">
        <x:f>IFERROR(H855/G855,0)</x:f>
        <x:v>0.7090909090909091</x:v>
      </x:c>
      <x:c r="O855" s="96" t="n">
        <x:f>IFERROR(I855/H855,0)</x:f>
        <x:v>0.8205128205128205</x:v>
      </x:c>
      <x:c r="P855" s="96" t="n">
        <x:f>IFERROR(J855/I855,0)</x:f>
        <x:v>0.4375</x:v>
      </x:c>
      <x:c r="Q855" s="96" t="n">
        <x:f>IFERROR(L855/J855,0)</x:f>
        <x:v>0.07142857142857142</x:v>
      </x:c>
      <x:c r="R855" s="96" t="n">
        <x:f>IFERROR(L855/F855,0)</x:f>
        <x:v>0.017543859649122806</x:v>
      </x:c>
      <x:c r="S855" s="95" t="n">
        <x:v>116</x:v>
      </x:c>
      <x:c r="T855" s="94" t="str">
        <x:v>末次点击7天</x:v>
      </x:c>
    </x:row>
    <x:row r="856">
      <x:c r="A856" s="92" t="str">
        <x:v>PROC-0855</x:v>
      </x:c>
      <x:c r="B856" s="93" t="n">
        <x:v>46177</x:v>
      </x:c>
      <x:c r="C856" s="94" t="str">
        <x:v>Microsoft Ads</x:v>
      </x:c>
      <x:c r="D856" s="94" t="str">
        <x:v>日本</x:v>
      </x:c>
      <x:c r="E856" s="94" t="str">
        <x:v>通用搜索</x:v>
      </x:c>
      <x:c r="F856" s="95" t="n">
        <x:v>34</x:v>
      </x:c>
      <x:c r="G856" s="95" t="n">
        <x:v>32</x:v>
      </x:c>
      <x:c r="H856" s="95" t="n">
        <x:v>21</x:v>
      </x:c>
      <x:c r="I856" s="95" t="n">
        <x:v>18</x:v>
      </x:c>
      <x:c r="J856" s="95" t="n">
        <x:v>7</x:v>
      </x:c>
      <x:c r="K856" s="95" t="n">
        <x:v>2</x:v>
      </x:c>
      <x:c r="L856" s="95" t="n">
        <x:v>1</x:v>
      </x:c>
      <x:c r="M856" s="96" t="n">
        <x:f>IFERROR(G856/F856,0)</x:f>
        <x:v>0.9411764705882353</x:v>
      </x:c>
      <x:c r="N856" s="96" t="n">
        <x:f>IFERROR(H856/G856,0)</x:f>
        <x:v>0.65625</x:v>
      </x:c>
      <x:c r="O856" s="96" t="n">
        <x:f>IFERROR(I856/H856,0)</x:f>
        <x:v>0.8571428571428571</x:v>
      </x:c>
      <x:c r="P856" s="96" t="n">
        <x:f>IFERROR(J856/I856,0)</x:f>
        <x:v>0.3888888888888889</x:v>
      </x:c>
      <x:c r="Q856" s="96" t="n">
        <x:f>IFERROR(L856/J856,0)</x:f>
        <x:v>0.14285714285714285</x:v>
      </x:c>
      <x:c r="R856" s="96" t="n">
        <x:f>IFERROR(L856/F856,0)</x:f>
        <x:v>0.029411764705882353</x:v>
      </x:c>
      <x:c r="S856" s="95" t="n">
        <x:v>138</x:v>
      </x:c>
      <x:c r="T856" s="94" t="str">
        <x:v>末次点击7天</x:v>
      </x:c>
    </x:row>
    <x:row r="857">
      <x:c r="A857" s="92" t="str">
        <x:v>PROC-0856</x:v>
      </x:c>
      <x:c r="B857" s="93" t="n">
        <x:v>46177</x:v>
      </x:c>
      <x:c r="C857" s="94" t="str">
        <x:v>Google Ads</x:v>
      </x:c>
      <x:c r="D857" s="94" t="str">
        <x:v>英国</x:v>
      </x:c>
      <x:c r="E857" s="94" t="str">
        <x:v>购物广告</x:v>
      </x:c>
      <x:c r="F857" s="95" t="n">
        <x:v>64</x:v>
      </x:c>
      <x:c r="G857" s="95" t="n">
        <x:v>57</x:v>
      </x:c>
      <x:c r="H857" s="95" t="n">
        <x:v>38</x:v>
      </x:c>
      <x:c r="I857" s="95" t="n">
        <x:v>33</x:v>
      </x:c>
      <x:c r="J857" s="95" t="n">
        <x:v>16</x:v>
      </x:c>
      <x:c r="K857" s="95" t="n">
        <x:v>5</x:v>
      </x:c>
      <x:c r="L857" s="95" t="n">
        <x:v>1</x:v>
      </x:c>
      <x:c r="M857" s="96" t="n">
        <x:f>IFERROR(G857/F857,0)</x:f>
        <x:v>0.890625</x:v>
      </x:c>
      <x:c r="N857" s="96" t="n">
        <x:f>IFERROR(H857/G857,0)</x:f>
        <x:v>0.6666666666666666</x:v>
      </x:c>
      <x:c r="O857" s="96" t="n">
        <x:f>IFERROR(I857/H857,0)</x:f>
        <x:v>0.868421052631579</x:v>
      </x:c>
      <x:c r="P857" s="96" t="n">
        <x:f>IFERROR(J857/I857,0)</x:f>
        <x:v>0.48484848484848486</x:v>
      </x:c>
      <x:c r="Q857" s="96" t="n">
        <x:f>IFERROR(L857/J857,0)</x:f>
        <x:v>0.0625</x:v>
      </x:c>
      <x:c r="R857" s="96" t="n">
        <x:f>IFERROR(L857/F857,0)</x:f>
        <x:v>0.015625</x:v>
      </x:c>
      <x:c r="S857" s="95" t="n">
        <x:v>120</x:v>
      </x:c>
      <x:c r="T857" s="94" t="str">
        <x:v>末次点击7天</x:v>
      </x:c>
    </x:row>
    <x:row r="858">
      <x:c r="A858" s="92" t="str">
        <x:v>PROC-0857</x:v>
      </x:c>
      <x:c r="B858" s="93" t="n">
        <x:v>46177</x:v>
      </x:c>
      <x:c r="C858" s="94" t="str">
        <x:v>Microsoft Ads</x:v>
      </x:c>
      <x:c r="D858" s="94" t="str">
        <x:v>日本</x:v>
      </x:c>
      <x:c r="E858" s="94" t="str">
        <x:v>通用搜索</x:v>
      </x:c>
      <x:c r="F858" s="95" t="n">
        <x:v>29</x:v>
      </x:c>
      <x:c r="G858" s="95" t="n">
        <x:v>26</x:v>
      </x:c>
      <x:c r="H858" s="95" t="n">
        <x:v>18</x:v>
      </x:c>
      <x:c r="I858" s="95" t="n">
        <x:v>14</x:v>
      </x:c>
      <x:c r="J858" s="95" t="n">
        <x:v>5</x:v>
      </x:c>
      <x:c r="K858" s="95" t="n">
        <x:v>2</x:v>
      </x:c>
      <x:c r="L858" s="95" t="n">
        <x:v>0</x:v>
      </x:c>
      <x:c r="M858" s="96" t="n">
        <x:f>IFERROR(G858/F858,0)</x:f>
        <x:v>0.896551724137931</x:v>
      </x:c>
      <x:c r="N858" s="96" t="n">
        <x:f>IFERROR(H858/G858,0)</x:f>
        <x:v>0.6923076923076923</x:v>
      </x:c>
      <x:c r="O858" s="96" t="n">
        <x:f>IFERROR(I858/H858,0)</x:f>
        <x:v>0.7777777777777778</x:v>
      </x:c>
      <x:c r="P858" s="96" t="n">
        <x:f>IFERROR(J858/I858,0)</x:f>
        <x:v>0.35714285714285715</x:v>
      </x:c>
      <x:c r="Q858" s="96" t="n">
        <x:f>IFERROR(L858/J858,0)</x:f>
        <x:v>0</x:v>
      </x:c>
      <x:c r="R858" s="96" t="n">
        <x:f>IFERROR(L858/F858,0)</x:f>
        <x:v>0</x:v>
      </x:c>
      <x:c r="S858" s="95" t="n">
        <x:v>59</x:v>
      </x:c>
      <x:c r="T858" s="94" t="str">
        <x:v>末次点击7天</x:v>
      </x:c>
    </x:row>
    <x:row r="859">
      <x:c r="A859" s="92" t="str">
        <x:v>PROC-0858</x:v>
      </x:c>
      <x:c r="B859" s="93" t="n">
        <x:v>46178</x:v>
      </x:c>
      <x:c r="C859" s="94" t="str">
        <x:v>Microsoft Ads</x:v>
      </x:c>
      <x:c r="D859" s="94" t="str">
        <x:v>美国</x:v>
      </x:c>
      <x:c r="E859" s="94" t="str">
        <x:v>品牌搜索</x:v>
      </x:c>
      <x:c r="F859" s="95" t="n">
        <x:v>74</x:v>
      </x:c>
      <x:c r="G859" s="95" t="n">
        <x:v>65</x:v>
      </x:c>
      <x:c r="H859" s="95" t="n">
        <x:v>47</x:v>
      </x:c>
      <x:c r="I859" s="95" t="n">
        <x:v>40</x:v>
      </x:c>
      <x:c r="J859" s="95" t="n">
        <x:v>21</x:v>
      </x:c>
      <x:c r="K859" s="95" t="n">
        <x:v>4</x:v>
      </x:c>
      <x:c r="L859" s="95" t="n">
        <x:v>2</x:v>
      </x:c>
      <x:c r="M859" s="96" t="n">
        <x:f>IFERROR(G859/F859,0)</x:f>
        <x:v>0.8783783783783784</x:v>
      </x:c>
      <x:c r="N859" s="96" t="n">
        <x:f>IFERROR(H859/G859,0)</x:f>
        <x:v>0.7230769230769231</x:v>
      </x:c>
      <x:c r="O859" s="96" t="n">
        <x:f>IFERROR(I859/H859,0)</x:f>
        <x:v>0.851063829787234</x:v>
      </x:c>
      <x:c r="P859" s="96" t="n">
        <x:f>IFERROR(J859/I859,0)</x:f>
        <x:v>0.525</x:v>
      </x:c>
      <x:c r="Q859" s="96" t="n">
        <x:f>IFERROR(L859/J859,0)</x:f>
        <x:v>0.09523809523809523</x:v>
      </x:c>
      <x:c r="R859" s="96" t="n">
        <x:f>IFERROR(L859/F859,0)</x:f>
        <x:v>0.02702702702702703</x:v>
      </x:c>
      <x:c r="S859" s="95" t="n">
        <x:v>110</x:v>
      </x:c>
      <x:c r="T859" s="94" t="str">
        <x:v>末次点击7天</x:v>
      </x:c>
    </x:row>
    <x:row r="860">
      <x:c r="A860" s="92" t="str">
        <x:v>PROC-0859</x:v>
      </x:c>
      <x:c r="B860" s="93" t="n">
        <x:v>46178</x:v>
      </x:c>
      <x:c r="C860" s="94" t="str">
        <x:v>Microsoft Ads</x:v>
      </x:c>
      <x:c r="D860" s="94" t="str">
        <x:v>德国</x:v>
      </x:c>
      <x:c r="E860" s="94" t="str">
        <x:v>品牌搜索</x:v>
      </x:c>
      <x:c r="F860" s="95" t="n">
        <x:v>66</x:v>
      </x:c>
      <x:c r="G860" s="95" t="n">
        <x:v>59</x:v>
      </x:c>
      <x:c r="H860" s="95" t="n">
        <x:v>40</x:v>
      </x:c>
      <x:c r="I860" s="95" t="n">
        <x:v>32</x:v>
      </x:c>
      <x:c r="J860" s="95" t="n">
        <x:v>16</x:v>
      </x:c>
      <x:c r="K860" s="95" t="n">
        <x:v>4</x:v>
      </x:c>
      <x:c r="L860" s="95" t="n">
        <x:v>1</x:v>
      </x:c>
      <x:c r="M860" s="96" t="n">
        <x:f>IFERROR(G860/F860,0)</x:f>
        <x:v>0.8939393939393939</x:v>
      </x:c>
      <x:c r="N860" s="96" t="n">
        <x:f>IFERROR(H860/G860,0)</x:f>
        <x:v>0.6779661016949152</x:v>
      </x:c>
      <x:c r="O860" s="96" t="n">
        <x:f>IFERROR(I860/H860,0)</x:f>
        <x:v>0.8</x:v>
      </x:c>
      <x:c r="P860" s="96" t="n">
        <x:f>IFERROR(J860/I860,0)</x:f>
        <x:v>0.5</x:v>
      </x:c>
      <x:c r="Q860" s="96" t="n">
        <x:f>IFERROR(L860/J860,0)</x:f>
        <x:v>0.0625</x:v>
      </x:c>
      <x:c r="R860" s="96" t="n">
        <x:f>IFERROR(L860/F860,0)</x:f>
        <x:v>0.015151515151515152</x:v>
      </x:c>
      <x:c r="S860" s="95" t="n">
        <x:v>134</x:v>
      </x:c>
      <x:c r="T860" s="94" t="str">
        <x:v>末次点击7天</x:v>
      </x:c>
    </x:row>
    <x:row r="861">
      <x:c r="A861" s="92" t="str">
        <x:v>PROC-0860</x:v>
      </x:c>
      <x:c r="B861" s="93" t="n">
        <x:v>46178</x:v>
      </x:c>
      <x:c r="C861" s="94" t="str">
        <x:v>Microsoft Ads</x:v>
      </x:c>
      <x:c r="D861" s="94" t="str">
        <x:v>美国</x:v>
      </x:c>
      <x:c r="E861" s="94" t="str">
        <x:v>购物广告</x:v>
      </x:c>
      <x:c r="F861" s="95" t="n">
        <x:v>50</x:v>
      </x:c>
      <x:c r="G861" s="95" t="n">
        <x:v>47</x:v>
      </x:c>
      <x:c r="H861" s="95" t="n">
        <x:v>30</x:v>
      </x:c>
      <x:c r="I861" s="95" t="n">
        <x:v>27</x:v>
      </x:c>
      <x:c r="J861" s="95" t="n">
        <x:v>13</x:v>
      </x:c>
      <x:c r="K861" s="95" t="n">
        <x:v>4</x:v>
      </x:c>
      <x:c r="L861" s="95" t="n">
        <x:v>1</x:v>
      </x:c>
      <x:c r="M861" s="96" t="n">
        <x:f>IFERROR(G861/F861,0)</x:f>
        <x:v>0.94</x:v>
      </x:c>
      <x:c r="N861" s="96" t="n">
        <x:f>IFERROR(H861/G861,0)</x:f>
        <x:v>0.6382978723404256</x:v>
      </x:c>
      <x:c r="O861" s="96" t="n">
        <x:f>IFERROR(I861/H861,0)</x:f>
        <x:v>0.9</x:v>
      </x:c>
      <x:c r="P861" s="96" t="n">
        <x:f>IFERROR(J861/I861,0)</x:f>
        <x:v>0.48148148148148145</x:v>
      </x:c>
      <x:c r="Q861" s="96" t="n">
        <x:f>IFERROR(L861/J861,0)</x:f>
        <x:v>0.07692307692307693</x:v>
      </x:c>
      <x:c r="R861" s="96" t="n">
        <x:f>IFERROR(L861/F861,0)</x:f>
        <x:v>0.02</x:v>
      </x:c>
      <x:c r="S861" s="95" t="n">
        <x:v>125</x:v>
      </x:c>
      <x:c r="T861" s="94" t="str">
        <x:v>末次点击7天</x:v>
      </x:c>
    </x:row>
    <x:row r="862">
      <x:c r="A862" s="92" t="str">
        <x:v>PROC-0861</x:v>
      </x:c>
      <x:c r="B862" s="93" t="n">
        <x:v>46178</x:v>
      </x:c>
      <x:c r="C862" s="94" t="str">
        <x:v>Google Ads</x:v>
      </x:c>
      <x:c r="D862" s="94" t="str">
        <x:v>美国</x:v>
      </x:c>
      <x:c r="E862" s="94" t="str">
        <x:v>通用搜索</x:v>
      </x:c>
      <x:c r="F862" s="95" t="n">
        <x:v>31</x:v>
      </x:c>
      <x:c r="G862" s="95" t="n">
        <x:v>27</x:v>
      </x:c>
      <x:c r="H862" s="95" t="n">
        <x:v>19</x:v>
      </x:c>
      <x:c r="I862" s="95" t="n">
        <x:v>16</x:v>
      </x:c>
      <x:c r="J862" s="95" t="n">
        <x:v>6</x:v>
      </x:c>
      <x:c r="K862" s="95" t="n">
        <x:v>2</x:v>
      </x:c>
      <x:c r="L862" s="95" t="n">
        <x:v>0</x:v>
      </x:c>
      <x:c r="M862" s="96" t="n">
        <x:f>IFERROR(G862/F862,0)</x:f>
        <x:v>0.8709677419354839</x:v>
      </x:c>
      <x:c r="N862" s="96" t="n">
        <x:f>IFERROR(H862/G862,0)</x:f>
        <x:v>0.7037037037037037</x:v>
      </x:c>
      <x:c r="O862" s="96" t="n">
        <x:f>IFERROR(I862/H862,0)</x:f>
        <x:v>0.8421052631578947</x:v>
      </x:c>
      <x:c r="P862" s="96" t="n">
        <x:f>IFERROR(J862/I862,0)</x:f>
        <x:v>0.375</x:v>
      </x:c>
      <x:c r="Q862" s="96" t="n">
        <x:f>IFERROR(L862/J862,0)</x:f>
        <x:v>0</x:v>
      </x:c>
      <x:c r="R862" s="96" t="n">
        <x:f>IFERROR(L862/F862,0)</x:f>
        <x:v>0</x:v>
      </x:c>
      <x:c r="S862" s="95" t="n">
        <x:v>52</x:v>
      </x:c>
      <x:c r="T862" s="94" t="str">
        <x:v>末次点击7天</x:v>
      </x:c>
    </x:row>
    <x:row r="863">
      <x:c r="A863" s="92" t="str">
        <x:v>PROC-0862</x:v>
      </x:c>
      <x:c r="B863" s="93" t="n">
        <x:v>46178</x:v>
      </x:c>
      <x:c r="C863" s="94" t="str">
        <x:v>Google Ads</x:v>
      </x:c>
      <x:c r="D863" s="94" t="str">
        <x:v>美国</x:v>
      </x:c>
      <x:c r="E863" s="94" t="str">
        <x:v>购物广告</x:v>
      </x:c>
      <x:c r="F863" s="95" t="n">
        <x:v>37</x:v>
      </x:c>
      <x:c r="G863" s="95" t="n">
        <x:v>35</x:v>
      </x:c>
      <x:c r="H863" s="95" t="n">
        <x:v>27</x:v>
      </x:c>
      <x:c r="I863" s="95" t="n">
        <x:v>25</x:v>
      </x:c>
      <x:c r="J863" s="95" t="n">
        <x:v>11</x:v>
      </x:c>
      <x:c r="K863" s="95" t="n">
        <x:v>4</x:v>
      </x:c>
      <x:c r="L863" s="95" t="n">
        <x:v>1</x:v>
      </x:c>
      <x:c r="M863" s="96" t="n">
        <x:f>IFERROR(G863/F863,0)</x:f>
        <x:v>0.9459459459459459</x:v>
      </x:c>
      <x:c r="N863" s="96" t="n">
        <x:f>IFERROR(H863/G863,0)</x:f>
        <x:v>0.7714285714285715</x:v>
      </x:c>
      <x:c r="O863" s="96" t="n">
        <x:f>IFERROR(I863/H863,0)</x:f>
        <x:v>0.9259259259259259</x:v>
      </x:c>
      <x:c r="P863" s="96" t="n">
        <x:f>IFERROR(J863/I863,0)</x:f>
        <x:v>0.44</x:v>
      </x:c>
      <x:c r="Q863" s="96" t="n">
        <x:f>IFERROR(L863/J863,0)</x:f>
        <x:v>0.09090909090909091</x:v>
      </x:c>
      <x:c r="R863" s="96" t="n">
        <x:f>IFERROR(L863/F863,0)</x:f>
        <x:v>0.02702702702702703</x:v>
      </x:c>
      <x:c r="S863" s="95" t="n">
        <x:v>107</x:v>
      </x:c>
      <x:c r="T863" s="94" t="str">
        <x:v>末次点击7天</x:v>
      </x:c>
    </x:row>
    <x:row r="864">
      <x:c r="A864" s="92" t="str">
        <x:v>PROC-0863</x:v>
      </x:c>
      <x:c r="B864" s="93" t="n">
        <x:v>46179</x:v>
      </x:c>
      <x:c r="C864" s="94" t="str">
        <x:v>Microsoft Ads</x:v>
      </x:c>
      <x:c r="D864" s="94" t="str">
        <x:v>美国</x:v>
      </x:c>
      <x:c r="E864" s="94" t="str">
        <x:v>购物广告</x:v>
      </x:c>
      <x:c r="F864" s="95" t="n">
        <x:v>60</x:v>
      </x:c>
      <x:c r="G864" s="95" t="n">
        <x:v>56</x:v>
      </x:c>
      <x:c r="H864" s="95" t="n">
        <x:v>37</x:v>
      </x:c>
      <x:c r="I864" s="95" t="n">
        <x:v>34</x:v>
      </x:c>
      <x:c r="J864" s="95" t="n">
        <x:v>16</x:v>
      </x:c>
      <x:c r="K864" s="95" t="n">
        <x:v>4</x:v>
      </x:c>
      <x:c r="L864" s="95" t="n">
        <x:v>1</x:v>
      </x:c>
      <x:c r="M864" s="96" t="n">
        <x:f>IFERROR(G864/F864,0)</x:f>
        <x:v>0.9333333333333333</x:v>
      </x:c>
      <x:c r="N864" s="96" t="n">
        <x:f>IFERROR(H864/G864,0)</x:f>
        <x:v>0.6607142857142857</x:v>
      </x:c>
      <x:c r="O864" s="96" t="n">
        <x:f>IFERROR(I864/H864,0)</x:f>
        <x:v>0.918918918918919</x:v>
      </x:c>
      <x:c r="P864" s="96" t="n">
        <x:f>IFERROR(J864/I864,0)</x:f>
        <x:v>0.47058823529411764</x:v>
      </x:c>
      <x:c r="Q864" s="96" t="n">
        <x:f>IFERROR(L864/J864,0)</x:f>
        <x:v>0.0625</x:v>
      </x:c>
      <x:c r="R864" s="96" t="n">
        <x:f>IFERROR(L864/F864,0)</x:f>
        <x:v>0.016666666666666666</x:v>
      </x:c>
      <x:c r="S864" s="95" t="n">
        <x:v>119</x:v>
      </x:c>
      <x:c r="T864" s="94" t="str">
        <x:v>末次点击7天</x:v>
      </x:c>
    </x:row>
    <x:row r="865">
      <x:c r="A865" s="92" t="str">
        <x:v>PROC-0864</x:v>
      </x:c>
      <x:c r="B865" s="93" t="n">
        <x:v>46179</x:v>
      </x:c>
      <x:c r="C865" s="94" t="str">
        <x:v>Microsoft Ads</x:v>
      </x:c>
      <x:c r="D865" s="94" t="str">
        <x:v>德国</x:v>
      </x:c>
      <x:c r="E865" s="94" t="str">
        <x:v>购物广告</x:v>
      </x:c>
      <x:c r="F865" s="95" t="n">
        <x:v>72</x:v>
      </x:c>
      <x:c r="G865" s="95" t="n">
        <x:v>66</x:v>
      </x:c>
      <x:c r="H865" s="95" t="n">
        <x:v>45</x:v>
      </x:c>
      <x:c r="I865" s="95" t="n">
        <x:v>41</x:v>
      </x:c>
      <x:c r="J865" s="95" t="n">
        <x:v>21</x:v>
      </x:c>
      <x:c r="K865" s="95" t="n">
        <x:v>6</x:v>
      </x:c>
      <x:c r="L865" s="95" t="n">
        <x:v>2</x:v>
      </x:c>
      <x:c r="M865" s="96" t="n">
        <x:f>IFERROR(G865/F865,0)</x:f>
        <x:v>0.9166666666666666</x:v>
      </x:c>
      <x:c r="N865" s="96" t="n">
        <x:f>IFERROR(H865/G865,0)</x:f>
        <x:v>0.6818181818181818</x:v>
      </x:c>
      <x:c r="O865" s="96" t="n">
        <x:f>IFERROR(I865/H865,0)</x:f>
        <x:v>0.9111111111111111</x:v>
      </x:c>
      <x:c r="P865" s="96" t="n">
        <x:f>IFERROR(J865/I865,0)</x:f>
        <x:v>0.5121951219512195</x:v>
      </x:c>
      <x:c r="Q865" s="96" t="n">
        <x:f>IFERROR(L865/J865,0)</x:f>
        <x:v>0.09523809523809523</x:v>
      </x:c>
      <x:c r="R865" s="96" t="n">
        <x:f>IFERROR(L865/F865,0)</x:f>
        <x:v>0.027777777777777776</x:v>
      </x:c>
      <x:c r="S865" s="95" t="n">
        <x:v>133</x:v>
      </x:c>
      <x:c r="T865" s="94" t="str">
        <x:v>末次点击7天</x:v>
      </x:c>
    </x:row>
    <x:row r="866">
      <x:c r="A866" s="92" t="str">
        <x:v>PROC-0865</x:v>
      </x:c>
      <x:c r="B866" s="93" t="n">
        <x:v>46179</x:v>
      </x:c>
      <x:c r="C866" s="94" t="str">
        <x:v>Microsoft Ads</x:v>
      </x:c>
      <x:c r="D866" s="94" t="str">
        <x:v>美国</x:v>
      </x:c>
      <x:c r="E866" s="94" t="str">
        <x:v>通用搜索</x:v>
      </x:c>
      <x:c r="F866" s="95" t="n">
        <x:v>30</x:v>
      </x:c>
      <x:c r="G866" s="95" t="n">
        <x:v>28</x:v>
      </x:c>
      <x:c r="H866" s="95" t="n">
        <x:v>18</x:v>
      </x:c>
      <x:c r="I866" s="95" t="n">
        <x:v>15</x:v>
      </x:c>
      <x:c r="J866" s="95" t="n">
        <x:v>7</x:v>
      </x:c>
      <x:c r="K866" s="95" t="n">
        <x:v>2</x:v>
      </x:c>
      <x:c r="L866" s="95" t="n">
        <x:v>1</x:v>
      </x:c>
      <x:c r="M866" s="96" t="n">
        <x:f>IFERROR(G866/F866,0)</x:f>
        <x:v>0.9333333333333333</x:v>
      </x:c>
      <x:c r="N866" s="96" t="n">
        <x:f>IFERROR(H866/G866,0)</x:f>
        <x:v>0.6428571428571429</x:v>
      </x:c>
      <x:c r="O866" s="96" t="n">
        <x:f>IFERROR(I866/H866,0)</x:f>
        <x:v>0.8333333333333334</x:v>
      </x:c>
      <x:c r="P866" s="96" t="n">
        <x:f>IFERROR(J866/I866,0)</x:f>
        <x:v>0.4666666666666667</x:v>
      </x:c>
      <x:c r="Q866" s="96" t="n">
        <x:f>IFERROR(L866/J866,0)</x:f>
        <x:v>0.14285714285714285</x:v>
      </x:c>
      <x:c r="R866" s="96" t="n">
        <x:f>IFERROR(L866/F866,0)</x:f>
        <x:v>0.03333333333333333</x:v>
      </x:c>
      <x:c r="S866" s="95" t="n">
        <x:v>103</x:v>
      </x:c>
      <x:c r="T866" s="94" t="str">
        <x:v>末次点击7天</x:v>
      </x:c>
    </x:row>
    <x:row r="867">
      <x:c r="A867" s="92" t="str">
        <x:v>PROC-0866</x:v>
      </x:c>
      <x:c r="B867" s="93" t="n">
        <x:v>46179</x:v>
      </x:c>
      <x:c r="C867" s="94" t="str">
        <x:v>Microsoft Ads</x:v>
      </x:c>
      <x:c r="D867" s="94" t="str">
        <x:v>美国</x:v>
      </x:c>
      <x:c r="E867" s="94" t="str">
        <x:v>竞品搜索</x:v>
      </x:c>
      <x:c r="F867" s="95" t="n">
        <x:v>30</x:v>
      </x:c>
      <x:c r="G867" s="95" t="n">
        <x:v>28</x:v>
      </x:c>
      <x:c r="H867" s="95" t="n">
        <x:v>20</x:v>
      </x:c>
      <x:c r="I867" s="95" t="n">
        <x:v>16</x:v>
      </x:c>
      <x:c r="J867" s="95" t="n">
        <x:v>6</x:v>
      </x:c>
      <x:c r="K867" s="95" t="n">
        <x:v>1</x:v>
      </x:c>
      <x:c r="L867" s="95" t="n">
        <x:v>0</x:v>
      </x:c>
      <x:c r="M867" s="96" t="n">
        <x:f>IFERROR(G867/F867,0)</x:f>
        <x:v>0.9333333333333333</x:v>
      </x:c>
      <x:c r="N867" s="96" t="n">
        <x:f>IFERROR(H867/G867,0)</x:f>
        <x:v>0.7142857142857143</x:v>
      </x:c>
      <x:c r="O867" s="96" t="n">
        <x:f>IFERROR(I867/H867,0)</x:f>
        <x:v>0.8</x:v>
      </x:c>
      <x:c r="P867" s="96" t="n">
        <x:f>IFERROR(J867/I867,0)</x:f>
        <x:v>0.375</x:v>
      </x:c>
      <x:c r="Q867" s="96" t="n">
        <x:f>IFERROR(L867/J867,0)</x:f>
        <x:v>0</x:v>
      </x:c>
      <x:c r="R867" s="96" t="n">
        <x:f>IFERROR(L867/F867,0)</x:f>
        <x:v>0</x:v>
      </x:c>
      <x:c r="S867" s="95" t="n">
        <x:v>138</x:v>
      </x:c>
      <x:c r="T867" s="94" t="str">
        <x:v>末次点击7天</x:v>
      </x:c>
    </x:row>
    <x:row r="868">
      <x:c r="A868" s="92" t="str">
        <x:v>PROC-0867</x:v>
      </x:c>
      <x:c r="B868" s="93" t="n">
        <x:v>46179</x:v>
      </x:c>
      <x:c r="C868" s="94" t="str">
        <x:v>Google Ads</x:v>
      </x:c>
      <x:c r="D868" s="94" t="str">
        <x:v>美国</x:v>
      </x:c>
      <x:c r="E868" s="94" t="str">
        <x:v>通用搜索</x:v>
      </x:c>
      <x:c r="F868" s="95" t="n">
        <x:v>28</x:v>
      </x:c>
      <x:c r="G868" s="95" t="n">
        <x:v>24</x:v>
      </x:c>
      <x:c r="H868" s="95" t="n">
        <x:v>19</x:v>
      </x:c>
      <x:c r="I868" s="95" t="n">
        <x:v>16</x:v>
      </x:c>
      <x:c r="J868" s="95" t="n">
        <x:v>7</x:v>
      </x:c>
      <x:c r="K868" s="95" t="n">
        <x:v>2</x:v>
      </x:c>
      <x:c r="L868" s="95" t="n">
        <x:v>0</x:v>
      </x:c>
      <x:c r="M868" s="96" t="n">
        <x:f>IFERROR(G868/F868,0)</x:f>
        <x:v>0.8571428571428571</x:v>
      </x:c>
      <x:c r="N868" s="96" t="n">
        <x:f>IFERROR(H868/G868,0)</x:f>
        <x:v>0.7916666666666666</x:v>
      </x:c>
      <x:c r="O868" s="96" t="n">
        <x:f>IFERROR(I868/H868,0)</x:f>
        <x:v>0.8421052631578947</x:v>
      </x:c>
      <x:c r="P868" s="96" t="n">
        <x:f>IFERROR(J868/I868,0)</x:f>
        <x:v>0.4375</x:v>
      </x:c>
      <x:c r="Q868" s="96" t="n">
        <x:f>IFERROR(L868/J868,0)</x:f>
        <x:v>0</x:v>
      </x:c>
      <x:c r="R868" s="96" t="n">
        <x:f>IFERROR(L868/F868,0)</x:f>
        <x:v>0</x:v>
      </x:c>
      <x:c r="S868" s="95" t="n">
        <x:v>149</x:v>
      </x:c>
      <x:c r="T868" s="94" t="str">
        <x:v>末次点击7天</x:v>
      </x:c>
    </x:row>
    <x:row r="869">
      <x:c r="A869" s="92" t="str">
        <x:v>PROC-0868</x:v>
      </x:c>
      <x:c r="B869" s="93" t="n">
        <x:v>46179</x:v>
      </x:c>
      <x:c r="C869" s="94" t="str">
        <x:v>Microsoft Ads</x:v>
      </x:c>
      <x:c r="D869" s="94" t="str">
        <x:v>美国</x:v>
      </x:c>
      <x:c r="E869" s="94" t="str">
        <x:v>通用搜索</x:v>
      </x:c>
      <x:c r="F869" s="95" t="n">
        <x:v>24</x:v>
      </x:c>
      <x:c r="G869" s="95" t="n">
        <x:v>22</x:v>
      </x:c>
      <x:c r="H869" s="95" t="n">
        <x:v>16</x:v>
      </x:c>
      <x:c r="I869" s="95" t="n">
        <x:v>13</x:v>
      </x:c>
      <x:c r="J869" s="95" t="n">
        <x:v>5</x:v>
      </x:c>
      <x:c r="K869" s="95" t="n">
        <x:v>2</x:v>
      </x:c>
      <x:c r="L869" s="95" t="n">
        <x:v>1</x:v>
      </x:c>
      <x:c r="M869" s="96" t="n">
        <x:f>IFERROR(G869/F869,0)</x:f>
        <x:v>0.9166666666666666</x:v>
      </x:c>
      <x:c r="N869" s="96" t="n">
        <x:f>IFERROR(H869/G869,0)</x:f>
        <x:v>0.7272727272727273</x:v>
      </x:c>
      <x:c r="O869" s="96" t="n">
        <x:f>IFERROR(I869/H869,0)</x:f>
        <x:v>0.8125</x:v>
      </x:c>
      <x:c r="P869" s="96" t="n">
        <x:f>IFERROR(J869/I869,0)</x:f>
        <x:v>0.38461538461538464</x:v>
      </x:c>
      <x:c r="Q869" s="96" t="n">
        <x:f>IFERROR(L869/J869,0)</x:f>
        <x:v>0.2</x:v>
      </x:c>
      <x:c r="R869" s="96" t="n">
        <x:f>IFERROR(L869/F869,0)</x:f>
        <x:v>0.041666666666666664</x:v>
      </x:c>
      <x:c r="S869" s="95" t="n">
        <x:v>126</x:v>
      </x:c>
      <x:c r="T869" s="94" t="str">
        <x:v>末次点击7天</x:v>
      </x:c>
    </x:row>
    <x:row r="870">
      <x:c r="A870" s="92" t="str">
        <x:v>PROC-0869</x:v>
      </x:c>
      <x:c r="B870" s="93" t="n">
        <x:v>46180</x:v>
      </x:c>
      <x:c r="C870" s="94" t="str">
        <x:v>Microsoft Ads</x:v>
      </x:c>
      <x:c r="D870" s="94" t="str">
        <x:v>日本</x:v>
      </x:c>
      <x:c r="E870" s="94" t="str">
        <x:v>竞品搜索</x:v>
      </x:c>
      <x:c r="F870" s="95" t="n">
        <x:v>26</x:v>
      </x:c>
      <x:c r="G870" s="95" t="n">
        <x:v>23</x:v>
      </x:c>
      <x:c r="H870" s="95" t="n">
        <x:v>15</x:v>
      </x:c>
      <x:c r="I870" s="95" t="n">
        <x:v>12</x:v>
      </x:c>
      <x:c r="J870" s="95" t="n">
        <x:v>5</x:v>
      </x:c>
      <x:c r="K870" s="95" t="n">
        <x:v>1</x:v>
      </x:c>
      <x:c r="L870" s="95" t="n">
        <x:v>0</x:v>
      </x:c>
      <x:c r="M870" s="96" t="n">
        <x:f>IFERROR(G870/F870,0)</x:f>
        <x:v>0.8846153846153846</x:v>
      </x:c>
      <x:c r="N870" s="96" t="n">
        <x:f>IFERROR(H870/G870,0)</x:f>
        <x:v>0.6521739130434783</x:v>
      </x:c>
      <x:c r="O870" s="96" t="n">
        <x:f>IFERROR(I870/H870,0)</x:f>
        <x:v>0.8</x:v>
      </x:c>
      <x:c r="P870" s="96" t="n">
        <x:f>IFERROR(J870/I870,0)</x:f>
        <x:v>0.4166666666666667</x:v>
      </x:c>
      <x:c r="Q870" s="96" t="n">
        <x:f>IFERROR(L870/J870,0)</x:f>
        <x:v>0</x:v>
      </x:c>
      <x:c r="R870" s="96" t="n">
        <x:f>IFERROR(L870/F870,0)</x:f>
        <x:v>0</x:v>
      </x:c>
      <x:c r="S870" s="95" t="n">
        <x:v>88</x:v>
      </x:c>
      <x:c r="T870" s="94" t="str">
        <x:v>末次点击7天</x:v>
      </x:c>
    </x:row>
    <x:row r="871">
      <x:c r="A871" s="92" t="str">
        <x:v>PROC-0870</x:v>
      </x:c>
      <x:c r="B871" s="93" t="n">
        <x:v>46180</x:v>
      </x:c>
      <x:c r="C871" s="94" t="str">
        <x:v>Microsoft Ads</x:v>
      </x:c>
      <x:c r="D871" s="94" t="str">
        <x:v>德国</x:v>
      </x:c>
      <x:c r="E871" s="94" t="str">
        <x:v>品牌搜索</x:v>
      </x:c>
      <x:c r="F871" s="95" t="n">
        <x:v>44</x:v>
      </x:c>
      <x:c r="G871" s="95" t="n">
        <x:v>42</x:v>
      </x:c>
      <x:c r="H871" s="95" t="n">
        <x:v>31</x:v>
      </x:c>
      <x:c r="I871" s="95" t="n">
        <x:v>27</x:v>
      </x:c>
      <x:c r="J871" s="95" t="n">
        <x:v>13</x:v>
      </x:c>
      <x:c r="K871" s="95" t="n">
        <x:v>3</x:v>
      </x:c>
      <x:c r="L871" s="95" t="n">
        <x:v>1</x:v>
      </x:c>
      <x:c r="M871" s="96" t="n">
        <x:f>IFERROR(G871/F871,0)</x:f>
        <x:v>0.9545454545454546</x:v>
      </x:c>
      <x:c r="N871" s="96" t="n">
        <x:f>IFERROR(H871/G871,0)</x:f>
        <x:v>0.7380952380952381</x:v>
      </x:c>
      <x:c r="O871" s="96" t="n">
        <x:f>IFERROR(I871/H871,0)</x:f>
        <x:v>0.8709677419354839</x:v>
      </x:c>
      <x:c r="P871" s="96" t="n">
        <x:f>IFERROR(J871/I871,0)</x:f>
        <x:v>0.48148148148148145</x:v>
      </x:c>
      <x:c r="Q871" s="96" t="n">
        <x:f>IFERROR(L871/J871,0)</x:f>
        <x:v>0.07692307692307693</x:v>
      </x:c>
      <x:c r="R871" s="96" t="n">
        <x:f>IFERROR(L871/F871,0)</x:f>
        <x:v>0.022727272727272728</x:v>
      </x:c>
      <x:c r="S871" s="95" t="n">
        <x:v>50</x:v>
      </x:c>
      <x:c r="T871" s="94" t="str">
        <x:v>末次点击7天</x:v>
      </x:c>
    </x:row>
    <x:row r="872">
      <x:c r="A872" s="92" t="str">
        <x:v>PROC-0871</x:v>
      </x:c>
      <x:c r="B872" s="93" t="n">
        <x:v>46180</x:v>
      </x:c>
      <x:c r="C872" s="94" t="str">
        <x:v>Google Ads</x:v>
      </x:c>
      <x:c r="D872" s="94" t="str">
        <x:v>英国</x:v>
      </x:c>
      <x:c r="E872" s="94" t="str">
        <x:v>品牌搜索</x:v>
      </x:c>
      <x:c r="F872" s="95" t="n">
        <x:v>84</x:v>
      </x:c>
      <x:c r="G872" s="95" t="n">
        <x:v>79</x:v>
      </x:c>
      <x:c r="H872" s="95" t="n">
        <x:v>55</x:v>
      </x:c>
      <x:c r="I872" s="95" t="n">
        <x:v>45</x:v>
      </x:c>
      <x:c r="J872" s="95" t="n">
        <x:v>21</x:v>
      </x:c>
      <x:c r="K872" s="95" t="n">
        <x:v>5</x:v>
      </x:c>
      <x:c r="L872" s="95" t="n">
        <x:v>2</x:v>
      </x:c>
      <x:c r="M872" s="96" t="n">
        <x:f>IFERROR(G872/F872,0)</x:f>
        <x:v>0.9404761904761905</x:v>
      </x:c>
      <x:c r="N872" s="96" t="n">
        <x:f>IFERROR(H872/G872,0)</x:f>
        <x:v>0.6962025316455697</x:v>
      </x:c>
      <x:c r="O872" s="96" t="n">
        <x:f>IFERROR(I872/H872,0)</x:f>
        <x:v>0.8181818181818182</x:v>
      </x:c>
      <x:c r="P872" s="96" t="n">
        <x:f>IFERROR(J872/I872,0)</x:f>
        <x:v>0.4666666666666667</x:v>
      </x:c>
      <x:c r="Q872" s="96" t="n">
        <x:f>IFERROR(L872/J872,0)</x:f>
        <x:v>0.09523809523809523</x:v>
      </x:c>
      <x:c r="R872" s="96" t="n">
        <x:f>IFERROR(L872/F872,0)</x:f>
        <x:v>0.023809523809523808</x:v>
      </x:c>
      <x:c r="S872" s="95" t="n">
        <x:v>120</x:v>
      </x:c>
      <x:c r="T872" s="94" t="str">
        <x:v>末次点击7天</x:v>
      </x:c>
    </x:row>
    <x:row r="873">
      <x:c r="A873" s="92" t="str">
        <x:v>PROC-0872</x:v>
      </x:c>
      <x:c r="B873" s="93" t="n">
        <x:v>46180</x:v>
      </x:c>
      <x:c r="C873" s="94" t="str">
        <x:v>Microsoft Ads</x:v>
      </x:c>
      <x:c r="D873" s="94" t="str">
        <x:v>德国</x:v>
      </x:c>
      <x:c r="E873" s="94" t="str">
        <x:v>购物广告</x:v>
      </x:c>
      <x:c r="F873" s="95" t="n">
        <x:v>40</x:v>
      </x:c>
      <x:c r="G873" s="95" t="n">
        <x:v>37</x:v>
      </x:c>
      <x:c r="H873" s="95" t="n">
        <x:v>25</x:v>
      </x:c>
      <x:c r="I873" s="95" t="n">
        <x:v>21</x:v>
      </x:c>
      <x:c r="J873" s="95" t="n">
        <x:v>9</x:v>
      </x:c>
      <x:c r="K873" s="95" t="n">
        <x:v>2</x:v>
      </x:c>
      <x:c r="L873" s="95" t="n">
        <x:v>1</x:v>
      </x:c>
      <x:c r="M873" s="96" t="n">
        <x:f>IFERROR(G873/F873,0)</x:f>
        <x:v>0.925</x:v>
      </x:c>
      <x:c r="N873" s="96" t="n">
        <x:f>IFERROR(H873/G873,0)</x:f>
        <x:v>0.6756756756756757</x:v>
      </x:c>
      <x:c r="O873" s="96" t="n">
        <x:f>IFERROR(I873/H873,0)</x:f>
        <x:v>0.84</x:v>
      </x:c>
      <x:c r="P873" s="96" t="n">
        <x:f>IFERROR(J873/I873,0)</x:f>
        <x:v>0.42857142857142855</x:v>
      </x:c>
      <x:c r="Q873" s="96" t="n">
        <x:f>IFERROR(L873/J873,0)</x:f>
        <x:v>0.1111111111111111</x:v>
      </x:c>
      <x:c r="R873" s="96" t="n">
        <x:f>IFERROR(L873/F873,0)</x:f>
        <x:v>0.025</x:v>
      </x:c>
      <x:c r="S873" s="95" t="n">
        <x:v>74</x:v>
      </x:c>
      <x:c r="T873" s="94" t="str">
        <x:v>末次点击7天</x:v>
      </x:c>
    </x:row>
    <x:row r="874">
      <x:c r="A874" s="92" t="str">
        <x:v>PROC-0873</x:v>
      </x:c>
      <x:c r="B874" s="93" t="n">
        <x:v>46180</x:v>
      </x:c>
      <x:c r="C874" s="94" t="str">
        <x:v>Google Ads</x:v>
      </x:c>
      <x:c r="D874" s="94" t="str">
        <x:v>英国</x:v>
      </x:c>
      <x:c r="E874" s="94" t="str">
        <x:v>购物广告</x:v>
      </x:c>
      <x:c r="F874" s="95" t="n">
        <x:v>39</x:v>
      </x:c>
      <x:c r="G874" s="95" t="n">
        <x:v>35</x:v>
      </x:c>
      <x:c r="H874" s="95" t="n">
        <x:v>23</x:v>
      </x:c>
      <x:c r="I874" s="95" t="n">
        <x:v>19</x:v>
      </x:c>
      <x:c r="J874" s="95" t="n">
        <x:v>9</x:v>
      </x:c>
      <x:c r="K874" s="95" t="n">
        <x:v>2</x:v>
      </x:c>
      <x:c r="L874" s="95" t="n">
        <x:v>1</x:v>
      </x:c>
      <x:c r="M874" s="96" t="n">
        <x:f>IFERROR(G874/F874,0)</x:f>
        <x:v>0.8974358974358975</x:v>
      </x:c>
      <x:c r="N874" s="96" t="n">
        <x:f>IFERROR(H874/G874,0)</x:f>
        <x:v>0.6571428571428571</x:v>
      </x:c>
      <x:c r="O874" s="96" t="n">
        <x:f>IFERROR(I874/H874,0)</x:f>
        <x:v>0.8260869565217391</x:v>
      </x:c>
      <x:c r="P874" s="96" t="n">
        <x:f>IFERROR(J874/I874,0)</x:f>
        <x:v>0.47368421052631576</x:v>
      </x:c>
      <x:c r="Q874" s="96" t="n">
        <x:f>IFERROR(L874/J874,0)</x:f>
        <x:v>0.1111111111111111</x:v>
      </x:c>
      <x:c r="R874" s="96" t="n">
        <x:f>IFERROR(L874/F874,0)</x:f>
        <x:v>0.02564102564102564</x:v>
      </x:c>
      <x:c r="S874" s="95" t="n">
        <x:v>146</x:v>
      </x:c>
      <x:c r="T874" s="94" t="str">
        <x:v>末次点击7天</x:v>
      </x:c>
    </x:row>
    <x:row r="875">
      <x:c r="A875" s="92" t="str">
        <x:v>PROC-0874</x:v>
      </x:c>
      <x:c r="B875" s="93" t="n">
        <x:v>46181</x:v>
      </x:c>
      <x:c r="C875" s="94" t="str">
        <x:v>Google Ads</x:v>
      </x:c>
      <x:c r="D875" s="94" t="str">
        <x:v>德国</x:v>
      </x:c>
      <x:c r="E875" s="94" t="str">
        <x:v>通用搜索</x:v>
      </x:c>
      <x:c r="F875" s="95" t="n">
        <x:v>45</x:v>
      </x:c>
      <x:c r="G875" s="95" t="n">
        <x:v>43</x:v>
      </x:c>
      <x:c r="H875" s="95" t="n">
        <x:v>34</x:v>
      </x:c>
      <x:c r="I875" s="95" t="n">
        <x:v>28</x:v>
      </x:c>
      <x:c r="J875" s="95" t="n">
        <x:v>12</x:v>
      </x:c>
      <x:c r="K875" s="95" t="n">
        <x:v>3</x:v>
      </x:c>
      <x:c r="L875" s="95" t="n">
        <x:v>1</x:v>
      </x:c>
      <x:c r="M875" s="96" t="n">
        <x:f>IFERROR(G875/F875,0)</x:f>
        <x:v>0.9555555555555556</x:v>
      </x:c>
      <x:c r="N875" s="96" t="n">
        <x:f>IFERROR(H875/G875,0)</x:f>
        <x:v>0.7906976744186046</x:v>
      </x:c>
      <x:c r="O875" s="96" t="n">
        <x:f>IFERROR(I875/H875,0)</x:f>
        <x:v>0.8235294117647058</x:v>
      </x:c>
      <x:c r="P875" s="96" t="n">
        <x:f>IFERROR(J875/I875,0)</x:f>
        <x:v>0.42857142857142855</x:v>
      </x:c>
      <x:c r="Q875" s="96" t="n">
        <x:f>IFERROR(L875/J875,0)</x:f>
        <x:v>0.08333333333333333</x:v>
      </x:c>
      <x:c r="R875" s="96" t="n">
        <x:f>IFERROR(L875/F875,0)</x:f>
        <x:v>0.022222222222222223</x:v>
      </x:c>
      <x:c r="S875" s="95" t="n">
        <x:v>98</x:v>
      </x:c>
      <x:c r="T875" s="94" t="str">
        <x:v>末次点击7天</x:v>
      </x:c>
    </x:row>
    <x:row r="876">
      <x:c r="A876" s="92" t="str">
        <x:v>PROC-0875</x:v>
      </x:c>
      <x:c r="B876" s="93" t="n">
        <x:v>46181</x:v>
      </x:c>
      <x:c r="C876" s="94" t="str">
        <x:v>Google Ads</x:v>
      </x:c>
      <x:c r="D876" s="94" t="str">
        <x:v>美国</x:v>
      </x:c>
      <x:c r="E876" s="94" t="str">
        <x:v>通用搜索</x:v>
      </x:c>
      <x:c r="F876" s="95" t="n">
        <x:v>31</x:v>
      </x:c>
      <x:c r="G876" s="95" t="n">
        <x:v>29</x:v>
      </x:c>
      <x:c r="H876" s="95" t="n">
        <x:v>21</x:v>
      </x:c>
      <x:c r="I876" s="95" t="n">
        <x:v>17</x:v>
      </x:c>
      <x:c r="J876" s="95" t="n">
        <x:v>7</x:v>
      </x:c>
      <x:c r="K876" s="95" t="n">
        <x:v>2</x:v>
      </x:c>
      <x:c r="L876" s="95" t="n">
        <x:v>1</x:v>
      </x:c>
      <x:c r="M876" s="96" t="n">
        <x:f>IFERROR(G876/F876,0)</x:f>
        <x:v>0.9354838709677419</x:v>
      </x:c>
      <x:c r="N876" s="96" t="n">
        <x:f>IFERROR(H876/G876,0)</x:f>
        <x:v>0.7241379310344828</x:v>
      </x:c>
      <x:c r="O876" s="96" t="n">
        <x:f>IFERROR(I876/H876,0)</x:f>
        <x:v>0.8095238095238095</x:v>
      </x:c>
      <x:c r="P876" s="96" t="n">
        <x:f>IFERROR(J876/I876,0)</x:f>
        <x:v>0.4117647058823529</x:v>
      </x:c>
      <x:c r="Q876" s="96" t="n">
        <x:f>IFERROR(L876/J876,0)</x:f>
        <x:v>0.14285714285714285</x:v>
      </x:c>
      <x:c r="R876" s="96" t="n">
        <x:f>IFERROR(L876/F876,0)</x:f>
        <x:v>0.03225806451612903</x:v>
      </x:c>
      <x:c r="S876" s="95" t="n">
        <x:v>46</x:v>
      </x:c>
      <x:c r="T876" s="94" t="str">
        <x:v>末次点击7天</x:v>
      </x:c>
    </x:row>
    <x:row r="877">
      <x:c r="A877" s="92" t="str">
        <x:v>PROC-0876</x:v>
      </x:c>
      <x:c r="B877" s="93" t="n">
        <x:v>46181</x:v>
      </x:c>
      <x:c r="C877" s="94" t="str">
        <x:v>Google Ads</x:v>
      </x:c>
      <x:c r="D877" s="94" t="str">
        <x:v>美国</x:v>
      </x:c>
      <x:c r="E877" s="94" t="str">
        <x:v>通用搜索</x:v>
      </x:c>
      <x:c r="F877" s="95" t="n">
        <x:v>36</x:v>
      </x:c>
      <x:c r="G877" s="95" t="n">
        <x:v>33</x:v>
      </x:c>
      <x:c r="H877" s="95" t="n">
        <x:v>23</x:v>
      </x:c>
      <x:c r="I877" s="95" t="n">
        <x:v>18</x:v>
      </x:c>
      <x:c r="J877" s="95" t="n">
        <x:v>7</x:v>
      </x:c>
      <x:c r="K877" s="95" t="n">
        <x:v>2</x:v>
      </x:c>
      <x:c r="L877" s="95" t="n">
        <x:v>1</x:v>
      </x:c>
      <x:c r="M877" s="96" t="n">
        <x:f>IFERROR(G877/F877,0)</x:f>
        <x:v>0.9166666666666666</x:v>
      </x:c>
      <x:c r="N877" s="96" t="n">
        <x:f>IFERROR(H877/G877,0)</x:f>
        <x:v>0.696969696969697</x:v>
      </x:c>
      <x:c r="O877" s="96" t="n">
        <x:f>IFERROR(I877/H877,0)</x:f>
        <x:v>0.782608695652174</x:v>
      </x:c>
      <x:c r="P877" s="96" t="n">
        <x:f>IFERROR(J877/I877,0)</x:f>
        <x:v>0.3888888888888889</x:v>
      </x:c>
      <x:c r="Q877" s="96" t="n">
        <x:f>IFERROR(L877/J877,0)</x:f>
        <x:v>0.14285714285714285</x:v>
      </x:c>
      <x:c r="R877" s="96" t="n">
        <x:f>IFERROR(L877/F877,0)</x:f>
        <x:v>0.027777777777777776</x:v>
      </x:c>
      <x:c r="S877" s="95" t="n">
        <x:v>114</x:v>
      </x:c>
      <x:c r="T877" s="94" t="str">
        <x:v>末次点击7天</x:v>
      </x:c>
    </x:row>
    <x:row r="878">
      <x:c r="A878" s="92" t="str">
        <x:v>PROC-0877</x:v>
      </x:c>
      <x:c r="B878" s="93" t="n">
        <x:v>46181</x:v>
      </x:c>
      <x:c r="C878" s="94" t="str">
        <x:v>Google Ads</x:v>
      </x:c>
      <x:c r="D878" s="94" t="str">
        <x:v>美国</x:v>
      </x:c>
      <x:c r="E878" s="94" t="str">
        <x:v>品牌搜索</x:v>
      </x:c>
      <x:c r="F878" s="95" t="n">
        <x:v>88</x:v>
      </x:c>
      <x:c r="G878" s="95" t="n">
        <x:v>84</x:v>
      </x:c>
      <x:c r="H878" s="95" t="n">
        <x:v>55</x:v>
      </x:c>
      <x:c r="I878" s="95" t="n">
        <x:v>44</x:v>
      </x:c>
      <x:c r="J878" s="95" t="n">
        <x:v>19</x:v>
      </x:c>
      <x:c r="K878" s="95" t="n">
        <x:v>4</x:v>
      </x:c>
      <x:c r="L878" s="95" t="n">
        <x:v>2</x:v>
      </x:c>
      <x:c r="M878" s="96" t="n">
        <x:f>IFERROR(G878/F878,0)</x:f>
        <x:v>0.9545454545454546</x:v>
      </x:c>
      <x:c r="N878" s="96" t="n">
        <x:f>IFERROR(H878/G878,0)</x:f>
        <x:v>0.6547619047619048</x:v>
      </x:c>
      <x:c r="O878" s="96" t="n">
        <x:f>IFERROR(I878/H878,0)</x:f>
        <x:v>0.8</x:v>
      </x:c>
      <x:c r="P878" s="96" t="n">
        <x:f>IFERROR(J878/I878,0)</x:f>
        <x:v>0.4318181818181818</x:v>
      </x:c>
      <x:c r="Q878" s="96" t="n">
        <x:f>IFERROR(L878/J878,0)</x:f>
        <x:v>0.10526315789473684</x:v>
      </x:c>
      <x:c r="R878" s="96" t="n">
        <x:f>IFERROR(L878/F878,0)</x:f>
        <x:v>0.022727272727272728</x:v>
      </x:c>
      <x:c r="S878" s="95" t="n">
        <x:v>61</x:v>
      </x:c>
      <x:c r="T878" s="94" t="str">
        <x:v>末次点击7天</x:v>
      </x:c>
    </x:row>
    <x:row r="879">
      <x:c r="A879" s="92" t="str">
        <x:v>PROC-0878</x:v>
      </x:c>
      <x:c r="B879" s="93" t="n">
        <x:v>46181</x:v>
      </x:c>
      <x:c r="C879" s="94" t="str">
        <x:v>Microsoft Ads</x:v>
      </x:c>
      <x:c r="D879" s="94" t="str">
        <x:v>德国</x:v>
      </x:c>
      <x:c r="E879" s="94" t="str">
        <x:v>品牌搜索</x:v>
      </x:c>
      <x:c r="F879" s="95" t="n">
        <x:v>59</x:v>
      </x:c>
      <x:c r="G879" s="95" t="n">
        <x:v>53</x:v>
      </x:c>
      <x:c r="H879" s="95" t="n">
        <x:v>38</x:v>
      </x:c>
      <x:c r="I879" s="95" t="n">
        <x:v>30</x:v>
      </x:c>
      <x:c r="J879" s="95" t="n">
        <x:v>14</x:v>
      </x:c>
      <x:c r="K879" s="95" t="n">
        <x:v>4</x:v>
      </x:c>
      <x:c r="L879" s="95" t="n">
        <x:v>1</x:v>
      </x:c>
      <x:c r="M879" s="96" t="n">
        <x:f>IFERROR(G879/F879,0)</x:f>
        <x:v>0.8983050847457628</x:v>
      </x:c>
      <x:c r="N879" s="96" t="n">
        <x:f>IFERROR(H879/G879,0)</x:f>
        <x:v>0.7169811320754716</x:v>
      </x:c>
      <x:c r="O879" s="96" t="n">
        <x:f>IFERROR(I879/H879,0)</x:f>
        <x:v>0.7894736842105263</x:v>
      </x:c>
      <x:c r="P879" s="96" t="n">
        <x:f>IFERROR(J879/I879,0)</x:f>
        <x:v>0.4666666666666667</x:v>
      </x:c>
      <x:c r="Q879" s="96" t="n">
        <x:f>IFERROR(L879/J879,0)</x:f>
        <x:v>0.07142857142857142</x:v>
      </x:c>
      <x:c r="R879" s="96" t="n">
        <x:f>IFERROR(L879/F879,0)</x:f>
        <x:v>0.01694915254237288</x:v>
      </x:c>
      <x:c r="S879" s="95" t="n">
        <x:v>115</x:v>
      </x:c>
      <x:c r="T879" s="94" t="str">
        <x:v>末次点击7天</x:v>
      </x:c>
    </x:row>
    <x:row r="880">
      <x:c r="A880" s="92" t="str">
        <x:v>PROC-0879</x:v>
      </x:c>
      <x:c r="B880" s="93" t="n">
        <x:v>46181</x:v>
      </x:c>
      <x:c r="C880" s="94" t="str">
        <x:v>Microsoft Ads</x:v>
      </x:c>
      <x:c r="D880" s="94" t="str">
        <x:v>德国</x:v>
      </x:c>
      <x:c r="E880" s="94" t="str">
        <x:v>购物广告</x:v>
      </x:c>
      <x:c r="F880" s="95" t="n">
        <x:v>44</x:v>
      </x:c>
      <x:c r="G880" s="95" t="n">
        <x:v>40</x:v>
      </x:c>
      <x:c r="H880" s="95" t="n">
        <x:v>27</x:v>
      </x:c>
      <x:c r="I880" s="95" t="n">
        <x:v>24</x:v>
      </x:c>
      <x:c r="J880" s="95" t="n">
        <x:v>11</x:v>
      </x:c>
      <x:c r="K880" s="95" t="n">
        <x:v>3</x:v>
      </x:c>
      <x:c r="L880" s="95" t="n">
        <x:v>1</x:v>
      </x:c>
      <x:c r="M880" s="96" t="n">
        <x:f>IFERROR(G880/F880,0)</x:f>
        <x:v>0.9090909090909091</x:v>
      </x:c>
      <x:c r="N880" s="96" t="n">
        <x:f>IFERROR(H880/G880,0)</x:f>
        <x:v>0.675</x:v>
      </x:c>
      <x:c r="O880" s="96" t="n">
        <x:f>IFERROR(I880/H880,0)</x:f>
        <x:v>0.8888888888888888</x:v>
      </x:c>
      <x:c r="P880" s="96" t="n">
        <x:f>IFERROR(J880/I880,0)</x:f>
        <x:v>0.4583333333333333</x:v>
      </x:c>
      <x:c r="Q880" s="96" t="n">
        <x:f>IFERROR(L880/J880,0)</x:f>
        <x:v>0.09090909090909091</x:v>
      </x:c>
      <x:c r="R880" s="96" t="n">
        <x:f>IFERROR(L880/F880,0)</x:f>
        <x:v>0.022727272727272728</x:v>
      </x:c>
      <x:c r="S880" s="95" t="n">
        <x:v>145</x:v>
      </x:c>
      <x:c r="T880" s="94" t="str">
        <x:v>末次点击7天</x:v>
      </x:c>
    </x:row>
    <x:row r="881">
      <x:c r="A881" s="92" t="str">
        <x:v>PROC-0880</x:v>
      </x:c>
      <x:c r="B881" s="93" t="n">
        <x:v>46182</x:v>
      </x:c>
      <x:c r="C881" s="94" t="str">
        <x:v>Google Ads</x:v>
      </x:c>
      <x:c r="D881" s="94" t="str">
        <x:v>美国</x:v>
      </x:c>
      <x:c r="E881" s="94" t="str">
        <x:v>购物广告</x:v>
      </x:c>
      <x:c r="F881" s="95" t="n">
        <x:v>49</x:v>
      </x:c>
      <x:c r="G881" s="95" t="n">
        <x:v>46</x:v>
      </x:c>
      <x:c r="H881" s="95" t="n">
        <x:v>31</x:v>
      </x:c>
      <x:c r="I881" s="95" t="n">
        <x:v>27</x:v>
      </x:c>
      <x:c r="J881" s="95" t="n">
        <x:v>12</x:v>
      </x:c>
      <x:c r="K881" s="95" t="n">
        <x:v>3</x:v>
      </x:c>
      <x:c r="L881" s="95" t="n">
        <x:v>1</x:v>
      </x:c>
      <x:c r="M881" s="96" t="n">
        <x:f>IFERROR(G881/F881,0)</x:f>
        <x:v>0.9387755102040817</x:v>
      </x:c>
      <x:c r="N881" s="96" t="n">
        <x:f>IFERROR(H881/G881,0)</x:f>
        <x:v>0.6739130434782609</x:v>
      </x:c>
      <x:c r="O881" s="96" t="n">
        <x:f>IFERROR(I881/H881,0)</x:f>
        <x:v>0.8709677419354839</x:v>
      </x:c>
      <x:c r="P881" s="96" t="n">
        <x:f>IFERROR(J881/I881,0)</x:f>
        <x:v>0.4444444444444444</x:v>
      </x:c>
      <x:c r="Q881" s="96" t="n">
        <x:f>IFERROR(L881/J881,0)</x:f>
        <x:v>0.08333333333333333</x:v>
      </x:c>
      <x:c r="R881" s="96" t="n">
        <x:f>IFERROR(L881/F881,0)</x:f>
        <x:v>0.02040816326530612</x:v>
      </x:c>
      <x:c r="S881" s="95" t="n">
        <x:v>91</x:v>
      </x:c>
      <x:c r="T881" s="94" t="str">
        <x:v>末次点击7天</x:v>
      </x:c>
    </x:row>
    <x:row r="882">
      <x:c r="A882" s="92" t="str">
        <x:v>PROC-0881</x:v>
      </x:c>
      <x:c r="B882" s="93" t="n">
        <x:v>46182</x:v>
      </x:c>
      <x:c r="C882" s="94" t="str">
        <x:v>Google Ads</x:v>
      </x:c>
      <x:c r="D882" s="94" t="str">
        <x:v>美国</x:v>
      </x:c>
      <x:c r="E882" s="94" t="str">
        <x:v>品牌搜索</x:v>
      </x:c>
      <x:c r="F882" s="95" t="n">
        <x:v>61</x:v>
      </x:c>
      <x:c r="G882" s="95" t="n">
        <x:v>56</x:v>
      </x:c>
      <x:c r="H882" s="95" t="n">
        <x:v>35</x:v>
      </x:c>
      <x:c r="I882" s="95" t="n">
        <x:v>30</x:v>
      </x:c>
      <x:c r="J882" s="95" t="n">
        <x:v>15</x:v>
      </x:c>
      <x:c r="K882" s="95" t="n">
        <x:v>5</x:v>
      </x:c>
      <x:c r="L882" s="95" t="n">
        <x:v>1</x:v>
      </x:c>
      <x:c r="M882" s="96" t="n">
        <x:f>IFERROR(G882/F882,0)</x:f>
        <x:v>0.9180327868852459</x:v>
      </x:c>
      <x:c r="N882" s="96" t="n">
        <x:f>IFERROR(H882/G882,0)</x:f>
        <x:v>0.625</x:v>
      </x:c>
      <x:c r="O882" s="96" t="n">
        <x:f>IFERROR(I882/H882,0)</x:f>
        <x:v>0.8571428571428571</x:v>
      </x:c>
      <x:c r="P882" s="96" t="n">
        <x:f>IFERROR(J882/I882,0)</x:f>
        <x:v>0.5</x:v>
      </x:c>
      <x:c r="Q882" s="96" t="n">
        <x:f>IFERROR(L882/J882,0)</x:f>
        <x:v>0.06666666666666667</x:v>
      </x:c>
      <x:c r="R882" s="96" t="n">
        <x:f>IFERROR(L882/F882,0)</x:f>
        <x:v>0.01639344262295082</x:v>
      </x:c>
      <x:c r="S882" s="95" t="n">
        <x:v>70</x:v>
      </x:c>
      <x:c r="T882" s="94" t="str">
        <x:v>末次点击7天</x:v>
      </x:c>
    </x:row>
    <x:row r="883">
      <x:c r="A883" s="92" t="str">
        <x:v>PROC-0882</x:v>
      </x:c>
      <x:c r="B883" s="93" t="n">
        <x:v>46182</x:v>
      </x:c>
      <x:c r="C883" s="94" t="str">
        <x:v>Microsoft Ads</x:v>
      </x:c>
      <x:c r="D883" s="94" t="str">
        <x:v>德国</x:v>
      </x:c>
      <x:c r="E883" s="94" t="str">
        <x:v>购物广告</x:v>
      </x:c>
      <x:c r="F883" s="95" t="n">
        <x:v>49</x:v>
      </x:c>
      <x:c r="G883" s="95" t="n">
        <x:v>46</x:v>
      </x:c>
      <x:c r="H883" s="95" t="n">
        <x:v>33</x:v>
      </x:c>
      <x:c r="I883" s="95" t="n">
        <x:v>29</x:v>
      </x:c>
      <x:c r="J883" s="95" t="n">
        <x:v>14</x:v>
      </x:c>
      <x:c r="K883" s="95" t="n">
        <x:v>5</x:v>
      </x:c>
      <x:c r="L883" s="95" t="n">
        <x:v>1</x:v>
      </x:c>
      <x:c r="M883" s="96" t="n">
        <x:f>IFERROR(G883/F883,0)</x:f>
        <x:v>0.9387755102040817</x:v>
      </x:c>
      <x:c r="N883" s="96" t="n">
        <x:f>IFERROR(H883/G883,0)</x:f>
        <x:v>0.717391304347826</x:v>
      </x:c>
      <x:c r="O883" s="96" t="n">
        <x:f>IFERROR(I883/H883,0)</x:f>
        <x:v>0.8787878787878788</x:v>
      </x:c>
      <x:c r="P883" s="96" t="n">
        <x:f>IFERROR(J883/I883,0)</x:f>
        <x:v>0.4827586206896552</x:v>
      </x:c>
      <x:c r="Q883" s="96" t="n">
        <x:f>IFERROR(L883/J883,0)</x:f>
        <x:v>0.07142857142857142</x:v>
      </x:c>
      <x:c r="R883" s="96" t="n">
        <x:f>IFERROR(L883/F883,0)</x:f>
        <x:v>0.02040816326530612</x:v>
      </x:c>
      <x:c r="S883" s="95" t="n">
        <x:v>91</x:v>
      </x:c>
      <x:c r="T883" s="94" t="str">
        <x:v>末次点击7天</x:v>
      </x:c>
    </x:row>
    <x:row r="884">
      <x:c r="A884" s="92" t="str">
        <x:v>PROC-0883</x:v>
      </x:c>
      <x:c r="B884" s="93" t="n">
        <x:v>46182</x:v>
      </x:c>
      <x:c r="C884" s="94" t="str">
        <x:v>Google Ads</x:v>
      </x:c>
      <x:c r="D884" s="94" t="str">
        <x:v>美国</x:v>
      </x:c>
      <x:c r="E884" s="94" t="str">
        <x:v>购物广告</x:v>
      </x:c>
      <x:c r="F884" s="95" t="n">
        <x:v>48</x:v>
      </x:c>
      <x:c r="G884" s="95" t="n">
        <x:v>46</x:v>
      </x:c>
      <x:c r="H884" s="95" t="n">
        <x:v>31</x:v>
      </x:c>
      <x:c r="I884" s="95" t="n">
        <x:v>26</x:v>
      </x:c>
      <x:c r="J884" s="95" t="n">
        <x:v>12</x:v>
      </x:c>
      <x:c r="K884" s="95" t="n">
        <x:v>3</x:v>
      </x:c>
      <x:c r="L884" s="95" t="n">
        <x:v>1</x:v>
      </x:c>
      <x:c r="M884" s="96" t="n">
        <x:f>IFERROR(G884/F884,0)</x:f>
        <x:v>0.9583333333333334</x:v>
      </x:c>
      <x:c r="N884" s="96" t="n">
        <x:f>IFERROR(H884/G884,0)</x:f>
        <x:v>0.6739130434782609</x:v>
      </x:c>
      <x:c r="O884" s="96" t="n">
        <x:f>IFERROR(I884/H884,0)</x:f>
        <x:v>0.8387096774193549</x:v>
      </x:c>
      <x:c r="P884" s="96" t="n">
        <x:f>IFERROR(J884/I884,0)</x:f>
        <x:v>0.46153846153846156</x:v>
      </x:c>
      <x:c r="Q884" s="96" t="n">
        <x:f>IFERROR(L884/J884,0)</x:f>
        <x:v>0.08333333333333333</x:v>
      </x:c>
      <x:c r="R884" s="96" t="n">
        <x:f>IFERROR(L884/F884,0)</x:f>
        <x:v>0.020833333333333332</x:v>
      </x:c>
      <x:c r="S884" s="95" t="n">
        <x:v>117</x:v>
      </x:c>
      <x:c r="T884" s="94" t="str">
        <x:v>末次点击7天</x:v>
      </x:c>
    </x:row>
    <x:row r="885">
      <x:c r="A885" s="92" t="str">
        <x:v>PROC-0884</x:v>
      </x:c>
      <x:c r="B885" s="93" t="n">
        <x:v>46182</x:v>
      </x:c>
      <x:c r="C885" s="94" t="str">
        <x:v>Google Ads</x:v>
      </x:c>
      <x:c r="D885" s="94" t="str">
        <x:v>英国</x:v>
      </x:c>
      <x:c r="E885" s="94" t="str">
        <x:v>购物广告</x:v>
      </x:c>
      <x:c r="F885" s="95" t="n">
        <x:v>46</x:v>
      </x:c>
      <x:c r="G885" s="95" t="n">
        <x:v>41</x:v>
      </x:c>
      <x:c r="H885" s="95" t="n">
        <x:v>28</x:v>
      </x:c>
      <x:c r="I885" s="95" t="n">
        <x:v>24</x:v>
      </x:c>
      <x:c r="J885" s="95" t="n">
        <x:v>11</x:v>
      </x:c>
      <x:c r="K885" s="95" t="n">
        <x:v>3</x:v>
      </x:c>
      <x:c r="L885" s="95" t="n">
        <x:v>1</x:v>
      </x:c>
      <x:c r="M885" s="96" t="n">
        <x:f>IFERROR(G885/F885,0)</x:f>
        <x:v>0.8913043478260869</x:v>
      </x:c>
      <x:c r="N885" s="96" t="n">
        <x:f>IFERROR(H885/G885,0)</x:f>
        <x:v>0.6829268292682927</x:v>
      </x:c>
      <x:c r="O885" s="96" t="n">
        <x:f>IFERROR(I885/H885,0)</x:f>
        <x:v>0.8571428571428571</x:v>
      </x:c>
      <x:c r="P885" s="96" t="n">
        <x:f>IFERROR(J885/I885,0)</x:f>
        <x:v>0.4583333333333333</x:v>
      </x:c>
      <x:c r="Q885" s="96" t="n">
        <x:f>IFERROR(L885/J885,0)</x:f>
        <x:v>0.09090909090909091</x:v>
      </x:c>
      <x:c r="R885" s="96" t="n">
        <x:f>IFERROR(L885/F885,0)</x:f>
        <x:v>0.021739130434782608</x:v>
      </x:c>
      <x:c r="S885" s="95" t="n">
        <x:v>57</x:v>
      </x:c>
      <x:c r="T885" s="94" t="str">
        <x:v>末次点击7天</x:v>
      </x:c>
    </x:row>
    <x:row r="886">
      <x:c r="A886" s="92" t="str">
        <x:v>PROC-0885</x:v>
      </x:c>
      <x:c r="B886" s="93" t="n">
        <x:v>46183</x:v>
      </x:c>
      <x:c r="C886" s="94" t="str">
        <x:v>Microsoft Ads</x:v>
      </x:c>
      <x:c r="D886" s="94" t="str">
        <x:v>日本</x:v>
      </x:c>
      <x:c r="E886" s="94" t="str">
        <x:v>购物广告</x:v>
      </x:c>
      <x:c r="F886" s="95" t="n">
        <x:v>63</x:v>
      </x:c>
      <x:c r="G886" s="95" t="n">
        <x:v>60</x:v>
      </x:c>
      <x:c r="H886" s="95" t="n">
        <x:v>42</x:v>
      </x:c>
      <x:c r="I886" s="95" t="n">
        <x:v>38</x:v>
      </x:c>
      <x:c r="J886" s="95" t="n">
        <x:v>17</x:v>
      </x:c>
      <x:c r="K886" s="95" t="n">
        <x:v>4</x:v>
      </x:c>
      <x:c r="L886" s="95" t="n">
        <x:v>1</x:v>
      </x:c>
      <x:c r="M886" s="96" t="n">
        <x:f>IFERROR(G886/F886,0)</x:f>
        <x:v>0.9523809523809523</x:v>
      </x:c>
      <x:c r="N886" s="96" t="n">
        <x:f>IFERROR(H886/G886,0)</x:f>
        <x:v>0.7</x:v>
      </x:c>
      <x:c r="O886" s="96" t="n">
        <x:f>IFERROR(I886/H886,0)</x:f>
        <x:v>0.9047619047619048</x:v>
      </x:c>
      <x:c r="P886" s="96" t="n">
        <x:f>IFERROR(J886/I886,0)</x:f>
        <x:v>0.4473684210526316</x:v>
      </x:c>
      <x:c r="Q886" s="96" t="n">
        <x:f>IFERROR(L886/J886,0)</x:f>
        <x:v>0.058823529411764705</x:v>
      </x:c>
      <x:c r="R886" s="96" t="n">
        <x:f>IFERROR(L886/F886,0)</x:f>
        <x:v>0.015873015873015872</x:v>
      </x:c>
      <x:c r="S886" s="95" t="n">
        <x:v>100</x:v>
      </x:c>
      <x:c r="T886" s="94" t="str">
        <x:v>末次点击7天</x:v>
      </x:c>
    </x:row>
    <x:row r="887">
      <x:c r="A887" s="92" t="str">
        <x:v>PROC-0886</x:v>
      </x:c>
      <x:c r="B887" s="93" t="n">
        <x:v>46183</x:v>
      </x:c>
      <x:c r="C887" s="94" t="str">
        <x:v>Google Ads</x:v>
      </x:c>
      <x:c r="D887" s="94" t="str">
        <x:v>英国</x:v>
      </x:c>
      <x:c r="E887" s="94" t="str">
        <x:v>购物广告</x:v>
      </x:c>
      <x:c r="F887" s="95" t="n">
        <x:v>45</x:v>
      </x:c>
      <x:c r="G887" s="95" t="n">
        <x:v>42</x:v>
      </x:c>
      <x:c r="H887" s="95" t="n">
        <x:v>31</x:v>
      </x:c>
      <x:c r="I887" s="95" t="n">
        <x:v>27</x:v>
      </x:c>
      <x:c r="J887" s="95" t="n">
        <x:v>13</x:v>
      </x:c>
      <x:c r="K887" s="95" t="n">
        <x:v>3</x:v>
      </x:c>
      <x:c r="L887" s="95" t="n">
        <x:v>1</x:v>
      </x:c>
      <x:c r="M887" s="96" t="n">
        <x:f>IFERROR(G887/F887,0)</x:f>
        <x:v>0.9333333333333333</x:v>
      </x:c>
      <x:c r="N887" s="96" t="n">
        <x:f>IFERROR(H887/G887,0)</x:f>
        <x:v>0.7380952380952381</x:v>
      </x:c>
      <x:c r="O887" s="96" t="n">
        <x:f>IFERROR(I887/H887,0)</x:f>
        <x:v>0.8709677419354839</x:v>
      </x:c>
      <x:c r="P887" s="96" t="n">
        <x:f>IFERROR(J887/I887,0)</x:f>
        <x:v>0.48148148148148145</x:v>
      </x:c>
      <x:c r="Q887" s="96" t="n">
        <x:f>IFERROR(L887/J887,0)</x:f>
        <x:v>0.07692307692307693</x:v>
      </x:c>
      <x:c r="R887" s="96" t="n">
        <x:f>IFERROR(L887/F887,0)</x:f>
        <x:v>0.022222222222222223</x:v>
      </x:c>
      <x:c r="S887" s="95" t="n">
        <x:v>103</x:v>
      </x:c>
      <x:c r="T887" s="94" t="str">
        <x:v>末次点击7天</x:v>
      </x:c>
    </x:row>
    <x:row r="888">
      <x:c r="A888" s="92" t="str">
        <x:v>PROC-0887</x:v>
      </x:c>
      <x:c r="B888" s="93" t="n">
        <x:v>46183</x:v>
      </x:c>
      <x:c r="C888" s="94" t="str">
        <x:v>Google Ads</x:v>
      </x:c>
      <x:c r="D888" s="94" t="str">
        <x:v>美国</x:v>
      </x:c>
      <x:c r="E888" s="94" t="str">
        <x:v>通用搜索</x:v>
      </x:c>
      <x:c r="F888" s="95" t="n">
        <x:v>32</x:v>
      </x:c>
      <x:c r="G888" s="95" t="n">
        <x:v>28</x:v>
      </x:c>
      <x:c r="H888" s="95" t="n">
        <x:v>19</x:v>
      </x:c>
      <x:c r="I888" s="95" t="n">
        <x:v>15</x:v>
      </x:c>
      <x:c r="J888" s="95" t="n">
        <x:v>7</x:v>
      </x:c>
      <x:c r="K888" s="95" t="n">
        <x:v>2</x:v>
      </x:c>
      <x:c r="L888" s="95" t="n">
        <x:v>1</x:v>
      </x:c>
      <x:c r="M888" s="96" t="n">
        <x:f>IFERROR(G888/F888,0)</x:f>
        <x:v>0.875</x:v>
      </x:c>
      <x:c r="N888" s="96" t="n">
        <x:f>IFERROR(H888/G888,0)</x:f>
        <x:v>0.6785714285714286</x:v>
      </x:c>
      <x:c r="O888" s="96" t="n">
        <x:f>IFERROR(I888/H888,0)</x:f>
        <x:v>0.7894736842105263</x:v>
      </x:c>
      <x:c r="P888" s="96" t="n">
        <x:f>IFERROR(J888/I888,0)</x:f>
        <x:v>0.4666666666666667</x:v>
      </x:c>
      <x:c r="Q888" s="96" t="n">
        <x:f>IFERROR(L888/J888,0)</x:f>
        <x:v>0.14285714285714285</x:v>
      </x:c>
      <x:c r="R888" s="96" t="n">
        <x:f>IFERROR(L888/F888,0)</x:f>
        <x:v>0.03125</x:v>
      </x:c>
      <x:c r="S888" s="95" t="n">
        <x:v>47</x:v>
      </x:c>
      <x:c r="T888" s="94" t="str">
        <x:v>末次点击7天</x:v>
      </x:c>
    </x:row>
    <x:row r="889">
      <x:c r="A889" s="92" t="str">
        <x:v>PROC-0888</x:v>
      </x:c>
      <x:c r="B889" s="93" t="n">
        <x:v>46183</x:v>
      </x:c>
      <x:c r="C889" s="94" t="str">
        <x:v>Microsoft Ads</x:v>
      </x:c>
      <x:c r="D889" s="94" t="str">
        <x:v>美国</x:v>
      </x:c>
      <x:c r="E889" s="94" t="str">
        <x:v>购物广告</x:v>
      </x:c>
      <x:c r="F889" s="95" t="n">
        <x:v>73</x:v>
      </x:c>
      <x:c r="G889" s="95" t="n">
        <x:v>66</x:v>
      </x:c>
      <x:c r="H889" s="95" t="n">
        <x:v>48</x:v>
      </x:c>
      <x:c r="I889" s="95" t="n">
        <x:v>44</x:v>
      </x:c>
      <x:c r="J889" s="95" t="n">
        <x:v>22</x:v>
      </x:c>
      <x:c r="K889" s="95" t="n">
        <x:v>5</x:v>
      </x:c>
      <x:c r="L889" s="95" t="n">
        <x:v>2</x:v>
      </x:c>
      <x:c r="M889" s="96" t="n">
        <x:f>IFERROR(G889/F889,0)</x:f>
        <x:v>0.9041095890410958</x:v>
      </x:c>
      <x:c r="N889" s="96" t="n">
        <x:f>IFERROR(H889/G889,0)</x:f>
        <x:v>0.7272727272727273</x:v>
      </x:c>
      <x:c r="O889" s="96" t="n">
        <x:f>IFERROR(I889/H889,0)</x:f>
        <x:v>0.9166666666666666</x:v>
      </x:c>
      <x:c r="P889" s="96" t="n">
        <x:f>IFERROR(J889/I889,0)</x:f>
        <x:v>0.5</x:v>
      </x:c>
      <x:c r="Q889" s="96" t="n">
        <x:f>IFERROR(L889/J889,0)</x:f>
        <x:v>0.09090909090909091</x:v>
      </x:c>
      <x:c r="R889" s="96" t="n">
        <x:f>IFERROR(L889/F889,0)</x:f>
        <x:v>0.0273972602739726</x:v>
      </x:c>
      <x:c r="S889" s="95" t="n">
        <x:v>111</x:v>
      </x:c>
      <x:c r="T889" s="94" t="str">
        <x:v>末次点击7天</x:v>
      </x:c>
    </x:row>
    <x:row r="890">
      <x:c r="A890" s="92" t="str">
        <x:v>PROC-0889</x:v>
      </x:c>
      <x:c r="B890" s="93" t="n">
        <x:v>46183</x:v>
      </x:c>
      <x:c r="C890" s="94" t="str">
        <x:v>Google Ads</x:v>
      </x:c>
      <x:c r="D890" s="94" t="str">
        <x:v>英国</x:v>
      </x:c>
      <x:c r="E890" s="94" t="str">
        <x:v>通用搜索</x:v>
      </x:c>
      <x:c r="F890" s="95" t="n">
        <x:v>43</x:v>
      </x:c>
      <x:c r="G890" s="95" t="n">
        <x:v>40</x:v>
      </x:c>
      <x:c r="H890" s="95" t="n">
        <x:v>27</x:v>
      </x:c>
      <x:c r="I890" s="95" t="n">
        <x:v>23</x:v>
      </x:c>
      <x:c r="J890" s="95" t="n">
        <x:v>8</x:v>
      </x:c>
      <x:c r="K890" s="95" t="n">
        <x:v>2</x:v>
      </x:c>
      <x:c r="L890" s="95" t="n">
        <x:v>1</x:v>
      </x:c>
      <x:c r="M890" s="96" t="n">
        <x:f>IFERROR(G890/F890,0)</x:f>
        <x:v>0.9302325581395349</x:v>
      </x:c>
      <x:c r="N890" s="96" t="n">
        <x:f>IFERROR(H890/G890,0)</x:f>
        <x:v>0.675</x:v>
      </x:c>
      <x:c r="O890" s="96" t="n">
        <x:f>IFERROR(I890/H890,0)</x:f>
        <x:v>0.8518518518518519</x:v>
      </x:c>
      <x:c r="P890" s="96" t="n">
        <x:f>IFERROR(J890/I890,0)</x:f>
        <x:v>0.34782608695652173</x:v>
      </x:c>
      <x:c r="Q890" s="96" t="n">
        <x:f>IFERROR(L890/J890,0)</x:f>
        <x:v>0.125</x:v>
      </x:c>
      <x:c r="R890" s="96" t="n">
        <x:f>IFERROR(L890/F890,0)</x:f>
        <x:v>0.023255813953488372</x:v>
      </x:c>
      <x:c r="S890" s="95" t="n">
        <x:v>115</x:v>
      </x:c>
      <x:c r="T890" s="94" t="str">
        <x:v>末次点击7天</x:v>
      </x:c>
    </x:row>
    <x:row r="891">
      <x:c r="A891" s="92" t="str">
        <x:v>PROC-0890</x:v>
      </x:c>
      <x:c r="B891" s="93" t="n">
        <x:v>46183</x:v>
      </x:c>
      <x:c r="C891" s="94" t="str">
        <x:v>Google Ads</x:v>
      </x:c>
      <x:c r="D891" s="94" t="str">
        <x:v>英国</x:v>
      </x:c>
      <x:c r="E891" s="94" t="str">
        <x:v>购物广告</x:v>
      </x:c>
      <x:c r="F891" s="95" t="n">
        <x:v>45</x:v>
      </x:c>
      <x:c r="G891" s="95" t="n">
        <x:v>40</x:v>
      </x:c>
      <x:c r="H891" s="95" t="n">
        <x:v>25</x:v>
      </x:c>
      <x:c r="I891" s="95" t="n">
        <x:v>22</x:v>
      </x:c>
      <x:c r="J891" s="95" t="n">
        <x:v>9</x:v>
      </x:c>
      <x:c r="K891" s="95" t="n">
        <x:v>3</x:v>
      </x:c>
      <x:c r="L891" s="95" t="n">
        <x:v>1</x:v>
      </x:c>
      <x:c r="M891" s="96" t="n">
        <x:f>IFERROR(G891/F891,0)</x:f>
        <x:v>0.8888888888888888</x:v>
      </x:c>
      <x:c r="N891" s="96" t="n">
        <x:f>IFERROR(H891/G891,0)</x:f>
        <x:v>0.625</x:v>
      </x:c>
      <x:c r="O891" s="96" t="n">
        <x:f>IFERROR(I891/H891,0)</x:f>
        <x:v>0.88</x:v>
      </x:c>
      <x:c r="P891" s="96" t="n">
        <x:f>IFERROR(J891/I891,0)</x:f>
        <x:v>0.4090909090909091</x:v>
      </x:c>
      <x:c r="Q891" s="96" t="n">
        <x:f>IFERROR(L891/J891,0)</x:f>
        <x:v>0.1111111111111111</x:v>
      </x:c>
      <x:c r="R891" s="96" t="n">
        <x:f>IFERROR(L891/F891,0)</x:f>
        <x:v>0.022222222222222223</x:v>
      </x:c>
      <x:c r="S891" s="95" t="n">
        <x:v>148</x:v>
      </x:c>
      <x:c r="T891" s="94" t="str">
        <x:v>末次点击7天</x:v>
      </x:c>
    </x:row>
    <x:row r="892">
      <x:c r="A892" s="92" t="str">
        <x:v>PROC-0891</x:v>
      </x:c>
      <x:c r="B892" s="93" t="n">
        <x:v>46184</x:v>
      </x:c>
      <x:c r="C892" s="94" t="str">
        <x:v>Microsoft Ads</x:v>
      </x:c>
      <x:c r="D892" s="94" t="str">
        <x:v>英国</x:v>
      </x:c>
      <x:c r="E892" s="94" t="str">
        <x:v>竞品搜索</x:v>
      </x:c>
      <x:c r="F892" s="95" t="n">
        <x:v>29</x:v>
      </x:c>
      <x:c r="G892" s="95" t="n">
        <x:v>26</x:v>
      </x:c>
      <x:c r="H892" s="95" t="n">
        <x:v>19</x:v>
      </x:c>
      <x:c r="I892" s="95" t="n">
        <x:v>16</x:v>
      </x:c>
      <x:c r="J892" s="95" t="n">
        <x:v>7</x:v>
      </x:c>
      <x:c r="K892" s="95" t="n">
        <x:v>2</x:v>
      </x:c>
      <x:c r="L892" s="95" t="n">
        <x:v>1</x:v>
      </x:c>
      <x:c r="M892" s="96" t="n">
        <x:f>IFERROR(G892/F892,0)</x:f>
        <x:v>0.896551724137931</x:v>
      </x:c>
      <x:c r="N892" s="96" t="n">
        <x:f>IFERROR(H892/G892,0)</x:f>
        <x:v>0.7307692307692307</x:v>
      </x:c>
      <x:c r="O892" s="96" t="n">
        <x:f>IFERROR(I892/H892,0)</x:f>
        <x:v>0.8421052631578947</x:v>
      </x:c>
      <x:c r="P892" s="96" t="n">
        <x:f>IFERROR(J892/I892,0)</x:f>
        <x:v>0.4375</x:v>
      </x:c>
      <x:c r="Q892" s="96" t="n">
        <x:f>IFERROR(L892/J892,0)</x:f>
        <x:v>0.14285714285714285</x:v>
      </x:c>
      <x:c r="R892" s="96" t="n">
        <x:f>IFERROR(L892/F892,0)</x:f>
        <x:v>0.034482758620689655</x:v>
      </x:c>
      <x:c r="S892" s="95" t="n">
        <x:v>51</x:v>
      </x:c>
      <x:c r="T892" s="94" t="str">
        <x:v>末次点击7天</x:v>
      </x:c>
    </x:row>
    <x:row r="893">
      <x:c r="A893" s="92" t="str">
        <x:v>PROC-0892</x:v>
      </x:c>
      <x:c r="B893" s="93" t="n">
        <x:v>46184</x:v>
      </x:c>
      <x:c r="C893" s="94" t="str">
        <x:v>Google Ads</x:v>
      </x:c>
      <x:c r="D893" s="94" t="str">
        <x:v>美国</x:v>
      </x:c>
      <x:c r="E893" s="94" t="str">
        <x:v>品牌搜索</x:v>
      </x:c>
      <x:c r="F893" s="95" t="n">
        <x:v>83</x:v>
      </x:c>
      <x:c r="G893" s="95" t="n">
        <x:v>75</x:v>
      </x:c>
      <x:c r="H893" s="95" t="n">
        <x:v>49</x:v>
      </x:c>
      <x:c r="I893" s="95" t="n">
        <x:v>42</x:v>
      </x:c>
      <x:c r="J893" s="95" t="n">
        <x:v>21</x:v>
      </x:c>
      <x:c r="K893" s="95" t="n">
        <x:v>6</x:v>
      </x:c>
      <x:c r="L893" s="95" t="n">
        <x:v>2</x:v>
      </x:c>
      <x:c r="M893" s="96" t="n">
        <x:f>IFERROR(G893/F893,0)</x:f>
        <x:v>0.9036144578313253</x:v>
      </x:c>
      <x:c r="N893" s="96" t="n">
        <x:f>IFERROR(H893/G893,0)</x:f>
        <x:v>0.6533333333333333</x:v>
      </x:c>
      <x:c r="O893" s="96" t="n">
        <x:f>IFERROR(I893/H893,0)</x:f>
        <x:v>0.8571428571428571</x:v>
      </x:c>
      <x:c r="P893" s="96" t="n">
        <x:f>IFERROR(J893/I893,0)</x:f>
        <x:v>0.5</x:v>
      </x:c>
      <x:c r="Q893" s="96" t="n">
        <x:f>IFERROR(L893/J893,0)</x:f>
        <x:v>0.09523809523809523</x:v>
      </x:c>
      <x:c r="R893" s="96" t="n">
        <x:f>IFERROR(L893/F893,0)</x:f>
        <x:v>0.024096385542168676</x:v>
      </x:c>
      <x:c r="S893" s="95" t="n">
        <x:v>149</x:v>
      </x:c>
      <x:c r="T893" s="94" t="str">
        <x:v>末次点击7天</x:v>
      </x:c>
    </x:row>
    <x:row r="894">
      <x:c r="A894" s="92" t="str">
        <x:v>PROC-0893</x:v>
      </x:c>
      <x:c r="B894" s="93" t="n">
        <x:v>46184</x:v>
      </x:c>
      <x:c r="C894" s="94" t="str">
        <x:v>Google Ads</x:v>
      </x:c>
      <x:c r="D894" s="94" t="str">
        <x:v>美国</x:v>
      </x:c>
      <x:c r="E894" s="94" t="str">
        <x:v>品牌搜索</x:v>
      </x:c>
      <x:c r="F894" s="95" t="n">
        <x:v>60</x:v>
      </x:c>
      <x:c r="G894" s="95" t="n">
        <x:v>56</x:v>
      </x:c>
      <x:c r="H894" s="95" t="n">
        <x:v>40</x:v>
      </x:c>
      <x:c r="I894" s="95" t="n">
        <x:v>35</x:v>
      </x:c>
      <x:c r="J894" s="95" t="n">
        <x:v>16</x:v>
      </x:c>
      <x:c r="K894" s="95" t="n">
        <x:v>5</x:v>
      </x:c>
      <x:c r="L894" s="95" t="n">
        <x:v>1</x:v>
      </x:c>
      <x:c r="M894" s="96" t="n">
        <x:f>IFERROR(G894/F894,0)</x:f>
        <x:v>0.9333333333333333</x:v>
      </x:c>
      <x:c r="N894" s="96" t="n">
        <x:f>IFERROR(H894/G894,0)</x:f>
        <x:v>0.7142857142857143</x:v>
      </x:c>
      <x:c r="O894" s="96" t="n">
        <x:f>IFERROR(I894/H894,0)</x:f>
        <x:v>0.875</x:v>
      </x:c>
      <x:c r="P894" s="96" t="n">
        <x:f>IFERROR(J894/I894,0)</x:f>
        <x:v>0.45714285714285713</x:v>
      </x:c>
      <x:c r="Q894" s="96" t="n">
        <x:f>IFERROR(L894/J894,0)</x:f>
        <x:v>0.0625</x:v>
      </x:c>
      <x:c r="R894" s="96" t="n">
        <x:f>IFERROR(L894/F894,0)</x:f>
        <x:v>0.016666666666666666</x:v>
      </x:c>
      <x:c r="S894" s="95" t="n">
        <x:v>63</x:v>
      </x:c>
      <x:c r="T894" s="94" t="str">
        <x:v>末次点击7天</x:v>
      </x:c>
    </x:row>
    <x:row r="895">
      <x:c r="A895" s="92" t="str">
        <x:v>PROC-0894</x:v>
      </x:c>
      <x:c r="B895" s="93" t="n">
        <x:v>46184</x:v>
      </x:c>
      <x:c r="C895" s="94" t="str">
        <x:v>Google Ads</x:v>
      </x:c>
      <x:c r="D895" s="94" t="str">
        <x:v>英国</x:v>
      </x:c>
      <x:c r="E895" s="94" t="str">
        <x:v>通用搜索</x:v>
      </x:c>
      <x:c r="F895" s="95" t="n">
        <x:v>44</x:v>
      </x:c>
      <x:c r="G895" s="95" t="n">
        <x:v>39</x:v>
      </x:c>
      <x:c r="H895" s="95" t="n">
        <x:v>29</x:v>
      </x:c>
      <x:c r="I895" s="95" t="n">
        <x:v>24</x:v>
      </x:c>
      <x:c r="J895" s="95" t="n">
        <x:v>10</x:v>
      </x:c>
      <x:c r="K895" s="95" t="n">
        <x:v>2</x:v>
      </x:c>
      <x:c r="L895" s="95" t="n">
        <x:v>1</x:v>
      </x:c>
      <x:c r="M895" s="96" t="n">
        <x:f>IFERROR(G895/F895,0)</x:f>
        <x:v>0.8863636363636364</x:v>
      </x:c>
      <x:c r="N895" s="96" t="n">
        <x:f>IFERROR(H895/G895,0)</x:f>
        <x:v>0.7435897435897436</x:v>
      </x:c>
      <x:c r="O895" s="96" t="n">
        <x:f>IFERROR(I895/H895,0)</x:f>
        <x:v>0.8275862068965517</x:v>
      </x:c>
      <x:c r="P895" s="96" t="n">
        <x:f>IFERROR(J895/I895,0)</x:f>
        <x:v>0.4166666666666667</x:v>
      </x:c>
      <x:c r="Q895" s="96" t="n">
        <x:f>IFERROR(L895/J895,0)</x:f>
        <x:v>0.1</x:v>
      </x:c>
      <x:c r="R895" s="96" t="n">
        <x:f>IFERROR(L895/F895,0)</x:f>
        <x:v>0.022727272727272728</x:v>
      </x:c>
      <x:c r="S895" s="95" t="n">
        <x:v>110</x:v>
      </x:c>
      <x:c r="T895" s="94" t="str">
        <x:v>末次点击7天</x:v>
      </x:c>
    </x:row>
    <x:row r="896">
      <x:c r="A896" s="92" t="str">
        <x:v>PROC-0895</x:v>
      </x:c>
      <x:c r="B896" s="93" t="n">
        <x:v>46184</x:v>
      </x:c>
      <x:c r="C896" s="94" t="str">
        <x:v>Microsoft Ads</x:v>
      </x:c>
      <x:c r="D896" s="94" t="str">
        <x:v>美国</x:v>
      </x:c>
      <x:c r="E896" s="94" t="str">
        <x:v>通用搜索</x:v>
      </x:c>
      <x:c r="F896" s="95" t="n">
        <x:v>35</x:v>
      </x:c>
      <x:c r="G896" s="95" t="n">
        <x:v>31</x:v>
      </x:c>
      <x:c r="H896" s="95" t="n">
        <x:v>20</x:v>
      </x:c>
      <x:c r="I896" s="95" t="n">
        <x:v>16</x:v>
      </x:c>
      <x:c r="J896" s="95" t="n">
        <x:v>7</x:v>
      </x:c>
      <x:c r="K896" s="95" t="n">
        <x:v>2</x:v>
      </x:c>
      <x:c r="L896" s="95" t="n">
        <x:v>1</x:v>
      </x:c>
      <x:c r="M896" s="96" t="n">
        <x:f>IFERROR(G896/F896,0)</x:f>
        <x:v>0.8857142857142857</x:v>
      </x:c>
      <x:c r="N896" s="96" t="n">
        <x:f>IFERROR(H896/G896,0)</x:f>
        <x:v>0.6451612903225806</x:v>
      </x:c>
      <x:c r="O896" s="96" t="n">
        <x:f>IFERROR(I896/H896,0)</x:f>
        <x:v>0.8</x:v>
      </x:c>
      <x:c r="P896" s="96" t="n">
        <x:f>IFERROR(J896/I896,0)</x:f>
        <x:v>0.4375</x:v>
      </x:c>
      <x:c r="Q896" s="96" t="n">
        <x:f>IFERROR(L896/J896,0)</x:f>
        <x:v>0.14285714285714285</x:v>
      </x:c>
      <x:c r="R896" s="96" t="n">
        <x:f>IFERROR(L896/F896,0)</x:f>
        <x:v>0.02857142857142857</x:v>
      </x:c>
      <x:c r="S896" s="95" t="n">
        <x:v>51</x:v>
      </x:c>
      <x:c r="T896" s="94" t="str">
        <x:v>末次点击7天</x:v>
      </x:c>
    </x:row>
    <x:row r="897">
      <x:c r="A897" s="92" t="str">
        <x:v>PROC-0896</x:v>
      </x:c>
      <x:c r="B897" s="93" t="n">
        <x:v>46184</x:v>
      </x:c>
      <x:c r="C897" s="94" t="str">
        <x:v>Google Ads</x:v>
      </x:c>
      <x:c r="D897" s="94" t="str">
        <x:v>美国</x:v>
      </x:c>
      <x:c r="E897" s="94" t="str">
        <x:v>通用搜索</x:v>
      </x:c>
      <x:c r="F897" s="95" t="n">
        <x:v>38</x:v>
      </x:c>
      <x:c r="G897" s="95" t="n">
        <x:v>34</x:v>
      </x:c>
      <x:c r="H897" s="95" t="n">
        <x:v>23</x:v>
      </x:c>
      <x:c r="I897" s="95" t="n">
        <x:v>19</x:v>
      </x:c>
      <x:c r="J897" s="95" t="n">
        <x:v>8</x:v>
      </x:c>
      <x:c r="K897" s="95" t="n">
        <x:v>2</x:v>
      </x:c>
      <x:c r="L897" s="95" t="n">
        <x:v>1</x:v>
      </x:c>
      <x:c r="M897" s="96" t="n">
        <x:f>IFERROR(G897/F897,0)</x:f>
        <x:v>0.8947368421052632</x:v>
      </x:c>
      <x:c r="N897" s="96" t="n">
        <x:f>IFERROR(H897/G897,0)</x:f>
        <x:v>0.6764705882352942</x:v>
      </x:c>
      <x:c r="O897" s="96" t="n">
        <x:f>IFERROR(I897/H897,0)</x:f>
        <x:v>0.8260869565217391</x:v>
      </x:c>
      <x:c r="P897" s="96" t="n">
        <x:f>IFERROR(J897/I897,0)</x:f>
        <x:v>0.42105263157894735</x:v>
      </x:c>
      <x:c r="Q897" s="96" t="n">
        <x:f>IFERROR(L897/J897,0)</x:f>
        <x:v>0.125</x:v>
      </x:c>
      <x:c r="R897" s="96" t="n">
        <x:f>IFERROR(L897/F897,0)</x:f>
        <x:v>0.02631578947368421</x:v>
      </x:c>
      <x:c r="S897" s="95" t="n">
        <x:v>92</x:v>
      </x:c>
      <x:c r="T897" s="94" t="str">
        <x:v>末次点击7天</x:v>
      </x:c>
    </x:row>
    <x:row r="898">
      <x:c r="A898" s="92" t="str">
        <x:v>PROC-0897</x:v>
      </x:c>
      <x:c r="B898" s="93" t="n">
        <x:v>46185</x:v>
      </x:c>
      <x:c r="C898" s="94" t="str">
        <x:v>Google Ads</x:v>
      </x:c>
      <x:c r="D898" s="94" t="str">
        <x:v>德国</x:v>
      </x:c>
      <x:c r="E898" s="94" t="str">
        <x:v>购物广告</x:v>
      </x:c>
      <x:c r="F898" s="95" t="n">
        <x:v>40</x:v>
      </x:c>
      <x:c r="G898" s="95" t="n">
        <x:v>35</x:v>
      </x:c>
      <x:c r="H898" s="95" t="n">
        <x:v>25</x:v>
      </x:c>
      <x:c r="I898" s="95" t="n">
        <x:v>23</x:v>
      </x:c>
      <x:c r="J898" s="95" t="n">
        <x:v>11</x:v>
      </x:c>
      <x:c r="K898" s="95" t="n">
        <x:v>4</x:v>
      </x:c>
      <x:c r="L898" s="95" t="n">
        <x:v>1</x:v>
      </x:c>
      <x:c r="M898" s="96" t="n">
        <x:f>IFERROR(G898/F898,0)</x:f>
        <x:v>0.875</x:v>
      </x:c>
      <x:c r="N898" s="96" t="n">
        <x:f>IFERROR(H898/G898,0)</x:f>
        <x:v>0.7142857142857143</x:v>
      </x:c>
      <x:c r="O898" s="96" t="n">
        <x:f>IFERROR(I898/H898,0)</x:f>
        <x:v>0.92</x:v>
      </x:c>
      <x:c r="P898" s="96" t="n">
        <x:f>IFERROR(J898/I898,0)</x:f>
        <x:v>0.4782608695652174</x:v>
      </x:c>
      <x:c r="Q898" s="96" t="n">
        <x:f>IFERROR(L898/J898,0)</x:f>
        <x:v>0.09090909090909091</x:v>
      </x:c>
      <x:c r="R898" s="96" t="n">
        <x:f>IFERROR(L898/F898,0)</x:f>
        <x:v>0.025</x:v>
      </x:c>
      <x:c r="S898" s="95" t="n">
        <x:v>64</x:v>
      </x:c>
      <x:c r="T898" s="94" t="str">
        <x:v>末次点击7天</x:v>
      </x:c>
    </x:row>
    <x:row r="899">
      <x:c r="A899" s="92" t="str">
        <x:v>PROC-0898</x:v>
      </x:c>
      <x:c r="B899" s="93" t="n">
        <x:v>46185</x:v>
      </x:c>
      <x:c r="C899" s="94" t="str">
        <x:v>Google Ads</x:v>
      </x:c>
      <x:c r="D899" s="94" t="str">
        <x:v>美国</x:v>
      </x:c>
      <x:c r="E899" s="94" t="str">
        <x:v>购物广告</x:v>
      </x:c>
      <x:c r="F899" s="95" t="n">
        <x:v>51</x:v>
      </x:c>
      <x:c r="G899" s="95" t="n">
        <x:v>47</x:v>
      </x:c>
      <x:c r="H899" s="95" t="n">
        <x:v>37</x:v>
      </x:c>
      <x:c r="I899" s="95" t="n">
        <x:v>33</x:v>
      </x:c>
      <x:c r="J899" s="95" t="n">
        <x:v>17</x:v>
      </x:c>
      <x:c r="K899" s="95" t="n">
        <x:v>5</x:v>
      </x:c>
      <x:c r="L899" s="95" t="n">
        <x:v>1</x:v>
      </x:c>
      <x:c r="M899" s="96" t="n">
        <x:f>IFERROR(G899/F899,0)</x:f>
        <x:v>0.9215686274509803</x:v>
      </x:c>
      <x:c r="N899" s="96" t="n">
        <x:f>IFERROR(H899/G899,0)</x:f>
        <x:v>0.7872340425531915</x:v>
      </x:c>
      <x:c r="O899" s="96" t="n">
        <x:f>IFERROR(I899/H899,0)</x:f>
        <x:v>0.8918918918918919</x:v>
      </x:c>
      <x:c r="P899" s="96" t="n">
        <x:f>IFERROR(J899/I899,0)</x:f>
        <x:v>0.5151515151515151</x:v>
      </x:c>
      <x:c r="Q899" s="96" t="n">
        <x:f>IFERROR(L899/J899,0)</x:f>
        <x:v>0.058823529411764705</x:v>
      </x:c>
      <x:c r="R899" s="96" t="n">
        <x:f>IFERROR(L899/F899,0)</x:f>
        <x:v>0.0196078431372549</x:v>
      </x:c>
      <x:c r="S899" s="95" t="n">
        <x:v>92</x:v>
      </x:c>
      <x:c r="T899" s="94" t="str">
        <x:v>末次点击7天</x:v>
      </x:c>
    </x:row>
    <x:row r="900">
      <x:c r="A900" s="92" t="str">
        <x:v>PROC-0899</x:v>
      </x:c>
      <x:c r="B900" s="93" t="n">
        <x:v>46185</x:v>
      </x:c>
      <x:c r="C900" s="94" t="str">
        <x:v>Google Ads</x:v>
      </x:c>
      <x:c r="D900" s="94" t="str">
        <x:v>美国</x:v>
      </x:c>
      <x:c r="E900" s="94" t="str">
        <x:v>品牌搜索</x:v>
      </x:c>
      <x:c r="F900" s="95" t="n">
        <x:v>66</x:v>
      </x:c>
      <x:c r="G900" s="95" t="n">
        <x:v>58</x:v>
      </x:c>
      <x:c r="H900" s="95" t="n">
        <x:v>39</x:v>
      </x:c>
      <x:c r="I900" s="95" t="n">
        <x:v>33</x:v>
      </x:c>
      <x:c r="J900" s="95" t="n">
        <x:v>17</x:v>
      </x:c>
      <x:c r="K900" s="95" t="n">
        <x:v>5</x:v>
      </x:c>
      <x:c r="L900" s="95" t="n">
        <x:v>2</x:v>
      </x:c>
      <x:c r="M900" s="96" t="n">
        <x:f>IFERROR(G900/F900,0)</x:f>
        <x:v>0.8787878787878788</x:v>
      </x:c>
      <x:c r="N900" s="96" t="n">
        <x:f>IFERROR(H900/G900,0)</x:f>
        <x:v>0.6724137931034483</x:v>
      </x:c>
      <x:c r="O900" s="96" t="n">
        <x:f>IFERROR(I900/H900,0)</x:f>
        <x:v>0.8461538461538461</x:v>
      </x:c>
      <x:c r="P900" s="96" t="n">
        <x:f>IFERROR(J900/I900,0)</x:f>
        <x:v>0.5151515151515151</x:v>
      </x:c>
      <x:c r="Q900" s="96" t="n">
        <x:f>IFERROR(L900/J900,0)</x:f>
        <x:v>0.11764705882352941</x:v>
      </x:c>
      <x:c r="R900" s="96" t="n">
        <x:f>IFERROR(L900/F900,0)</x:f>
        <x:v>0.030303030303030304</x:v>
      </x:c>
      <x:c r="S900" s="95" t="n">
        <x:v>142</x:v>
      </x:c>
      <x:c r="T900" s="94" t="str">
        <x:v>末次点击7天</x:v>
      </x:c>
    </x:row>
    <x:row r="901">
      <x:c r="A901" s="92" t="str">
        <x:v>PROC-0900</x:v>
      </x:c>
      <x:c r="B901" s="93" t="n">
        <x:v>46185</x:v>
      </x:c>
      <x:c r="C901" s="94" t="str">
        <x:v>Microsoft Ads</x:v>
      </x:c>
      <x:c r="D901" s="94" t="str">
        <x:v>德国</x:v>
      </x:c>
      <x:c r="E901" s="94" t="str">
        <x:v>竞品搜索</x:v>
      </x:c>
      <x:c r="F901" s="95" t="n">
        <x:v>19</x:v>
      </x:c>
      <x:c r="G901" s="95" t="n">
        <x:v>17</x:v>
      </x:c>
      <x:c r="H901" s="95" t="n">
        <x:v>13</x:v>
      </x:c>
      <x:c r="I901" s="95" t="n">
        <x:v>10</x:v>
      </x:c>
      <x:c r="J901" s="95" t="n">
        <x:v>4</x:v>
      </x:c>
      <x:c r="K901" s="95" t="n">
        <x:v>1</x:v>
      </x:c>
      <x:c r="L901" s="95" t="n">
        <x:v>0</x:v>
      </x:c>
      <x:c r="M901" s="96" t="n">
        <x:f>IFERROR(G901/F901,0)</x:f>
        <x:v>0.8947368421052632</x:v>
      </x:c>
      <x:c r="N901" s="96" t="n">
        <x:f>IFERROR(H901/G901,0)</x:f>
        <x:v>0.7647058823529411</x:v>
      </x:c>
      <x:c r="O901" s="96" t="n">
        <x:f>IFERROR(I901/H901,0)</x:f>
        <x:v>0.7692307692307693</x:v>
      </x:c>
      <x:c r="P901" s="96" t="n">
        <x:f>IFERROR(J901/I901,0)</x:f>
        <x:v>0.4</x:v>
      </x:c>
      <x:c r="Q901" s="96" t="n">
        <x:f>IFERROR(L901/J901,0)</x:f>
        <x:v>0</x:v>
      </x:c>
      <x:c r="R901" s="96" t="n">
        <x:f>IFERROR(L901/F901,0)</x:f>
        <x:v>0</x:v>
      </x:c>
      <x:c r="S901" s="95" t="n">
        <x:v>96</x:v>
      </x:c>
      <x:c r="T901" s="94" t="str">
        <x:v>末次点击7天</x:v>
      </x:c>
    </x:row>
    <x:row r="902">
      <x:c r="A902" s="92" t="str">
        <x:v>PROC-0901</x:v>
      </x:c>
      <x:c r="B902" s="93" t="n">
        <x:v>46185</x:v>
      </x:c>
      <x:c r="C902" s="94" t="str">
        <x:v>Microsoft Ads</x:v>
      </x:c>
      <x:c r="D902" s="94" t="str">
        <x:v>美国</x:v>
      </x:c>
      <x:c r="E902" s="94" t="str">
        <x:v>通用搜索</x:v>
      </x:c>
      <x:c r="F902" s="95" t="n">
        <x:v>32</x:v>
      </x:c>
      <x:c r="G902" s="95" t="n">
        <x:v>29</x:v>
      </x:c>
      <x:c r="H902" s="95" t="n">
        <x:v>20</x:v>
      </x:c>
      <x:c r="I902" s="95" t="n">
        <x:v>17</x:v>
      </x:c>
      <x:c r="J902" s="95" t="n">
        <x:v>6</x:v>
      </x:c>
      <x:c r="K902" s="95" t="n">
        <x:v>2</x:v>
      </x:c>
      <x:c r="L902" s="95" t="n">
        <x:v>0</x:v>
      </x:c>
      <x:c r="M902" s="96" t="n">
        <x:f>IFERROR(G902/F902,0)</x:f>
        <x:v>0.90625</x:v>
      </x:c>
      <x:c r="N902" s="96" t="n">
        <x:f>IFERROR(H902/G902,0)</x:f>
        <x:v>0.6896551724137931</x:v>
      </x:c>
      <x:c r="O902" s="96" t="n">
        <x:f>IFERROR(I902/H902,0)</x:f>
        <x:v>0.85</x:v>
      </x:c>
      <x:c r="P902" s="96" t="n">
        <x:f>IFERROR(J902/I902,0)</x:f>
        <x:v>0.35294117647058826</x:v>
      </x:c>
      <x:c r="Q902" s="96" t="n">
        <x:f>IFERROR(L902/J902,0)</x:f>
        <x:v>0</x:v>
      </x:c>
      <x:c r="R902" s="96" t="n">
        <x:f>IFERROR(L902/F902,0)</x:f>
        <x:v>0</x:v>
      </x:c>
      <x:c r="S902" s="95" t="n">
        <x:v>125</x:v>
      </x:c>
      <x:c r="T902" s="94" t="str">
        <x:v>末次点击7天</x:v>
      </x:c>
    </x:row>
    <x:row r="903">
      <x:c r="A903" s="92" t="str">
        <x:v>PROC-0902</x:v>
      </x:c>
      <x:c r="B903" s="93" t="n">
        <x:v>46186</x:v>
      </x:c>
      <x:c r="C903" s="94" t="str">
        <x:v>Microsoft Ads</x:v>
      </x:c>
      <x:c r="D903" s="94" t="str">
        <x:v>德国</x:v>
      </x:c>
      <x:c r="E903" s="94" t="str">
        <x:v>品牌搜索</x:v>
      </x:c>
      <x:c r="F903" s="95" t="n">
        <x:v>77</x:v>
      </x:c>
      <x:c r="G903" s="95" t="n">
        <x:v>68</x:v>
      </x:c>
      <x:c r="H903" s="95" t="n">
        <x:v>48</x:v>
      </x:c>
      <x:c r="I903" s="95" t="n">
        <x:v>40</x:v>
      </x:c>
      <x:c r="J903" s="95" t="n">
        <x:v>18</x:v>
      </x:c>
      <x:c r="K903" s="95" t="n">
        <x:v>4</x:v>
      </x:c>
      <x:c r="L903" s="95" t="n">
        <x:v>2</x:v>
      </x:c>
      <x:c r="M903" s="96" t="n">
        <x:f>IFERROR(G903/F903,0)</x:f>
        <x:v>0.8831168831168831</x:v>
      </x:c>
      <x:c r="N903" s="96" t="n">
        <x:f>IFERROR(H903/G903,0)</x:f>
        <x:v>0.7058823529411765</x:v>
      </x:c>
      <x:c r="O903" s="96" t="n">
        <x:f>IFERROR(I903/H903,0)</x:f>
        <x:v>0.8333333333333334</x:v>
      </x:c>
      <x:c r="P903" s="96" t="n">
        <x:f>IFERROR(J903/I903,0)</x:f>
        <x:v>0.45</x:v>
      </x:c>
      <x:c r="Q903" s="96" t="n">
        <x:f>IFERROR(L903/J903,0)</x:f>
        <x:v>0.1111111111111111</x:v>
      </x:c>
      <x:c r="R903" s="96" t="n">
        <x:f>IFERROR(L903/F903,0)</x:f>
        <x:v>0.025974025974025976</x:v>
      </x:c>
      <x:c r="S903" s="95" t="n">
        <x:v>77</x:v>
      </x:c>
      <x:c r="T903" s="94" t="str">
        <x:v>末次点击7天</x:v>
      </x:c>
    </x:row>
    <x:row r="904">
      <x:c r="A904" s="92" t="str">
        <x:v>PROC-0903</x:v>
      </x:c>
      <x:c r="B904" s="93" t="n">
        <x:v>46186</x:v>
      </x:c>
      <x:c r="C904" s="94" t="str">
        <x:v>Google Ads</x:v>
      </x:c>
      <x:c r="D904" s="94" t="str">
        <x:v>德国</x:v>
      </x:c>
      <x:c r="E904" s="94" t="str">
        <x:v>购物广告</x:v>
      </x:c>
      <x:c r="F904" s="95" t="n">
        <x:v>54</x:v>
      </x:c>
      <x:c r="G904" s="95" t="n">
        <x:v>49</x:v>
      </x:c>
      <x:c r="H904" s="95" t="n">
        <x:v>31</x:v>
      </x:c>
      <x:c r="I904" s="95" t="n">
        <x:v>26</x:v>
      </x:c>
      <x:c r="J904" s="95" t="n">
        <x:v>13</x:v>
      </x:c>
      <x:c r="K904" s="95" t="n">
        <x:v>4</x:v>
      </x:c>
      <x:c r="L904" s="95" t="n">
        <x:v>1</x:v>
      </x:c>
      <x:c r="M904" s="96" t="n">
        <x:f>IFERROR(G904/F904,0)</x:f>
        <x:v>0.9074074074074074</x:v>
      </x:c>
      <x:c r="N904" s="96" t="n">
        <x:f>IFERROR(H904/G904,0)</x:f>
        <x:v>0.6326530612244898</x:v>
      </x:c>
      <x:c r="O904" s="96" t="n">
        <x:f>IFERROR(I904/H904,0)</x:f>
        <x:v>0.8387096774193549</x:v>
      </x:c>
      <x:c r="P904" s="96" t="n">
        <x:f>IFERROR(J904/I904,0)</x:f>
        <x:v>0.5</x:v>
      </x:c>
      <x:c r="Q904" s="96" t="n">
        <x:f>IFERROR(L904/J904,0)</x:f>
        <x:v>0.07692307692307693</x:v>
      </x:c>
      <x:c r="R904" s="96" t="n">
        <x:f>IFERROR(L904/F904,0)</x:f>
        <x:v>0.018518518518518517</x:v>
      </x:c>
      <x:c r="S904" s="95" t="n">
        <x:v>72</x:v>
      </x:c>
      <x:c r="T904" s="94" t="str">
        <x:v>末次点击7天</x:v>
      </x:c>
    </x:row>
    <x:row r="905">
      <x:c r="A905" s="92" t="str">
        <x:v>PROC-0904</x:v>
      </x:c>
      <x:c r="B905" s="93" t="n">
        <x:v>46186</x:v>
      </x:c>
      <x:c r="C905" s="94" t="str">
        <x:v>Google Ads</x:v>
      </x:c>
      <x:c r="D905" s="94" t="str">
        <x:v>美国</x:v>
      </x:c>
      <x:c r="E905" s="94" t="str">
        <x:v>购物广告</x:v>
      </x:c>
      <x:c r="F905" s="95" t="n">
        <x:v>76</x:v>
      </x:c>
      <x:c r="G905" s="95" t="n">
        <x:v>67</x:v>
      </x:c>
      <x:c r="H905" s="95" t="n">
        <x:v>53</x:v>
      </x:c>
      <x:c r="I905" s="95" t="n">
        <x:v>47</x:v>
      </x:c>
      <x:c r="J905" s="95" t="n">
        <x:v>22</x:v>
      </x:c>
      <x:c r="K905" s="95" t="n">
        <x:v>7</x:v>
      </x:c>
      <x:c r="L905" s="95" t="n">
        <x:v>2</x:v>
      </x:c>
      <x:c r="M905" s="96" t="n">
        <x:f>IFERROR(G905/F905,0)</x:f>
        <x:v>0.881578947368421</x:v>
      </x:c>
      <x:c r="N905" s="96" t="n">
        <x:f>IFERROR(H905/G905,0)</x:f>
        <x:v>0.7910447761194029</x:v>
      </x:c>
      <x:c r="O905" s="96" t="n">
        <x:f>IFERROR(I905/H905,0)</x:f>
        <x:v>0.8867924528301887</x:v>
      </x:c>
      <x:c r="P905" s="96" t="n">
        <x:f>IFERROR(J905/I905,0)</x:f>
        <x:v>0.46808510638297873</x:v>
      </x:c>
      <x:c r="Q905" s="96" t="n">
        <x:f>IFERROR(L905/J905,0)</x:f>
        <x:v>0.09090909090909091</x:v>
      </x:c>
      <x:c r="R905" s="96" t="n">
        <x:f>IFERROR(L905/F905,0)</x:f>
        <x:v>0.02631578947368421</x:v>
      </x:c>
      <x:c r="S905" s="95" t="n">
        <x:v>86</x:v>
      </x:c>
      <x:c r="T905" s="94" t="str">
        <x:v>末次点击7天</x:v>
      </x:c>
    </x:row>
    <x:row r="906">
      <x:c r="A906" s="92" t="str">
        <x:v>PROC-0905</x:v>
      </x:c>
      <x:c r="B906" s="93" t="n">
        <x:v>46186</x:v>
      </x:c>
      <x:c r="C906" s="94" t="str">
        <x:v>Microsoft Ads</x:v>
      </x:c>
      <x:c r="D906" s="94" t="str">
        <x:v>美国</x:v>
      </x:c>
      <x:c r="E906" s="94" t="str">
        <x:v>购物广告</x:v>
      </x:c>
      <x:c r="F906" s="95" t="n">
        <x:v>75</x:v>
      </x:c>
      <x:c r="G906" s="95" t="n">
        <x:v>67</x:v>
      </x:c>
      <x:c r="H906" s="95" t="n">
        <x:v>50</x:v>
      </x:c>
      <x:c r="I906" s="95" t="n">
        <x:v>45</x:v>
      </x:c>
      <x:c r="J906" s="95" t="n">
        <x:v>23</x:v>
      </x:c>
      <x:c r="K906" s="95" t="n">
        <x:v>5</x:v>
      </x:c>
      <x:c r="L906" s="95" t="n">
        <x:v>2</x:v>
      </x:c>
      <x:c r="M906" s="96" t="n">
        <x:f>IFERROR(G906/F906,0)</x:f>
        <x:v>0.8933333333333333</x:v>
      </x:c>
      <x:c r="N906" s="96" t="n">
        <x:f>IFERROR(H906/G906,0)</x:f>
        <x:v>0.746268656716418</x:v>
      </x:c>
      <x:c r="O906" s="96" t="n">
        <x:f>IFERROR(I906/H906,0)</x:f>
        <x:v>0.9</x:v>
      </x:c>
      <x:c r="P906" s="96" t="n">
        <x:f>IFERROR(J906/I906,0)</x:f>
        <x:v>0.5111111111111111</x:v>
      </x:c>
      <x:c r="Q906" s="96" t="n">
        <x:f>IFERROR(L906/J906,0)</x:f>
        <x:v>0.08695652173913043</x:v>
      </x:c>
      <x:c r="R906" s="96" t="n">
        <x:f>IFERROR(L906/F906,0)</x:f>
        <x:v>0.02666666666666667</x:v>
      </x:c>
      <x:c r="S906" s="95" t="n">
        <x:v>137</x:v>
      </x:c>
      <x:c r="T906" s="94" t="str">
        <x:v>末次点击7天</x:v>
      </x:c>
    </x:row>
    <x:row r="907">
      <x:c r="A907" s="92" t="str">
        <x:v>PROC-0906</x:v>
      </x:c>
      <x:c r="B907" s="93" t="n">
        <x:v>46186</x:v>
      </x:c>
      <x:c r="C907" s="94" t="str">
        <x:v>Google Ads</x:v>
      </x:c>
      <x:c r="D907" s="94" t="str">
        <x:v>日本</x:v>
      </x:c>
      <x:c r="E907" s="94" t="str">
        <x:v>竞品搜索</x:v>
      </x:c>
      <x:c r="F907" s="95" t="n">
        <x:v>30</x:v>
      </x:c>
      <x:c r="G907" s="95" t="n">
        <x:v>27</x:v>
      </x:c>
      <x:c r="H907" s="95" t="n">
        <x:v>19</x:v>
      </x:c>
      <x:c r="I907" s="95" t="n">
        <x:v>16</x:v>
      </x:c>
      <x:c r="J907" s="95" t="n">
        <x:v>7</x:v>
      </x:c>
      <x:c r="K907" s="95" t="n">
        <x:v>2</x:v>
      </x:c>
      <x:c r="L907" s="95" t="n">
        <x:v>1</x:v>
      </x:c>
      <x:c r="M907" s="96" t="n">
        <x:f>IFERROR(G907/F907,0)</x:f>
        <x:v>0.9</x:v>
      </x:c>
      <x:c r="N907" s="96" t="n">
        <x:f>IFERROR(H907/G907,0)</x:f>
        <x:v>0.7037037037037037</x:v>
      </x:c>
      <x:c r="O907" s="96" t="n">
        <x:f>IFERROR(I907/H907,0)</x:f>
        <x:v>0.8421052631578947</x:v>
      </x:c>
      <x:c r="P907" s="96" t="n">
        <x:f>IFERROR(J907/I907,0)</x:f>
        <x:v>0.4375</x:v>
      </x:c>
      <x:c r="Q907" s="96" t="n">
        <x:f>IFERROR(L907/J907,0)</x:f>
        <x:v>0.14285714285714285</x:v>
      </x:c>
      <x:c r="R907" s="96" t="n">
        <x:f>IFERROR(L907/F907,0)</x:f>
        <x:v>0.03333333333333333</x:v>
      </x:c>
      <x:c r="S907" s="95" t="n">
        <x:v>138</x:v>
      </x:c>
      <x:c r="T907" s="94" t="str">
        <x:v>末次点击7天</x:v>
      </x:c>
    </x:row>
    <x:row r="908">
      <x:c r="A908" s="92" t="str">
        <x:v>PROC-0907</x:v>
      </x:c>
      <x:c r="B908" s="93" t="n">
        <x:v>46186</x:v>
      </x:c>
      <x:c r="C908" s="94" t="str">
        <x:v>Google Ads</x:v>
      </x:c>
      <x:c r="D908" s="94" t="str">
        <x:v>英国</x:v>
      </x:c>
      <x:c r="E908" s="94" t="str">
        <x:v>竞品搜索</x:v>
      </x:c>
      <x:c r="F908" s="95" t="n">
        <x:v>38</x:v>
      </x:c>
      <x:c r="G908" s="95" t="n">
        <x:v>34</x:v>
      </x:c>
      <x:c r="H908" s="95" t="n">
        <x:v>21</x:v>
      </x:c>
      <x:c r="I908" s="95" t="n">
        <x:v>18</x:v>
      </x:c>
      <x:c r="J908" s="95" t="n">
        <x:v>8</x:v>
      </x:c>
      <x:c r="K908" s="95" t="n">
        <x:v>3</x:v>
      </x:c>
      <x:c r="L908" s="95" t="n">
        <x:v>1</x:v>
      </x:c>
      <x:c r="M908" s="96" t="n">
        <x:f>IFERROR(G908/F908,0)</x:f>
        <x:v>0.8947368421052632</x:v>
      </x:c>
      <x:c r="N908" s="96" t="n">
        <x:f>IFERROR(H908/G908,0)</x:f>
        <x:v>0.6176470588235294</x:v>
      </x:c>
      <x:c r="O908" s="96" t="n">
        <x:f>IFERROR(I908/H908,0)</x:f>
        <x:v>0.8571428571428571</x:v>
      </x:c>
      <x:c r="P908" s="96" t="n">
        <x:f>IFERROR(J908/I908,0)</x:f>
        <x:v>0.4444444444444444</x:v>
      </x:c>
      <x:c r="Q908" s="96" t="n">
        <x:f>IFERROR(L908/J908,0)</x:f>
        <x:v>0.125</x:v>
      </x:c>
      <x:c r="R908" s="96" t="n">
        <x:f>IFERROR(L908/F908,0)</x:f>
        <x:v>0.02631578947368421</x:v>
      </x:c>
      <x:c r="S908" s="95" t="n">
        <x:v>141</x:v>
      </x:c>
      <x:c r="T908" s="94" t="str">
        <x:v>末次点击7天</x:v>
      </x:c>
    </x:row>
    <x:row r="909">
      <x:c r="A909" s="92" t="str">
        <x:v>PROC-0908</x:v>
      </x:c>
      <x:c r="B909" s="93" t="n">
        <x:v>46187</x:v>
      </x:c>
      <x:c r="C909" s="94" t="str">
        <x:v>Microsoft Ads</x:v>
      </x:c>
      <x:c r="D909" s="94" t="str">
        <x:v>德国</x:v>
      </x:c>
      <x:c r="E909" s="94" t="str">
        <x:v>通用搜索</x:v>
      </x:c>
      <x:c r="F909" s="95" t="n">
        <x:v>32</x:v>
      </x:c>
      <x:c r="G909" s="95" t="n">
        <x:v>30</x:v>
      </x:c>
      <x:c r="H909" s="95" t="n">
        <x:v>21</x:v>
      </x:c>
      <x:c r="I909" s="95" t="n">
        <x:v>18</x:v>
      </x:c>
      <x:c r="J909" s="95" t="n">
        <x:v>7</x:v>
      </x:c>
      <x:c r="K909" s="95" t="n">
        <x:v>2</x:v>
      </x:c>
      <x:c r="L909" s="95" t="n">
        <x:v>1</x:v>
      </x:c>
      <x:c r="M909" s="96" t="n">
        <x:f>IFERROR(G909/F909,0)</x:f>
        <x:v>0.9375</x:v>
      </x:c>
      <x:c r="N909" s="96" t="n">
        <x:f>IFERROR(H909/G909,0)</x:f>
        <x:v>0.7</x:v>
      </x:c>
      <x:c r="O909" s="96" t="n">
        <x:f>IFERROR(I909/H909,0)</x:f>
        <x:v>0.8571428571428571</x:v>
      </x:c>
      <x:c r="P909" s="96" t="n">
        <x:f>IFERROR(J909/I909,0)</x:f>
        <x:v>0.3888888888888889</x:v>
      </x:c>
      <x:c r="Q909" s="96" t="n">
        <x:f>IFERROR(L909/J909,0)</x:f>
        <x:v>0.14285714285714285</x:v>
      </x:c>
      <x:c r="R909" s="96" t="n">
        <x:f>IFERROR(L909/F909,0)</x:f>
        <x:v>0.03125</x:v>
      </x:c>
      <x:c r="S909" s="95" t="n">
        <x:v>92</x:v>
      </x:c>
      <x:c r="T909" s="94" t="str">
        <x:v>末次点击7天</x:v>
      </x:c>
    </x:row>
    <x:row r="910">
      <x:c r="A910" s="92" t="str">
        <x:v>PROC-0909</x:v>
      </x:c>
      <x:c r="B910" s="93" t="n">
        <x:v>46187</x:v>
      </x:c>
      <x:c r="C910" s="94" t="str">
        <x:v>Microsoft Ads</x:v>
      </x:c>
      <x:c r="D910" s="94" t="str">
        <x:v>德国</x:v>
      </x:c>
      <x:c r="E910" s="94" t="str">
        <x:v>通用搜索</x:v>
      </x:c>
      <x:c r="F910" s="95" t="n">
        <x:v>42</x:v>
      </x:c>
      <x:c r="G910" s="95" t="n">
        <x:v>37</x:v>
      </x:c>
      <x:c r="H910" s="95" t="n">
        <x:v>26</x:v>
      </x:c>
      <x:c r="I910" s="95" t="n">
        <x:v>21</x:v>
      </x:c>
      <x:c r="J910" s="95" t="n">
        <x:v>9</x:v>
      </x:c>
      <x:c r="K910" s="95" t="n">
        <x:v>3</x:v>
      </x:c>
      <x:c r="L910" s="95" t="n">
        <x:v>1</x:v>
      </x:c>
      <x:c r="M910" s="96" t="n">
        <x:f>IFERROR(G910/F910,0)</x:f>
        <x:v>0.8809523809523809</x:v>
      </x:c>
      <x:c r="N910" s="96" t="n">
        <x:f>IFERROR(H910/G910,0)</x:f>
        <x:v>0.7027027027027027</x:v>
      </x:c>
      <x:c r="O910" s="96" t="n">
        <x:f>IFERROR(I910/H910,0)</x:f>
        <x:v>0.8076923076923077</x:v>
      </x:c>
      <x:c r="P910" s="96" t="n">
        <x:f>IFERROR(J910/I910,0)</x:f>
        <x:v>0.42857142857142855</x:v>
      </x:c>
      <x:c r="Q910" s="96" t="n">
        <x:f>IFERROR(L910/J910,0)</x:f>
        <x:v>0.1111111111111111</x:v>
      </x:c>
      <x:c r="R910" s="96" t="n">
        <x:f>IFERROR(L910/F910,0)</x:f>
        <x:v>0.023809523809523808</x:v>
      </x:c>
      <x:c r="S910" s="95" t="n">
        <x:v>106</x:v>
      </x:c>
      <x:c r="T910" s="94" t="str">
        <x:v>末次点击7天</x:v>
      </x:c>
    </x:row>
    <x:row r="911">
      <x:c r="A911" s="92" t="str">
        <x:v>PROC-0910</x:v>
      </x:c>
      <x:c r="B911" s="93" t="n">
        <x:v>46187</x:v>
      </x:c>
      <x:c r="C911" s="94" t="str">
        <x:v>Google Ads</x:v>
      </x:c>
      <x:c r="D911" s="94" t="str">
        <x:v>德国</x:v>
      </x:c>
      <x:c r="E911" s="94" t="str">
        <x:v>通用搜索</x:v>
      </x:c>
      <x:c r="F911" s="95" t="n">
        <x:v>21</x:v>
      </x:c>
      <x:c r="G911" s="95" t="n">
        <x:v>20</x:v>
      </x:c>
      <x:c r="H911" s="95" t="n">
        <x:v>13</x:v>
      </x:c>
      <x:c r="I911" s="95" t="n">
        <x:v>11</x:v>
      </x:c>
      <x:c r="J911" s="95" t="n">
        <x:v>5</x:v>
      </x:c>
      <x:c r="K911" s="95" t="n">
        <x:v>2</x:v>
      </x:c>
      <x:c r="L911" s="95" t="n">
        <x:v>0</x:v>
      </x:c>
      <x:c r="M911" s="96" t="n">
        <x:f>IFERROR(G911/F911,0)</x:f>
        <x:v>0.9523809523809523</x:v>
      </x:c>
      <x:c r="N911" s="96" t="n">
        <x:f>IFERROR(H911/G911,0)</x:f>
        <x:v>0.65</x:v>
      </x:c>
      <x:c r="O911" s="96" t="n">
        <x:f>IFERROR(I911/H911,0)</x:f>
        <x:v>0.8461538461538461</x:v>
      </x:c>
      <x:c r="P911" s="96" t="n">
        <x:f>IFERROR(J911/I911,0)</x:f>
        <x:v>0.45454545454545453</x:v>
      </x:c>
      <x:c r="Q911" s="96" t="n">
        <x:f>IFERROR(L911/J911,0)</x:f>
        <x:v>0</x:v>
      </x:c>
      <x:c r="R911" s="96" t="n">
        <x:f>IFERROR(L911/F911,0)</x:f>
        <x:v>0</x:v>
      </x:c>
      <x:c r="S911" s="95" t="n">
        <x:v>119</x:v>
      </x:c>
      <x:c r="T911" s="94" t="str">
        <x:v>末次点击7天</x:v>
      </x:c>
    </x:row>
    <x:row r="912">
      <x:c r="A912" s="92" t="str">
        <x:v>PROC-0911</x:v>
      </x:c>
      <x:c r="B912" s="93" t="n">
        <x:v>46187</x:v>
      </x:c>
      <x:c r="C912" s="94" t="str">
        <x:v>Google Ads</x:v>
      </x:c>
      <x:c r="D912" s="94" t="str">
        <x:v>德国</x:v>
      </x:c>
      <x:c r="E912" s="94" t="str">
        <x:v>购物广告</x:v>
      </x:c>
      <x:c r="F912" s="95" t="n">
        <x:v>72</x:v>
      </x:c>
      <x:c r="G912" s="95" t="n">
        <x:v>64</x:v>
      </x:c>
      <x:c r="H912" s="95" t="n">
        <x:v>45</x:v>
      </x:c>
      <x:c r="I912" s="95" t="n">
        <x:v>39</x:v>
      </x:c>
      <x:c r="J912" s="95" t="n">
        <x:v>16</x:v>
      </x:c>
      <x:c r="K912" s="95" t="n">
        <x:v>4</x:v>
      </x:c>
      <x:c r="L912" s="95" t="n">
        <x:v>1</x:v>
      </x:c>
      <x:c r="M912" s="96" t="n">
        <x:f>IFERROR(G912/F912,0)</x:f>
        <x:v>0.8888888888888888</x:v>
      </x:c>
      <x:c r="N912" s="96" t="n">
        <x:f>IFERROR(H912/G912,0)</x:f>
        <x:v>0.703125</x:v>
      </x:c>
      <x:c r="O912" s="96" t="n">
        <x:f>IFERROR(I912/H912,0)</x:f>
        <x:v>0.8666666666666667</x:v>
      </x:c>
      <x:c r="P912" s="96" t="n">
        <x:f>IFERROR(J912/I912,0)</x:f>
        <x:v>0.41025641025641024</x:v>
      </x:c>
      <x:c r="Q912" s="96" t="n">
        <x:f>IFERROR(L912/J912,0)</x:f>
        <x:v>0.0625</x:v>
      </x:c>
      <x:c r="R912" s="96" t="n">
        <x:f>IFERROR(L912/F912,0)</x:f>
        <x:v>0.013888888888888888</x:v>
      </x:c>
      <x:c r="S912" s="95" t="n">
        <x:v>78</x:v>
      </x:c>
      <x:c r="T912" s="94" t="str">
        <x:v>末次点击7天</x:v>
      </x:c>
    </x:row>
    <x:row r="913">
      <x:c r="A913" s="92" t="str">
        <x:v>PROC-0912</x:v>
      </x:c>
      <x:c r="B913" s="93" t="n">
        <x:v>46187</x:v>
      </x:c>
      <x:c r="C913" s="94" t="str">
        <x:v>Google Ads</x:v>
      </x:c>
      <x:c r="D913" s="94" t="str">
        <x:v>美国</x:v>
      </x:c>
      <x:c r="E913" s="94" t="str">
        <x:v>通用搜索</x:v>
      </x:c>
      <x:c r="F913" s="95" t="n">
        <x:v>49</x:v>
      </x:c>
      <x:c r="G913" s="95" t="n">
        <x:v>43</x:v>
      </x:c>
      <x:c r="H913" s="95" t="n">
        <x:v>27</x:v>
      </x:c>
      <x:c r="I913" s="95" t="n">
        <x:v>23</x:v>
      </x:c>
      <x:c r="J913" s="95" t="n">
        <x:v>9</x:v>
      </x:c>
      <x:c r="K913" s="95" t="n">
        <x:v>3</x:v>
      </x:c>
      <x:c r="L913" s="95" t="n">
        <x:v>1</x:v>
      </x:c>
      <x:c r="M913" s="96" t="n">
        <x:f>IFERROR(G913/F913,0)</x:f>
        <x:v>0.8775510204081632</x:v>
      </x:c>
      <x:c r="N913" s="96" t="n">
        <x:f>IFERROR(H913/G913,0)</x:f>
        <x:v>0.627906976744186</x:v>
      </x:c>
      <x:c r="O913" s="96" t="n">
        <x:f>IFERROR(I913/H913,0)</x:f>
        <x:v>0.8518518518518519</x:v>
      </x:c>
      <x:c r="P913" s="96" t="n">
        <x:f>IFERROR(J913/I913,0)</x:f>
        <x:v>0.391304347826087</x:v>
      </x:c>
      <x:c r="Q913" s="96" t="n">
        <x:f>IFERROR(L913/J913,0)</x:f>
        <x:v>0.1111111111111111</x:v>
      </x:c>
      <x:c r="R913" s="96" t="n">
        <x:f>IFERROR(L913/F913,0)</x:f>
        <x:v>0.02040816326530612</x:v>
      </x:c>
      <x:c r="S913" s="95" t="n">
        <x:v>133</x:v>
      </x:c>
      <x:c r="T913" s="94" t="str">
        <x:v>末次点击7天</x:v>
      </x:c>
    </x:row>
    <x:row r="914">
      <x:c r="A914" s="92" t="str">
        <x:v>PROC-0913</x:v>
      </x:c>
      <x:c r="B914" s="93" t="n">
        <x:v>46188</x:v>
      </x:c>
      <x:c r="C914" s="94" t="str">
        <x:v>Microsoft Ads</x:v>
      </x:c>
      <x:c r="D914" s="94" t="str">
        <x:v>日本</x:v>
      </x:c>
      <x:c r="E914" s="94" t="str">
        <x:v>竞品搜索</x:v>
      </x:c>
      <x:c r="F914" s="95" t="n">
        <x:v>29</x:v>
      </x:c>
      <x:c r="G914" s="95" t="n">
        <x:v>27</x:v>
      </x:c>
      <x:c r="H914" s="95" t="n">
        <x:v>21</x:v>
      </x:c>
      <x:c r="I914" s="95" t="n">
        <x:v>18</x:v>
      </x:c>
      <x:c r="J914" s="95" t="n">
        <x:v>7</x:v>
      </x:c>
      <x:c r="K914" s="95" t="n">
        <x:v>2</x:v>
      </x:c>
      <x:c r="L914" s="95" t="n">
        <x:v>1</x:v>
      </x:c>
      <x:c r="M914" s="96" t="n">
        <x:f>IFERROR(G914/F914,0)</x:f>
        <x:v>0.9310344827586207</x:v>
      </x:c>
      <x:c r="N914" s="96" t="n">
        <x:f>IFERROR(H914/G914,0)</x:f>
        <x:v>0.7777777777777778</x:v>
      </x:c>
      <x:c r="O914" s="96" t="n">
        <x:f>IFERROR(I914/H914,0)</x:f>
        <x:v>0.8571428571428571</x:v>
      </x:c>
      <x:c r="P914" s="96" t="n">
        <x:f>IFERROR(J914/I914,0)</x:f>
        <x:v>0.3888888888888889</x:v>
      </x:c>
      <x:c r="Q914" s="96" t="n">
        <x:f>IFERROR(L914/J914,0)</x:f>
        <x:v>0.14285714285714285</x:v>
      </x:c>
      <x:c r="R914" s="96" t="n">
        <x:f>IFERROR(L914/F914,0)</x:f>
        <x:v>0.034482758620689655</x:v>
      </x:c>
      <x:c r="S914" s="95" t="n">
        <x:v>67</x:v>
      </x:c>
      <x:c r="T914" s="94" t="str">
        <x:v>末次点击7天</x:v>
      </x:c>
    </x:row>
    <x:row r="915">
      <x:c r="A915" s="92" t="str">
        <x:v>PROC-0914</x:v>
      </x:c>
      <x:c r="B915" s="93" t="n">
        <x:v>46188</x:v>
      </x:c>
      <x:c r="C915" s="94" t="str">
        <x:v>Google Ads</x:v>
      </x:c>
      <x:c r="D915" s="94" t="str">
        <x:v>英国</x:v>
      </x:c>
      <x:c r="E915" s="94" t="str">
        <x:v>竞品搜索</x:v>
      </x:c>
      <x:c r="F915" s="95" t="n">
        <x:v>42</x:v>
      </x:c>
      <x:c r="G915" s="95" t="n">
        <x:v>37</x:v>
      </x:c>
      <x:c r="H915" s="95" t="n">
        <x:v>26</x:v>
      </x:c>
      <x:c r="I915" s="95" t="n">
        <x:v>21</x:v>
      </x:c>
      <x:c r="J915" s="95" t="n">
        <x:v>8</x:v>
      </x:c>
      <x:c r="K915" s="95" t="n">
        <x:v>2</x:v>
      </x:c>
      <x:c r="L915" s="95" t="n">
        <x:v>1</x:v>
      </x:c>
      <x:c r="M915" s="96" t="n">
        <x:f>IFERROR(G915/F915,0)</x:f>
        <x:v>0.8809523809523809</x:v>
      </x:c>
      <x:c r="N915" s="96" t="n">
        <x:f>IFERROR(H915/G915,0)</x:f>
        <x:v>0.7027027027027027</x:v>
      </x:c>
      <x:c r="O915" s="96" t="n">
        <x:f>IFERROR(I915/H915,0)</x:f>
        <x:v>0.8076923076923077</x:v>
      </x:c>
      <x:c r="P915" s="96" t="n">
        <x:f>IFERROR(J915/I915,0)</x:f>
        <x:v>0.38095238095238093</x:v>
      </x:c>
      <x:c r="Q915" s="96" t="n">
        <x:f>IFERROR(L915/J915,0)</x:f>
        <x:v>0.125</x:v>
      </x:c>
      <x:c r="R915" s="96" t="n">
        <x:f>IFERROR(L915/F915,0)</x:f>
        <x:v>0.023809523809523808</x:v>
      </x:c>
      <x:c r="S915" s="95" t="n">
        <x:v>85</x:v>
      </x:c>
      <x:c r="T915" s="94" t="str">
        <x:v>末次点击7天</x:v>
      </x:c>
    </x:row>
    <x:row r="916">
      <x:c r="A916" s="92" t="str">
        <x:v>PROC-0915</x:v>
      </x:c>
      <x:c r="B916" s="93" t="n">
        <x:v>46188</x:v>
      </x:c>
      <x:c r="C916" s="94" t="str">
        <x:v>Microsoft Ads</x:v>
      </x:c>
      <x:c r="D916" s="94" t="str">
        <x:v>美国</x:v>
      </x:c>
      <x:c r="E916" s="94" t="str">
        <x:v>购物广告</x:v>
      </x:c>
      <x:c r="F916" s="95" t="n">
        <x:v>42</x:v>
      </x:c>
      <x:c r="G916" s="95" t="n">
        <x:v>39</x:v>
      </x:c>
      <x:c r="H916" s="95" t="n">
        <x:v>29</x:v>
      </x:c>
      <x:c r="I916" s="95" t="n">
        <x:v>25</x:v>
      </x:c>
      <x:c r="J916" s="95" t="n">
        <x:v>11</x:v>
      </x:c>
      <x:c r="K916" s="95" t="n">
        <x:v>3</x:v>
      </x:c>
      <x:c r="L916" s="95" t="n">
        <x:v>1</x:v>
      </x:c>
      <x:c r="M916" s="96" t="n">
        <x:f>IFERROR(G916/F916,0)</x:f>
        <x:v>0.9285714285714286</x:v>
      </x:c>
      <x:c r="N916" s="96" t="n">
        <x:f>IFERROR(H916/G916,0)</x:f>
        <x:v>0.7435897435897436</x:v>
      </x:c>
      <x:c r="O916" s="96" t="n">
        <x:f>IFERROR(I916/H916,0)</x:f>
        <x:v>0.8620689655172413</x:v>
      </x:c>
      <x:c r="P916" s="96" t="n">
        <x:f>IFERROR(J916/I916,0)</x:f>
        <x:v>0.44</x:v>
      </x:c>
      <x:c r="Q916" s="96" t="n">
        <x:f>IFERROR(L916/J916,0)</x:f>
        <x:v>0.09090909090909091</x:v>
      </x:c>
      <x:c r="R916" s="96" t="n">
        <x:f>IFERROR(L916/F916,0)</x:f>
        <x:v>0.023809523809523808</x:v>
      </x:c>
      <x:c r="S916" s="95" t="n">
        <x:v>117</x:v>
      </x:c>
      <x:c r="T916" s="94" t="str">
        <x:v>末次点击7天</x:v>
      </x:c>
    </x:row>
    <x:row r="917">
      <x:c r="A917" s="92" t="str">
        <x:v>PROC-0916</x:v>
      </x:c>
      <x:c r="B917" s="93" t="n">
        <x:v>46188</x:v>
      </x:c>
      <x:c r="C917" s="94" t="str">
        <x:v>Microsoft Ads</x:v>
      </x:c>
      <x:c r="D917" s="94" t="str">
        <x:v>美国</x:v>
      </x:c>
      <x:c r="E917" s="94" t="str">
        <x:v>购物广告</x:v>
      </x:c>
      <x:c r="F917" s="95" t="n">
        <x:v>55</x:v>
      </x:c>
      <x:c r="G917" s="95" t="n">
        <x:v>51</x:v>
      </x:c>
      <x:c r="H917" s="95" t="n">
        <x:v>33</x:v>
      </x:c>
      <x:c r="I917" s="95" t="n">
        <x:v>28</x:v>
      </x:c>
      <x:c r="J917" s="95" t="n">
        <x:v>14</x:v>
      </x:c>
      <x:c r="K917" s="95" t="n">
        <x:v>3</x:v>
      </x:c>
      <x:c r="L917" s="95" t="n">
        <x:v>1</x:v>
      </x:c>
      <x:c r="M917" s="96" t="n">
        <x:f>IFERROR(G917/F917,0)</x:f>
        <x:v>0.9272727272727272</x:v>
      </x:c>
      <x:c r="N917" s="96" t="n">
        <x:f>IFERROR(H917/G917,0)</x:f>
        <x:v>0.6470588235294118</x:v>
      </x:c>
      <x:c r="O917" s="96" t="n">
        <x:f>IFERROR(I917/H917,0)</x:f>
        <x:v>0.8484848484848485</x:v>
      </x:c>
      <x:c r="P917" s="96" t="n">
        <x:f>IFERROR(J917/I917,0)</x:f>
        <x:v>0.5</x:v>
      </x:c>
      <x:c r="Q917" s="96" t="n">
        <x:f>IFERROR(L917/J917,0)</x:f>
        <x:v>0.07142857142857142</x:v>
      </x:c>
      <x:c r="R917" s="96" t="n">
        <x:f>IFERROR(L917/F917,0)</x:f>
        <x:v>0.01818181818181818</x:v>
      </x:c>
      <x:c r="S917" s="95" t="n">
        <x:v>54</x:v>
      </x:c>
      <x:c r="T917" s="94" t="str">
        <x:v>末次点击7天</x:v>
      </x:c>
    </x:row>
    <x:row r="918">
      <x:c r="A918" s="92" t="str">
        <x:v>PROC-0917</x:v>
      </x:c>
      <x:c r="B918" s="93" t="n">
        <x:v>46188</x:v>
      </x:c>
      <x:c r="C918" s="94" t="str">
        <x:v>Microsoft Ads</x:v>
      </x:c>
      <x:c r="D918" s="94" t="str">
        <x:v>美国</x:v>
      </x:c>
      <x:c r="E918" s="94" t="str">
        <x:v>品牌搜索</x:v>
      </x:c>
      <x:c r="F918" s="95" t="n">
        <x:v>66</x:v>
      </x:c>
      <x:c r="G918" s="95" t="n">
        <x:v>62</x:v>
      </x:c>
      <x:c r="H918" s="95" t="n">
        <x:v>41</x:v>
      </x:c>
      <x:c r="I918" s="95" t="n">
        <x:v>32</x:v>
      </x:c>
      <x:c r="J918" s="95" t="n">
        <x:v>17</x:v>
      </x:c>
      <x:c r="K918" s="95" t="n">
        <x:v>6</x:v>
      </x:c>
      <x:c r="L918" s="95" t="n">
        <x:v>2</x:v>
      </x:c>
      <x:c r="M918" s="96" t="n">
        <x:f>IFERROR(G918/F918,0)</x:f>
        <x:v>0.9393939393939394</x:v>
      </x:c>
      <x:c r="N918" s="96" t="n">
        <x:f>IFERROR(H918/G918,0)</x:f>
        <x:v>0.6612903225806451</x:v>
      </x:c>
      <x:c r="O918" s="96" t="n">
        <x:f>IFERROR(I918/H918,0)</x:f>
        <x:v>0.7804878048780488</x:v>
      </x:c>
      <x:c r="P918" s="96" t="n">
        <x:f>IFERROR(J918/I918,0)</x:f>
        <x:v>0.53125</x:v>
      </x:c>
      <x:c r="Q918" s="96" t="n">
        <x:f>IFERROR(L918/J918,0)</x:f>
        <x:v>0.11764705882352941</x:v>
      </x:c>
      <x:c r="R918" s="96" t="n">
        <x:f>IFERROR(L918/F918,0)</x:f>
        <x:v>0.030303030303030304</x:v>
      </x:c>
      <x:c r="S918" s="95" t="n">
        <x:v>126</x:v>
      </x:c>
      <x:c r="T918" s="94" t="str">
        <x:v>末次点击7天</x:v>
      </x:c>
    </x:row>
    <x:row r="919">
      <x:c r="A919" s="92" t="str">
        <x:v>PROC-0918</x:v>
      </x:c>
      <x:c r="B919" s="93" t="n">
        <x:v>46188</x:v>
      </x:c>
      <x:c r="C919" s="94" t="str">
        <x:v>Google Ads</x:v>
      </x:c>
      <x:c r="D919" s="94" t="str">
        <x:v>德国</x:v>
      </x:c>
      <x:c r="E919" s="94" t="str">
        <x:v>通用搜索</x:v>
      </x:c>
      <x:c r="F919" s="95" t="n">
        <x:v>35</x:v>
      </x:c>
      <x:c r="G919" s="95" t="n">
        <x:v>32</x:v>
      </x:c>
      <x:c r="H919" s="95" t="n">
        <x:v>22</x:v>
      </x:c>
      <x:c r="I919" s="95" t="n">
        <x:v>18</x:v>
      </x:c>
      <x:c r="J919" s="95" t="n">
        <x:v>7</x:v>
      </x:c>
      <x:c r="K919" s="95" t="n">
        <x:v>2</x:v>
      </x:c>
      <x:c r="L919" s="95" t="n">
        <x:v>1</x:v>
      </x:c>
      <x:c r="M919" s="96" t="n">
        <x:f>IFERROR(G919/F919,0)</x:f>
        <x:v>0.9142857142857143</x:v>
      </x:c>
      <x:c r="N919" s="96" t="n">
        <x:f>IFERROR(H919/G919,0)</x:f>
        <x:v>0.6875</x:v>
      </x:c>
      <x:c r="O919" s="96" t="n">
        <x:f>IFERROR(I919/H919,0)</x:f>
        <x:v>0.8181818181818182</x:v>
      </x:c>
      <x:c r="P919" s="96" t="n">
        <x:f>IFERROR(J919/I919,0)</x:f>
        <x:v>0.3888888888888889</x:v>
      </x:c>
      <x:c r="Q919" s="96" t="n">
        <x:f>IFERROR(L919/J919,0)</x:f>
        <x:v>0.14285714285714285</x:v>
      </x:c>
      <x:c r="R919" s="96" t="n">
        <x:f>IFERROR(L919/F919,0)</x:f>
        <x:v>0.02857142857142857</x:v>
      </x:c>
      <x:c r="S919" s="95" t="n">
        <x:v>145</x:v>
      </x:c>
      <x:c r="T919" s="94" t="str">
        <x:v>末次点击7天</x:v>
      </x:c>
    </x:row>
    <x:row r="920">
      <x:c r="A920" s="92" t="str">
        <x:v>PROC-0919</x:v>
      </x:c>
      <x:c r="B920" s="93" t="n">
        <x:v>46189</x:v>
      </x:c>
      <x:c r="C920" s="94" t="str">
        <x:v>Google Ads</x:v>
      </x:c>
      <x:c r="D920" s="94" t="str">
        <x:v>美国</x:v>
      </x:c>
      <x:c r="E920" s="94" t="str">
        <x:v>购物广告</x:v>
      </x:c>
      <x:c r="F920" s="95" t="n">
        <x:v>63</x:v>
      </x:c>
      <x:c r="G920" s="95" t="n">
        <x:v>55</x:v>
      </x:c>
      <x:c r="H920" s="95" t="n">
        <x:v>38</x:v>
      </x:c>
      <x:c r="I920" s="95" t="n">
        <x:v>35</x:v>
      </x:c>
      <x:c r="J920" s="95" t="n">
        <x:v>17</x:v>
      </x:c>
      <x:c r="K920" s="95" t="n">
        <x:v>4</x:v>
      </x:c>
      <x:c r="L920" s="95" t="n">
        <x:v>1</x:v>
      </x:c>
      <x:c r="M920" s="96" t="n">
        <x:f>IFERROR(G920/F920,0)</x:f>
        <x:v>0.873015873015873</x:v>
      </x:c>
      <x:c r="N920" s="96" t="n">
        <x:f>IFERROR(H920/G920,0)</x:f>
        <x:v>0.6909090909090909</x:v>
      </x:c>
      <x:c r="O920" s="96" t="n">
        <x:f>IFERROR(I920/H920,0)</x:f>
        <x:v>0.9210526315789473</x:v>
      </x:c>
      <x:c r="P920" s="96" t="n">
        <x:f>IFERROR(J920/I920,0)</x:f>
        <x:v>0.4857142857142857</x:v>
      </x:c>
      <x:c r="Q920" s="96" t="n">
        <x:f>IFERROR(L920/J920,0)</x:f>
        <x:v>0.058823529411764705</x:v>
      </x:c>
      <x:c r="R920" s="96" t="n">
        <x:f>IFERROR(L920/F920,0)</x:f>
        <x:v>0.015873015873015872</x:v>
      </x:c>
      <x:c r="S920" s="95" t="n">
        <x:v>125</x:v>
      </x:c>
      <x:c r="T920" s="94" t="str">
        <x:v>末次点击7天</x:v>
      </x:c>
    </x:row>
    <x:row r="921">
      <x:c r="A921" s="92" t="str">
        <x:v>PROC-0920</x:v>
      </x:c>
      <x:c r="B921" s="93" t="n">
        <x:v>46189</x:v>
      </x:c>
      <x:c r="C921" s="94" t="str">
        <x:v>Microsoft Ads</x:v>
      </x:c>
      <x:c r="D921" s="94" t="str">
        <x:v>美国</x:v>
      </x:c>
      <x:c r="E921" s="94" t="str">
        <x:v>通用搜索</x:v>
      </x:c>
      <x:c r="F921" s="95" t="n">
        <x:v>27</x:v>
      </x:c>
      <x:c r="G921" s="95" t="n">
        <x:v>26</x:v>
      </x:c>
      <x:c r="H921" s="95" t="n">
        <x:v>18</x:v>
      </x:c>
      <x:c r="I921" s="95" t="n">
        <x:v>15</x:v>
      </x:c>
      <x:c r="J921" s="95" t="n">
        <x:v>6</x:v>
      </x:c>
      <x:c r="K921" s="95" t="n">
        <x:v>2</x:v>
      </x:c>
      <x:c r="L921" s="95" t="n">
        <x:v>1</x:v>
      </x:c>
      <x:c r="M921" s="96" t="n">
        <x:f>IFERROR(G921/F921,0)</x:f>
        <x:v>0.9629629629629629</x:v>
      </x:c>
      <x:c r="N921" s="96" t="n">
        <x:f>IFERROR(H921/G921,0)</x:f>
        <x:v>0.6923076923076923</x:v>
      </x:c>
      <x:c r="O921" s="96" t="n">
        <x:f>IFERROR(I921/H921,0)</x:f>
        <x:v>0.8333333333333334</x:v>
      </x:c>
      <x:c r="P921" s="96" t="n">
        <x:f>IFERROR(J921/I921,0)</x:f>
        <x:v>0.4</x:v>
      </x:c>
      <x:c r="Q921" s="96" t="n">
        <x:f>IFERROR(L921/J921,0)</x:f>
        <x:v>0.16666666666666666</x:v>
      </x:c>
      <x:c r="R921" s="96" t="n">
        <x:f>IFERROR(L921/F921,0)</x:f>
        <x:v>0.037037037037037035</x:v>
      </x:c>
      <x:c r="S921" s="95" t="n">
        <x:v>105</x:v>
      </x:c>
      <x:c r="T921" s="94" t="str">
        <x:v>末次点击7天</x:v>
      </x:c>
    </x:row>
    <x:row r="922">
      <x:c r="A922" s="92" t="str">
        <x:v>PROC-0921</x:v>
      </x:c>
      <x:c r="B922" s="93" t="n">
        <x:v>46189</x:v>
      </x:c>
      <x:c r="C922" s="94" t="str">
        <x:v>Microsoft Ads</x:v>
      </x:c>
      <x:c r="D922" s="94" t="str">
        <x:v>美国</x:v>
      </x:c>
      <x:c r="E922" s="94" t="str">
        <x:v>通用搜索</x:v>
      </x:c>
      <x:c r="F922" s="95" t="n">
        <x:v>41</x:v>
      </x:c>
      <x:c r="G922" s="95" t="n">
        <x:v>39</x:v>
      </x:c>
      <x:c r="H922" s="95" t="n">
        <x:v>27</x:v>
      </x:c>
      <x:c r="I922" s="95" t="n">
        <x:v>22</x:v>
      </x:c>
      <x:c r="J922" s="95" t="n">
        <x:v>10</x:v>
      </x:c>
      <x:c r="K922" s="95" t="n">
        <x:v>3</x:v>
      </x:c>
      <x:c r="L922" s="95" t="n">
        <x:v>1</x:v>
      </x:c>
      <x:c r="M922" s="96" t="n">
        <x:f>IFERROR(G922/F922,0)</x:f>
        <x:v>0.9512195121951219</x:v>
      </x:c>
      <x:c r="N922" s="96" t="n">
        <x:f>IFERROR(H922/G922,0)</x:f>
        <x:v>0.6923076923076923</x:v>
      </x:c>
      <x:c r="O922" s="96" t="n">
        <x:f>IFERROR(I922/H922,0)</x:f>
        <x:v>0.8148148148148148</x:v>
      </x:c>
      <x:c r="P922" s="96" t="n">
        <x:f>IFERROR(J922/I922,0)</x:f>
        <x:v>0.45454545454545453</x:v>
      </x:c>
      <x:c r="Q922" s="96" t="n">
        <x:f>IFERROR(L922/J922,0)</x:f>
        <x:v>0.1</x:v>
      </x:c>
      <x:c r="R922" s="96" t="n">
        <x:f>IFERROR(L922/F922,0)</x:f>
        <x:v>0.024390243902439025</x:v>
      </x:c>
      <x:c r="S922" s="95" t="n">
        <x:v>110</x:v>
      </x:c>
      <x:c r="T922" s="94" t="str">
        <x:v>末次点击7天</x:v>
      </x:c>
    </x:row>
    <x:row r="923">
      <x:c r="A923" s="92" t="str">
        <x:v>PROC-0922</x:v>
      </x:c>
      <x:c r="B923" s="93" t="n">
        <x:v>46189</x:v>
      </x:c>
      <x:c r="C923" s="94" t="str">
        <x:v>Google Ads</x:v>
      </x:c>
      <x:c r="D923" s="94" t="str">
        <x:v>英国</x:v>
      </x:c>
      <x:c r="E923" s="94" t="str">
        <x:v>通用搜索</x:v>
      </x:c>
      <x:c r="F923" s="95" t="n">
        <x:v>47</x:v>
      </x:c>
      <x:c r="G923" s="95" t="n">
        <x:v>44</x:v>
      </x:c>
      <x:c r="H923" s="95" t="n">
        <x:v>30</x:v>
      </x:c>
      <x:c r="I923" s="95" t="n">
        <x:v>26</x:v>
      </x:c>
      <x:c r="J923" s="95" t="n">
        <x:v>12</x:v>
      </x:c>
      <x:c r="K923" s="95" t="n">
        <x:v>3</x:v>
      </x:c>
      <x:c r="L923" s="95" t="n">
        <x:v>1</x:v>
      </x:c>
      <x:c r="M923" s="96" t="n">
        <x:f>IFERROR(G923/F923,0)</x:f>
        <x:v>0.9361702127659575</x:v>
      </x:c>
      <x:c r="N923" s="96" t="n">
        <x:f>IFERROR(H923/G923,0)</x:f>
        <x:v>0.6818181818181818</x:v>
      </x:c>
      <x:c r="O923" s="96" t="n">
        <x:f>IFERROR(I923/H923,0)</x:f>
        <x:v>0.8666666666666667</x:v>
      </x:c>
      <x:c r="P923" s="96" t="n">
        <x:f>IFERROR(J923/I923,0)</x:f>
        <x:v>0.46153846153846156</x:v>
      </x:c>
      <x:c r="Q923" s="96" t="n">
        <x:f>IFERROR(L923/J923,0)</x:f>
        <x:v>0.08333333333333333</x:v>
      </x:c>
      <x:c r="R923" s="96" t="n">
        <x:f>IFERROR(L923/F923,0)</x:f>
        <x:v>0.02127659574468085</x:v>
      </x:c>
      <x:c r="S923" s="95" t="n">
        <x:v>53</x:v>
      </x:c>
      <x:c r="T923" s="94" t="str">
        <x:v>末次点击7天</x:v>
      </x:c>
    </x:row>
    <x:row r="924">
      <x:c r="A924" s="92" t="str">
        <x:v>PROC-0923</x:v>
      </x:c>
      <x:c r="B924" s="93" t="n">
        <x:v>46189</x:v>
      </x:c>
      <x:c r="C924" s="94" t="str">
        <x:v>Microsoft Ads</x:v>
      </x:c>
      <x:c r="D924" s="94" t="str">
        <x:v>德国</x:v>
      </x:c>
      <x:c r="E924" s="94" t="str">
        <x:v>品牌搜索</x:v>
      </x:c>
      <x:c r="F924" s="95" t="n">
        <x:v>64</x:v>
      </x:c>
      <x:c r="G924" s="95" t="n">
        <x:v>60</x:v>
      </x:c>
      <x:c r="H924" s="95" t="n">
        <x:v>43</x:v>
      </x:c>
      <x:c r="I924" s="95" t="n">
        <x:v>35</x:v>
      </x:c>
      <x:c r="J924" s="95" t="n">
        <x:v>16</x:v>
      </x:c>
      <x:c r="K924" s="95" t="n">
        <x:v>5</x:v>
      </x:c>
      <x:c r="L924" s="95" t="n">
        <x:v>2</x:v>
      </x:c>
      <x:c r="M924" s="96" t="n">
        <x:f>IFERROR(G924/F924,0)</x:f>
        <x:v>0.9375</x:v>
      </x:c>
      <x:c r="N924" s="96" t="n">
        <x:f>IFERROR(H924/G924,0)</x:f>
        <x:v>0.7166666666666667</x:v>
      </x:c>
      <x:c r="O924" s="96" t="n">
        <x:f>IFERROR(I924/H924,0)</x:f>
        <x:v>0.813953488372093</x:v>
      </x:c>
      <x:c r="P924" s="96" t="n">
        <x:f>IFERROR(J924/I924,0)</x:f>
        <x:v>0.45714285714285713</x:v>
      </x:c>
      <x:c r="Q924" s="96" t="n">
        <x:f>IFERROR(L924/J924,0)</x:f>
        <x:v>0.125</x:v>
      </x:c>
      <x:c r="R924" s="96" t="n">
        <x:f>IFERROR(L924/F924,0)</x:f>
        <x:v>0.03125</x:v>
      </x:c>
      <x:c r="S924" s="95" t="n">
        <x:v>119</x:v>
      </x:c>
      <x:c r="T924" s="94" t="str">
        <x:v>末次点击7天</x:v>
      </x:c>
    </x:row>
    <x:row r="925">
      <x:c r="A925" s="92" t="str">
        <x:v>PROC-0924</x:v>
      </x:c>
      <x:c r="B925" s="93" t="n">
        <x:v>46190</x:v>
      </x:c>
      <x:c r="C925" s="94" t="str">
        <x:v>Google Ads</x:v>
      </x:c>
      <x:c r="D925" s="94" t="str">
        <x:v>美国</x:v>
      </x:c>
      <x:c r="E925" s="94" t="str">
        <x:v>通用搜索</x:v>
      </x:c>
      <x:c r="F925" s="95" t="n">
        <x:v>45</x:v>
      </x:c>
      <x:c r="G925" s="95" t="n">
        <x:v>41</x:v>
      </x:c>
      <x:c r="H925" s="95" t="n">
        <x:v>32</x:v>
      </x:c>
      <x:c r="I925" s="95" t="n">
        <x:v>27</x:v>
      </x:c>
      <x:c r="J925" s="95" t="n">
        <x:v>11</x:v>
      </x:c>
      <x:c r="K925" s="95" t="n">
        <x:v>3</x:v>
      </x:c>
      <x:c r="L925" s="95" t="n">
        <x:v>1</x:v>
      </x:c>
      <x:c r="M925" s="96" t="n">
        <x:f>IFERROR(G925/F925,0)</x:f>
        <x:v>0.9111111111111111</x:v>
      </x:c>
      <x:c r="N925" s="96" t="n">
        <x:f>IFERROR(H925/G925,0)</x:f>
        <x:v>0.7804878048780488</x:v>
      </x:c>
      <x:c r="O925" s="96" t="n">
        <x:f>IFERROR(I925/H925,0)</x:f>
        <x:v>0.84375</x:v>
      </x:c>
      <x:c r="P925" s="96" t="n">
        <x:f>IFERROR(J925/I925,0)</x:f>
        <x:v>0.4074074074074074</x:v>
      </x:c>
      <x:c r="Q925" s="96" t="n">
        <x:f>IFERROR(L925/J925,0)</x:f>
        <x:v>0.09090909090909091</x:v>
      </x:c>
      <x:c r="R925" s="96" t="n">
        <x:f>IFERROR(L925/F925,0)</x:f>
        <x:v>0.022222222222222223</x:v>
      </x:c>
      <x:c r="S925" s="95" t="n">
        <x:v>81</x:v>
      </x:c>
      <x:c r="T925" s="94" t="str">
        <x:v>末次点击7天</x:v>
      </x:c>
    </x:row>
    <x:row r="926">
      <x:c r="A926" s="92" t="str">
        <x:v>PROC-0925</x:v>
      </x:c>
      <x:c r="B926" s="93" t="n">
        <x:v>46190</x:v>
      </x:c>
      <x:c r="C926" s="94" t="str">
        <x:v>Google Ads</x:v>
      </x:c>
      <x:c r="D926" s="94" t="str">
        <x:v>英国</x:v>
      </x:c>
      <x:c r="E926" s="94" t="str">
        <x:v>购物广告</x:v>
      </x:c>
      <x:c r="F926" s="95" t="n">
        <x:v>72</x:v>
      </x:c>
      <x:c r="G926" s="95" t="n">
        <x:v>67</x:v>
      </x:c>
      <x:c r="H926" s="95" t="n">
        <x:v>43</x:v>
      </x:c>
      <x:c r="I926" s="95" t="n">
        <x:v>39</x:v>
      </x:c>
      <x:c r="J926" s="95" t="n">
        <x:v>19</x:v>
      </x:c>
      <x:c r="K926" s="95" t="n">
        <x:v>7</x:v>
      </x:c>
      <x:c r="L926" s="95" t="n">
        <x:v>2</x:v>
      </x:c>
      <x:c r="M926" s="96" t="n">
        <x:f>IFERROR(G926/F926,0)</x:f>
        <x:v>0.9305555555555556</x:v>
      </x:c>
      <x:c r="N926" s="96" t="n">
        <x:f>IFERROR(H926/G926,0)</x:f>
        <x:v>0.6417910447761194</x:v>
      </x:c>
      <x:c r="O926" s="96" t="n">
        <x:f>IFERROR(I926/H926,0)</x:f>
        <x:v>0.9069767441860465</x:v>
      </x:c>
      <x:c r="P926" s="96" t="n">
        <x:f>IFERROR(J926/I926,0)</x:f>
        <x:v>0.48717948717948717</x:v>
      </x:c>
      <x:c r="Q926" s="96" t="n">
        <x:f>IFERROR(L926/J926,0)</x:f>
        <x:v>0.10526315789473684</x:v>
      </x:c>
      <x:c r="R926" s="96" t="n">
        <x:f>IFERROR(L926/F926,0)</x:f>
        <x:v>0.027777777777777776</x:v>
      </x:c>
      <x:c r="S926" s="95" t="n">
        <x:v>151</x:v>
      </x:c>
      <x:c r="T926" s="94" t="str">
        <x:v>末次点击7天</x:v>
      </x:c>
    </x:row>
    <x:row r="927">
      <x:c r="A927" s="92" t="str">
        <x:v>PROC-0926</x:v>
      </x:c>
      <x:c r="B927" s="93" t="n">
        <x:v>46190</x:v>
      </x:c>
      <x:c r="C927" s="94" t="str">
        <x:v>Microsoft Ads</x:v>
      </x:c>
      <x:c r="D927" s="94" t="str">
        <x:v>美国</x:v>
      </x:c>
      <x:c r="E927" s="94" t="str">
        <x:v>购物广告</x:v>
      </x:c>
      <x:c r="F927" s="95" t="n">
        <x:v>74</x:v>
      </x:c>
      <x:c r="G927" s="95" t="n">
        <x:v>71</x:v>
      </x:c>
      <x:c r="H927" s="95" t="n">
        <x:v>47</x:v>
      </x:c>
      <x:c r="I927" s="95" t="n">
        <x:v>42</x:v>
      </x:c>
      <x:c r="J927" s="95" t="n">
        <x:v>20</x:v>
      </x:c>
      <x:c r="K927" s="95" t="n">
        <x:v>6</x:v>
      </x:c>
      <x:c r="L927" s="95" t="n">
        <x:v>2</x:v>
      </x:c>
      <x:c r="M927" s="96" t="n">
        <x:f>IFERROR(G927/F927,0)</x:f>
        <x:v>0.9594594594594594</x:v>
      </x:c>
      <x:c r="N927" s="96" t="n">
        <x:f>IFERROR(H927/G927,0)</x:f>
        <x:v>0.6619718309859155</x:v>
      </x:c>
      <x:c r="O927" s="96" t="n">
        <x:f>IFERROR(I927/H927,0)</x:f>
        <x:v>0.8936170212765957</x:v>
      </x:c>
      <x:c r="P927" s="96" t="n">
        <x:f>IFERROR(J927/I927,0)</x:f>
        <x:v>0.47619047619047616</x:v>
      </x:c>
      <x:c r="Q927" s="96" t="n">
        <x:f>IFERROR(L927/J927,0)</x:f>
        <x:v>0.1</x:v>
      </x:c>
      <x:c r="R927" s="96" t="n">
        <x:f>IFERROR(L927/F927,0)</x:f>
        <x:v>0.02702702702702703</x:v>
      </x:c>
      <x:c r="S927" s="95" t="n">
        <x:v>58</x:v>
      </x:c>
      <x:c r="T927" s="94" t="str">
        <x:v>末次点击7天</x:v>
      </x:c>
    </x:row>
    <x:row r="928">
      <x:c r="A928" s="92" t="str">
        <x:v>PROC-0927</x:v>
      </x:c>
      <x:c r="B928" s="93" t="n">
        <x:v>46190</x:v>
      </x:c>
      <x:c r="C928" s="94" t="str">
        <x:v>Google Ads</x:v>
      </x:c>
      <x:c r="D928" s="94" t="str">
        <x:v>美国</x:v>
      </x:c>
      <x:c r="E928" s="94" t="str">
        <x:v>购物广告</x:v>
      </x:c>
      <x:c r="F928" s="95" t="n">
        <x:v>42</x:v>
      </x:c>
      <x:c r="G928" s="95" t="n">
        <x:v>40</x:v>
      </x:c>
      <x:c r="H928" s="95" t="n">
        <x:v>26</x:v>
      </x:c>
      <x:c r="I928" s="95" t="n">
        <x:v>23</x:v>
      </x:c>
      <x:c r="J928" s="95" t="n">
        <x:v>10</x:v>
      </x:c>
      <x:c r="K928" s="95" t="n">
        <x:v>3</x:v>
      </x:c>
      <x:c r="L928" s="95" t="n">
        <x:v>1</x:v>
      </x:c>
      <x:c r="M928" s="96" t="n">
        <x:f>IFERROR(G928/F928,0)</x:f>
        <x:v>0.9523809523809523</x:v>
      </x:c>
      <x:c r="N928" s="96" t="n">
        <x:f>IFERROR(H928/G928,0)</x:f>
        <x:v>0.65</x:v>
      </x:c>
      <x:c r="O928" s="96" t="n">
        <x:f>IFERROR(I928/H928,0)</x:f>
        <x:v>0.8846153846153846</x:v>
      </x:c>
      <x:c r="P928" s="96" t="n">
        <x:f>IFERROR(J928/I928,0)</x:f>
        <x:v>0.43478260869565216</x:v>
      </x:c>
      <x:c r="Q928" s="96" t="n">
        <x:f>IFERROR(L928/J928,0)</x:f>
        <x:v>0.1</x:v>
      </x:c>
      <x:c r="R928" s="96" t="n">
        <x:f>IFERROR(L928/F928,0)</x:f>
        <x:v>0.023809523809523808</x:v>
      </x:c>
      <x:c r="S928" s="95" t="n">
        <x:v>62</x:v>
      </x:c>
      <x:c r="T928" s="94" t="str">
        <x:v>末次点击7天</x:v>
      </x:c>
    </x:row>
    <x:row r="929">
      <x:c r="A929" s="92" t="str">
        <x:v>PROC-0928</x:v>
      </x:c>
      <x:c r="B929" s="93" t="n">
        <x:v>46190</x:v>
      </x:c>
      <x:c r="C929" s="94" t="str">
        <x:v>Google Ads</x:v>
      </x:c>
      <x:c r="D929" s="94" t="str">
        <x:v>美国</x:v>
      </x:c>
      <x:c r="E929" s="94" t="str">
        <x:v>竞品搜索</x:v>
      </x:c>
      <x:c r="F929" s="95" t="n">
        <x:v>35</x:v>
      </x:c>
      <x:c r="G929" s="95" t="n">
        <x:v>31</x:v>
      </x:c>
      <x:c r="H929" s="95" t="n">
        <x:v>20</x:v>
      </x:c>
      <x:c r="I929" s="95" t="n">
        <x:v>17</x:v>
      </x:c>
      <x:c r="J929" s="95" t="n">
        <x:v>8</x:v>
      </x:c>
      <x:c r="K929" s="95" t="n">
        <x:v>2</x:v>
      </x:c>
      <x:c r="L929" s="95" t="n">
        <x:v>1</x:v>
      </x:c>
      <x:c r="M929" s="96" t="n">
        <x:f>IFERROR(G929/F929,0)</x:f>
        <x:v>0.8857142857142857</x:v>
      </x:c>
      <x:c r="N929" s="96" t="n">
        <x:f>IFERROR(H929/G929,0)</x:f>
        <x:v>0.6451612903225806</x:v>
      </x:c>
      <x:c r="O929" s="96" t="n">
        <x:f>IFERROR(I929/H929,0)</x:f>
        <x:v>0.85</x:v>
      </x:c>
      <x:c r="P929" s="96" t="n">
        <x:f>IFERROR(J929/I929,0)</x:f>
        <x:v>0.47058823529411764</x:v>
      </x:c>
      <x:c r="Q929" s="96" t="n">
        <x:f>IFERROR(L929/J929,0)</x:f>
        <x:v>0.125</x:v>
      </x:c>
      <x:c r="R929" s="96" t="n">
        <x:f>IFERROR(L929/F929,0)</x:f>
        <x:v>0.02857142857142857</x:v>
      </x:c>
      <x:c r="S929" s="95" t="n">
        <x:v>109</x:v>
      </x:c>
      <x:c r="T929" s="94" t="str">
        <x:v>末次点击7天</x:v>
      </x:c>
    </x:row>
    <x:row r="930">
      <x:c r="A930" s="92" t="str">
        <x:v>PROC-0929</x:v>
      </x:c>
      <x:c r="B930" s="93" t="n">
        <x:v>46190</x:v>
      </x:c>
      <x:c r="C930" s="94" t="str">
        <x:v>Google Ads</x:v>
      </x:c>
      <x:c r="D930" s="94" t="str">
        <x:v>美国</x:v>
      </x:c>
      <x:c r="E930" s="94" t="str">
        <x:v>竞品搜索</x:v>
      </x:c>
      <x:c r="F930" s="95" t="n">
        <x:v>21</x:v>
      </x:c>
      <x:c r="G930" s="95" t="n">
        <x:v>19</x:v>
      </x:c>
      <x:c r="H930" s="95" t="n">
        <x:v>14</x:v>
      </x:c>
      <x:c r="I930" s="95" t="n">
        <x:v>12</x:v>
      </x:c>
      <x:c r="J930" s="95" t="n">
        <x:v>5</x:v>
      </x:c>
      <x:c r="K930" s="95" t="n">
        <x:v>1</x:v>
      </x:c>
      <x:c r="L930" s="95" t="n">
        <x:v>0</x:v>
      </x:c>
      <x:c r="M930" s="96" t="n">
        <x:f>IFERROR(G930/F930,0)</x:f>
        <x:v>0.9047619047619048</x:v>
      </x:c>
      <x:c r="N930" s="96" t="n">
        <x:f>IFERROR(H930/G930,0)</x:f>
        <x:v>0.7368421052631579</x:v>
      </x:c>
      <x:c r="O930" s="96" t="n">
        <x:f>IFERROR(I930/H930,0)</x:f>
        <x:v>0.8571428571428571</x:v>
      </x:c>
      <x:c r="P930" s="96" t="n">
        <x:f>IFERROR(J930/I930,0)</x:f>
        <x:v>0.4166666666666667</x:v>
      </x:c>
      <x:c r="Q930" s="96" t="n">
        <x:f>IFERROR(L930/J930,0)</x:f>
        <x:v>0</x:v>
      </x:c>
      <x:c r="R930" s="96" t="n">
        <x:f>IFERROR(L930/F930,0)</x:f>
        <x:v>0</x:v>
      </x:c>
      <x:c r="S930" s="95" t="n">
        <x:v>65</x:v>
      </x:c>
      <x:c r="T930" s="94" t="str">
        <x:v>末次点击7天</x:v>
      </x:c>
    </x:row>
    <x:row r="931">
      <x:c r="A931" s="92" t="str">
        <x:v>PROC-0930</x:v>
      </x:c>
      <x:c r="B931" s="93" t="n">
        <x:v>46191</x:v>
      </x:c>
      <x:c r="C931" s="94" t="str">
        <x:v>Google Ads</x:v>
      </x:c>
      <x:c r="D931" s="94" t="str">
        <x:v>美国</x:v>
      </x:c>
      <x:c r="E931" s="94" t="str">
        <x:v>竞品搜索</x:v>
      </x:c>
      <x:c r="F931" s="95" t="n">
        <x:v>25</x:v>
      </x:c>
      <x:c r="G931" s="95" t="n">
        <x:v>22</x:v>
      </x:c>
      <x:c r="H931" s="95" t="n">
        <x:v>17</x:v>
      </x:c>
      <x:c r="I931" s="95" t="n">
        <x:v>15</x:v>
      </x:c>
      <x:c r="J931" s="95" t="n">
        <x:v>6</x:v>
      </x:c>
      <x:c r="K931" s="95" t="n">
        <x:v>2</x:v>
      </x:c>
      <x:c r="L931" s="95" t="n">
        <x:v>0</x:v>
      </x:c>
      <x:c r="M931" s="96" t="n">
        <x:f>IFERROR(G931/F931,0)</x:f>
        <x:v>0.88</x:v>
      </x:c>
      <x:c r="N931" s="96" t="n">
        <x:f>IFERROR(H931/G931,0)</x:f>
        <x:v>0.7727272727272727</x:v>
      </x:c>
      <x:c r="O931" s="96" t="n">
        <x:f>IFERROR(I931/H931,0)</x:f>
        <x:v>0.8823529411764706</x:v>
      </x:c>
      <x:c r="P931" s="96" t="n">
        <x:f>IFERROR(J931/I931,0)</x:f>
        <x:v>0.4</x:v>
      </x:c>
      <x:c r="Q931" s="96" t="n">
        <x:f>IFERROR(L931/J931,0)</x:f>
        <x:v>0</x:v>
      </x:c>
      <x:c r="R931" s="96" t="n">
        <x:f>IFERROR(L931/F931,0)</x:f>
        <x:v>0</x:v>
      </x:c>
      <x:c r="S931" s="95" t="n">
        <x:v>143</x:v>
      </x:c>
      <x:c r="T931" s="94" t="str">
        <x:v>末次点击7天</x:v>
      </x:c>
    </x:row>
    <x:row r="932">
      <x:c r="A932" s="92" t="str">
        <x:v>PROC-0931</x:v>
      </x:c>
      <x:c r="B932" s="93" t="n">
        <x:v>46191</x:v>
      </x:c>
      <x:c r="C932" s="94" t="str">
        <x:v>Google Ads</x:v>
      </x:c>
      <x:c r="D932" s="94" t="str">
        <x:v>日本</x:v>
      </x:c>
      <x:c r="E932" s="94" t="str">
        <x:v>竞品搜索</x:v>
      </x:c>
      <x:c r="F932" s="95" t="n">
        <x:v>30</x:v>
      </x:c>
      <x:c r="G932" s="95" t="n">
        <x:v>28</x:v>
      </x:c>
      <x:c r="H932" s="95" t="n">
        <x:v>18</x:v>
      </x:c>
      <x:c r="I932" s="95" t="n">
        <x:v>15</x:v>
      </x:c>
      <x:c r="J932" s="95" t="n">
        <x:v>6</x:v>
      </x:c>
      <x:c r="K932" s="95" t="n">
        <x:v>2</x:v>
      </x:c>
      <x:c r="L932" s="95" t="n">
        <x:v>0</x:v>
      </x:c>
      <x:c r="M932" s="96" t="n">
        <x:f>IFERROR(G932/F932,0)</x:f>
        <x:v>0.9333333333333333</x:v>
      </x:c>
      <x:c r="N932" s="96" t="n">
        <x:f>IFERROR(H932/G932,0)</x:f>
        <x:v>0.6428571428571429</x:v>
      </x:c>
      <x:c r="O932" s="96" t="n">
        <x:f>IFERROR(I932/H932,0)</x:f>
        <x:v>0.8333333333333334</x:v>
      </x:c>
      <x:c r="P932" s="96" t="n">
        <x:f>IFERROR(J932/I932,0)</x:f>
        <x:v>0.4</x:v>
      </x:c>
      <x:c r="Q932" s="96" t="n">
        <x:f>IFERROR(L932/J932,0)</x:f>
        <x:v>0</x:v>
      </x:c>
      <x:c r="R932" s="96" t="n">
        <x:f>IFERROR(L932/F932,0)</x:f>
        <x:v>0</x:v>
      </x:c>
      <x:c r="S932" s="95" t="n">
        <x:v>94</x:v>
      </x:c>
      <x:c r="T932" s="94" t="str">
        <x:v>末次点击7天</x:v>
      </x:c>
    </x:row>
    <x:row r="933">
      <x:c r="A933" s="92" t="str">
        <x:v>PROC-0932</x:v>
      </x:c>
      <x:c r="B933" s="93" t="n">
        <x:v>46191</x:v>
      </x:c>
      <x:c r="C933" s="94" t="str">
        <x:v>Google Ads</x:v>
      </x:c>
      <x:c r="D933" s="94" t="str">
        <x:v>美国</x:v>
      </x:c>
      <x:c r="E933" s="94" t="str">
        <x:v>品牌搜索</x:v>
      </x:c>
      <x:c r="F933" s="95" t="n">
        <x:v>42</x:v>
      </x:c>
      <x:c r="G933" s="95" t="n">
        <x:v>37</x:v>
      </x:c>
      <x:c r="H933" s="95" t="n">
        <x:v>29</x:v>
      </x:c>
      <x:c r="I933" s="95" t="n">
        <x:v>25</x:v>
      </x:c>
      <x:c r="J933" s="95" t="n">
        <x:v>12</x:v>
      </x:c>
      <x:c r="K933" s="95" t="n">
        <x:v>3</x:v>
      </x:c>
      <x:c r="L933" s="95" t="n">
        <x:v>1</x:v>
      </x:c>
      <x:c r="M933" s="96" t="n">
        <x:f>IFERROR(G933/F933,0)</x:f>
        <x:v>0.8809523809523809</x:v>
      </x:c>
      <x:c r="N933" s="96" t="n">
        <x:f>IFERROR(H933/G933,0)</x:f>
        <x:v>0.7837837837837838</x:v>
      </x:c>
      <x:c r="O933" s="96" t="n">
        <x:f>IFERROR(I933/H933,0)</x:f>
        <x:v>0.8620689655172413</x:v>
      </x:c>
      <x:c r="P933" s="96" t="n">
        <x:f>IFERROR(J933/I933,0)</x:f>
        <x:v>0.48</x:v>
      </x:c>
      <x:c r="Q933" s="96" t="n">
        <x:f>IFERROR(L933/J933,0)</x:f>
        <x:v>0.08333333333333333</x:v>
      </x:c>
      <x:c r="R933" s="96" t="n">
        <x:f>IFERROR(L933/F933,0)</x:f>
        <x:v>0.023809523809523808</x:v>
      </x:c>
      <x:c r="S933" s="95" t="n">
        <x:v>69</x:v>
      </x:c>
      <x:c r="T933" s="94" t="str">
        <x:v>末次点击7天</x:v>
      </x:c>
    </x:row>
    <x:row r="934">
      <x:c r="A934" s="92" t="str">
        <x:v>PROC-0933</x:v>
      </x:c>
      <x:c r="B934" s="93" t="n">
        <x:v>46191</x:v>
      </x:c>
      <x:c r="C934" s="94" t="str">
        <x:v>Google Ads</x:v>
      </x:c>
      <x:c r="D934" s="94" t="str">
        <x:v>美国</x:v>
      </x:c>
      <x:c r="E934" s="94" t="str">
        <x:v>购物广告</x:v>
      </x:c>
      <x:c r="F934" s="95" t="n">
        <x:v>47</x:v>
      </x:c>
      <x:c r="G934" s="95" t="n">
        <x:v>42</x:v>
      </x:c>
      <x:c r="H934" s="95" t="n">
        <x:v>32</x:v>
      </x:c>
      <x:c r="I934" s="95" t="n">
        <x:v>28</x:v>
      </x:c>
      <x:c r="J934" s="95" t="n">
        <x:v>12</x:v>
      </x:c>
      <x:c r="K934" s="95" t="n">
        <x:v>3</x:v>
      </x:c>
      <x:c r="L934" s="95" t="n">
        <x:v>1</x:v>
      </x:c>
      <x:c r="M934" s="96" t="n">
        <x:f>IFERROR(G934/F934,0)</x:f>
        <x:v>0.8936170212765957</x:v>
      </x:c>
      <x:c r="N934" s="96" t="n">
        <x:f>IFERROR(H934/G934,0)</x:f>
        <x:v>0.7619047619047619</x:v>
      </x:c>
      <x:c r="O934" s="96" t="n">
        <x:f>IFERROR(I934/H934,0)</x:f>
        <x:v>0.875</x:v>
      </x:c>
      <x:c r="P934" s="96" t="n">
        <x:f>IFERROR(J934/I934,0)</x:f>
        <x:v>0.42857142857142855</x:v>
      </x:c>
      <x:c r="Q934" s="96" t="n">
        <x:f>IFERROR(L934/J934,0)</x:f>
        <x:v>0.08333333333333333</x:v>
      </x:c>
      <x:c r="R934" s="96" t="n">
        <x:f>IFERROR(L934/F934,0)</x:f>
        <x:v>0.02127659574468085</x:v>
      </x:c>
      <x:c r="S934" s="95" t="n">
        <x:v>86</x:v>
      </x:c>
      <x:c r="T934" s="94" t="str">
        <x:v>末次点击7天</x:v>
      </x:c>
    </x:row>
    <x:row r="935">
      <x:c r="A935" s="92" t="str">
        <x:v>PROC-0934</x:v>
      </x:c>
      <x:c r="B935" s="93" t="n">
        <x:v>46191</x:v>
      </x:c>
      <x:c r="C935" s="94" t="str">
        <x:v>Google Ads</x:v>
      </x:c>
      <x:c r="D935" s="94" t="str">
        <x:v>英国</x:v>
      </x:c>
      <x:c r="E935" s="94" t="str">
        <x:v>竞品搜索</x:v>
      </x:c>
      <x:c r="F935" s="95" t="n">
        <x:v>29</x:v>
      </x:c>
      <x:c r="G935" s="95" t="n">
        <x:v>26</x:v>
      </x:c>
      <x:c r="H935" s="95" t="n">
        <x:v>19</x:v>
      </x:c>
      <x:c r="I935" s="95" t="n">
        <x:v>16</x:v>
      </x:c>
      <x:c r="J935" s="95" t="n">
        <x:v>7</x:v>
      </x:c>
      <x:c r="K935" s="95" t="n">
        <x:v>2</x:v>
      </x:c>
      <x:c r="L935" s="95" t="n">
        <x:v>0</x:v>
      </x:c>
      <x:c r="M935" s="96" t="n">
        <x:f>IFERROR(G935/F935,0)</x:f>
        <x:v>0.896551724137931</x:v>
      </x:c>
      <x:c r="N935" s="96" t="n">
        <x:f>IFERROR(H935/G935,0)</x:f>
        <x:v>0.7307692307692307</x:v>
      </x:c>
      <x:c r="O935" s="96" t="n">
        <x:f>IFERROR(I935/H935,0)</x:f>
        <x:v>0.8421052631578947</x:v>
      </x:c>
      <x:c r="P935" s="96" t="n">
        <x:f>IFERROR(J935/I935,0)</x:f>
        <x:v>0.4375</x:v>
      </x:c>
      <x:c r="Q935" s="96" t="n">
        <x:f>IFERROR(L935/J935,0)</x:f>
        <x:v>0</x:v>
      </x:c>
      <x:c r="R935" s="96" t="n">
        <x:f>IFERROR(L935/F935,0)</x:f>
        <x:v>0</x:v>
      </x:c>
      <x:c r="S935" s="95" t="n">
        <x:v>63</x:v>
      </x:c>
      <x:c r="T935" s="94" t="str">
        <x:v>末次点击7天</x:v>
      </x:c>
    </x:row>
    <x:row r="936">
      <x:c r="A936" s="92" t="str">
        <x:v>PROC-0935</x:v>
      </x:c>
      <x:c r="B936" s="93" t="n">
        <x:v>46192</x:v>
      </x:c>
      <x:c r="C936" s="94" t="str">
        <x:v>Google Ads</x:v>
      </x:c>
      <x:c r="D936" s="94" t="str">
        <x:v>德国</x:v>
      </x:c>
      <x:c r="E936" s="94" t="str">
        <x:v>品牌搜索</x:v>
      </x:c>
      <x:c r="F936" s="95" t="n">
        <x:v>51</x:v>
      </x:c>
      <x:c r="G936" s="95" t="n">
        <x:v>47</x:v>
      </x:c>
      <x:c r="H936" s="95" t="n">
        <x:v>32</x:v>
      </x:c>
      <x:c r="I936" s="95" t="n">
        <x:v>26</x:v>
      </x:c>
      <x:c r="J936" s="95" t="n">
        <x:v>12</x:v>
      </x:c>
      <x:c r="K936" s="95" t="n">
        <x:v>3</x:v>
      </x:c>
      <x:c r="L936" s="95" t="n">
        <x:v>1</x:v>
      </x:c>
      <x:c r="M936" s="96" t="n">
        <x:f>IFERROR(G936/F936,0)</x:f>
        <x:v>0.9215686274509803</x:v>
      </x:c>
      <x:c r="N936" s="96" t="n">
        <x:f>IFERROR(H936/G936,0)</x:f>
        <x:v>0.6808510638297872</x:v>
      </x:c>
      <x:c r="O936" s="96" t="n">
        <x:f>IFERROR(I936/H936,0)</x:f>
        <x:v>0.8125</x:v>
      </x:c>
      <x:c r="P936" s="96" t="n">
        <x:f>IFERROR(J936/I936,0)</x:f>
        <x:v>0.46153846153846156</x:v>
      </x:c>
      <x:c r="Q936" s="96" t="n">
        <x:f>IFERROR(L936/J936,0)</x:f>
        <x:v>0.08333333333333333</x:v>
      </x:c>
      <x:c r="R936" s="96" t="n">
        <x:f>IFERROR(L936/F936,0)</x:f>
        <x:v>0.0196078431372549</x:v>
      </x:c>
      <x:c r="S936" s="95" t="n">
        <x:v>112</x:v>
      </x:c>
      <x:c r="T936" s="94" t="str">
        <x:v>末次点击7天</x:v>
      </x:c>
    </x:row>
    <x:row r="937">
      <x:c r="A937" s="92" t="str">
        <x:v>PROC-0936</x:v>
      </x:c>
      <x:c r="B937" s="93" t="n">
        <x:v>46192</x:v>
      </x:c>
      <x:c r="C937" s="94" t="str">
        <x:v>Microsoft Ads</x:v>
      </x:c>
      <x:c r="D937" s="94" t="str">
        <x:v>美国</x:v>
      </x:c>
      <x:c r="E937" s="94" t="str">
        <x:v>通用搜索</x:v>
      </x:c>
      <x:c r="F937" s="95" t="n">
        <x:v>54</x:v>
      </x:c>
      <x:c r="G937" s="95" t="n">
        <x:v>51</x:v>
      </x:c>
      <x:c r="H937" s="95" t="n">
        <x:v>33</x:v>
      </x:c>
      <x:c r="I937" s="95" t="n">
        <x:v>28</x:v>
      </x:c>
      <x:c r="J937" s="95" t="n">
        <x:v>12</x:v>
      </x:c>
      <x:c r="K937" s="95" t="n">
        <x:v>2</x:v>
      </x:c>
      <x:c r="L937" s="95" t="n">
        <x:v>1</x:v>
      </x:c>
      <x:c r="M937" s="96" t="n">
        <x:f>IFERROR(G937/F937,0)</x:f>
        <x:v>0.9444444444444444</x:v>
      </x:c>
      <x:c r="N937" s="96" t="n">
        <x:f>IFERROR(H937/G937,0)</x:f>
        <x:v>0.6470588235294118</x:v>
      </x:c>
      <x:c r="O937" s="96" t="n">
        <x:f>IFERROR(I937/H937,0)</x:f>
        <x:v>0.8484848484848485</x:v>
      </x:c>
      <x:c r="P937" s="96" t="n">
        <x:f>IFERROR(J937/I937,0)</x:f>
        <x:v>0.42857142857142855</x:v>
      </x:c>
      <x:c r="Q937" s="96" t="n">
        <x:f>IFERROR(L937/J937,0)</x:f>
        <x:v>0.08333333333333333</x:v>
      </x:c>
      <x:c r="R937" s="96" t="n">
        <x:f>IFERROR(L937/F937,0)</x:f>
        <x:v>0.018518518518518517</x:v>
      </x:c>
      <x:c r="S937" s="95" t="n">
        <x:v>97</x:v>
      </x:c>
      <x:c r="T937" s="94" t="str">
        <x:v>末次点击7天</x:v>
      </x:c>
    </x:row>
    <x:row r="938">
      <x:c r="A938" s="92" t="str">
        <x:v>PROC-0937</x:v>
      </x:c>
      <x:c r="B938" s="93" t="n">
        <x:v>46192</x:v>
      </x:c>
      <x:c r="C938" s="94" t="str">
        <x:v>Microsoft Ads</x:v>
      </x:c>
      <x:c r="D938" s="94" t="str">
        <x:v>美国</x:v>
      </x:c>
      <x:c r="E938" s="94" t="str">
        <x:v>通用搜索</x:v>
      </x:c>
      <x:c r="F938" s="95" t="n">
        <x:v>43</x:v>
      </x:c>
      <x:c r="G938" s="95" t="n">
        <x:v>40</x:v>
      </x:c>
      <x:c r="H938" s="95" t="n">
        <x:v>29</x:v>
      </x:c>
      <x:c r="I938" s="95" t="n">
        <x:v>23</x:v>
      </x:c>
      <x:c r="J938" s="95" t="n">
        <x:v>10</x:v>
      </x:c>
      <x:c r="K938" s="95" t="n">
        <x:v>3</x:v>
      </x:c>
      <x:c r="L938" s="95" t="n">
        <x:v>1</x:v>
      </x:c>
      <x:c r="M938" s="96" t="n">
        <x:f>IFERROR(G938/F938,0)</x:f>
        <x:v>0.9302325581395349</x:v>
      </x:c>
      <x:c r="N938" s="96" t="n">
        <x:f>IFERROR(H938/G938,0)</x:f>
        <x:v>0.725</x:v>
      </x:c>
      <x:c r="O938" s="96" t="n">
        <x:f>IFERROR(I938/H938,0)</x:f>
        <x:v>0.7931034482758621</x:v>
      </x:c>
      <x:c r="P938" s="96" t="n">
        <x:f>IFERROR(J938/I938,0)</x:f>
        <x:v>0.43478260869565216</x:v>
      </x:c>
      <x:c r="Q938" s="96" t="n">
        <x:f>IFERROR(L938/J938,0)</x:f>
        <x:v>0.1</x:v>
      </x:c>
      <x:c r="R938" s="96" t="n">
        <x:f>IFERROR(L938/F938,0)</x:f>
        <x:v>0.023255813953488372</x:v>
      </x:c>
      <x:c r="S938" s="95" t="n">
        <x:v>43</x:v>
      </x:c>
      <x:c r="T938" s="94" t="str">
        <x:v>末次点击7天</x:v>
      </x:c>
    </x:row>
    <x:row r="939">
      <x:c r="A939" s="92" t="str">
        <x:v>PROC-0938</x:v>
      </x:c>
      <x:c r="B939" s="93" t="n">
        <x:v>46192</x:v>
      </x:c>
      <x:c r="C939" s="94" t="str">
        <x:v>Google Ads</x:v>
      </x:c>
      <x:c r="D939" s="94" t="str">
        <x:v>美国</x:v>
      </x:c>
      <x:c r="E939" s="94" t="str">
        <x:v>通用搜索</x:v>
      </x:c>
      <x:c r="F939" s="95" t="n">
        <x:v>29</x:v>
      </x:c>
      <x:c r="G939" s="95" t="n">
        <x:v>27</x:v>
      </x:c>
      <x:c r="H939" s="95" t="n">
        <x:v>19</x:v>
      </x:c>
      <x:c r="I939" s="95" t="n">
        <x:v>16</x:v>
      </x:c>
      <x:c r="J939" s="95" t="n">
        <x:v>7</x:v>
      </x:c>
      <x:c r="K939" s="95" t="n">
        <x:v>2</x:v>
      </x:c>
      <x:c r="L939" s="95" t="n">
        <x:v>1</x:v>
      </x:c>
      <x:c r="M939" s="96" t="n">
        <x:f>IFERROR(G939/F939,0)</x:f>
        <x:v>0.9310344827586207</x:v>
      </x:c>
      <x:c r="N939" s="96" t="n">
        <x:f>IFERROR(H939/G939,0)</x:f>
        <x:v>0.7037037037037037</x:v>
      </x:c>
      <x:c r="O939" s="96" t="n">
        <x:f>IFERROR(I939/H939,0)</x:f>
        <x:v>0.8421052631578947</x:v>
      </x:c>
      <x:c r="P939" s="96" t="n">
        <x:f>IFERROR(J939/I939,0)</x:f>
        <x:v>0.4375</x:v>
      </x:c>
      <x:c r="Q939" s="96" t="n">
        <x:f>IFERROR(L939/J939,0)</x:f>
        <x:v>0.14285714285714285</x:v>
      </x:c>
      <x:c r="R939" s="96" t="n">
        <x:f>IFERROR(L939/F939,0)</x:f>
        <x:v>0.034482758620689655</x:v>
      </x:c>
      <x:c r="S939" s="95" t="n">
        <x:v>62</x:v>
      </x:c>
      <x:c r="T939" s="94" t="str">
        <x:v>末次点击7天</x:v>
      </x:c>
    </x:row>
    <x:row r="940">
      <x:c r="A940" s="92" t="str">
        <x:v>PROC-0939</x:v>
      </x:c>
      <x:c r="B940" s="93" t="n">
        <x:v>46192</x:v>
      </x:c>
      <x:c r="C940" s="94" t="str">
        <x:v>Microsoft Ads</x:v>
      </x:c>
      <x:c r="D940" s="94" t="str">
        <x:v>美国</x:v>
      </x:c>
      <x:c r="E940" s="94" t="str">
        <x:v>通用搜索</x:v>
      </x:c>
      <x:c r="F940" s="95" t="n">
        <x:v>49</x:v>
      </x:c>
      <x:c r="G940" s="95" t="n">
        <x:v>47</x:v>
      </x:c>
      <x:c r="H940" s="95" t="n">
        <x:v>37</x:v>
      </x:c>
      <x:c r="I940" s="95" t="n">
        <x:v>32</x:v>
      </x:c>
      <x:c r="J940" s="95" t="n">
        <x:v>14</x:v>
      </x:c>
      <x:c r="K940" s="95" t="n">
        <x:v>5</x:v>
      </x:c>
      <x:c r="L940" s="95" t="n">
        <x:v>1</x:v>
      </x:c>
      <x:c r="M940" s="96" t="n">
        <x:f>IFERROR(G940/F940,0)</x:f>
        <x:v>0.9591836734693877</x:v>
      </x:c>
      <x:c r="N940" s="96" t="n">
        <x:f>IFERROR(H940/G940,0)</x:f>
        <x:v>0.7872340425531915</x:v>
      </x:c>
      <x:c r="O940" s="96" t="n">
        <x:f>IFERROR(I940/H940,0)</x:f>
        <x:v>0.8648648648648649</x:v>
      </x:c>
      <x:c r="P940" s="96" t="n">
        <x:f>IFERROR(J940/I940,0)</x:f>
        <x:v>0.4375</x:v>
      </x:c>
      <x:c r="Q940" s="96" t="n">
        <x:f>IFERROR(L940/J940,0)</x:f>
        <x:v>0.07142857142857142</x:v>
      </x:c>
      <x:c r="R940" s="96" t="n">
        <x:f>IFERROR(L940/F940,0)</x:f>
        <x:v>0.02040816326530612</x:v>
      </x:c>
      <x:c r="S940" s="95" t="n">
        <x:v>142</x:v>
      </x:c>
      <x:c r="T940" s="94" t="str">
        <x:v>末次点击7天</x:v>
      </x:c>
    </x:row>
    <x:row r="941">
      <x:c r="A941" s="92" t="str">
        <x:v>PROC-0940</x:v>
      </x:c>
      <x:c r="B941" s="93" t="n">
        <x:v>46192</x:v>
      </x:c>
      <x:c r="C941" s="94" t="str">
        <x:v>Google Ads</x:v>
      </x:c>
      <x:c r="D941" s="94" t="str">
        <x:v>德国</x:v>
      </x:c>
      <x:c r="E941" s="94" t="str">
        <x:v>通用搜索</x:v>
      </x:c>
      <x:c r="F941" s="95" t="n">
        <x:v>22</x:v>
      </x:c>
      <x:c r="G941" s="95" t="n">
        <x:v>21</x:v>
      </x:c>
      <x:c r="H941" s="95" t="n">
        <x:v>15</x:v>
      </x:c>
      <x:c r="I941" s="95" t="n">
        <x:v>13</x:v>
      </x:c>
      <x:c r="J941" s="95" t="n">
        <x:v>5</x:v>
      </x:c>
      <x:c r="K941" s="95" t="n">
        <x:v>1</x:v>
      </x:c>
      <x:c r="L941" s="95" t="n">
        <x:v>0</x:v>
      </x:c>
      <x:c r="M941" s="96" t="n">
        <x:f>IFERROR(G941/F941,0)</x:f>
        <x:v>0.9545454545454546</x:v>
      </x:c>
      <x:c r="N941" s="96" t="n">
        <x:f>IFERROR(H941/G941,0)</x:f>
        <x:v>0.7142857142857143</x:v>
      </x:c>
      <x:c r="O941" s="96" t="n">
        <x:f>IFERROR(I941/H941,0)</x:f>
        <x:v>0.8666666666666667</x:v>
      </x:c>
      <x:c r="P941" s="96" t="n">
        <x:f>IFERROR(J941/I941,0)</x:f>
        <x:v>0.38461538461538464</x:v>
      </x:c>
      <x:c r="Q941" s="96" t="n">
        <x:f>IFERROR(L941/J941,0)</x:f>
        <x:v>0</x:v>
      </x:c>
      <x:c r="R941" s="96" t="n">
        <x:f>IFERROR(L941/F941,0)</x:f>
        <x:v>0</x:v>
      </x:c>
      <x:c r="S941" s="95" t="n">
        <x:v>69</x:v>
      </x:c>
      <x:c r="T941" s="94" t="str">
        <x:v>末次点击7天</x:v>
      </x:c>
    </x:row>
    <x:row r="942">
      <x:c r="A942" s="92" t="str">
        <x:v>PROC-0941</x:v>
      </x:c>
      <x:c r="B942" s="93" t="n">
        <x:v>46193</x:v>
      </x:c>
      <x:c r="C942" s="94" t="str">
        <x:v>Google Ads</x:v>
      </x:c>
      <x:c r="D942" s="94" t="str">
        <x:v>英国</x:v>
      </x:c>
      <x:c r="E942" s="94" t="str">
        <x:v>竞品搜索</x:v>
      </x:c>
      <x:c r="F942" s="95" t="n">
        <x:v>17</x:v>
      </x:c>
      <x:c r="G942" s="95" t="n">
        <x:v>15</x:v>
      </x:c>
      <x:c r="H942" s="95" t="n">
        <x:v>11</x:v>
      </x:c>
      <x:c r="I942" s="95" t="n">
        <x:v>10</x:v>
      </x:c>
      <x:c r="J942" s="95" t="n">
        <x:v>4</x:v>
      </x:c>
      <x:c r="K942" s="95" t="n">
        <x:v>1</x:v>
      </x:c>
      <x:c r="L942" s="95" t="n">
        <x:v>0</x:v>
      </x:c>
      <x:c r="M942" s="96" t="n">
        <x:f>IFERROR(G942/F942,0)</x:f>
        <x:v>0.8823529411764706</x:v>
      </x:c>
      <x:c r="N942" s="96" t="n">
        <x:f>IFERROR(H942/G942,0)</x:f>
        <x:v>0.7333333333333333</x:v>
      </x:c>
      <x:c r="O942" s="96" t="n">
        <x:f>IFERROR(I942/H942,0)</x:f>
        <x:v>0.9090909090909091</x:v>
      </x:c>
      <x:c r="P942" s="96" t="n">
        <x:f>IFERROR(J942/I942,0)</x:f>
        <x:v>0.4</x:v>
      </x:c>
      <x:c r="Q942" s="96" t="n">
        <x:f>IFERROR(L942/J942,0)</x:f>
        <x:v>0</x:v>
      </x:c>
      <x:c r="R942" s="96" t="n">
        <x:f>IFERROR(L942/F942,0)</x:f>
        <x:v>0</x:v>
      </x:c>
      <x:c r="S942" s="95" t="n">
        <x:v>96</x:v>
      </x:c>
      <x:c r="T942" s="94" t="str">
        <x:v>末次点击7天</x:v>
      </x:c>
    </x:row>
    <x:row r="943">
      <x:c r="A943" s="92" t="str">
        <x:v>PROC-0942</x:v>
      </x:c>
      <x:c r="B943" s="93" t="n">
        <x:v>46193</x:v>
      </x:c>
      <x:c r="C943" s="94" t="str">
        <x:v>Google Ads</x:v>
      </x:c>
      <x:c r="D943" s="94" t="str">
        <x:v>英国</x:v>
      </x:c>
      <x:c r="E943" s="94" t="str">
        <x:v>竞品搜索</x:v>
      </x:c>
      <x:c r="F943" s="95" t="n">
        <x:v>20</x:v>
      </x:c>
      <x:c r="G943" s="95" t="n">
        <x:v>18</x:v>
      </x:c>
      <x:c r="H943" s="95" t="n">
        <x:v>12</x:v>
      </x:c>
      <x:c r="I943" s="95" t="n">
        <x:v>10</x:v>
      </x:c>
      <x:c r="J943" s="95" t="n">
        <x:v>4</x:v>
      </x:c>
      <x:c r="K943" s="95" t="n">
        <x:v>1</x:v>
      </x:c>
      <x:c r="L943" s="95" t="n">
        <x:v>0</x:v>
      </x:c>
      <x:c r="M943" s="96" t="n">
        <x:f>IFERROR(G943/F943,0)</x:f>
        <x:v>0.9</x:v>
      </x:c>
      <x:c r="N943" s="96" t="n">
        <x:f>IFERROR(H943/G943,0)</x:f>
        <x:v>0.6666666666666666</x:v>
      </x:c>
      <x:c r="O943" s="96" t="n">
        <x:f>IFERROR(I943/H943,0)</x:f>
        <x:v>0.8333333333333334</x:v>
      </x:c>
      <x:c r="P943" s="96" t="n">
        <x:f>IFERROR(J943/I943,0)</x:f>
        <x:v>0.4</x:v>
      </x:c>
      <x:c r="Q943" s="96" t="n">
        <x:f>IFERROR(L943/J943,0)</x:f>
        <x:v>0</x:v>
      </x:c>
      <x:c r="R943" s="96" t="n">
        <x:f>IFERROR(L943/F943,0)</x:f>
        <x:v>0</x:v>
      </x:c>
      <x:c r="S943" s="95" t="n">
        <x:v>80</x:v>
      </x:c>
      <x:c r="T943" s="94" t="str">
        <x:v>末次点击7天</x:v>
      </x:c>
    </x:row>
    <x:row r="944">
      <x:c r="A944" s="92" t="str">
        <x:v>PROC-0943</x:v>
      </x:c>
      <x:c r="B944" s="93" t="n">
        <x:v>46193</x:v>
      </x:c>
      <x:c r="C944" s="94" t="str">
        <x:v>Microsoft Ads</x:v>
      </x:c>
      <x:c r="D944" s="94" t="str">
        <x:v>美国</x:v>
      </x:c>
      <x:c r="E944" s="94" t="str">
        <x:v>竞品搜索</x:v>
      </x:c>
      <x:c r="F944" s="95" t="n">
        <x:v>38</x:v>
      </x:c>
      <x:c r="G944" s="95" t="n">
        <x:v>37</x:v>
      </x:c>
      <x:c r="H944" s="95" t="n">
        <x:v>24</x:v>
      </x:c>
      <x:c r="I944" s="95" t="n">
        <x:v>20</x:v>
      </x:c>
      <x:c r="J944" s="95" t="n">
        <x:v>8</x:v>
      </x:c>
      <x:c r="K944" s="95" t="n">
        <x:v>2</x:v>
      </x:c>
      <x:c r="L944" s="95" t="n">
        <x:v>1</x:v>
      </x:c>
      <x:c r="M944" s="96" t="n">
        <x:f>IFERROR(G944/F944,0)</x:f>
        <x:v>0.9736842105263158</x:v>
      </x:c>
      <x:c r="N944" s="96" t="n">
        <x:f>IFERROR(H944/G944,0)</x:f>
        <x:v>0.6486486486486487</x:v>
      </x:c>
      <x:c r="O944" s="96" t="n">
        <x:f>IFERROR(I944/H944,0)</x:f>
        <x:v>0.8333333333333334</x:v>
      </x:c>
      <x:c r="P944" s="96" t="n">
        <x:f>IFERROR(J944/I944,0)</x:f>
        <x:v>0.4</x:v>
      </x:c>
      <x:c r="Q944" s="96" t="n">
        <x:f>IFERROR(L944/J944,0)</x:f>
        <x:v>0.125</x:v>
      </x:c>
      <x:c r="R944" s="96" t="n">
        <x:f>IFERROR(L944/F944,0)</x:f>
        <x:v>0.02631578947368421</x:v>
      </x:c>
      <x:c r="S944" s="95" t="n">
        <x:v>96</x:v>
      </x:c>
      <x:c r="T944" s="94" t="str">
        <x:v>末次点击7天</x:v>
      </x:c>
    </x:row>
    <x:row r="945">
      <x:c r="A945" s="92" t="str">
        <x:v>PROC-0944</x:v>
      </x:c>
      <x:c r="B945" s="93" t="n">
        <x:v>46193</x:v>
      </x:c>
      <x:c r="C945" s="94" t="str">
        <x:v>Google Ads</x:v>
      </x:c>
      <x:c r="D945" s="94" t="str">
        <x:v>美国</x:v>
      </x:c>
      <x:c r="E945" s="94" t="str">
        <x:v>通用搜索</x:v>
      </x:c>
      <x:c r="F945" s="95" t="n">
        <x:v>37</x:v>
      </x:c>
      <x:c r="G945" s="95" t="n">
        <x:v>33</x:v>
      </x:c>
      <x:c r="H945" s="95" t="n">
        <x:v>25</x:v>
      </x:c>
      <x:c r="I945" s="95" t="n">
        <x:v>22</x:v>
      </x:c>
      <x:c r="J945" s="95" t="n">
        <x:v>8</x:v>
      </x:c>
      <x:c r="K945" s="95" t="n">
        <x:v>2</x:v>
      </x:c>
      <x:c r="L945" s="95" t="n">
        <x:v>1</x:v>
      </x:c>
      <x:c r="M945" s="96" t="n">
        <x:f>IFERROR(G945/F945,0)</x:f>
        <x:v>0.8918918918918919</x:v>
      </x:c>
      <x:c r="N945" s="96" t="n">
        <x:f>IFERROR(H945/G945,0)</x:f>
        <x:v>0.7575757575757576</x:v>
      </x:c>
      <x:c r="O945" s="96" t="n">
        <x:f>IFERROR(I945/H945,0)</x:f>
        <x:v>0.88</x:v>
      </x:c>
      <x:c r="P945" s="96" t="n">
        <x:f>IFERROR(J945/I945,0)</x:f>
        <x:v>0.36363636363636365</x:v>
      </x:c>
      <x:c r="Q945" s="96" t="n">
        <x:f>IFERROR(L945/J945,0)</x:f>
        <x:v>0.125</x:v>
      </x:c>
      <x:c r="R945" s="96" t="n">
        <x:f>IFERROR(L945/F945,0)</x:f>
        <x:v>0.02702702702702703</x:v>
      </x:c>
      <x:c r="S945" s="95" t="n">
        <x:v>139</x:v>
      </x:c>
      <x:c r="T945" s="94" t="str">
        <x:v>末次点击7天</x:v>
      </x:c>
    </x:row>
    <x:row r="946">
      <x:c r="A946" s="92" t="str">
        <x:v>PROC-0945</x:v>
      </x:c>
      <x:c r="B946" s="93" t="n">
        <x:v>46193</x:v>
      </x:c>
      <x:c r="C946" s="94" t="str">
        <x:v>Google Ads</x:v>
      </x:c>
      <x:c r="D946" s="94" t="str">
        <x:v>美国</x:v>
      </x:c>
      <x:c r="E946" s="94" t="str">
        <x:v>竞品搜索</x:v>
      </x:c>
      <x:c r="F946" s="95" t="n">
        <x:v>27</x:v>
      </x:c>
      <x:c r="G946" s="95" t="n">
        <x:v>24</x:v>
      </x:c>
      <x:c r="H946" s="95" t="n">
        <x:v>18</x:v>
      </x:c>
      <x:c r="I946" s="95" t="n">
        <x:v>15</x:v>
      </x:c>
      <x:c r="J946" s="95" t="n">
        <x:v>5</x:v>
      </x:c>
      <x:c r="K946" s="95" t="n">
        <x:v>1</x:v>
      </x:c>
      <x:c r="L946" s="95" t="n">
        <x:v>0</x:v>
      </x:c>
      <x:c r="M946" s="96" t="n">
        <x:f>IFERROR(G946/F946,0)</x:f>
        <x:v>0.8888888888888888</x:v>
      </x:c>
      <x:c r="N946" s="96" t="n">
        <x:f>IFERROR(H946/G946,0)</x:f>
        <x:v>0.75</x:v>
      </x:c>
      <x:c r="O946" s="96" t="n">
        <x:f>IFERROR(I946/H946,0)</x:f>
        <x:v>0.8333333333333334</x:v>
      </x:c>
      <x:c r="P946" s="96" t="n">
        <x:f>IFERROR(J946/I946,0)</x:f>
        <x:v>0.3333333333333333</x:v>
      </x:c>
      <x:c r="Q946" s="96" t="n">
        <x:f>IFERROR(L946/J946,0)</x:f>
        <x:v>0</x:v>
      </x:c>
      <x:c r="R946" s="96" t="n">
        <x:f>IFERROR(L946/F946,0)</x:f>
        <x:v>0</x:v>
      </x:c>
      <x:c r="S946" s="95" t="n">
        <x:v>121</x:v>
      </x:c>
      <x:c r="T946" s="94" t="str">
        <x:v>末次点击7天</x:v>
      </x:c>
    </x:row>
    <x:row r="947">
      <x:c r="A947" s="92" t="str">
        <x:v>PROC-0946</x:v>
      </x:c>
      <x:c r="B947" s="93" t="n">
        <x:v>46194</x:v>
      </x:c>
      <x:c r="C947" s="94" t="str">
        <x:v>Google Ads</x:v>
      </x:c>
      <x:c r="D947" s="94" t="str">
        <x:v>日本</x:v>
      </x:c>
      <x:c r="E947" s="94" t="str">
        <x:v>品牌搜索</x:v>
      </x:c>
      <x:c r="F947" s="95" t="n">
        <x:v>56</x:v>
      </x:c>
      <x:c r="G947" s="95" t="n">
        <x:v>53</x:v>
      </x:c>
      <x:c r="H947" s="95" t="n">
        <x:v>37</x:v>
      </x:c>
      <x:c r="I947" s="95" t="n">
        <x:v>32</x:v>
      </x:c>
      <x:c r="J947" s="95" t="n">
        <x:v>17</x:v>
      </x:c>
      <x:c r="K947" s="95" t="n">
        <x:v>4</x:v>
      </x:c>
      <x:c r="L947" s="95" t="n">
        <x:v>2</x:v>
      </x:c>
      <x:c r="M947" s="96" t="n">
        <x:f>IFERROR(G947/F947,0)</x:f>
        <x:v>0.9464285714285714</x:v>
      </x:c>
      <x:c r="N947" s="96" t="n">
        <x:f>IFERROR(H947/G947,0)</x:f>
        <x:v>0.6981132075471698</x:v>
      </x:c>
      <x:c r="O947" s="96" t="n">
        <x:f>IFERROR(I947/H947,0)</x:f>
        <x:v>0.8648648648648649</x:v>
      </x:c>
      <x:c r="P947" s="96" t="n">
        <x:f>IFERROR(J947/I947,0)</x:f>
        <x:v>0.53125</x:v>
      </x:c>
      <x:c r="Q947" s="96" t="n">
        <x:f>IFERROR(L947/J947,0)</x:f>
        <x:v>0.11764705882352941</x:v>
      </x:c>
      <x:c r="R947" s="96" t="n">
        <x:f>IFERROR(L947/F947,0)</x:f>
        <x:v>0.03571428571428571</x:v>
      </x:c>
      <x:c r="S947" s="95" t="n">
        <x:v>121</x:v>
      </x:c>
      <x:c r="T947" s="94" t="str">
        <x:v>末次点击7天</x:v>
      </x:c>
    </x:row>
    <x:row r="948">
      <x:c r="A948" s="92" t="str">
        <x:v>PROC-0947</x:v>
      </x:c>
      <x:c r="B948" s="93" t="n">
        <x:v>46194</x:v>
      </x:c>
      <x:c r="C948" s="94" t="str">
        <x:v>Google Ads</x:v>
      </x:c>
      <x:c r="D948" s="94" t="str">
        <x:v>日本</x:v>
      </x:c>
      <x:c r="E948" s="94" t="str">
        <x:v>品牌搜索</x:v>
      </x:c>
      <x:c r="F948" s="95" t="n">
        <x:v>87</x:v>
      </x:c>
      <x:c r="G948" s="95" t="n">
        <x:v>81</x:v>
      </x:c>
      <x:c r="H948" s="95" t="n">
        <x:v>63</x:v>
      </x:c>
      <x:c r="I948" s="95" t="n">
        <x:v>53</x:v>
      </x:c>
      <x:c r="J948" s="95" t="n">
        <x:v>24</x:v>
      </x:c>
      <x:c r="K948" s="95" t="n">
        <x:v>5</x:v>
      </x:c>
      <x:c r="L948" s="95" t="n">
        <x:v>3</x:v>
      </x:c>
      <x:c r="M948" s="96" t="n">
        <x:f>IFERROR(G948/F948,0)</x:f>
        <x:v>0.9310344827586207</x:v>
      </x:c>
      <x:c r="N948" s="96" t="n">
        <x:f>IFERROR(H948/G948,0)</x:f>
        <x:v>0.7777777777777778</x:v>
      </x:c>
      <x:c r="O948" s="96" t="n">
        <x:f>IFERROR(I948/H948,0)</x:f>
        <x:v>0.8412698412698413</x:v>
      </x:c>
      <x:c r="P948" s="96" t="n">
        <x:f>IFERROR(J948/I948,0)</x:f>
        <x:v>0.4528301886792453</x:v>
      </x:c>
      <x:c r="Q948" s="96" t="n">
        <x:f>IFERROR(L948/J948,0)</x:f>
        <x:v>0.125</x:v>
      </x:c>
      <x:c r="R948" s="96" t="n">
        <x:f>IFERROR(L948/F948,0)</x:f>
        <x:v>0.034482758620689655</x:v>
      </x:c>
      <x:c r="S948" s="95" t="n">
        <x:v>143</x:v>
      </x:c>
      <x:c r="T948" s="94" t="str">
        <x:v>末次点击7天</x:v>
      </x:c>
    </x:row>
    <x:row r="949">
      <x:c r="A949" s="92" t="str">
        <x:v>PROC-0948</x:v>
      </x:c>
      <x:c r="B949" s="93" t="n">
        <x:v>46194</x:v>
      </x:c>
      <x:c r="C949" s="94" t="str">
        <x:v>Google Ads</x:v>
      </x:c>
      <x:c r="D949" s="94" t="str">
        <x:v>美国</x:v>
      </x:c>
      <x:c r="E949" s="94" t="str">
        <x:v>品牌搜索</x:v>
      </x:c>
      <x:c r="F949" s="95" t="n">
        <x:v>44</x:v>
      </x:c>
      <x:c r="G949" s="95" t="n">
        <x:v>41</x:v>
      </x:c>
      <x:c r="H949" s="95" t="n">
        <x:v>29</x:v>
      </x:c>
      <x:c r="I949" s="95" t="n">
        <x:v>25</x:v>
      </x:c>
      <x:c r="J949" s="95" t="n">
        <x:v>13</x:v>
      </x:c>
      <x:c r="K949" s="95" t="n">
        <x:v>4</x:v>
      </x:c>
      <x:c r="L949" s="95" t="n">
        <x:v>1</x:v>
      </x:c>
      <x:c r="M949" s="96" t="n">
        <x:f>IFERROR(G949/F949,0)</x:f>
        <x:v>0.9318181818181818</x:v>
      </x:c>
      <x:c r="N949" s="96" t="n">
        <x:f>IFERROR(H949/G949,0)</x:f>
        <x:v>0.7073170731707317</x:v>
      </x:c>
      <x:c r="O949" s="96" t="n">
        <x:f>IFERROR(I949/H949,0)</x:f>
        <x:v>0.8620689655172413</x:v>
      </x:c>
      <x:c r="P949" s="96" t="n">
        <x:f>IFERROR(J949/I949,0)</x:f>
        <x:v>0.52</x:v>
      </x:c>
      <x:c r="Q949" s="96" t="n">
        <x:f>IFERROR(L949/J949,0)</x:f>
        <x:v>0.07692307692307693</x:v>
      </x:c>
      <x:c r="R949" s="96" t="n">
        <x:f>IFERROR(L949/F949,0)</x:f>
        <x:v>0.022727272727272728</x:v>
      </x:c>
      <x:c r="S949" s="95" t="n">
        <x:v>59</x:v>
      </x:c>
      <x:c r="T949" s="94" t="str">
        <x:v>末次点击7天</x:v>
      </x:c>
    </x:row>
    <x:row r="950">
      <x:c r="A950" s="92" t="str">
        <x:v>PROC-0949</x:v>
      </x:c>
      <x:c r="B950" s="93" t="n">
        <x:v>46194</x:v>
      </x:c>
      <x:c r="C950" s="94" t="str">
        <x:v>Google Ads</x:v>
      </x:c>
      <x:c r="D950" s="94" t="str">
        <x:v>美国</x:v>
      </x:c>
      <x:c r="E950" s="94" t="str">
        <x:v>通用搜索</x:v>
      </x:c>
      <x:c r="F950" s="95" t="n">
        <x:v>58</x:v>
      </x:c>
      <x:c r="G950" s="95" t="n">
        <x:v>53</x:v>
      </x:c>
      <x:c r="H950" s="95" t="n">
        <x:v>39</x:v>
      </x:c>
      <x:c r="I950" s="95" t="n">
        <x:v>31</x:v>
      </x:c>
      <x:c r="J950" s="95" t="n">
        <x:v>14</x:v>
      </x:c>
      <x:c r="K950" s="95" t="n">
        <x:v>3</x:v>
      </x:c>
      <x:c r="L950" s="95" t="n">
        <x:v>1</x:v>
      </x:c>
      <x:c r="M950" s="96" t="n">
        <x:f>IFERROR(G950/F950,0)</x:f>
        <x:v>0.9137931034482759</x:v>
      </x:c>
      <x:c r="N950" s="96" t="n">
        <x:f>IFERROR(H950/G950,0)</x:f>
        <x:v>0.7358490566037735</x:v>
      </x:c>
      <x:c r="O950" s="96" t="n">
        <x:f>IFERROR(I950/H950,0)</x:f>
        <x:v>0.7948717948717948</x:v>
      </x:c>
      <x:c r="P950" s="96" t="n">
        <x:f>IFERROR(J950/I950,0)</x:f>
        <x:v>0.45161290322580644</x:v>
      </x:c>
      <x:c r="Q950" s="96" t="n">
        <x:f>IFERROR(L950/J950,0)</x:f>
        <x:v>0.07142857142857142</x:v>
      </x:c>
      <x:c r="R950" s="96" t="n">
        <x:f>IFERROR(L950/F950,0)</x:f>
        <x:v>0.017241379310344827</x:v>
      </x:c>
      <x:c r="S950" s="95" t="n">
        <x:v>76</x:v>
      </x:c>
      <x:c r="T950" s="94" t="str">
        <x:v>末次点击7天</x:v>
      </x:c>
    </x:row>
    <x:row r="951">
      <x:c r="A951" s="92" t="str">
        <x:v>PROC-0950</x:v>
      </x:c>
      <x:c r="B951" s="93" t="n">
        <x:v>46194</x:v>
      </x:c>
      <x:c r="C951" s="94" t="str">
        <x:v>Google Ads</x:v>
      </x:c>
      <x:c r="D951" s="94" t="str">
        <x:v>德国</x:v>
      </x:c>
      <x:c r="E951" s="94" t="str">
        <x:v>购物广告</x:v>
      </x:c>
      <x:c r="F951" s="95" t="n">
        <x:v>33</x:v>
      </x:c>
      <x:c r="G951" s="95" t="n">
        <x:v>29</x:v>
      </x:c>
      <x:c r="H951" s="95" t="n">
        <x:v>20</x:v>
      </x:c>
      <x:c r="I951" s="95" t="n">
        <x:v>17</x:v>
      </x:c>
      <x:c r="J951" s="95" t="n">
        <x:v>8</x:v>
      </x:c>
      <x:c r="K951" s="95" t="n">
        <x:v>2</x:v>
      </x:c>
      <x:c r="L951" s="95" t="n">
        <x:v>1</x:v>
      </x:c>
      <x:c r="M951" s="96" t="n">
        <x:f>IFERROR(G951/F951,0)</x:f>
        <x:v>0.8787878787878788</x:v>
      </x:c>
      <x:c r="N951" s="96" t="n">
        <x:f>IFERROR(H951/G951,0)</x:f>
        <x:v>0.6896551724137931</x:v>
      </x:c>
      <x:c r="O951" s="96" t="n">
        <x:f>IFERROR(I951/H951,0)</x:f>
        <x:v>0.85</x:v>
      </x:c>
      <x:c r="P951" s="96" t="n">
        <x:f>IFERROR(J951/I951,0)</x:f>
        <x:v>0.47058823529411764</x:v>
      </x:c>
      <x:c r="Q951" s="96" t="n">
        <x:f>IFERROR(L951/J951,0)</x:f>
        <x:v>0.125</x:v>
      </x:c>
      <x:c r="R951" s="96" t="n">
        <x:f>IFERROR(L951/F951,0)</x:f>
        <x:v>0.030303030303030304</x:v>
      </x:c>
      <x:c r="S951" s="95" t="n">
        <x:v>92</x:v>
      </x:c>
      <x:c r="T951" s="94" t="str">
        <x:v>末次点击7天</x:v>
      </x:c>
    </x:row>
    <x:row r="952">
      <x:c r="A952" s="92" t="str">
        <x:v>PROC-0951</x:v>
      </x:c>
      <x:c r="B952" s="93" t="n">
        <x:v>46194</x:v>
      </x:c>
      <x:c r="C952" s="94" t="str">
        <x:v>Microsoft Ads</x:v>
      </x:c>
      <x:c r="D952" s="94" t="str">
        <x:v>美国</x:v>
      </x:c>
      <x:c r="E952" s="94" t="str">
        <x:v>购物广告</x:v>
      </x:c>
      <x:c r="F952" s="95" t="n">
        <x:v>69</x:v>
      </x:c>
      <x:c r="G952" s="95" t="n">
        <x:v>65</x:v>
      </x:c>
      <x:c r="H952" s="95" t="n">
        <x:v>46</x:v>
      </x:c>
      <x:c r="I952" s="95" t="n">
        <x:v>42</x:v>
      </x:c>
      <x:c r="J952" s="95" t="n">
        <x:v>21</x:v>
      </x:c>
      <x:c r="K952" s="95" t="n">
        <x:v>6</x:v>
      </x:c>
      <x:c r="L952" s="95" t="n">
        <x:v>2</x:v>
      </x:c>
      <x:c r="M952" s="96" t="n">
        <x:f>IFERROR(G952/F952,0)</x:f>
        <x:v>0.9420289855072463</x:v>
      </x:c>
      <x:c r="N952" s="96" t="n">
        <x:f>IFERROR(H952/G952,0)</x:f>
        <x:v>0.7076923076923077</x:v>
      </x:c>
      <x:c r="O952" s="96" t="n">
        <x:f>IFERROR(I952/H952,0)</x:f>
        <x:v>0.9130434782608695</x:v>
      </x:c>
      <x:c r="P952" s="96" t="n">
        <x:f>IFERROR(J952/I952,0)</x:f>
        <x:v>0.5</x:v>
      </x:c>
      <x:c r="Q952" s="96" t="n">
        <x:f>IFERROR(L952/J952,0)</x:f>
        <x:v>0.09523809523809523</x:v>
      </x:c>
      <x:c r="R952" s="96" t="n">
        <x:f>IFERROR(L952/F952,0)</x:f>
        <x:v>0.028985507246376812</x:v>
      </x:c>
      <x:c r="S952" s="95" t="n">
        <x:v>152</x:v>
      </x:c>
      <x:c r="T952" s="94" t="str">
        <x:v>末次点击7天</x:v>
      </x:c>
    </x:row>
    <x:row r="953">
      <x:c r="A953" s="92" t="str">
        <x:v>PROC-0952</x:v>
      </x:c>
      <x:c r="B953" s="93" t="n">
        <x:v>46195</x:v>
      </x:c>
      <x:c r="C953" s="94" t="str">
        <x:v>Microsoft Ads</x:v>
      </x:c>
      <x:c r="D953" s="94" t="str">
        <x:v>英国</x:v>
      </x:c>
      <x:c r="E953" s="94" t="str">
        <x:v>通用搜索</x:v>
      </x:c>
      <x:c r="F953" s="95" t="n">
        <x:v>36</x:v>
      </x:c>
      <x:c r="G953" s="95" t="n">
        <x:v>34</x:v>
      </x:c>
      <x:c r="H953" s="95" t="n">
        <x:v>25</x:v>
      </x:c>
      <x:c r="I953" s="95" t="n">
        <x:v>21</x:v>
      </x:c>
      <x:c r="J953" s="95" t="n">
        <x:v>8</x:v>
      </x:c>
      <x:c r="K953" s="95" t="n">
        <x:v>2</x:v>
      </x:c>
      <x:c r="L953" s="95" t="n">
        <x:v>1</x:v>
      </x:c>
      <x:c r="M953" s="96" t="n">
        <x:f>IFERROR(G953/F953,0)</x:f>
        <x:v>0.9444444444444444</x:v>
      </x:c>
      <x:c r="N953" s="96" t="n">
        <x:f>IFERROR(H953/G953,0)</x:f>
        <x:v>0.7352941176470589</x:v>
      </x:c>
      <x:c r="O953" s="96" t="n">
        <x:f>IFERROR(I953/H953,0)</x:f>
        <x:v>0.84</x:v>
      </x:c>
      <x:c r="P953" s="96" t="n">
        <x:f>IFERROR(J953/I953,0)</x:f>
        <x:v>0.38095238095238093</x:v>
      </x:c>
      <x:c r="Q953" s="96" t="n">
        <x:f>IFERROR(L953/J953,0)</x:f>
        <x:v>0.125</x:v>
      </x:c>
      <x:c r="R953" s="96" t="n">
        <x:f>IFERROR(L953/F953,0)</x:f>
        <x:v>0.027777777777777776</x:v>
      </x:c>
      <x:c r="S953" s="95" t="n">
        <x:v>145</x:v>
      </x:c>
      <x:c r="T953" s="94" t="str">
        <x:v>末次点击7天</x:v>
      </x:c>
    </x:row>
    <x:row r="954">
      <x:c r="A954" s="92" t="str">
        <x:v>PROC-0953</x:v>
      </x:c>
      <x:c r="B954" s="93" t="n">
        <x:v>46195</x:v>
      </x:c>
      <x:c r="C954" s="94" t="str">
        <x:v>Google Ads</x:v>
      </x:c>
      <x:c r="D954" s="94" t="str">
        <x:v>英国</x:v>
      </x:c>
      <x:c r="E954" s="94" t="str">
        <x:v>品牌搜索</x:v>
      </x:c>
      <x:c r="F954" s="95" t="n">
        <x:v>65</x:v>
      </x:c>
      <x:c r="G954" s="95" t="n">
        <x:v>61</x:v>
      </x:c>
      <x:c r="H954" s="95" t="n">
        <x:v>46</x:v>
      </x:c>
      <x:c r="I954" s="95" t="n">
        <x:v>37</x:v>
      </x:c>
      <x:c r="J954" s="95" t="n">
        <x:v>18</x:v>
      </x:c>
      <x:c r="K954" s="95" t="n">
        <x:v>5</x:v>
      </x:c>
      <x:c r="L954" s="95" t="n">
        <x:v>2</x:v>
      </x:c>
      <x:c r="M954" s="96" t="n">
        <x:f>IFERROR(G954/F954,0)</x:f>
        <x:v>0.9384615384615385</x:v>
      </x:c>
      <x:c r="N954" s="96" t="n">
        <x:f>IFERROR(H954/G954,0)</x:f>
        <x:v>0.7540983606557377</x:v>
      </x:c>
      <x:c r="O954" s="96" t="n">
        <x:f>IFERROR(I954/H954,0)</x:f>
        <x:v>0.8043478260869565</x:v>
      </x:c>
      <x:c r="P954" s="96" t="n">
        <x:f>IFERROR(J954/I954,0)</x:f>
        <x:v>0.4864864864864865</x:v>
      </x:c>
      <x:c r="Q954" s="96" t="n">
        <x:f>IFERROR(L954/J954,0)</x:f>
        <x:v>0.1111111111111111</x:v>
      </x:c>
      <x:c r="R954" s="96" t="n">
        <x:f>IFERROR(L954/F954,0)</x:f>
        <x:v>0.03076923076923077</x:v>
      </x:c>
      <x:c r="S954" s="95" t="n">
        <x:v>71</x:v>
      </x:c>
      <x:c r="T954" s="94" t="str">
        <x:v>末次点击7天</x:v>
      </x:c>
    </x:row>
    <x:row r="955">
      <x:c r="A955" s="92" t="str">
        <x:v>PROC-0954</x:v>
      </x:c>
      <x:c r="B955" s="93" t="n">
        <x:v>46195</x:v>
      </x:c>
      <x:c r="C955" s="94" t="str">
        <x:v>Google Ads</x:v>
      </x:c>
      <x:c r="D955" s="94" t="str">
        <x:v>美国</x:v>
      </x:c>
      <x:c r="E955" s="94" t="str">
        <x:v>购物广告</x:v>
      </x:c>
      <x:c r="F955" s="95" t="n">
        <x:v>52</x:v>
      </x:c>
      <x:c r="G955" s="95" t="n">
        <x:v>46</x:v>
      </x:c>
      <x:c r="H955" s="95" t="n">
        <x:v>31</x:v>
      </x:c>
      <x:c r="I955" s="95" t="n">
        <x:v>29</x:v>
      </x:c>
      <x:c r="J955" s="95" t="n">
        <x:v>13</x:v>
      </x:c>
      <x:c r="K955" s="95" t="n">
        <x:v>3</x:v>
      </x:c>
      <x:c r="L955" s="95" t="n">
        <x:v>1</x:v>
      </x:c>
      <x:c r="M955" s="96" t="n">
        <x:f>IFERROR(G955/F955,0)</x:f>
        <x:v>0.8846153846153846</x:v>
      </x:c>
      <x:c r="N955" s="96" t="n">
        <x:f>IFERROR(H955/G955,0)</x:f>
        <x:v>0.6739130434782609</x:v>
      </x:c>
      <x:c r="O955" s="96" t="n">
        <x:f>IFERROR(I955/H955,0)</x:f>
        <x:v>0.9354838709677419</x:v>
      </x:c>
      <x:c r="P955" s="96" t="n">
        <x:f>IFERROR(J955/I955,0)</x:f>
        <x:v>0.4482758620689655</x:v>
      </x:c>
      <x:c r="Q955" s="96" t="n">
        <x:f>IFERROR(L955/J955,0)</x:f>
        <x:v>0.07692307692307693</x:v>
      </x:c>
      <x:c r="R955" s="96" t="n">
        <x:f>IFERROR(L955/F955,0)</x:f>
        <x:v>0.019230769230769232</x:v>
      </x:c>
      <x:c r="S955" s="95" t="n">
        <x:v>116</x:v>
      </x:c>
      <x:c r="T955" s="94" t="str">
        <x:v>末次点击7天</x:v>
      </x:c>
    </x:row>
    <x:row r="956">
      <x:c r="A956" s="92" t="str">
        <x:v>PROC-0955</x:v>
      </x:c>
      <x:c r="B956" s="93" t="n">
        <x:v>46195</x:v>
      </x:c>
      <x:c r="C956" s="94" t="str">
        <x:v>Google Ads</x:v>
      </x:c>
      <x:c r="D956" s="94" t="str">
        <x:v>美国</x:v>
      </x:c>
      <x:c r="E956" s="94" t="str">
        <x:v>品牌搜索</x:v>
      </x:c>
      <x:c r="F956" s="95" t="n">
        <x:v>68</x:v>
      </x:c>
      <x:c r="G956" s="95" t="n">
        <x:v>62</x:v>
      </x:c>
      <x:c r="H956" s="95" t="n">
        <x:v>42</x:v>
      </x:c>
      <x:c r="I956" s="95" t="n">
        <x:v>36</x:v>
      </x:c>
      <x:c r="J956" s="95" t="n">
        <x:v>17</x:v>
      </x:c>
      <x:c r="K956" s="95" t="n">
        <x:v>4</x:v>
      </x:c>
      <x:c r="L956" s="95" t="n">
        <x:v>2</x:v>
      </x:c>
      <x:c r="M956" s="96" t="n">
        <x:f>IFERROR(G956/F956,0)</x:f>
        <x:v>0.9117647058823529</x:v>
      </x:c>
      <x:c r="N956" s="96" t="n">
        <x:f>IFERROR(H956/G956,0)</x:f>
        <x:v>0.6774193548387096</x:v>
      </x:c>
      <x:c r="O956" s="96" t="n">
        <x:f>IFERROR(I956/H956,0)</x:f>
        <x:v>0.8571428571428571</x:v>
      </x:c>
      <x:c r="P956" s="96" t="n">
        <x:f>IFERROR(J956/I956,0)</x:f>
        <x:v>0.4722222222222222</x:v>
      </x:c>
      <x:c r="Q956" s="96" t="n">
        <x:f>IFERROR(L956/J956,0)</x:f>
        <x:v>0.11764705882352941</x:v>
      </x:c>
      <x:c r="R956" s="96" t="n">
        <x:f>IFERROR(L956/F956,0)</x:f>
        <x:v>0.029411764705882353</x:v>
      </x:c>
      <x:c r="S956" s="95" t="n">
        <x:v>82</x:v>
      </x:c>
      <x:c r="T956" s="94" t="str">
        <x:v>末次点击7天</x:v>
      </x:c>
    </x:row>
    <x:row r="957">
      <x:c r="A957" s="92" t="str">
        <x:v>PROC-0956</x:v>
      </x:c>
      <x:c r="B957" s="93" t="n">
        <x:v>46195</x:v>
      </x:c>
      <x:c r="C957" s="94" t="str">
        <x:v>Google Ads</x:v>
      </x:c>
      <x:c r="D957" s="94" t="str">
        <x:v>美国</x:v>
      </x:c>
      <x:c r="E957" s="94" t="str">
        <x:v>通用搜索</x:v>
      </x:c>
      <x:c r="F957" s="95" t="n">
        <x:v>28</x:v>
      </x:c>
      <x:c r="G957" s="95" t="n">
        <x:v>26</x:v>
      </x:c>
      <x:c r="H957" s="95" t="n">
        <x:v>19</x:v>
      </x:c>
      <x:c r="I957" s="95" t="n">
        <x:v>16</x:v>
      </x:c>
      <x:c r="J957" s="95" t="n">
        <x:v>6</x:v>
      </x:c>
      <x:c r="K957" s="95" t="n">
        <x:v>2</x:v>
      </x:c>
      <x:c r="L957" s="95" t="n">
        <x:v>1</x:v>
      </x:c>
      <x:c r="M957" s="96" t="n">
        <x:f>IFERROR(G957/F957,0)</x:f>
        <x:v>0.9285714285714286</x:v>
      </x:c>
      <x:c r="N957" s="96" t="n">
        <x:f>IFERROR(H957/G957,0)</x:f>
        <x:v>0.7307692307692307</x:v>
      </x:c>
      <x:c r="O957" s="96" t="n">
        <x:f>IFERROR(I957/H957,0)</x:f>
        <x:v>0.8421052631578947</x:v>
      </x:c>
      <x:c r="P957" s="96" t="n">
        <x:f>IFERROR(J957/I957,0)</x:f>
        <x:v>0.375</x:v>
      </x:c>
      <x:c r="Q957" s="96" t="n">
        <x:f>IFERROR(L957/J957,0)</x:f>
        <x:v>0.16666666666666666</x:v>
      </x:c>
      <x:c r="R957" s="96" t="n">
        <x:f>IFERROR(L957/F957,0)</x:f>
        <x:v>0.03571428571428571</x:v>
      </x:c>
      <x:c r="S957" s="95" t="n">
        <x:v>69</x:v>
      </x:c>
      <x:c r="T957" s="94" t="str">
        <x:v>末次点击7天</x:v>
      </x:c>
    </x:row>
    <x:row r="958">
      <x:c r="A958" s="92" t="str">
        <x:v>PROC-0957</x:v>
      </x:c>
      <x:c r="B958" s="93" t="n">
        <x:v>46196</x:v>
      </x:c>
      <x:c r="C958" s="94" t="str">
        <x:v>Microsoft Ads</x:v>
      </x:c>
      <x:c r="D958" s="94" t="str">
        <x:v>美国</x:v>
      </x:c>
      <x:c r="E958" s="94" t="str">
        <x:v>购物广告</x:v>
      </x:c>
      <x:c r="F958" s="95" t="n">
        <x:v>53</x:v>
      </x:c>
      <x:c r="G958" s="95" t="n">
        <x:v>49</x:v>
      </x:c>
      <x:c r="H958" s="95" t="n">
        <x:v>36</x:v>
      </x:c>
      <x:c r="I958" s="95" t="n">
        <x:v>30</x:v>
      </x:c>
      <x:c r="J958" s="95" t="n">
        <x:v>13</x:v>
      </x:c>
      <x:c r="K958" s="95" t="n">
        <x:v>3</x:v>
      </x:c>
      <x:c r="L958" s="95" t="n">
        <x:v>1</x:v>
      </x:c>
      <x:c r="M958" s="96" t="n">
        <x:f>IFERROR(G958/F958,0)</x:f>
        <x:v>0.9245283018867925</x:v>
      </x:c>
      <x:c r="N958" s="96" t="n">
        <x:f>IFERROR(H958/G958,0)</x:f>
        <x:v>0.7346938775510204</x:v>
      </x:c>
      <x:c r="O958" s="96" t="n">
        <x:f>IFERROR(I958/H958,0)</x:f>
        <x:v>0.8333333333333334</x:v>
      </x:c>
      <x:c r="P958" s="96" t="n">
        <x:f>IFERROR(J958/I958,0)</x:f>
        <x:v>0.43333333333333335</x:v>
      </x:c>
      <x:c r="Q958" s="96" t="n">
        <x:f>IFERROR(L958/J958,0)</x:f>
        <x:v>0.07692307692307693</x:v>
      </x:c>
      <x:c r="R958" s="96" t="n">
        <x:f>IFERROR(L958/F958,0)</x:f>
        <x:v>0.018867924528301886</x:v>
      </x:c>
      <x:c r="S958" s="95" t="n">
        <x:v>91</x:v>
      </x:c>
      <x:c r="T958" s="94" t="str">
        <x:v>末次点击7天</x:v>
      </x:c>
    </x:row>
    <x:row r="959">
      <x:c r="A959" s="92" t="str">
        <x:v>PROC-0958</x:v>
      </x:c>
      <x:c r="B959" s="93" t="n">
        <x:v>46196</x:v>
      </x:c>
      <x:c r="C959" s="94" t="str">
        <x:v>Google Ads</x:v>
      </x:c>
      <x:c r="D959" s="94" t="str">
        <x:v>美国</x:v>
      </x:c>
      <x:c r="E959" s="94" t="str">
        <x:v>通用搜索</x:v>
      </x:c>
      <x:c r="F959" s="95" t="n">
        <x:v>24</x:v>
      </x:c>
      <x:c r="G959" s="95" t="n">
        <x:v>22</x:v>
      </x:c>
      <x:c r="H959" s="95" t="n">
        <x:v>15</x:v>
      </x:c>
      <x:c r="I959" s="95" t="n">
        <x:v>12</x:v>
      </x:c>
      <x:c r="J959" s="95" t="n">
        <x:v>5</x:v>
      </x:c>
      <x:c r="K959" s="95" t="n">
        <x:v>2</x:v>
      </x:c>
      <x:c r="L959" s="95" t="n">
        <x:v>0</x:v>
      </x:c>
      <x:c r="M959" s="96" t="n">
        <x:f>IFERROR(G959/F959,0)</x:f>
        <x:v>0.9166666666666666</x:v>
      </x:c>
      <x:c r="N959" s="96" t="n">
        <x:f>IFERROR(H959/G959,0)</x:f>
        <x:v>0.6818181818181818</x:v>
      </x:c>
      <x:c r="O959" s="96" t="n">
        <x:f>IFERROR(I959/H959,0)</x:f>
        <x:v>0.8</x:v>
      </x:c>
      <x:c r="P959" s="96" t="n">
        <x:f>IFERROR(J959/I959,0)</x:f>
        <x:v>0.4166666666666667</x:v>
      </x:c>
      <x:c r="Q959" s="96" t="n">
        <x:f>IFERROR(L959/J959,0)</x:f>
        <x:v>0</x:v>
      </x:c>
      <x:c r="R959" s="96" t="n">
        <x:f>IFERROR(L959/F959,0)</x:f>
        <x:v>0</x:v>
      </x:c>
      <x:c r="S959" s="95" t="n">
        <x:v>96</x:v>
      </x:c>
      <x:c r="T959" s="94" t="str">
        <x:v>末次点击7天</x:v>
      </x:c>
    </x:row>
    <x:row r="960">
      <x:c r="A960" s="92" t="str">
        <x:v>PROC-0959</x:v>
      </x:c>
      <x:c r="B960" s="93" t="n">
        <x:v>46196</x:v>
      </x:c>
      <x:c r="C960" s="94" t="str">
        <x:v>Microsoft Ads</x:v>
      </x:c>
      <x:c r="D960" s="94" t="str">
        <x:v>美国</x:v>
      </x:c>
      <x:c r="E960" s="94" t="str">
        <x:v>品牌搜索</x:v>
      </x:c>
      <x:c r="F960" s="95" t="n">
        <x:v>56</x:v>
      </x:c>
      <x:c r="G960" s="95" t="n">
        <x:v>50</x:v>
      </x:c>
      <x:c r="H960" s="95" t="n">
        <x:v>35</x:v>
      </x:c>
      <x:c r="I960" s="95" t="n">
        <x:v>30</x:v>
      </x:c>
      <x:c r="J960" s="95" t="n">
        <x:v>15</x:v>
      </x:c>
      <x:c r="K960" s="95" t="n">
        <x:v>3</x:v>
      </x:c>
      <x:c r="L960" s="95" t="n">
        <x:v>2</x:v>
      </x:c>
      <x:c r="M960" s="96" t="n">
        <x:f>IFERROR(G960/F960,0)</x:f>
        <x:v>0.8928571428571429</x:v>
      </x:c>
      <x:c r="N960" s="96" t="n">
        <x:f>IFERROR(H960/G960,0)</x:f>
        <x:v>0.7</x:v>
      </x:c>
      <x:c r="O960" s="96" t="n">
        <x:f>IFERROR(I960/H960,0)</x:f>
        <x:v>0.8571428571428571</x:v>
      </x:c>
      <x:c r="P960" s="96" t="n">
        <x:f>IFERROR(J960/I960,0)</x:f>
        <x:v>0.5</x:v>
      </x:c>
      <x:c r="Q960" s="96" t="n">
        <x:f>IFERROR(L960/J960,0)</x:f>
        <x:v>0.13333333333333333</x:v>
      </x:c>
      <x:c r="R960" s="96" t="n">
        <x:f>IFERROR(L960/F960,0)</x:f>
        <x:v>0.03571428571428571</x:v>
      </x:c>
      <x:c r="S960" s="95" t="n">
        <x:v>100</x:v>
      </x:c>
      <x:c r="T960" s="94" t="str">
        <x:v>末次点击7天</x:v>
      </x:c>
    </x:row>
    <x:row r="961">
      <x:c r="A961" s="92" t="str">
        <x:v>PROC-0960</x:v>
      </x:c>
      <x:c r="B961" s="93" t="n">
        <x:v>46196</x:v>
      </x:c>
      <x:c r="C961" s="94" t="str">
        <x:v>Google Ads</x:v>
      </x:c>
      <x:c r="D961" s="94" t="str">
        <x:v>美国</x:v>
      </x:c>
      <x:c r="E961" s="94" t="str">
        <x:v>竞品搜索</x:v>
      </x:c>
      <x:c r="F961" s="95" t="n">
        <x:v>24</x:v>
      </x:c>
      <x:c r="G961" s="95" t="n">
        <x:v>21</x:v>
      </x:c>
      <x:c r="H961" s="95" t="n">
        <x:v>13</x:v>
      </x:c>
      <x:c r="I961" s="95" t="n">
        <x:v>11</x:v>
      </x:c>
      <x:c r="J961" s="95" t="n">
        <x:v>4</x:v>
      </x:c>
      <x:c r="K961" s="95" t="n">
        <x:v>1</x:v>
      </x:c>
      <x:c r="L961" s="95" t="n">
        <x:v>0</x:v>
      </x:c>
      <x:c r="M961" s="96" t="n">
        <x:f>IFERROR(G961/F961,0)</x:f>
        <x:v>0.875</x:v>
      </x:c>
      <x:c r="N961" s="96" t="n">
        <x:f>IFERROR(H961/G961,0)</x:f>
        <x:v>0.6190476190476191</x:v>
      </x:c>
      <x:c r="O961" s="96" t="n">
        <x:f>IFERROR(I961/H961,0)</x:f>
        <x:v>0.8461538461538461</x:v>
      </x:c>
      <x:c r="P961" s="96" t="n">
        <x:f>IFERROR(J961/I961,0)</x:f>
        <x:v>0.36363636363636365</x:v>
      </x:c>
      <x:c r="Q961" s="96" t="n">
        <x:f>IFERROR(L961/J961,0)</x:f>
        <x:v>0</x:v>
      </x:c>
      <x:c r="R961" s="96" t="n">
        <x:f>IFERROR(L961/F961,0)</x:f>
        <x:v>0</x:v>
      </x:c>
      <x:c r="S961" s="95" t="n">
        <x:v>58</x:v>
      </x:c>
      <x:c r="T961" s="94" t="str">
        <x:v>末次点击7天</x:v>
      </x:c>
    </x:row>
    <x:row r="962">
      <x:c r="A962" s="92" t="str">
        <x:v>PROC-0961</x:v>
      </x:c>
      <x:c r="B962" s="93" t="n">
        <x:v>46196</x:v>
      </x:c>
      <x:c r="C962" s="94" t="str">
        <x:v>Microsoft Ads</x:v>
      </x:c>
      <x:c r="D962" s="94" t="str">
        <x:v>英国</x:v>
      </x:c>
      <x:c r="E962" s="94" t="str">
        <x:v>通用搜索</x:v>
      </x:c>
      <x:c r="F962" s="95" t="n">
        <x:v>33</x:v>
      </x:c>
      <x:c r="G962" s="95" t="n">
        <x:v>30</x:v>
      </x:c>
      <x:c r="H962" s="95" t="n">
        <x:v>19</x:v>
      </x:c>
      <x:c r="I962" s="95" t="n">
        <x:v>15</x:v>
      </x:c>
      <x:c r="J962" s="95" t="n">
        <x:v>6</x:v>
      </x:c>
      <x:c r="K962" s="95" t="n">
        <x:v>2</x:v>
      </x:c>
      <x:c r="L962" s="95" t="n">
        <x:v>0</x:v>
      </x:c>
      <x:c r="M962" s="96" t="n">
        <x:f>IFERROR(G962/F962,0)</x:f>
        <x:v>0.9090909090909091</x:v>
      </x:c>
      <x:c r="N962" s="96" t="n">
        <x:f>IFERROR(H962/G962,0)</x:f>
        <x:v>0.6333333333333333</x:v>
      </x:c>
      <x:c r="O962" s="96" t="n">
        <x:f>IFERROR(I962/H962,0)</x:f>
        <x:v>0.7894736842105263</x:v>
      </x:c>
      <x:c r="P962" s="96" t="n">
        <x:f>IFERROR(J962/I962,0)</x:f>
        <x:v>0.4</x:v>
      </x:c>
      <x:c r="Q962" s="96" t="n">
        <x:f>IFERROR(L962/J962,0)</x:f>
        <x:v>0</x:v>
      </x:c>
      <x:c r="R962" s="96" t="n">
        <x:f>IFERROR(L962/F962,0)</x:f>
        <x:v>0</x:v>
      </x:c>
      <x:c r="S962" s="95" t="n">
        <x:v>100</x:v>
      </x:c>
      <x:c r="T962" s="94" t="str">
        <x:v>末次点击7天</x:v>
      </x:c>
    </x:row>
    <x:row r="963">
      <x:c r="A963" s="92" t="str">
        <x:v>PROC-0962</x:v>
      </x:c>
      <x:c r="B963" s="93" t="n">
        <x:v>46196</x:v>
      </x:c>
      <x:c r="C963" s="94" t="str">
        <x:v>Google Ads</x:v>
      </x:c>
      <x:c r="D963" s="94" t="str">
        <x:v>美国</x:v>
      </x:c>
      <x:c r="E963" s="94" t="str">
        <x:v>购物广告</x:v>
      </x:c>
      <x:c r="F963" s="95" t="n">
        <x:v>55</x:v>
      </x:c>
      <x:c r="G963" s="95" t="n">
        <x:v>51</x:v>
      </x:c>
      <x:c r="H963" s="95" t="n">
        <x:v>37</x:v>
      </x:c>
      <x:c r="I963" s="95" t="n">
        <x:v>33</x:v>
      </x:c>
      <x:c r="J963" s="95" t="n">
        <x:v>14</x:v>
      </x:c>
      <x:c r="K963" s="95" t="n">
        <x:v>3</x:v>
      </x:c>
      <x:c r="L963" s="95" t="n">
        <x:v>1</x:v>
      </x:c>
      <x:c r="M963" s="96" t="n">
        <x:f>IFERROR(G963/F963,0)</x:f>
        <x:v>0.9272727272727272</x:v>
      </x:c>
      <x:c r="N963" s="96" t="n">
        <x:f>IFERROR(H963/G963,0)</x:f>
        <x:v>0.7254901960784313</x:v>
      </x:c>
      <x:c r="O963" s="96" t="n">
        <x:f>IFERROR(I963/H963,0)</x:f>
        <x:v>0.8918918918918919</x:v>
      </x:c>
      <x:c r="P963" s="96" t="n">
        <x:f>IFERROR(J963/I963,0)</x:f>
        <x:v>0.42424242424242425</x:v>
      </x:c>
      <x:c r="Q963" s="96" t="n">
        <x:f>IFERROR(L963/J963,0)</x:f>
        <x:v>0.07142857142857142</x:v>
      </x:c>
      <x:c r="R963" s="96" t="n">
        <x:f>IFERROR(L963/F963,0)</x:f>
        <x:v>0.01818181818181818</x:v>
      </x:c>
      <x:c r="S963" s="95" t="n">
        <x:v>80</x:v>
      </x:c>
      <x:c r="T963" s="94" t="str">
        <x:v>末次点击7天</x:v>
      </x:c>
    </x:row>
    <x:row r="964">
      <x:c r="A964" s="92" t="str">
        <x:v>PROC-0963</x:v>
      </x:c>
      <x:c r="B964" s="93" t="n">
        <x:v>46197</x:v>
      </x:c>
      <x:c r="C964" s="94" t="str">
        <x:v>Google Ads</x:v>
      </x:c>
      <x:c r="D964" s="94" t="str">
        <x:v>日本</x:v>
      </x:c>
      <x:c r="E964" s="94" t="str">
        <x:v>品牌搜索</x:v>
      </x:c>
      <x:c r="F964" s="95" t="n">
        <x:v>62</x:v>
      </x:c>
      <x:c r="G964" s="95" t="n">
        <x:v>56</x:v>
      </x:c>
      <x:c r="H964" s="95" t="n">
        <x:v>41</x:v>
      </x:c>
      <x:c r="I964" s="95" t="n">
        <x:v>33</x:v>
      </x:c>
      <x:c r="J964" s="95" t="n">
        <x:v>17</x:v>
      </x:c>
      <x:c r="K964" s="95" t="n">
        <x:v>5</x:v>
      </x:c>
      <x:c r="L964" s="95" t="n">
        <x:v>2</x:v>
      </x:c>
      <x:c r="M964" s="96" t="n">
        <x:f>IFERROR(G964/F964,0)</x:f>
        <x:v>0.9032258064516129</x:v>
      </x:c>
      <x:c r="N964" s="96" t="n">
        <x:f>IFERROR(H964/G964,0)</x:f>
        <x:v>0.7321428571428571</x:v>
      </x:c>
      <x:c r="O964" s="96" t="n">
        <x:f>IFERROR(I964/H964,0)</x:f>
        <x:v>0.8048780487804879</x:v>
      </x:c>
      <x:c r="P964" s="96" t="n">
        <x:f>IFERROR(J964/I964,0)</x:f>
        <x:v>0.5151515151515151</x:v>
      </x:c>
      <x:c r="Q964" s="96" t="n">
        <x:f>IFERROR(L964/J964,0)</x:f>
        <x:v>0.11764705882352941</x:v>
      </x:c>
      <x:c r="R964" s="96" t="n">
        <x:f>IFERROR(L964/F964,0)</x:f>
        <x:v>0.03225806451612903</x:v>
      </x:c>
      <x:c r="S964" s="95" t="n">
        <x:v>136</x:v>
      </x:c>
      <x:c r="T964" s="94" t="str">
        <x:v>末次点击7天</x:v>
      </x:c>
    </x:row>
    <x:row r="965">
      <x:c r="A965" s="92" t="str">
        <x:v>PROC-0964</x:v>
      </x:c>
      <x:c r="B965" s="93" t="n">
        <x:v>46197</x:v>
      </x:c>
      <x:c r="C965" s="94" t="str">
        <x:v>Microsoft Ads</x:v>
      </x:c>
      <x:c r="D965" s="94" t="str">
        <x:v>美国</x:v>
      </x:c>
      <x:c r="E965" s="94" t="str">
        <x:v>通用搜索</x:v>
      </x:c>
      <x:c r="F965" s="95" t="n">
        <x:v>55</x:v>
      </x:c>
      <x:c r="G965" s="95" t="n">
        <x:v>49</x:v>
      </x:c>
      <x:c r="H965" s="95" t="n">
        <x:v>35</x:v>
      </x:c>
      <x:c r="I965" s="95" t="n">
        <x:v>29</x:v>
      </x:c>
      <x:c r="J965" s="95" t="n">
        <x:v>12</x:v>
      </x:c>
      <x:c r="K965" s="95" t="n">
        <x:v>3</x:v>
      </x:c>
      <x:c r="L965" s="95" t="n">
        <x:v>1</x:v>
      </x:c>
      <x:c r="M965" s="96" t="n">
        <x:f>IFERROR(G965/F965,0)</x:f>
        <x:v>0.8909090909090909</x:v>
      </x:c>
      <x:c r="N965" s="96" t="n">
        <x:f>IFERROR(H965/G965,0)</x:f>
        <x:v>0.7142857142857143</x:v>
      </x:c>
      <x:c r="O965" s="96" t="n">
        <x:f>IFERROR(I965/H965,0)</x:f>
        <x:v>0.8285714285714286</x:v>
      </x:c>
      <x:c r="P965" s="96" t="n">
        <x:f>IFERROR(J965/I965,0)</x:f>
        <x:v>0.41379310344827586</x:v>
      </x:c>
      <x:c r="Q965" s="96" t="n">
        <x:f>IFERROR(L965/J965,0)</x:f>
        <x:v>0.08333333333333333</x:v>
      </x:c>
      <x:c r="R965" s="96" t="n">
        <x:f>IFERROR(L965/F965,0)</x:f>
        <x:v>0.01818181818181818</x:v>
      </x:c>
      <x:c r="S965" s="95" t="n">
        <x:v>138</x:v>
      </x:c>
      <x:c r="T965" s="94" t="str">
        <x:v>末次点击7天</x:v>
      </x:c>
    </x:row>
    <x:row r="966">
      <x:c r="A966" s="92" t="str">
        <x:v>PROC-0965</x:v>
      </x:c>
      <x:c r="B966" s="93" t="n">
        <x:v>46197</x:v>
      </x:c>
      <x:c r="C966" s="94" t="str">
        <x:v>Google Ads</x:v>
      </x:c>
      <x:c r="D966" s="94" t="str">
        <x:v>美国</x:v>
      </x:c>
      <x:c r="E966" s="94" t="str">
        <x:v>竞品搜索</x:v>
      </x:c>
      <x:c r="F966" s="95" t="n">
        <x:v>30</x:v>
      </x:c>
      <x:c r="G966" s="95" t="n">
        <x:v>28</x:v>
      </x:c>
      <x:c r="H966" s="95" t="n">
        <x:v>18</x:v>
      </x:c>
      <x:c r="I966" s="95" t="n">
        <x:v>15</x:v>
      </x:c>
      <x:c r="J966" s="95" t="n">
        <x:v>7</x:v>
      </x:c>
      <x:c r="K966" s="95" t="n">
        <x:v>2</x:v>
      </x:c>
      <x:c r="L966" s="95" t="n">
        <x:v>1</x:v>
      </x:c>
      <x:c r="M966" s="96" t="n">
        <x:f>IFERROR(G966/F966,0)</x:f>
        <x:v>0.9333333333333333</x:v>
      </x:c>
      <x:c r="N966" s="96" t="n">
        <x:f>IFERROR(H966/G966,0)</x:f>
        <x:v>0.6428571428571429</x:v>
      </x:c>
      <x:c r="O966" s="96" t="n">
        <x:f>IFERROR(I966/H966,0)</x:f>
        <x:v>0.8333333333333334</x:v>
      </x:c>
      <x:c r="P966" s="96" t="n">
        <x:f>IFERROR(J966/I966,0)</x:f>
        <x:v>0.4666666666666667</x:v>
      </x:c>
      <x:c r="Q966" s="96" t="n">
        <x:f>IFERROR(L966/J966,0)</x:f>
        <x:v>0.14285714285714285</x:v>
      </x:c>
      <x:c r="R966" s="96" t="n">
        <x:f>IFERROR(L966/F966,0)</x:f>
        <x:v>0.03333333333333333</x:v>
      </x:c>
      <x:c r="S966" s="95" t="n">
        <x:v>139</x:v>
      </x:c>
      <x:c r="T966" s="94" t="str">
        <x:v>末次点击7天</x:v>
      </x:c>
    </x:row>
    <x:row r="967">
      <x:c r="A967" s="92" t="str">
        <x:v>PROC-0966</x:v>
      </x:c>
      <x:c r="B967" s="93" t="n">
        <x:v>46197</x:v>
      </x:c>
      <x:c r="C967" s="94" t="str">
        <x:v>Google Ads</x:v>
      </x:c>
      <x:c r="D967" s="94" t="str">
        <x:v>美国</x:v>
      </x:c>
      <x:c r="E967" s="94" t="str">
        <x:v>竞品搜索</x:v>
      </x:c>
      <x:c r="F967" s="95" t="n">
        <x:v>28</x:v>
      </x:c>
      <x:c r="G967" s="95" t="n">
        <x:v>26</x:v>
      </x:c>
      <x:c r="H967" s="95" t="n">
        <x:v>16</x:v>
      </x:c>
      <x:c r="I967" s="95" t="n">
        <x:v>13</x:v>
      </x:c>
      <x:c r="J967" s="95" t="n">
        <x:v>5</x:v>
      </x:c>
      <x:c r="K967" s="95" t="n">
        <x:v>2</x:v>
      </x:c>
      <x:c r="L967" s="95" t="n">
        <x:v>0</x:v>
      </x:c>
      <x:c r="M967" s="96" t="n">
        <x:f>IFERROR(G967/F967,0)</x:f>
        <x:v>0.9285714285714286</x:v>
      </x:c>
      <x:c r="N967" s="96" t="n">
        <x:f>IFERROR(H967/G967,0)</x:f>
        <x:v>0.6153846153846154</x:v>
      </x:c>
      <x:c r="O967" s="96" t="n">
        <x:f>IFERROR(I967/H967,0)</x:f>
        <x:v>0.8125</x:v>
      </x:c>
      <x:c r="P967" s="96" t="n">
        <x:f>IFERROR(J967/I967,0)</x:f>
        <x:v>0.38461538461538464</x:v>
      </x:c>
      <x:c r="Q967" s="96" t="n">
        <x:f>IFERROR(L967/J967,0)</x:f>
        <x:v>0</x:v>
      </x:c>
      <x:c r="R967" s="96" t="n">
        <x:f>IFERROR(L967/F967,0)</x:f>
        <x:v>0</x:v>
      </x:c>
      <x:c r="S967" s="95" t="n">
        <x:v>80</x:v>
      </x:c>
      <x:c r="T967" s="94" t="str">
        <x:v>末次点击7天</x:v>
      </x:c>
    </x:row>
    <x:row r="968">
      <x:c r="A968" s="92" t="str">
        <x:v>PROC-0967</x:v>
      </x:c>
      <x:c r="B968" s="93" t="n">
        <x:v>46197</x:v>
      </x:c>
      <x:c r="C968" s="94" t="str">
        <x:v>Google Ads</x:v>
      </x:c>
      <x:c r="D968" s="94" t="str">
        <x:v>德国</x:v>
      </x:c>
      <x:c r="E968" s="94" t="str">
        <x:v>购物广告</x:v>
      </x:c>
      <x:c r="F968" s="95" t="n">
        <x:v>41</x:v>
      </x:c>
      <x:c r="G968" s="95" t="n">
        <x:v>37</x:v>
      </x:c>
      <x:c r="H968" s="95" t="n">
        <x:v>25</x:v>
      </x:c>
      <x:c r="I968" s="95" t="n">
        <x:v>22</x:v>
      </x:c>
      <x:c r="J968" s="95" t="n">
        <x:v>9</x:v>
      </x:c>
      <x:c r="K968" s="95" t="n">
        <x:v>3</x:v>
      </x:c>
      <x:c r="L968" s="95" t="n">
        <x:v>1</x:v>
      </x:c>
      <x:c r="M968" s="96" t="n">
        <x:f>IFERROR(G968/F968,0)</x:f>
        <x:v>0.9024390243902439</x:v>
      </x:c>
      <x:c r="N968" s="96" t="n">
        <x:f>IFERROR(H968/G968,0)</x:f>
        <x:v>0.6756756756756757</x:v>
      </x:c>
      <x:c r="O968" s="96" t="n">
        <x:f>IFERROR(I968/H968,0)</x:f>
        <x:v>0.88</x:v>
      </x:c>
      <x:c r="P968" s="96" t="n">
        <x:f>IFERROR(J968/I968,0)</x:f>
        <x:v>0.4090909090909091</x:v>
      </x:c>
      <x:c r="Q968" s="96" t="n">
        <x:f>IFERROR(L968/J968,0)</x:f>
        <x:v>0.1111111111111111</x:v>
      </x:c>
      <x:c r="R968" s="96" t="n">
        <x:f>IFERROR(L968/F968,0)</x:f>
        <x:v>0.024390243902439025</x:v>
      </x:c>
      <x:c r="S968" s="95" t="n">
        <x:v>100</x:v>
      </x:c>
      <x:c r="T968" s="94" t="str">
        <x:v>末次点击7天</x:v>
      </x:c>
    </x:row>
    <x:row r="969">
      <x:c r="A969" s="92" t="str">
        <x:v>PROC-0968</x:v>
      </x:c>
      <x:c r="B969" s="93" t="n">
        <x:v>46198</x:v>
      </x:c>
      <x:c r="C969" s="94" t="str">
        <x:v>Google Ads</x:v>
      </x:c>
      <x:c r="D969" s="94" t="str">
        <x:v>美国</x:v>
      </x:c>
      <x:c r="E969" s="94" t="str">
        <x:v>通用搜索</x:v>
      </x:c>
      <x:c r="F969" s="95" t="n">
        <x:v>35</x:v>
      </x:c>
      <x:c r="G969" s="95" t="n">
        <x:v>31</x:v>
      </x:c>
      <x:c r="H969" s="95" t="n">
        <x:v>23</x:v>
      </x:c>
      <x:c r="I969" s="95" t="n">
        <x:v>19</x:v>
      </x:c>
      <x:c r="J969" s="95" t="n">
        <x:v>8</x:v>
      </x:c>
      <x:c r="K969" s="95" t="n">
        <x:v>3</x:v>
      </x:c>
      <x:c r="L969" s="95" t="n">
        <x:v>1</x:v>
      </x:c>
      <x:c r="M969" s="96" t="n">
        <x:f>IFERROR(G969/F969,0)</x:f>
        <x:v>0.8857142857142857</x:v>
      </x:c>
      <x:c r="N969" s="96" t="n">
        <x:f>IFERROR(H969/G969,0)</x:f>
        <x:v>0.7419354838709677</x:v>
      </x:c>
      <x:c r="O969" s="96" t="n">
        <x:f>IFERROR(I969/H969,0)</x:f>
        <x:v>0.8260869565217391</x:v>
      </x:c>
      <x:c r="P969" s="96" t="n">
        <x:f>IFERROR(J969/I969,0)</x:f>
        <x:v>0.42105263157894735</x:v>
      </x:c>
      <x:c r="Q969" s="96" t="n">
        <x:f>IFERROR(L969/J969,0)</x:f>
        <x:v>0.125</x:v>
      </x:c>
      <x:c r="R969" s="96" t="n">
        <x:f>IFERROR(L969/F969,0)</x:f>
        <x:v>0.02857142857142857</x:v>
      </x:c>
      <x:c r="S969" s="95" t="n">
        <x:v>85</x:v>
      </x:c>
      <x:c r="T969" s="94" t="str">
        <x:v>末次点击7天</x:v>
      </x:c>
    </x:row>
    <x:row r="970">
      <x:c r="A970" s="92" t="str">
        <x:v>PROC-0969</x:v>
      </x:c>
      <x:c r="B970" s="93" t="n">
        <x:v>46198</x:v>
      </x:c>
      <x:c r="C970" s="94" t="str">
        <x:v>Google Ads</x:v>
      </x:c>
      <x:c r="D970" s="94" t="str">
        <x:v>日本</x:v>
      </x:c>
      <x:c r="E970" s="94" t="str">
        <x:v>品牌搜索</x:v>
      </x:c>
      <x:c r="F970" s="95" t="n">
        <x:v>55</x:v>
      </x:c>
      <x:c r="G970" s="95" t="n">
        <x:v>51</x:v>
      </x:c>
      <x:c r="H970" s="95" t="n">
        <x:v>32</x:v>
      </x:c>
      <x:c r="I970" s="95" t="n">
        <x:v>26</x:v>
      </x:c>
      <x:c r="J970" s="95" t="n">
        <x:v>12</x:v>
      </x:c>
      <x:c r="K970" s="95" t="n">
        <x:v>4</x:v>
      </x:c>
      <x:c r="L970" s="95" t="n">
        <x:v>1</x:v>
      </x:c>
      <x:c r="M970" s="96" t="n">
        <x:f>IFERROR(G970/F970,0)</x:f>
        <x:v>0.9272727272727272</x:v>
      </x:c>
      <x:c r="N970" s="96" t="n">
        <x:f>IFERROR(H970/G970,0)</x:f>
        <x:v>0.6274509803921569</x:v>
      </x:c>
      <x:c r="O970" s="96" t="n">
        <x:f>IFERROR(I970/H970,0)</x:f>
        <x:v>0.8125</x:v>
      </x:c>
      <x:c r="P970" s="96" t="n">
        <x:f>IFERROR(J970/I970,0)</x:f>
        <x:v>0.46153846153846156</x:v>
      </x:c>
      <x:c r="Q970" s="96" t="n">
        <x:f>IFERROR(L970/J970,0)</x:f>
        <x:v>0.08333333333333333</x:v>
      </x:c>
      <x:c r="R970" s="96" t="n">
        <x:f>IFERROR(L970/F970,0)</x:f>
        <x:v>0.01818181818181818</x:v>
      </x:c>
      <x:c r="S970" s="95" t="n">
        <x:v>98</x:v>
      </x:c>
      <x:c r="T970" s="94" t="str">
        <x:v>末次点击7天</x:v>
      </x:c>
    </x:row>
    <x:row r="971">
      <x:c r="A971" s="92" t="str">
        <x:v>PROC-0970</x:v>
      </x:c>
      <x:c r="B971" s="93" t="n">
        <x:v>46198</x:v>
      </x:c>
      <x:c r="C971" s="94" t="str">
        <x:v>Microsoft Ads</x:v>
      </x:c>
      <x:c r="D971" s="94" t="str">
        <x:v>德国</x:v>
      </x:c>
      <x:c r="E971" s="94" t="str">
        <x:v>通用搜索</x:v>
      </x:c>
      <x:c r="F971" s="95" t="n">
        <x:v>56</x:v>
      </x:c>
      <x:c r="G971" s="95" t="n">
        <x:v>50</x:v>
      </x:c>
      <x:c r="H971" s="95" t="n">
        <x:v>36</x:v>
      </x:c>
      <x:c r="I971" s="95" t="n">
        <x:v>29</x:v>
      </x:c>
      <x:c r="J971" s="95" t="n">
        <x:v>13</x:v>
      </x:c>
      <x:c r="K971" s="95" t="n">
        <x:v>4</x:v>
      </x:c>
      <x:c r="L971" s="95" t="n">
        <x:v>1</x:v>
      </x:c>
      <x:c r="M971" s="96" t="n">
        <x:f>IFERROR(G971/F971,0)</x:f>
        <x:v>0.8928571428571429</x:v>
      </x:c>
      <x:c r="N971" s="96" t="n">
        <x:f>IFERROR(H971/G971,0)</x:f>
        <x:v>0.72</x:v>
      </x:c>
      <x:c r="O971" s="96" t="n">
        <x:f>IFERROR(I971/H971,0)</x:f>
        <x:v>0.8055555555555556</x:v>
      </x:c>
      <x:c r="P971" s="96" t="n">
        <x:f>IFERROR(J971/I971,0)</x:f>
        <x:v>0.4482758620689655</x:v>
      </x:c>
      <x:c r="Q971" s="96" t="n">
        <x:f>IFERROR(L971/J971,0)</x:f>
        <x:v>0.07692307692307693</x:v>
      </x:c>
      <x:c r="R971" s="96" t="n">
        <x:f>IFERROR(L971/F971,0)</x:f>
        <x:v>0.017857142857142856</x:v>
      </x:c>
      <x:c r="S971" s="95" t="n">
        <x:v>149</x:v>
      </x:c>
      <x:c r="T971" s="94" t="str">
        <x:v>末次点击7天</x:v>
      </x:c>
    </x:row>
    <x:row r="972">
      <x:c r="A972" s="92" t="str">
        <x:v>PROC-0971</x:v>
      </x:c>
      <x:c r="B972" s="93" t="n">
        <x:v>46198</x:v>
      </x:c>
      <x:c r="C972" s="94" t="str">
        <x:v>Google Ads</x:v>
      </x:c>
      <x:c r="D972" s="94" t="str">
        <x:v>日本</x:v>
      </x:c>
      <x:c r="E972" s="94" t="str">
        <x:v>购物广告</x:v>
      </x:c>
      <x:c r="F972" s="95" t="n">
        <x:v>60</x:v>
      </x:c>
      <x:c r="G972" s="95" t="n">
        <x:v>54</x:v>
      </x:c>
      <x:c r="H972" s="95" t="n">
        <x:v>42</x:v>
      </x:c>
      <x:c r="I972" s="95" t="n">
        <x:v>36</x:v>
      </x:c>
      <x:c r="J972" s="95" t="n">
        <x:v>15</x:v>
      </x:c>
      <x:c r="K972" s="95" t="n">
        <x:v>5</x:v>
      </x:c>
      <x:c r="L972" s="95" t="n">
        <x:v>1</x:v>
      </x:c>
      <x:c r="M972" s="96" t="n">
        <x:f>IFERROR(G972/F972,0)</x:f>
        <x:v>0.9</x:v>
      </x:c>
      <x:c r="N972" s="96" t="n">
        <x:f>IFERROR(H972/G972,0)</x:f>
        <x:v>0.7777777777777778</x:v>
      </x:c>
      <x:c r="O972" s="96" t="n">
        <x:f>IFERROR(I972/H972,0)</x:f>
        <x:v>0.8571428571428571</x:v>
      </x:c>
      <x:c r="P972" s="96" t="n">
        <x:f>IFERROR(J972/I972,0)</x:f>
        <x:v>0.4166666666666667</x:v>
      </x:c>
      <x:c r="Q972" s="96" t="n">
        <x:f>IFERROR(L972/J972,0)</x:f>
        <x:v>0.06666666666666667</x:v>
      </x:c>
      <x:c r="R972" s="96" t="n">
        <x:f>IFERROR(L972/F972,0)</x:f>
        <x:v>0.016666666666666666</x:v>
      </x:c>
      <x:c r="S972" s="95" t="n">
        <x:v>46</x:v>
      </x:c>
      <x:c r="T972" s="94" t="str">
        <x:v>末次点击7天</x:v>
      </x:c>
    </x:row>
    <x:row r="973">
      <x:c r="A973" s="92" t="str">
        <x:v>PROC-0972</x:v>
      </x:c>
      <x:c r="B973" s="93" t="n">
        <x:v>46198</x:v>
      </x:c>
      <x:c r="C973" s="94" t="str">
        <x:v>Google Ads</x:v>
      </x:c>
      <x:c r="D973" s="94" t="str">
        <x:v>美国</x:v>
      </x:c>
      <x:c r="E973" s="94" t="str">
        <x:v>购物广告</x:v>
      </x:c>
      <x:c r="F973" s="95" t="n">
        <x:v>56</x:v>
      </x:c>
      <x:c r="G973" s="95" t="n">
        <x:v>50</x:v>
      </x:c>
      <x:c r="H973" s="95" t="n">
        <x:v>33</x:v>
      </x:c>
      <x:c r="I973" s="95" t="n">
        <x:v>29</x:v>
      </x:c>
      <x:c r="J973" s="95" t="n">
        <x:v>12</x:v>
      </x:c>
      <x:c r="K973" s="95" t="n">
        <x:v>4</x:v>
      </x:c>
      <x:c r="L973" s="95" t="n">
        <x:v>1</x:v>
      </x:c>
      <x:c r="M973" s="96" t="n">
        <x:f>IFERROR(G973/F973,0)</x:f>
        <x:v>0.8928571428571429</x:v>
      </x:c>
      <x:c r="N973" s="96" t="n">
        <x:f>IFERROR(H973/G973,0)</x:f>
        <x:v>0.66</x:v>
      </x:c>
      <x:c r="O973" s="96" t="n">
        <x:f>IFERROR(I973/H973,0)</x:f>
        <x:v>0.8787878787878788</x:v>
      </x:c>
      <x:c r="P973" s="96" t="n">
        <x:f>IFERROR(J973/I973,0)</x:f>
        <x:v>0.41379310344827586</x:v>
      </x:c>
      <x:c r="Q973" s="96" t="n">
        <x:f>IFERROR(L973/J973,0)</x:f>
        <x:v>0.08333333333333333</x:v>
      </x:c>
      <x:c r="R973" s="96" t="n">
        <x:f>IFERROR(L973/F973,0)</x:f>
        <x:v>0.017857142857142856</x:v>
      </x:c>
      <x:c r="S973" s="95" t="n">
        <x:v>151</x:v>
      </x:c>
      <x:c r="T973" s="94" t="str">
        <x:v>末次点击7天</x:v>
      </x:c>
    </x:row>
    <x:row r="974">
      <x:c r="A974" s="92" t="str">
        <x:v>PROC-0973</x:v>
      </x:c>
      <x:c r="B974" s="93" t="n">
        <x:v>46198</x:v>
      </x:c>
      <x:c r="C974" s="94" t="str">
        <x:v>Microsoft Ads</x:v>
      </x:c>
      <x:c r="D974" s="94" t="str">
        <x:v>日本</x:v>
      </x:c>
      <x:c r="E974" s="94" t="str">
        <x:v>通用搜索</x:v>
      </x:c>
      <x:c r="F974" s="95" t="n">
        <x:v>28</x:v>
      </x:c>
      <x:c r="G974" s="95" t="n">
        <x:v>26</x:v>
      </x:c>
      <x:c r="H974" s="95" t="n">
        <x:v>17</x:v>
      </x:c>
      <x:c r="I974" s="95" t="n">
        <x:v>15</x:v>
      </x:c>
      <x:c r="J974" s="95" t="n">
        <x:v>7</x:v>
      </x:c>
      <x:c r="K974" s="95" t="n">
        <x:v>2</x:v>
      </x:c>
      <x:c r="L974" s="95" t="n">
        <x:v>1</x:v>
      </x:c>
      <x:c r="M974" s="96" t="n">
        <x:f>IFERROR(G974/F974,0)</x:f>
        <x:v>0.9285714285714286</x:v>
      </x:c>
      <x:c r="N974" s="96" t="n">
        <x:f>IFERROR(H974/G974,0)</x:f>
        <x:v>0.6538461538461539</x:v>
      </x:c>
      <x:c r="O974" s="96" t="n">
        <x:f>IFERROR(I974/H974,0)</x:f>
        <x:v>0.8823529411764706</x:v>
      </x:c>
      <x:c r="P974" s="96" t="n">
        <x:f>IFERROR(J974/I974,0)</x:f>
        <x:v>0.4666666666666667</x:v>
      </x:c>
      <x:c r="Q974" s="96" t="n">
        <x:f>IFERROR(L974/J974,0)</x:f>
        <x:v>0.14285714285714285</x:v>
      </x:c>
      <x:c r="R974" s="96" t="n">
        <x:f>IFERROR(L974/F974,0)</x:f>
        <x:v>0.03571428571428571</x:v>
      </x:c>
      <x:c r="S974" s="95" t="n">
        <x:v>51</x:v>
      </x:c>
      <x:c r="T974" s="94" t="str">
        <x:v>末次点击7天</x:v>
      </x:c>
    </x:row>
    <x:row r="975">
      <x:c r="A975" s="92" t="str">
        <x:v>PROC-0974</x:v>
      </x:c>
      <x:c r="B975" s="93" t="n">
        <x:v>46199</x:v>
      </x:c>
      <x:c r="C975" s="94" t="str">
        <x:v>Google Ads</x:v>
      </x:c>
      <x:c r="D975" s="94" t="str">
        <x:v>美国</x:v>
      </x:c>
      <x:c r="E975" s="94" t="str">
        <x:v>通用搜索</x:v>
      </x:c>
      <x:c r="F975" s="95" t="n">
        <x:v>40</x:v>
      </x:c>
      <x:c r="G975" s="95" t="n">
        <x:v>37</x:v>
      </x:c>
      <x:c r="H975" s="95" t="n">
        <x:v>26</x:v>
      </x:c>
      <x:c r="I975" s="95" t="n">
        <x:v>21</x:v>
      </x:c>
      <x:c r="J975" s="95" t="n">
        <x:v>8</x:v>
      </x:c>
      <x:c r="K975" s="95" t="n">
        <x:v>2</x:v>
      </x:c>
      <x:c r="L975" s="95" t="n">
        <x:v>1</x:v>
      </x:c>
      <x:c r="M975" s="96" t="n">
        <x:f>IFERROR(G975/F975,0)</x:f>
        <x:v>0.925</x:v>
      </x:c>
      <x:c r="N975" s="96" t="n">
        <x:f>IFERROR(H975/G975,0)</x:f>
        <x:v>0.7027027027027027</x:v>
      </x:c>
      <x:c r="O975" s="96" t="n">
        <x:f>IFERROR(I975/H975,0)</x:f>
        <x:v>0.8076923076923077</x:v>
      </x:c>
      <x:c r="P975" s="96" t="n">
        <x:f>IFERROR(J975/I975,0)</x:f>
        <x:v>0.38095238095238093</x:v>
      </x:c>
      <x:c r="Q975" s="96" t="n">
        <x:f>IFERROR(L975/J975,0)</x:f>
        <x:v>0.125</x:v>
      </x:c>
      <x:c r="R975" s="96" t="n">
        <x:f>IFERROR(L975/F975,0)</x:f>
        <x:v>0.025</x:v>
      </x:c>
      <x:c r="S975" s="95" t="n">
        <x:v>131</x:v>
      </x:c>
      <x:c r="T975" s="94" t="str">
        <x:v>末次点击7天</x:v>
      </x:c>
    </x:row>
    <x:row r="976">
      <x:c r="A976" s="92" t="str">
        <x:v>PROC-0975</x:v>
      </x:c>
      <x:c r="B976" s="93" t="n">
        <x:v>46199</x:v>
      </x:c>
      <x:c r="C976" s="94" t="str">
        <x:v>Google Ads</x:v>
      </x:c>
      <x:c r="D976" s="94" t="str">
        <x:v>日本</x:v>
      </x:c>
      <x:c r="E976" s="94" t="str">
        <x:v>品牌搜索</x:v>
      </x:c>
      <x:c r="F976" s="95" t="n">
        <x:v>38</x:v>
      </x:c>
      <x:c r="G976" s="95" t="n">
        <x:v>34</x:v>
      </x:c>
      <x:c r="H976" s="95" t="n">
        <x:v>24</x:v>
      </x:c>
      <x:c r="I976" s="95" t="n">
        <x:v>20</x:v>
      </x:c>
      <x:c r="J976" s="95" t="n">
        <x:v>10</x:v>
      </x:c>
      <x:c r="K976" s="95" t="n">
        <x:v>3</x:v>
      </x:c>
      <x:c r="L976" s="95" t="n">
        <x:v>1</x:v>
      </x:c>
      <x:c r="M976" s="96" t="n">
        <x:f>IFERROR(G976/F976,0)</x:f>
        <x:v>0.8947368421052632</x:v>
      </x:c>
      <x:c r="N976" s="96" t="n">
        <x:f>IFERROR(H976/G976,0)</x:f>
        <x:v>0.7058823529411765</x:v>
      </x:c>
      <x:c r="O976" s="96" t="n">
        <x:f>IFERROR(I976/H976,0)</x:f>
        <x:v>0.8333333333333334</x:v>
      </x:c>
      <x:c r="P976" s="96" t="n">
        <x:f>IFERROR(J976/I976,0)</x:f>
        <x:v>0.5</x:v>
      </x:c>
      <x:c r="Q976" s="96" t="n">
        <x:f>IFERROR(L976/J976,0)</x:f>
        <x:v>0.1</x:v>
      </x:c>
      <x:c r="R976" s="96" t="n">
        <x:f>IFERROR(L976/F976,0)</x:f>
        <x:v>0.02631578947368421</x:v>
      </x:c>
      <x:c r="S976" s="95" t="n">
        <x:v>144</x:v>
      </x:c>
      <x:c r="T976" s="94" t="str">
        <x:v>末次点击7天</x:v>
      </x:c>
    </x:row>
    <x:row r="977">
      <x:c r="A977" s="92" t="str">
        <x:v>PROC-0976</x:v>
      </x:c>
      <x:c r="B977" s="93" t="n">
        <x:v>46199</x:v>
      </x:c>
      <x:c r="C977" s="94" t="str">
        <x:v>Google Ads</x:v>
      </x:c>
      <x:c r="D977" s="94" t="str">
        <x:v>美国</x:v>
      </x:c>
      <x:c r="E977" s="94" t="str">
        <x:v>竞品搜索</x:v>
      </x:c>
      <x:c r="F977" s="95" t="n">
        <x:v>31</x:v>
      </x:c>
      <x:c r="G977" s="95" t="n">
        <x:v>29</x:v>
      </x:c>
      <x:c r="H977" s="95" t="n">
        <x:v>22</x:v>
      </x:c>
      <x:c r="I977" s="95" t="n">
        <x:v>18</x:v>
      </x:c>
      <x:c r="J977" s="95" t="n">
        <x:v>7</x:v>
      </x:c>
      <x:c r="K977" s="95" t="n">
        <x:v>2</x:v>
      </x:c>
      <x:c r="L977" s="95" t="n">
        <x:v>1</x:v>
      </x:c>
      <x:c r="M977" s="96" t="n">
        <x:f>IFERROR(G977/F977,0)</x:f>
        <x:v>0.9354838709677419</x:v>
      </x:c>
      <x:c r="N977" s="96" t="n">
        <x:f>IFERROR(H977/G977,0)</x:f>
        <x:v>0.7586206896551724</x:v>
      </x:c>
      <x:c r="O977" s="96" t="n">
        <x:f>IFERROR(I977/H977,0)</x:f>
        <x:v>0.8181818181818182</x:v>
      </x:c>
      <x:c r="P977" s="96" t="n">
        <x:f>IFERROR(J977/I977,0)</x:f>
        <x:v>0.3888888888888889</x:v>
      </x:c>
      <x:c r="Q977" s="96" t="n">
        <x:f>IFERROR(L977/J977,0)</x:f>
        <x:v>0.14285714285714285</x:v>
      </x:c>
      <x:c r="R977" s="96" t="n">
        <x:f>IFERROR(L977/F977,0)</x:f>
        <x:v>0.03225806451612903</x:v>
      </x:c>
      <x:c r="S977" s="95" t="n">
        <x:v>129</x:v>
      </x:c>
      <x:c r="T977" s="94" t="str">
        <x:v>末次点击7天</x:v>
      </x:c>
    </x:row>
    <x:row r="978">
      <x:c r="A978" s="92" t="str">
        <x:v>PROC-0977</x:v>
      </x:c>
      <x:c r="B978" s="93" t="n">
        <x:v>46199</x:v>
      </x:c>
      <x:c r="C978" s="94" t="str">
        <x:v>Google Ads</x:v>
      </x:c>
      <x:c r="D978" s="94" t="str">
        <x:v>英国</x:v>
      </x:c>
      <x:c r="E978" s="94" t="str">
        <x:v>竞品搜索</x:v>
      </x:c>
      <x:c r="F978" s="95" t="n">
        <x:v>20</x:v>
      </x:c>
      <x:c r="G978" s="95" t="n">
        <x:v>18</x:v>
      </x:c>
      <x:c r="H978" s="95" t="n">
        <x:v>14</x:v>
      </x:c>
      <x:c r="I978" s="95" t="n">
        <x:v>11</x:v>
      </x:c>
      <x:c r="J978" s="95" t="n">
        <x:v>5</x:v>
      </x:c>
      <x:c r="K978" s="95" t="n">
        <x:v>1</x:v>
      </x:c>
      <x:c r="L978" s="95" t="n">
        <x:v>0</x:v>
      </x:c>
      <x:c r="M978" s="96" t="n">
        <x:f>IFERROR(G978/F978,0)</x:f>
        <x:v>0.9</x:v>
      </x:c>
      <x:c r="N978" s="96" t="n">
        <x:f>IFERROR(H978/G978,0)</x:f>
        <x:v>0.7777777777777778</x:v>
      </x:c>
      <x:c r="O978" s="96" t="n">
        <x:f>IFERROR(I978/H978,0)</x:f>
        <x:v>0.7857142857142857</x:v>
      </x:c>
      <x:c r="P978" s="96" t="n">
        <x:f>IFERROR(J978/I978,0)</x:f>
        <x:v>0.45454545454545453</x:v>
      </x:c>
      <x:c r="Q978" s="96" t="n">
        <x:f>IFERROR(L978/J978,0)</x:f>
        <x:v>0</x:v>
      </x:c>
      <x:c r="R978" s="96" t="n">
        <x:f>IFERROR(L978/F978,0)</x:f>
        <x:v>0</x:v>
      </x:c>
      <x:c r="S978" s="95" t="n">
        <x:v>85</x:v>
      </x:c>
      <x:c r="T978" s="94" t="str">
        <x:v>末次点击7天</x:v>
      </x:c>
    </x:row>
    <x:row r="979">
      <x:c r="A979" s="92" t="str">
        <x:v>PROC-0978</x:v>
      </x:c>
      <x:c r="B979" s="93" t="n">
        <x:v>46199</x:v>
      </x:c>
      <x:c r="C979" s="94" t="str">
        <x:v>Google Ads</x:v>
      </x:c>
      <x:c r="D979" s="94" t="str">
        <x:v>日本</x:v>
      </x:c>
      <x:c r="E979" s="94" t="str">
        <x:v>品牌搜索</x:v>
      </x:c>
      <x:c r="F979" s="95" t="n">
        <x:v>50</x:v>
      </x:c>
      <x:c r="G979" s="95" t="n">
        <x:v>44</x:v>
      </x:c>
      <x:c r="H979" s="95" t="n">
        <x:v>33</x:v>
      </x:c>
      <x:c r="I979" s="95" t="n">
        <x:v>27</x:v>
      </x:c>
      <x:c r="J979" s="95" t="n">
        <x:v>14</x:v>
      </x:c>
      <x:c r="K979" s="95" t="n">
        <x:v>5</x:v>
      </x:c>
      <x:c r="L979" s="95" t="n">
        <x:v>1</x:v>
      </x:c>
      <x:c r="M979" s="96" t="n">
        <x:f>IFERROR(G979/F979,0)</x:f>
        <x:v>0.88</x:v>
      </x:c>
      <x:c r="N979" s="96" t="n">
        <x:f>IFERROR(H979/G979,0)</x:f>
        <x:v>0.75</x:v>
      </x:c>
      <x:c r="O979" s="96" t="n">
        <x:f>IFERROR(I979/H979,0)</x:f>
        <x:v>0.8181818181818182</x:v>
      </x:c>
      <x:c r="P979" s="96" t="n">
        <x:f>IFERROR(J979/I979,0)</x:f>
        <x:v>0.5185185185185185</x:v>
      </x:c>
      <x:c r="Q979" s="96" t="n">
        <x:f>IFERROR(L979/J979,0)</x:f>
        <x:v>0.07142857142857142</x:v>
      </x:c>
      <x:c r="R979" s="96" t="n">
        <x:f>IFERROR(L979/F979,0)</x:f>
        <x:v>0.02</x:v>
      </x:c>
      <x:c r="S979" s="95" t="n">
        <x:v>108</x:v>
      </x:c>
      <x:c r="T979" s="94" t="str">
        <x:v>末次点击7天</x:v>
      </x:c>
    </x:row>
    <x:row r="980">
      <x:c r="A980" s="92" t="str">
        <x:v>PROC-0979</x:v>
      </x:c>
      <x:c r="B980" s="93" t="n">
        <x:v>46200</x:v>
      </x:c>
      <x:c r="C980" s="94" t="str">
        <x:v>Google Ads</x:v>
      </x:c>
      <x:c r="D980" s="94" t="str">
        <x:v>美国</x:v>
      </x:c>
      <x:c r="E980" s="94" t="str">
        <x:v>竞品搜索</x:v>
      </x:c>
      <x:c r="F980" s="95" t="n">
        <x:v>36</x:v>
      </x:c>
      <x:c r="G980" s="95" t="n">
        <x:v>33</x:v>
      </x:c>
      <x:c r="H980" s="95" t="n">
        <x:v>24</x:v>
      </x:c>
      <x:c r="I980" s="95" t="n">
        <x:v>20</x:v>
      </x:c>
      <x:c r="J980" s="95" t="n">
        <x:v>8</x:v>
      </x:c>
      <x:c r="K980" s="95" t="n">
        <x:v>2</x:v>
      </x:c>
      <x:c r="L980" s="95" t="n">
        <x:v>1</x:v>
      </x:c>
      <x:c r="M980" s="96" t="n">
        <x:f>IFERROR(G980/F980,0)</x:f>
        <x:v>0.9166666666666666</x:v>
      </x:c>
      <x:c r="N980" s="96" t="n">
        <x:f>IFERROR(H980/G980,0)</x:f>
        <x:v>0.7272727272727273</x:v>
      </x:c>
      <x:c r="O980" s="96" t="n">
        <x:f>IFERROR(I980/H980,0)</x:f>
        <x:v>0.8333333333333334</x:v>
      </x:c>
      <x:c r="P980" s="96" t="n">
        <x:f>IFERROR(J980/I980,0)</x:f>
        <x:v>0.4</x:v>
      </x:c>
      <x:c r="Q980" s="96" t="n">
        <x:f>IFERROR(L980/J980,0)</x:f>
        <x:v>0.125</x:v>
      </x:c>
      <x:c r="R980" s="96" t="n">
        <x:f>IFERROR(L980/F980,0)</x:f>
        <x:v>0.027777777777777776</x:v>
      </x:c>
      <x:c r="S980" s="95" t="n">
        <x:v>79</x:v>
      </x:c>
      <x:c r="T980" s="94" t="str">
        <x:v>末次点击7天</x:v>
      </x:c>
    </x:row>
    <x:row r="981">
      <x:c r="A981" s="92" t="str">
        <x:v>PROC-0980</x:v>
      </x:c>
      <x:c r="B981" s="93" t="n">
        <x:v>46200</x:v>
      </x:c>
      <x:c r="C981" s="94" t="str">
        <x:v>Microsoft Ads</x:v>
      </x:c>
      <x:c r="D981" s="94" t="str">
        <x:v>美国</x:v>
      </x:c>
      <x:c r="E981" s="94" t="str">
        <x:v>竞品搜索</x:v>
      </x:c>
      <x:c r="F981" s="95" t="n">
        <x:v>16</x:v>
      </x:c>
      <x:c r="G981" s="95" t="n">
        <x:v>15</x:v>
      </x:c>
      <x:c r="H981" s="95" t="n">
        <x:v>9</x:v>
      </x:c>
      <x:c r="I981" s="95" t="n">
        <x:v>7</x:v>
      </x:c>
      <x:c r="J981" s="95" t="n">
        <x:v>3</x:v>
      </x:c>
      <x:c r="K981" s="95" t="n">
        <x:v>1</x:v>
      </x:c>
      <x:c r="L981" s="95" t="n">
        <x:v>0</x:v>
      </x:c>
      <x:c r="M981" s="96" t="n">
        <x:f>IFERROR(G981/F981,0)</x:f>
        <x:v>0.9375</x:v>
      </x:c>
      <x:c r="N981" s="96" t="n">
        <x:f>IFERROR(H981/G981,0)</x:f>
        <x:v>0.6</x:v>
      </x:c>
      <x:c r="O981" s="96" t="n">
        <x:f>IFERROR(I981/H981,0)</x:f>
        <x:v>0.7777777777777778</x:v>
      </x:c>
      <x:c r="P981" s="96" t="n">
        <x:f>IFERROR(J981/I981,0)</x:f>
        <x:v>0.42857142857142855</x:v>
      </x:c>
      <x:c r="Q981" s="96" t="n">
        <x:f>IFERROR(L981/J981,0)</x:f>
        <x:v>0</x:v>
      </x:c>
      <x:c r="R981" s="96" t="n">
        <x:f>IFERROR(L981/F981,0)</x:f>
        <x:v>0</x:v>
      </x:c>
      <x:c r="S981" s="95" t="n">
        <x:v>87</x:v>
      </x:c>
      <x:c r="T981" s="94" t="str">
        <x:v>末次点击7天</x:v>
      </x:c>
    </x:row>
    <x:row r="982">
      <x:c r="A982" s="92" t="str">
        <x:v>PROC-0981</x:v>
      </x:c>
      <x:c r="B982" s="93" t="n">
        <x:v>46200</x:v>
      </x:c>
      <x:c r="C982" s="94" t="str">
        <x:v>Google Ads</x:v>
      </x:c>
      <x:c r="D982" s="94" t="str">
        <x:v>美国</x:v>
      </x:c>
      <x:c r="E982" s="94" t="str">
        <x:v>购物广告</x:v>
      </x:c>
      <x:c r="F982" s="95" t="n">
        <x:v>50</x:v>
      </x:c>
      <x:c r="G982" s="95" t="n">
        <x:v>45</x:v>
      </x:c>
      <x:c r="H982" s="95" t="n">
        <x:v>32</x:v>
      </x:c>
      <x:c r="I982" s="95" t="n">
        <x:v>28</x:v>
      </x:c>
      <x:c r="J982" s="95" t="n">
        <x:v>13</x:v>
      </x:c>
      <x:c r="K982" s="95" t="n">
        <x:v>4</x:v>
      </x:c>
      <x:c r="L982" s="95" t="n">
        <x:v>1</x:v>
      </x:c>
      <x:c r="M982" s="96" t="n">
        <x:f>IFERROR(G982/F982,0)</x:f>
        <x:v>0.9</x:v>
      </x:c>
      <x:c r="N982" s="96" t="n">
        <x:f>IFERROR(H982/G982,0)</x:f>
        <x:v>0.7111111111111111</x:v>
      </x:c>
      <x:c r="O982" s="96" t="n">
        <x:f>IFERROR(I982/H982,0)</x:f>
        <x:v>0.875</x:v>
      </x:c>
      <x:c r="P982" s="96" t="n">
        <x:f>IFERROR(J982/I982,0)</x:f>
        <x:v>0.4642857142857143</x:v>
      </x:c>
      <x:c r="Q982" s="96" t="n">
        <x:f>IFERROR(L982/J982,0)</x:f>
        <x:v>0.07692307692307693</x:v>
      </x:c>
      <x:c r="R982" s="96" t="n">
        <x:f>IFERROR(L982/F982,0)</x:f>
        <x:v>0.02</x:v>
      </x:c>
      <x:c r="S982" s="95" t="n">
        <x:v>75</x:v>
      </x:c>
      <x:c r="T982" s="94" t="str">
        <x:v>末次点击7天</x:v>
      </x:c>
    </x:row>
    <x:row r="983">
      <x:c r="A983" s="92" t="str">
        <x:v>PROC-0982</x:v>
      </x:c>
      <x:c r="B983" s="93" t="n">
        <x:v>46200</x:v>
      </x:c>
      <x:c r="C983" s="94" t="str">
        <x:v>Google Ads</x:v>
      </x:c>
      <x:c r="D983" s="94" t="str">
        <x:v>德国</x:v>
      </x:c>
      <x:c r="E983" s="94" t="str">
        <x:v>品牌搜索</x:v>
      </x:c>
      <x:c r="F983" s="95" t="n">
        <x:v>65</x:v>
      </x:c>
      <x:c r="G983" s="95" t="n">
        <x:v>60</x:v>
      </x:c>
      <x:c r="H983" s="95" t="n">
        <x:v>41</x:v>
      </x:c>
      <x:c r="I983" s="95" t="n">
        <x:v>34</x:v>
      </x:c>
      <x:c r="J983" s="95" t="n">
        <x:v>17</x:v>
      </x:c>
      <x:c r="K983" s="95" t="n">
        <x:v>4</x:v>
      </x:c>
      <x:c r="L983" s="95" t="n">
        <x:v>2</x:v>
      </x:c>
      <x:c r="M983" s="96" t="n">
        <x:f>IFERROR(G983/F983,0)</x:f>
        <x:v>0.9230769230769231</x:v>
      </x:c>
      <x:c r="N983" s="96" t="n">
        <x:f>IFERROR(H983/G983,0)</x:f>
        <x:v>0.6833333333333333</x:v>
      </x:c>
      <x:c r="O983" s="96" t="n">
        <x:f>IFERROR(I983/H983,0)</x:f>
        <x:v>0.8292682926829268</x:v>
      </x:c>
      <x:c r="P983" s="96" t="n">
        <x:f>IFERROR(J983/I983,0)</x:f>
        <x:v>0.5</x:v>
      </x:c>
      <x:c r="Q983" s="96" t="n">
        <x:f>IFERROR(L983/J983,0)</x:f>
        <x:v>0.11764705882352941</x:v>
      </x:c>
      <x:c r="R983" s="96" t="n">
        <x:f>IFERROR(L983/F983,0)</x:f>
        <x:v>0.03076923076923077</x:v>
      </x:c>
      <x:c r="S983" s="95" t="n">
        <x:v>145</x:v>
      </x:c>
      <x:c r="T983" s="94" t="str">
        <x:v>末次点击7天</x:v>
      </x:c>
    </x:row>
    <x:row r="984">
      <x:c r="A984" s="92" t="str">
        <x:v>PROC-0983</x:v>
      </x:c>
      <x:c r="B984" s="93" t="n">
        <x:v>46200</x:v>
      </x:c>
      <x:c r="C984" s="94" t="str">
        <x:v>Google Ads</x:v>
      </x:c>
      <x:c r="D984" s="94" t="str">
        <x:v>英国</x:v>
      </x:c>
      <x:c r="E984" s="94" t="str">
        <x:v>购物广告</x:v>
      </x:c>
      <x:c r="F984" s="95" t="n">
        <x:v>48</x:v>
      </x:c>
      <x:c r="G984" s="95" t="n">
        <x:v>45</x:v>
      </x:c>
      <x:c r="H984" s="95" t="n">
        <x:v>33</x:v>
      </x:c>
      <x:c r="I984" s="95" t="n">
        <x:v>29</x:v>
      </x:c>
      <x:c r="J984" s="95" t="n">
        <x:v>15</x:v>
      </x:c>
      <x:c r="K984" s="95" t="n">
        <x:v>4</x:v>
      </x:c>
      <x:c r="L984" s="95" t="n">
        <x:v>1</x:v>
      </x:c>
      <x:c r="M984" s="96" t="n">
        <x:f>IFERROR(G984/F984,0)</x:f>
        <x:v>0.9375</x:v>
      </x:c>
      <x:c r="N984" s="96" t="n">
        <x:f>IFERROR(H984/G984,0)</x:f>
        <x:v>0.7333333333333333</x:v>
      </x:c>
      <x:c r="O984" s="96" t="n">
        <x:f>IFERROR(I984/H984,0)</x:f>
        <x:v>0.8787878787878788</x:v>
      </x:c>
      <x:c r="P984" s="96" t="n">
        <x:f>IFERROR(J984/I984,0)</x:f>
        <x:v>0.5172413793103449</x:v>
      </x:c>
      <x:c r="Q984" s="96" t="n">
        <x:f>IFERROR(L984/J984,0)</x:f>
        <x:v>0.06666666666666667</x:v>
      </x:c>
      <x:c r="R984" s="96" t="n">
        <x:f>IFERROR(L984/F984,0)</x:f>
        <x:v>0.020833333333333332</x:v>
      </x:c>
      <x:c r="S984" s="95" t="n">
        <x:v>106</x:v>
      </x:c>
      <x:c r="T984" s="94" t="str">
        <x:v>末次点击7天</x:v>
      </x:c>
    </x:row>
    <x:row r="985">
      <x:c r="A985" s="92" t="str">
        <x:v>PROC-0984</x:v>
      </x:c>
      <x:c r="B985" s="93" t="n">
        <x:v>46200</x:v>
      </x:c>
      <x:c r="C985" s="94" t="str">
        <x:v>Google Ads</x:v>
      </x:c>
      <x:c r="D985" s="94" t="str">
        <x:v>美国</x:v>
      </x:c>
      <x:c r="E985" s="94" t="str">
        <x:v>通用搜索</x:v>
      </x:c>
      <x:c r="F985" s="95" t="n">
        <x:v>31</x:v>
      </x:c>
      <x:c r="G985" s="95" t="n">
        <x:v>29</x:v>
      </x:c>
      <x:c r="H985" s="95" t="n">
        <x:v>20</x:v>
      </x:c>
      <x:c r="I985" s="95" t="n">
        <x:v>17</x:v>
      </x:c>
      <x:c r="J985" s="95" t="n">
        <x:v>7</x:v>
      </x:c>
      <x:c r="K985" s="95" t="n">
        <x:v>2</x:v>
      </x:c>
      <x:c r="L985" s="95" t="n">
        <x:v>1</x:v>
      </x:c>
      <x:c r="M985" s="96" t="n">
        <x:f>IFERROR(G985/F985,0)</x:f>
        <x:v>0.9354838709677419</x:v>
      </x:c>
      <x:c r="N985" s="96" t="n">
        <x:f>IFERROR(H985/G985,0)</x:f>
        <x:v>0.6896551724137931</x:v>
      </x:c>
      <x:c r="O985" s="96" t="n">
        <x:f>IFERROR(I985/H985,0)</x:f>
        <x:v>0.85</x:v>
      </x:c>
      <x:c r="P985" s="96" t="n">
        <x:f>IFERROR(J985/I985,0)</x:f>
        <x:v>0.4117647058823529</x:v>
      </x:c>
      <x:c r="Q985" s="96" t="n">
        <x:f>IFERROR(L985/J985,0)</x:f>
        <x:v>0.14285714285714285</x:v>
      </x:c>
      <x:c r="R985" s="96" t="n">
        <x:f>IFERROR(L985/F985,0)</x:f>
        <x:v>0.03225806451612903</x:v>
      </x:c>
      <x:c r="S985" s="95" t="n">
        <x:v>89</x:v>
      </x:c>
      <x:c r="T985" s="94" t="str">
        <x:v>末次点击7天</x:v>
      </x:c>
    </x:row>
    <x:row r="986">
      <x:c r="A986" s="92" t="str">
        <x:v>PROC-0985</x:v>
      </x:c>
      <x:c r="B986" s="93" t="n">
        <x:v>46201</x:v>
      </x:c>
      <x:c r="C986" s="94" t="str">
        <x:v>Microsoft Ads</x:v>
      </x:c>
      <x:c r="D986" s="94" t="str">
        <x:v>美国</x:v>
      </x:c>
      <x:c r="E986" s="94" t="str">
        <x:v>购物广告</x:v>
      </x:c>
      <x:c r="F986" s="95" t="n">
        <x:v>57</x:v>
      </x:c>
      <x:c r="G986" s="95" t="n">
        <x:v>51</x:v>
      </x:c>
      <x:c r="H986" s="95" t="n">
        <x:v>32</x:v>
      </x:c>
      <x:c r="I986" s="95" t="n">
        <x:v>29</x:v>
      </x:c>
      <x:c r="J986" s="95" t="n">
        <x:v>12</x:v>
      </x:c>
      <x:c r="K986" s="95" t="n">
        <x:v>3</x:v>
      </x:c>
      <x:c r="L986" s="95" t="n">
        <x:v>1</x:v>
      </x:c>
      <x:c r="M986" s="96" t="n">
        <x:f>IFERROR(G986/F986,0)</x:f>
        <x:v>0.8947368421052632</x:v>
      </x:c>
      <x:c r="N986" s="96" t="n">
        <x:f>IFERROR(H986/G986,0)</x:f>
        <x:v>0.6274509803921569</x:v>
      </x:c>
      <x:c r="O986" s="96" t="n">
        <x:f>IFERROR(I986/H986,0)</x:f>
        <x:v>0.90625</x:v>
      </x:c>
      <x:c r="P986" s="96" t="n">
        <x:f>IFERROR(J986/I986,0)</x:f>
        <x:v>0.41379310344827586</x:v>
      </x:c>
      <x:c r="Q986" s="96" t="n">
        <x:f>IFERROR(L986/J986,0)</x:f>
        <x:v>0.08333333333333333</x:v>
      </x:c>
      <x:c r="R986" s="96" t="n">
        <x:f>IFERROR(L986/F986,0)</x:f>
        <x:v>0.017543859649122806</x:v>
      </x:c>
      <x:c r="S986" s="95" t="n">
        <x:v>53</x:v>
      </x:c>
      <x:c r="T986" s="94" t="str">
        <x:v>末次点击7天</x:v>
      </x:c>
    </x:row>
    <x:row r="987">
      <x:c r="A987" s="92" t="str">
        <x:v>PROC-0986</x:v>
      </x:c>
      <x:c r="B987" s="93" t="n">
        <x:v>46201</x:v>
      </x:c>
      <x:c r="C987" s="94" t="str">
        <x:v>Google Ads</x:v>
      </x:c>
      <x:c r="D987" s="94" t="str">
        <x:v>英国</x:v>
      </x:c>
      <x:c r="E987" s="94" t="str">
        <x:v>通用搜索</x:v>
      </x:c>
      <x:c r="F987" s="95" t="n">
        <x:v>52</x:v>
      </x:c>
      <x:c r="G987" s="95" t="n">
        <x:v>47</x:v>
      </x:c>
      <x:c r="H987" s="95" t="n">
        <x:v>30</x:v>
      </x:c>
      <x:c r="I987" s="95" t="n">
        <x:v>25</x:v>
      </x:c>
      <x:c r="J987" s="95" t="n">
        <x:v>11</x:v>
      </x:c>
      <x:c r="K987" s="95" t="n">
        <x:v>3</x:v>
      </x:c>
      <x:c r="L987" s="95" t="n">
        <x:v>1</x:v>
      </x:c>
      <x:c r="M987" s="96" t="n">
        <x:f>IFERROR(G987/F987,0)</x:f>
        <x:v>0.9038461538461539</x:v>
      </x:c>
      <x:c r="N987" s="96" t="n">
        <x:f>IFERROR(H987/G987,0)</x:f>
        <x:v>0.6382978723404256</x:v>
      </x:c>
      <x:c r="O987" s="96" t="n">
        <x:f>IFERROR(I987/H987,0)</x:f>
        <x:v>0.8333333333333334</x:v>
      </x:c>
      <x:c r="P987" s="96" t="n">
        <x:f>IFERROR(J987/I987,0)</x:f>
        <x:v>0.44</x:v>
      </x:c>
      <x:c r="Q987" s="96" t="n">
        <x:f>IFERROR(L987/J987,0)</x:f>
        <x:v>0.09090909090909091</x:v>
      </x:c>
      <x:c r="R987" s="96" t="n">
        <x:f>IFERROR(L987/F987,0)</x:f>
        <x:v>0.019230769230769232</x:v>
      </x:c>
      <x:c r="S987" s="95" t="n">
        <x:v>72</x:v>
      </x:c>
      <x:c r="T987" s="94" t="str">
        <x:v>末次点击7天</x:v>
      </x:c>
    </x:row>
    <x:row r="988">
      <x:c r="A988" s="92" t="str">
        <x:v>PROC-0987</x:v>
      </x:c>
      <x:c r="B988" s="93" t="n">
        <x:v>46201</x:v>
      </x:c>
      <x:c r="C988" s="94" t="str">
        <x:v>Microsoft Ads</x:v>
      </x:c>
      <x:c r="D988" s="94" t="str">
        <x:v>日本</x:v>
      </x:c>
      <x:c r="E988" s="94" t="str">
        <x:v>竞品搜索</x:v>
      </x:c>
      <x:c r="F988" s="95" t="n">
        <x:v>18</x:v>
      </x:c>
      <x:c r="G988" s="95" t="n">
        <x:v>16</x:v>
      </x:c>
      <x:c r="H988" s="95" t="n">
        <x:v>12</x:v>
      </x:c>
      <x:c r="I988" s="95" t="n">
        <x:v>10</x:v>
      </x:c>
      <x:c r="J988" s="95" t="n">
        <x:v>4</x:v>
      </x:c>
      <x:c r="K988" s="95" t="n">
        <x:v>1</x:v>
      </x:c>
      <x:c r="L988" s="95" t="n">
        <x:v>0</x:v>
      </x:c>
      <x:c r="M988" s="96" t="n">
        <x:f>IFERROR(G988/F988,0)</x:f>
        <x:v>0.8888888888888888</x:v>
      </x:c>
      <x:c r="N988" s="96" t="n">
        <x:f>IFERROR(H988/G988,0)</x:f>
        <x:v>0.75</x:v>
      </x:c>
      <x:c r="O988" s="96" t="n">
        <x:f>IFERROR(I988/H988,0)</x:f>
        <x:v>0.8333333333333334</x:v>
      </x:c>
      <x:c r="P988" s="96" t="n">
        <x:f>IFERROR(J988/I988,0)</x:f>
        <x:v>0.4</x:v>
      </x:c>
      <x:c r="Q988" s="96" t="n">
        <x:f>IFERROR(L988/J988,0)</x:f>
        <x:v>0</x:v>
      </x:c>
      <x:c r="R988" s="96" t="n">
        <x:f>IFERROR(L988/F988,0)</x:f>
        <x:v>0</x:v>
      </x:c>
      <x:c r="S988" s="95" t="n">
        <x:v>43</x:v>
      </x:c>
      <x:c r="T988" s="94" t="str">
        <x:v>末次点击7天</x:v>
      </x:c>
    </x:row>
    <x:row r="989">
      <x:c r="A989" s="92" t="str">
        <x:v>PROC-0988</x:v>
      </x:c>
      <x:c r="B989" s="93" t="n">
        <x:v>46201</x:v>
      </x:c>
      <x:c r="C989" s="94" t="str">
        <x:v>Microsoft Ads</x:v>
      </x:c>
      <x:c r="D989" s="94" t="str">
        <x:v>德国</x:v>
      </x:c>
      <x:c r="E989" s="94" t="str">
        <x:v>购物广告</x:v>
      </x:c>
      <x:c r="F989" s="95" t="n">
        <x:v>75</x:v>
      </x:c>
      <x:c r="G989" s="95" t="n">
        <x:v>68</x:v>
      </x:c>
      <x:c r="H989" s="95" t="n">
        <x:v>48</x:v>
      </x:c>
      <x:c r="I989" s="95" t="n">
        <x:v>43</x:v>
      </x:c>
      <x:c r="J989" s="95" t="n">
        <x:v>20</x:v>
      </x:c>
      <x:c r="K989" s="95" t="n">
        <x:v>4</x:v>
      </x:c>
      <x:c r="L989" s="95" t="n">
        <x:v>2</x:v>
      </x:c>
      <x:c r="M989" s="96" t="n">
        <x:f>IFERROR(G989/F989,0)</x:f>
        <x:v>0.9066666666666666</x:v>
      </x:c>
      <x:c r="N989" s="96" t="n">
        <x:f>IFERROR(H989/G989,0)</x:f>
        <x:v>0.7058823529411765</x:v>
      </x:c>
      <x:c r="O989" s="96" t="n">
        <x:f>IFERROR(I989/H989,0)</x:f>
        <x:v>0.8958333333333334</x:v>
      </x:c>
      <x:c r="P989" s="96" t="n">
        <x:f>IFERROR(J989/I989,0)</x:f>
        <x:v>0.46511627906976744</x:v>
      </x:c>
      <x:c r="Q989" s="96" t="n">
        <x:f>IFERROR(L989/J989,0)</x:f>
        <x:v>0.1</x:v>
      </x:c>
      <x:c r="R989" s="96" t="n">
        <x:f>IFERROR(L989/F989,0)</x:f>
        <x:v>0.02666666666666667</x:v>
      </x:c>
      <x:c r="S989" s="95" t="n">
        <x:v>88</x:v>
      </x:c>
      <x:c r="T989" s="94" t="str">
        <x:v>末次点击7天</x:v>
      </x:c>
    </x:row>
    <x:row r="990">
      <x:c r="A990" s="92" t="str">
        <x:v>PROC-0989</x:v>
      </x:c>
      <x:c r="B990" s="93" t="n">
        <x:v>46201</x:v>
      </x:c>
      <x:c r="C990" s="94" t="str">
        <x:v>Microsoft Ads</x:v>
      </x:c>
      <x:c r="D990" s="94" t="str">
        <x:v>英国</x:v>
      </x:c>
      <x:c r="E990" s="94" t="str">
        <x:v>购物广告</x:v>
      </x:c>
      <x:c r="F990" s="95" t="n">
        <x:v>30</x:v>
      </x:c>
      <x:c r="G990" s="95" t="n">
        <x:v>28</x:v>
      </x:c>
      <x:c r="H990" s="95" t="n">
        <x:v>20</x:v>
      </x:c>
      <x:c r="I990" s="95" t="n">
        <x:v>18</x:v>
      </x:c>
      <x:c r="J990" s="95" t="n">
        <x:v>9</x:v>
      </x:c>
      <x:c r="K990" s="95" t="n">
        <x:v>3</x:v>
      </x:c>
      <x:c r="L990" s="95" t="n">
        <x:v>1</x:v>
      </x:c>
      <x:c r="M990" s="96" t="n">
        <x:f>IFERROR(G990/F990,0)</x:f>
        <x:v>0.9333333333333333</x:v>
      </x:c>
      <x:c r="N990" s="96" t="n">
        <x:f>IFERROR(H990/G990,0)</x:f>
        <x:v>0.7142857142857143</x:v>
      </x:c>
      <x:c r="O990" s="96" t="n">
        <x:f>IFERROR(I990/H990,0)</x:f>
        <x:v>0.9</x:v>
      </x:c>
      <x:c r="P990" s="96" t="n">
        <x:f>IFERROR(J990/I990,0)</x:f>
        <x:v>0.5</x:v>
      </x:c>
      <x:c r="Q990" s="96" t="n">
        <x:f>IFERROR(L990/J990,0)</x:f>
        <x:v>0.1111111111111111</x:v>
      </x:c>
      <x:c r="R990" s="96" t="n">
        <x:f>IFERROR(L990/F990,0)</x:f>
        <x:v>0.03333333333333333</x:v>
      </x:c>
      <x:c r="S990" s="95" t="n">
        <x:v>50</x:v>
      </x:c>
      <x:c r="T990" s="94" t="str">
        <x:v>末次点击7天</x:v>
      </x:c>
    </x:row>
    <x:row r="991">
      <x:c r="A991" s="92" t="str">
        <x:v>PROC-0990</x:v>
      </x:c>
      <x:c r="B991" s="93" t="n">
        <x:v>46202</x:v>
      </x:c>
      <x:c r="C991" s="94" t="str">
        <x:v>Google Ads</x:v>
      </x:c>
      <x:c r="D991" s="94" t="str">
        <x:v>英国</x:v>
      </x:c>
      <x:c r="E991" s="94" t="str">
        <x:v>购物广告</x:v>
      </x:c>
      <x:c r="F991" s="95" t="n">
        <x:v>57</x:v>
      </x:c>
      <x:c r="G991" s="95" t="n">
        <x:v>52</x:v>
      </x:c>
      <x:c r="H991" s="95" t="n">
        <x:v>35</x:v>
      </x:c>
      <x:c r="I991" s="95" t="n">
        <x:v>31</x:v>
      </x:c>
      <x:c r="J991" s="95" t="n">
        <x:v>15</x:v>
      </x:c>
      <x:c r="K991" s="95" t="n">
        <x:v>5</x:v>
      </x:c>
      <x:c r="L991" s="95" t="n">
        <x:v>1</x:v>
      </x:c>
      <x:c r="M991" s="96" t="n">
        <x:f>IFERROR(G991/F991,0)</x:f>
        <x:v>0.9122807017543859</x:v>
      </x:c>
      <x:c r="N991" s="96" t="n">
        <x:f>IFERROR(H991/G991,0)</x:f>
        <x:v>0.6730769230769231</x:v>
      </x:c>
      <x:c r="O991" s="96" t="n">
        <x:f>IFERROR(I991/H991,0)</x:f>
        <x:v>0.8857142857142857</x:v>
      </x:c>
      <x:c r="P991" s="96" t="n">
        <x:f>IFERROR(J991/I991,0)</x:f>
        <x:v>0.4838709677419355</x:v>
      </x:c>
      <x:c r="Q991" s="96" t="n">
        <x:f>IFERROR(L991/J991,0)</x:f>
        <x:v>0.06666666666666667</x:v>
      </x:c>
      <x:c r="R991" s="96" t="n">
        <x:f>IFERROR(L991/F991,0)</x:f>
        <x:v>0.017543859649122806</x:v>
      </x:c>
      <x:c r="S991" s="95" t="n">
        <x:v>68</x:v>
      </x:c>
      <x:c r="T991" s="94" t="str">
        <x:v>末次点击7天</x:v>
      </x:c>
    </x:row>
    <x:row r="992">
      <x:c r="A992" s="92" t="str">
        <x:v>PROC-0991</x:v>
      </x:c>
      <x:c r="B992" s="93" t="n">
        <x:v>46202</x:v>
      </x:c>
      <x:c r="C992" s="94" t="str">
        <x:v>Google Ads</x:v>
      </x:c>
      <x:c r="D992" s="94" t="str">
        <x:v>美国</x:v>
      </x:c>
      <x:c r="E992" s="94" t="str">
        <x:v>购物广告</x:v>
      </x:c>
      <x:c r="F992" s="95" t="n">
        <x:v>60</x:v>
      </x:c>
      <x:c r="G992" s="95" t="n">
        <x:v>57</x:v>
      </x:c>
      <x:c r="H992" s="95" t="n">
        <x:v>42</x:v>
      </x:c>
      <x:c r="I992" s="95" t="n">
        <x:v>38</x:v>
      </x:c>
      <x:c r="J992" s="95" t="n">
        <x:v>17</x:v>
      </x:c>
      <x:c r="K992" s="95" t="n">
        <x:v>4</x:v>
      </x:c>
      <x:c r="L992" s="95" t="n">
        <x:v>2</x:v>
      </x:c>
      <x:c r="M992" s="96" t="n">
        <x:f>IFERROR(G992/F992,0)</x:f>
        <x:v>0.95</x:v>
      </x:c>
      <x:c r="N992" s="96" t="n">
        <x:f>IFERROR(H992/G992,0)</x:f>
        <x:v>0.7368421052631579</x:v>
      </x:c>
      <x:c r="O992" s="96" t="n">
        <x:f>IFERROR(I992/H992,0)</x:f>
        <x:v>0.9047619047619048</x:v>
      </x:c>
      <x:c r="P992" s="96" t="n">
        <x:f>IFERROR(J992/I992,0)</x:f>
        <x:v>0.4473684210526316</x:v>
      </x:c>
      <x:c r="Q992" s="96" t="n">
        <x:f>IFERROR(L992/J992,0)</x:f>
        <x:v>0.11764705882352941</x:v>
      </x:c>
      <x:c r="R992" s="96" t="n">
        <x:f>IFERROR(L992/F992,0)</x:f>
        <x:v>0.03333333333333333</x:v>
      </x:c>
      <x:c r="S992" s="95" t="n">
        <x:v>50</x:v>
      </x:c>
      <x:c r="T992" s="94" t="str">
        <x:v>末次点击7天</x:v>
      </x:c>
    </x:row>
    <x:row r="993">
      <x:c r="A993" s="92" t="str">
        <x:v>PROC-0992</x:v>
      </x:c>
      <x:c r="B993" s="93" t="n">
        <x:v>46202</x:v>
      </x:c>
      <x:c r="C993" s="94" t="str">
        <x:v>Microsoft Ads</x:v>
      </x:c>
      <x:c r="D993" s="94" t="str">
        <x:v>日本</x:v>
      </x:c>
      <x:c r="E993" s="94" t="str">
        <x:v>竞品搜索</x:v>
      </x:c>
      <x:c r="F993" s="95" t="n">
        <x:v>35</x:v>
      </x:c>
      <x:c r="G993" s="95" t="n">
        <x:v>33</x:v>
      </x:c>
      <x:c r="H993" s="95" t="n">
        <x:v>22</x:v>
      </x:c>
      <x:c r="I993" s="95" t="n">
        <x:v>19</x:v>
      </x:c>
      <x:c r="J993" s="95" t="n">
        <x:v>7</x:v>
      </x:c>
      <x:c r="K993" s="95" t="n">
        <x:v>2</x:v>
      </x:c>
      <x:c r="L993" s="95" t="n">
        <x:v>1</x:v>
      </x:c>
      <x:c r="M993" s="96" t="n">
        <x:f>IFERROR(G993/F993,0)</x:f>
        <x:v>0.9428571428571428</x:v>
      </x:c>
      <x:c r="N993" s="96" t="n">
        <x:f>IFERROR(H993/G993,0)</x:f>
        <x:v>0.6666666666666666</x:v>
      </x:c>
      <x:c r="O993" s="96" t="n">
        <x:f>IFERROR(I993/H993,0)</x:f>
        <x:v>0.8636363636363636</x:v>
      </x:c>
      <x:c r="P993" s="96" t="n">
        <x:f>IFERROR(J993/I993,0)</x:f>
        <x:v>0.3684210526315789</x:v>
      </x:c>
      <x:c r="Q993" s="96" t="n">
        <x:f>IFERROR(L993/J993,0)</x:f>
        <x:v>0.14285714285714285</x:v>
      </x:c>
      <x:c r="R993" s="96" t="n">
        <x:f>IFERROR(L993/F993,0)</x:f>
        <x:v>0.02857142857142857</x:v>
      </x:c>
      <x:c r="S993" s="95" t="n">
        <x:v>150</x:v>
      </x:c>
      <x:c r="T993" s="94" t="str">
        <x:v>末次点击7天</x:v>
      </x:c>
    </x:row>
    <x:row r="994">
      <x:c r="A994" s="92" t="str">
        <x:v>PROC-0993</x:v>
      </x:c>
      <x:c r="B994" s="93" t="n">
        <x:v>46202</x:v>
      </x:c>
      <x:c r="C994" s="94" t="str">
        <x:v>Microsoft Ads</x:v>
      </x:c>
      <x:c r="D994" s="94" t="str">
        <x:v>德国</x:v>
      </x:c>
      <x:c r="E994" s="94" t="str">
        <x:v>购物广告</x:v>
      </x:c>
      <x:c r="F994" s="95" t="n">
        <x:v>57</x:v>
      </x:c>
      <x:c r="G994" s="95" t="n">
        <x:v>52</x:v>
      </x:c>
      <x:c r="H994" s="95" t="n">
        <x:v>37</x:v>
      </x:c>
      <x:c r="I994" s="95" t="n">
        <x:v>31</x:v>
      </x:c>
      <x:c r="J994" s="95" t="n">
        <x:v>14</x:v>
      </x:c>
      <x:c r="K994" s="95" t="n">
        <x:v>4</x:v>
      </x:c>
      <x:c r="L994" s="95" t="n">
        <x:v>1</x:v>
      </x:c>
      <x:c r="M994" s="96" t="n">
        <x:f>IFERROR(G994/F994,0)</x:f>
        <x:v>0.9122807017543859</x:v>
      </x:c>
      <x:c r="N994" s="96" t="n">
        <x:f>IFERROR(H994/G994,0)</x:f>
        <x:v>0.7115384615384616</x:v>
      </x:c>
      <x:c r="O994" s="96" t="n">
        <x:f>IFERROR(I994/H994,0)</x:f>
        <x:v>0.8378378378378378</x:v>
      </x:c>
      <x:c r="P994" s="96" t="n">
        <x:f>IFERROR(J994/I994,0)</x:f>
        <x:v>0.45161290322580644</x:v>
      </x:c>
      <x:c r="Q994" s="96" t="n">
        <x:f>IFERROR(L994/J994,0)</x:f>
        <x:v>0.07142857142857142</x:v>
      </x:c>
      <x:c r="R994" s="96" t="n">
        <x:f>IFERROR(L994/F994,0)</x:f>
        <x:v>0.017543859649122806</x:v>
      </x:c>
      <x:c r="S994" s="95" t="n">
        <x:v>74</x:v>
      </x:c>
      <x:c r="T994" s="94" t="str">
        <x:v>末次点击7天</x:v>
      </x:c>
    </x:row>
    <x:row r="995">
      <x:c r="A995" s="92" t="str">
        <x:v>PROC-0994</x:v>
      </x:c>
      <x:c r="B995" s="93" t="n">
        <x:v>46202</x:v>
      </x:c>
      <x:c r="C995" s="94" t="str">
        <x:v>Google Ads</x:v>
      </x:c>
      <x:c r="D995" s="94" t="str">
        <x:v>德国</x:v>
      </x:c>
      <x:c r="E995" s="94" t="str">
        <x:v>竞品搜索</x:v>
      </x:c>
      <x:c r="F995" s="95" t="n">
        <x:v>23</x:v>
      </x:c>
      <x:c r="G995" s="95" t="n">
        <x:v>22</x:v>
      </x:c>
      <x:c r="H995" s="95" t="n">
        <x:v>16</x:v>
      </x:c>
      <x:c r="I995" s="95" t="n">
        <x:v>13</x:v>
      </x:c>
      <x:c r="J995" s="95" t="n">
        <x:v>5</x:v>
      </x:c>
      <x:c r="K995" s="95" t="n">
        <x:v>1</x:v>
      </x:c>
      <x:c r="L995" s="95" t="n">
        <x:v>0</x:v>
      </x:c>
      <x:c r="M995" s="96" t="n">
        <x:f>IFERROR(G995/F995,0)</x:f>
        <x:v>0.9565217391304348</x:v>
      </x:c>
      <x:c r="N995" s="96" t="n">
        <x:f>IFERROR(H995/G995,0)</x:f>
        <x:v>0.7272727272727273</x:v>
      </x:c>
      <x:c r="O995" s="96" t="n">
        <x:f>IFERROR(I995/H995,0)</x:f>
        <x:v>0.8125</x:v>
      </x:c>
      <x:c r="P995" s="96" t="n">
        <x:f>IFERROR(J995/I995,0)</x:f>
        <x:v>0.38461538461538464</x:v>
      </x:c>
      <x:c r="Q995" s="96" t="n">
        <x:f>IFERROR(L995/J995,0)</x:f>
        <x:v>0</x:v>
      </x:c>
      <x:c r="R995" s="96" t="n">
        <x:f>IFERROR(L995/F995,0)</x:f>
        <x:v>0</x:v>
      </x:c>
      <x:c r="S995" s="95" t="n">
        <x:v>141</x:v>
      </x:c>
      <x:c r="T995" s="94" t="str">
        <x:v>末次点击7天</x:v>
      </x:c>
    </x:row>
    <x:row r="996">
      <x:c r="A996" s="92" t="str">
        <x:v>PROC-0995</x:v>
      </x:c>
      <x:c r="B996" s="93" t="n">
        <x:v>46202</x:v>
      </x:c>
      <x:c r="C996" s="94" t="str">
        <x:v>Microsoft Ads</x:v>
      </x:c>
      <x:c r="D996" s="94" t="str">
        <x:v>英国</x:v>
      </x:c>
      <x:c r="E996" s="94" t="str">
        <x:v>品牌搜索</x:v>
      </x:c>
      <x:c r="F996" s="95" t="n">
        <x:v>79</x:v>
      </x:c>
      <x:c r="G996" s="95" t="n">
        <x:v>73</x:v>
      </x:c>
      <x:c r="H996" s="95" t="n">
        <x:v>53</x:v>
      </x:c>
      <x:c r="I996" s="95" t="n">
        <x:v>42</x:v>
      </x:c>
      <x:c r="J996" s="95" t="n">
        <x:v>20</x:v>
      </x:c>
      <x:c r="K996" s="95" t="n">
        <x:v>6</x:v>
      </x:c>
      <x:c r="L996" s="95" t="n">
        <x:v>2</x:v>
      </x:c>
      <x:c r="M996" s="96" t="n">
        <x:f>IFERROR(G996/F996,0)</x:f>
        <x:v>0.9240506329113924</x:v>
      </x:c>
      <x:c r="N996" s="96" t="n">
        <x:f>IFERROR(H996/G996,0)</x:f>
        <x:v>0.726027397260274</x:v>
      </x:c>
      <x:c r="O996" s="96" t="n">
        <x:f>IFERROR(I996/H996,0)</x:f>
        <x:v>0.7924528301886793</x:v>
      </x:c>
      <x:c r="P996" s="96" t="n">
        <x:f>IFERROR(J996/I996,0)</x:f>
        <x:v>0.47619047619047616</x:v>
      </x:c>
      <x:c r="Q996" s="96" t="n">
        <x:f>IFERROR(L996/J996,0)</x:f>
        <x:v>0.1</x:v>
      </x:c>
      <x:c r="R996" s="96" t="n">
        <x:f>IFERROR(L996/F996,0)</x:f>
        <x:v>0.02531645569620253</x:v>
      </x:c>
      <x:c r="S996" s="95" t="n">
        <x:v>68</x:v>
      </x:c>
      <x:c r="T996" s="94" t="str">
        <x:v>末次点击7天</x:v>
      </x:c>
    </x:row>
    <x:row r="997">
      <x:c r="A997" s="92" t="str">
        <x:v>PROC-0996</x:v>
      </x:c>
      <x:c r="B997" s="93" t="n">
        <x:v>46203</x:v>
      </x:c>
      <x:c r="C997" s="94" t="str">
        <x:v>Google Ads</x:v>
      </x:c>
      <x:c r="D997" s="94" t="str">
        <x:v>美国</x:v>
      </x:c>
      <x:c r="E997" s="94" t="str">
        <x:v>购物广告</x:v>
      </x:c>
      <x:c r="F997" s="95" t="n">
        <x:v>59</x:v>
      </x:c>
      <x:c r="G997" s="95" t="n">
        <x:v>52</x:v>
      </x:c>
      <x:c r="H997" s="95" t="n">
        <x:v>37</x:v>
      </x:c>
      <x:c r="I997" s="95" t="n">
        <x:v>33</x:v>
      </x:c>
      <x:c r="J997" s="95" t="n">
        <x:v>14</x:v>
      </x:c>
      <x:c r="K997" s="95" t="n">
        <x:v>5</x:v>
      </x:c>
      <x:c r="L997" s="95" t="n">
        <x:v>1</x:v>
      </x:c>
      <x:c r="M997" s="96" t="n">
        <x:f>IFERROR(G997/F997,0)</x:f>
        <x:v>0.8813559322033898</x:v>
      </x:c>
      <x:c r="N997" s="96" t="n">
        <x:f>IFERROR(H997/G997,0)</x:f>
        <x:v>0.7115384615384616</x:v>
      </x:c>
      <x:c r="O997" s="96" t="n">
        <x:f>IFERROR(I997/H997,0)</x:f>
        <x:v>0.8918918918918919</x:v>
      </x:c>
      <x:c r="P997" s="96" t="n">
        <x:f>IFERROR(J997/I997,0)</x:f>
        <x:v>0.42424242424242425</x:v>
      </x:c>
      <x:c r="Q997" s="96" t="n">
        <x:f>IFERROR(L997/J997,0)</x:f>
        <x:v>0.07142857142857142</x:v>
      </x:c>
      <x:c r="R997" s="96" t="n">
        <x:f>IFERROR(L997/F997,0)</x:f>
        <x:v>0.01694915254237288</x:v>
      </x:c>
      <x:c r="S997" s="95" t="n">
        <x:v>142</x:v>
      </x:c>
      <x:c r="T997" s="94" t="str">
        <x:v>末次点击7天</x:v>
      </x:c>
    </x:row>
    <x:row r="998">
      <x:c r="A998" s="92" t="str">
        <x:v>PROC-0997</x:v>
      </x:c>
      <x:c r="B998" s="93" t="n">
        <x:v>46203</x:v>
      </x:c>
      <x:c r="C998" s="94" t="str">
        <x:v>Microsoft Ads</x:v>
      </x:c>
      <x:c r="D998" s="94" t="str">
        <x:v>日本</x:v>
      </x:c>
      <x:c r="E998" s="94" t="str">
        <x:v>品牌搜索</x:v>
      </x:c>
      <x:c r="F998" s="95" t="n">
        <x:v>48</x:v>
      </x:c>
      <x:c r="G998" s="95" t="n">
        <x:v>44</x:v>
      </x:c>
      <x:c r="H998" s="95" t="n">
        <x:v>31</x:v>
      </x:c>
      <x:c r="I998" s="95" t="n">
        <x:v>25</x:v>
      </x:c>
      <x:c r="J998" s="95" t="n">
        <x:v>11</x:v>
      </x:c>
      <x:c r="K998" s="95" t="n">
        <x:v>2</x:v>
      </x:c>
      <x:c r="L998" s="95" t="n">
        <x:v>1</x:v>
      </x:c>
      <x:c r="M998" s="96" t="n">
        <x:f>IFERROR(G998/F998,0)</x:f>
        <x:v>0.9166666666666666</x:v>
      </x:c>
      <x:c r="N998" s="96" t="n">
        <x:f>IFERROR(H998/G998,0)</x:f>
        <x:v>0.7045454545454546</x:v>
      </x:c>
      <x:c r="O998" s="96" t="n">
        <x:f>IFERROR(I998/H998,0)</x:f>
        <x:v>0.8064516129032258</x:v>
      </x:c>
      <x:c r="P998" s="96" t="n">
        <x:f>IFERROR(J998/I998,0)</x:f>
        <x:v>0.44</x:v>
      </x:c>
      <x:c r="Q998" s="96" t="n">
        <x:f>IFERROR(L998/J998,0)</x:f>
        <x:v>0.09090909090909091</x:v>
      </x:c>
      <x:c r="R998" s="96" t="n">
        <x:f>IFERROR(L998/F998,0)</x:f>
        <x:v>0.020833333333333332</x:v>
      </x:c>
      <x:c r="S998" s="95" t="n">
        <x:v>126</x:v>
      </x:c>
      <x:c r="T998" s="94" t="str">
        <x:v>末次点击7天</x:v>
      </x:c>
    </x:row>
    <x:row r="999">
      <x:c r="A999" s="92" t="str">
        <x:v>PROC-0998</x:v>
      </x:c>
      <x:c r="B999" s="93" t="n">
        <x:v>46203</x:v>
      </x:c>
      <x:c r="C999" s="94" t="str">
        <x:v>Microsoft Ads</x:v>
      </x:c>
      <x:c r="D999" s="94" t="str">
        <x:v>德国</x:v>
      </x:c>
      <x:c r="E999" s="94" t="str">
        <x:v>通用搜索</x:v>
      </x:c>
      <x:c r="F999" s="95" t="n">
        <x:v>48</x:v>
      </x:c>
      <x:c r="G999" s="95" t="n">
        <x:v>45</x:v>
      </x:c>
      <x:c r="H999" s="95" t="n">
        <x:v>30</x:v>
      </x:c>
      <x:c r="I999" s="95" t="n">
        <x:v>25</x:v>
      </x:c>
      <x:c r="J999" s="95" t="n">
        <x:v>10</x:v>
      </x:c>
      <x:c r="K999" s="95" t="n">
        <x:v>3</x:v>
      </x:c>
      <x:c r="L999" s="95" t="n">
        <x:v>1</x:v>
      </x:c>
      <x:c r="M999" s="96" t="n">
        <x:f>IFERROR(G999/F999,0)</x:f>
        <x:v>0.9375</x:v>
      </x:c>
      <x:c r="N999" s="96" t="n">
        <x:f>IFERROR(H999/G999,0)</x:f>
        <x:v>0.6666666666666666</x:v>
      </x:c>
      <x:c r="O999" s="96" t="n">
        <x:f>IFERROR(I999/H999,0)</x:f>
        <x:v>0.8333333333333334</x:v>
      </x:c>
      <x:c r="P999" s="96" t="n">
        <x:f>IFERROR(J999/I999,0)</x:f>
        <x:v>0.4</x:v>
      </x:c>
      <x:c r="Q999" s="96" t="n">
        <x:f>IFERROR(L999/J999,0)</x:f>
        <x:v>0.1</x:v>
      </x:c>
      <x:c r="R999" s="96" t="n">
        <x:f>IFERROR(L999/F999,0)</x:f>
        <x:v>0.020833333333333332</x:v>
      </x:c>
      <x:c r="S999" s="95" t="n">
        <x:v>75</x:v>
      </x:c>
      <x:c r="T999" s="94" t="str">
        <x:v>末次点击7天</x:v>
      </x:c>
    </x:row>
    <x:row r="1000">
      <x:c r="A1000" s="92" t="str">
        <x:v>PROC-0999</x:v>
      </x:c>
      <x:c r="B1000" s="93" t="n">
        <x:v>46203</x:v>
      </x:c>
      <x:c r="C1000" s="94" t="str">
        <x:v>Google Ads</x:v>
      </x:c>
      <x:c r="D1000" s="94" t="str">
        <x:v>美国</x:v>
      </x:c>
      <x:c r="E1000" s="94" t="str">
        <x:v>通用搜索</x:v>
      </x:c>
      <x:c r="F1000" s="95" t="n">
        <x:v>28</x:v>
      </x:c>
      <x:c r="G1000" s="95" t="n">
        <x:v>25</x:v>
      </x:c>
      <x:c r="H1000" s="95" t="n">
        <x:v>17</x:v>
      </x:c>
      <x:c r="I1000" s="95" t="n">
        <x:v>14</x:v>
      </x:c>
      <x:c r="J1000" s="95" t="n">
        <x:v>6</x:v>
      </x:c>
      <x:c r="K1000" s="95" t="n">
        <x:v>2</x:v>
      </x:c>
      <x:c r="L1000" s="95" t="n">
        <x:v>0</x:v>
      </x:c>
      <x:c r="M1000" s="96" t="n">
        <x:f>IFERROR(G1000/F1000,0)</x:f>
        <x:v>0.8928571428571429</x:v>
      </x:c>
      <x:c r="N1000" s="96" t="n">
        <x:f>IFERROR(H1000/G1000,0)</x:f>
        <x:v>0.68</x:v>
      </x:c>
      <x:c r="O1000" s="96" t="n">
        <x:f>IFERROR(I1000/H1000,0)</x:f>
        <x:v>0.8235294117647058</x:v>
      </x:c>
      <x:c r="P1000" s="96" t="n">
        <x:f>IFERROR(J1000/I1000,0)</x:f>
        <x:v>0.42857142857142855</x:v>
      </x:c>
      <x:c r="Q1000" s="96" t="n">
        <x:f>IFERROR(L1000/J1000,0)</x:f>
        <x:v>0</x:v>
      </x:c>
      <x:c r="R1000" s="96" t="n">
        <x:f>IFERROR(L1000/F1000,0)</x:f>
        <x:v>0</x:v>
      </x:c>
      <x:c r="S1000" s="95" t="n">
        <x:v>147</x:v>
      </x:c>
      <x:c r="T1000" s="94" t="str">
        <x:v>末次点击7天</x:v>
      </x:c>
    </x:row>
    <x:row r="1001">
      <x:c r="A1001" s="98" t="str">
        <x:v>PROC-1000</x:v>
      </x:c>
      <x:c r="B1001" s="99" t="n">
        <x:v>46203</x:v>
      </x:c>
      <x:c r="C1001" s="100" t="str">
        <x:v>Google Ads</x:v>
      </x:c>
      <x:c r="D1001" s="100" t="str">
        <x:v>美国</x:v>
      </x:c>
      <x:c r="E1001" s="100" t="str">
        <x:v>品牌搜索</x:v>
      </x:c>
      <x:c r="F1001" s="101" t="n">
        <x:v>51</x:v>
      </x:c>
      <x:c r="G1001" s="101" t="n">
        <x:v>48</x:v>
      </x:c>
      <x:c r="H1001" s="101" t="n">
        <x:v>35</x:v>
      </x:c>
      <x:c r="I1001" s="101" t="n">
        <x:v>28</x:v>
      </x:c>
      <x:c r="J1001" s="101" t="n">
        <x:v>15</x:v>
      </x:c>
      <x:c r="K1001" s="101" t="n">
        <x:v>5</x:v>
      </x:c>
      <x:c r="L1001" s="101" t="n">
        <x:v>1</x:v>
      </x:c>
      <x:c r="M1001" s="102" t="n">
        <x:f>IFERROR(G1001/F1001,0)</x:f>
        <x:v>0.9411764705882353</x:v>
      </x:c>
      <x:c r="N1001" s="102" t="n">
        <x:f>IFERROR(H1001/G1001,0)</x:f>
        <x:v>0.7291666666666666</x:v>
      </x:c>
      <x:c r="O1001" s="102" t="n">
        <x:f>IFERROR(I1001/H1001,0)</x:f>
        <x:v>0.8</x:v>
      </x:c>
      <x:c r="P1001" s="102" t="n">
        <x:f>IFERROR(J1001/I1001,0)</x:f>
        <x:v>0.5357142857142857</x:v>
      </x:c>
      <x:c r="Q1001" s="102" t="n">
        <x:f>IFERROR(L1001/J1001,0)</x:f>
        <x:v>0.06666666666666667</x:v>
      </x:c>
      <x:c r="R1001" s="102" t="n">
        <x:f>IFERROR(L1001/F1001,0)</x:f>
        <x:v>0.0196078431372549</x:v>
      </x:c>
      <x:c r="S1001" s="101" t="n">
        <x:v>101</x:v>
      </x:c>
      <x:c r="T1001" s="100" t="str">
        <x:v>末次点击7天</x:v>
      </x:c>
    </x:row>
  </x:sheetData>
  <x:pageMargins left="0.7" right="0.7" top="0.75" bottom="0.75" header="0.3" footer="0.3"/>
  <x:tableParts count="1">
    <x:tablePart xmlns:r="http://schemas.openxmlformats.org/officeDocument/2006/relationships" r:id="R887a032bc43043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12" hidden="0" customWidth="1"/>
    <x:col min="5" max="5" width="16" hidden="0" customWidth="1"/>
    <x:col min="6" max="6" width="10" hidden="0" customWidth="1"/>
    <x:col min="7" max="7" width="14" hidden="0" customWidth="1"/>
    <x:col min="8" max="8" width="12" hidden="0" customWidth="1"/>
    <x:col min="9" max="9" width="12" hidden="0" customWidth="1"/>
    <x:col min="10" max="10" width="20" hidden="0" customWidth="1"/>
    <x:col min="11" max="11" width="13" hidden="0" customWidth="1"/>
    <x:col min="12" max="12" width="9" hidden="0" customWidth="1"/>
    <x:col min="13" max="13" width="16" hidden="0" customWidth="1"/>
    <x:col min="14" max="14" width="11" hidden="0" customWidth="1"/>
    <x:col min="15" max="15" width="14" hidden="0" customWidth="1"/>
    <x:col min="16" max="16" width="12" hidden="0" customWidth="1"/>
    <x:col min="17" max="17" width="14" hidden="0" customWidth="1"/>
    <x:col min="18" max="18" width="15" hidden="0" customWidth="1"/>
    <x:col min="19" max="19" width="14" hidden="0" customWidth="1"/>
    <x:col min="20" max="20" width="10" hidden="0" customWidth="1"/>
    <x:col min="21" max="21" width="34" hidden="0" customWidth="1"/>
  </x:cols>
  <x:sheetData>
    <x:row r="1" ht="30" customHeight="1">
      <x:c r="A1" s="90" t="str">
        <x:v>订单ID</x:v>
      </x:c>
      <x:c r="B1" s="91" t="str">
        <x:v>采购ID</x:v>
      </x:c>
      <x:c r="C1" s="91" t="str">
        <x:v>下单时间</x:v>
      </x:c>
      <x:c r="D1" s="91" t="str">
        <x:v>归因日期</x:v>
      </x:c>
      <x:c r="E1" s="91" t="str">
        <x:v>平台</x:v>
      </x:c>
      <x:c r="F1" s="91" t="str">
        <x:v>市场</x:v>
      </x:c>
      <x:c r="G1" s="91" t="str">
        <x:v>活动类型</x:v>
      </x:c>
      <x:c r="H1" s="91" t="str">
        <x:v>SKU</x:v>
      </x:c>
      <x:c r="I1" s="91" t="str">
        <x:v>品类</x:v>
      </x:c>
      <x:c r="J1" s="91" t="str">
        <x:v>商品名称</x:v>
      </x:c>
      <x:c r="K1" s="91" t="str">
        <x:v>单价(USD)</x:v>
      </x:c>
      <x:c r="L1" s="91" t="str">
        <x:v>数量</x:v>
      </x:c>
      <x:c r="M1" s="91" t="str">
        <x:v>成交额GMV(USD)</x:v>
      </x:c>
      <x:c r="N1" s="91" t="str">
        <x:v>佣金率</x:v>
      </x:c>
      <x:c r="O1" s="91" t="str">
        <x:v>毛佣金(USD)</x:v>
      </x:c>
      <x:c r="P1" s="91" t="str">
        <x:v>订单状态</x:v>
      </x:c>
      <x:c r="Q1" s="91" t="str">
        <x:v>退款GMV(USD)</x:v>
      </x:c>
      <x:c r="R1" s="91" t="str">
        <x:v>退款佣金(USD)</x:v>
      </x:c>
      <x:c r="S1" s="91" t="str">
        <x:v>净佣金(USD)</x:v>
      </x:c>
      <x:c r="T1" s="91" t="str">
        <x:v>归因天数</x:v>
      </x:c>
      <x:c r="U1" s="91" t="str">
        <x:v>数据来源</x:v>
      </x:c>
    </x:row>
    <x:row r="2">
      <x:c r="A2" s="92" t="str">
        <x:v>AMZ-ORD-00001</x:v>
      </x:c>
      <x:c r="B2" s="94" t="str">
        <x:v>PROC-0001</x:v>
      </x:c>
      <x:c r="C2" s="108" t="n">
        <x:v>46026.461805555555</x:v>
      </x:c>
      <x:c r="D2" s="93" t="n">
        <x:v>46023</x:v>
      </x:c>
      <x:c r="E2" s="94" t="str">
        <x:v>Google Ads</x:v>
      </x:c>
      <x:c r="F2" s="94" t="str">
        <x:v>日本</x:v>
      </x:c>
      <x:c r="G2" s="94" t="str">
        <x:v>品牌搜索</x:v>
      </x:c>
      <x:c r="H2" s="94" t="str">
        <x:v>SKU-0026</x:v>
      </x:c>
      <x:c r="I2" s="94" t="str">
        <x:v>运动健康</x:v>
      </x:c>
      <x:c r="J2" s="94" t="str">
        <x:v>骑行头盔 F</x:v>
      </x:c>
      <x:c r="K2" s="97" t="n">
        <x:v>165.99</x:v>
      </x:c>
      <x:c r="L2" s="95" t="n">
        <x:v>2</x:v>
      </x:c>
      <x:c r="M2" s="97" t="n">
        <x:f>ROUND(K2*L2,2)</x:f>
        <x:v>331.98</x:v>
      </x:c>
      <x:c r="N2" s="109" t="n">
        <x:v>0.08</x:v>
      </x:c>
      <x:c r="O2" s="97" t="n">
        <x:f>ROUND(M2*N2,2)</x:f>
        <x:v>26.56</x:v>
      </x:c>
      <x:c r="P2" s="94" t="str">
        <x:v>已确认</x:v>
      </x:c>
      <x:c r="Q2" s="97" t="n">
        <x:f>IF(P2="已退款",M2,0)</x:f>
        <x:v>0</x:v>
      </x:c>
      <x:c r="R2" s="97" t="n">
        <x:f>IF(P2="已退款",O2,0)</x:f>
        <x:v>0</x:v>
      </x:c>
      <x:c r="S2" s="97" t="n">
        <x:f>O2-R2</x:f>
        <x:v>26.56</x:v>
      </x:c>
      <x:c r="T2" s="94" t="n">
        <x:v>3</x:v>
      </x:c>
      <x:c r="U2" s="94" t="str">
        <x:v>模拟：Amazon Associates订单回传</x:v>
      </x:c>
    </x:row>
    <x:row r="3">
      <x:c r="A3" s="92" t="str">
        <x:v>AMZ-ORD-00002</x:v>
      </x:c>
      <x:c r="B3" s="94" t="str">
        <x:v>PROC-0001</x:v>
      </x:c>
      <x:c r="C3" s="108" t="n">
        <x:v>46027.779861111114</x:v>
      </x:c>
      <x:c r="D3" s="93" t="n">
        <x:v>46023</x:v>
      </x:c>
      <x:c r="E3" s="94" t="str">
        <x:v>Google Ads</x:v>
      </x:c>
      <x:c r="F3" s="94" t="str">
        <x:v>日本</x:v>
      </x:c>
      <x:c r="G3" s="94" t="str">
        <x:v>品牌搜索</x:v>
      </x:c>
      <x:c r="H3" s="94" t="str">
        <x:v>SKU-0014</x:v>
      </x:c>
      <x:c r="I3" s="94" t="str">
        <x:v>家居生活</x:v>
      </x:c>
      <x:c r="J3" s="94" t="str">
        <x:v>扫地机器人 D</x:v>
      </x:c>
      <x:c r="K3" s="97" t="n">
        <x:v>307.8</x:v>
      </x:c>
      <x:c r="L3" s="95" t="n">
        <x:v>1</x:v>
      </x:c>
      <x:c r="M3" s="97" t="n">
        <x:f>ROUND(K3*L3,2)</x:f>
        <x:v>307.8</x:v>
      </x:c>
      <x:c r="N3" s="109" t="n">
        <x:v>0.07</x:v>
      </x:c>
      <x:c r="O3" s="97" t="n">
        <x:f>ROUND(M3*N3,2)</x:f>
        <x:v>21.55</x:v>
      </x:c>
      <x:c r="P3" s="94" t="str">
        <x:v>已确认</x:v>
      </x:c>
      <x:c r="Q3" s="97" t="n">
        <x:f>IF(P3="已退款",M3,0)</x:f>
        <x:v>0</x:v>
      </x:c>
      <x:c r="R3" s="97" t="n">
        <x:f>IF(P3="已退款",O3,0)</x:f>
        <x:v>0</x:v>
      </x:c>
      <x:c r="S3" s="97" t="n">
        <x:f>O3-R3</x:f>
        <x:v>21.55</x:v>
      </x:c>
      <x:c r="T3" s="94" t="n">
        <x:v>4</x:v>
      </x:c>
      <x:c r="U3" s="94" t="str">
        <x:v>模拟：Amazon Associates订单回传</x:v>
      </x:c>
    </x:row>
    <x:row r="4">
      <x:c r="A4" s="92" t="str">
        <x:v>AMZ-ORD-00003</x:v>
      </x:c>
      <x:c r="B4" s="94" t="str">
        <x:v>PROC-0001</x:v>
      </x:c>
      <x:c r="C4" s="108" t="n">
        <x:v>46027.459027777775</x:v>
      </x:c>
      <x:c r="D4" s="93" t="n">
        <x:v>46023</x:v>
      </x:c>
      <x:c r="E4" s="94" t="str">
        <x:v>Google Ads</x:v>
      </x:c>
      <x:c r="F4" s="94" t="str">
        <x:v>日本</x:v>
      </x:c>
      <x:c r="G4" s="94" t="str">
        <x:v>品牌搜索</x:v>
      </x:c>
      <x:c r="H4" s="94" t="str">
        <x:v>SKU-0026</x:v>
      </x:c>
      <x:c r="I4" s="94" t="str">
        <x:v>运动健康</x:v>
      </x:c>
      <x:c r="J4" s="94" t="str">
        <x:v>骑行头盔 F</x:v>
      </x:c>
      <x:c r="K4" s="97" t="n">
        <x:v>269.8</x:v>
      </x:c>
      <x:c r="L4" s="95" t="n">
        <x:v>1</x:v>
      </x:c>
      <x:c r="M4" s="97" t="n">
        <x:f>ROUND(K4*L4,2)</x:f>
        <x:v>269.8</x:v>
      </x:c>
      <x:c r="N4" s="109" t="n">
        <x:v>0.08</x:v>
      </x:c>
      <x:c r="O4" s="97" t="n">
        <x:f>ROUND(M4*N4,2)</x:f>
        <x:v>21.58</x:v>
      </x:c>
      <x:c r="P4" s="94" t="str">
        <x:v>已确认</x:v>
      </x:c>
      <x:c r="Q4" s="97" t="n">
        <x:f>IF(P4="已退款",M4,0)</x:f>
        <x:v>0</x:v>
      </x:c>
      <x:c r="R4" s="97" t="n">
        <x:f>IF(P4="已退款",O4,0)</x:f>
        <x:v>0</x:v>
      </x:c>
      <x:c r="S4" s="97" t="n">
        <x:f>O4-R4</x:f>
        <x:v>21.58</x:v>
      </x:c>
      <x:c r="T4" s="94" t="n">
        <x:v>4</x:v>
      </x:c>
      <x:c r="U4" s="94" t="str">
        <x:v>模拟：Amazon Associates订单回传</x:v>
      </x:c>
    </x:row>
    <x:row r="5">
      <x:c r="A5" s="92" t="str">
        <x:v>AMZ-ORD-00004</x:v>
      </x:c>
      <x:c r="B5" s="94" t="str">
        <x:v>PROC-0002</x:v>
      </x:c>
      <x:c r="C5" s="108" t="n">
        <x:v>46025.36041666667</x:v>
      </x:c>
      <x:c r="D5" s="93" t="n">
        <x:v>46023</x:v>
      </x:c>
      <x:c r="E5" s="94" t="str">
        <x:v>Microsoft Ads</x:v>
      </x:c>
      <x:c r="F5" s="94" t="str">
        <x:v>美国</x:v>
      </x:c>
      <x:c r="G5" s="94" t="str">
        <x:v>通用搜索</x:v>
      </x:c>
      <x:c r="H5" s="94" t="str">
        <x:v>SKU-0007</x:v>
      </x:c>
      <x:c r="I5" s="94" t="str">
        <x:v>电子产品</x:v>
      </x:c>
      <x:c r="J5" s="94" t="str">
        <x:v>运动相机 G</x:v>
      </x:c>
      <x:c r="K5" s="97" t="n">
        <x:v>231.59</x:v>
      </x:c>
      <x:c r="L5" s="95" t="n">
        <x:v>1</x:v>
      </x:c>
      <x:c r="M5" s="97" t="n">
        <x:f>ROUND(K5*L5,2)</x:f>
        <x:v>231.59</x:v>
      </x:c>
      <x:c r="N5" s="109" t="n">
        <x:v>0.05</x:v>
      </x:c>
      <x:c r="O5" s="97" t="n">
        <x:f>ROUND(M5*N5,2)</x:f>
        <x:v>11.58</x:v>
      </x:c>
      <x:c r="P5" s="94" t="str">
        <x:v>已确认</x:v>
      </x:c>
      <x:c r="Q5" s="97" t="n">
        <x:f>IF(P5="已退款",M5,0)</x:f>
        <x:v>0</x:v>
      </x:c>
      <x:c r="R5" s="97" t="n">
        <x:f>IF(P5="已退款",O5,0)</x:f>
        <x:v>0</x:v>
      </x:c>
      <x:c r="S5" s="97" t="n">
        <x:f>O5-R5</x:f>
        <x:v>11.58</x:v>
      </x:c>
      <x:c r="T5" s="94" t="n">
        <x:v>2</x:v>
      </x:c>
      <x:c r="U5" s="94" t="str">
        <x:v>模拟：Amazon Associates订单回传</x:v>
      </x:c>
    </x:row>
    <x:row r="6">
      <x:c r="A6" s="92" t="str">
        <x:v>AMZ-ORD-00005</x:v>
      </x:c>
      <x:c r="B6" s="94" t="str">
        <x:v>PROC-0003</x:v>
      </x:c>
      <x:c r="C6" s="108" t="n">
        <x:v>46023.46319444444</x:v>
      </x:c>
      <x:c r="D6" s="93" t="n">
        <x:v>46023</x:v>
      </x:c>
      <x:c r="E6" s="94" t="str">
        <x:v>Microsoft Ads</x:v>
      </x:c>
      <x:c r="F6" s="94" t="str">
        <x:v>日本</x:v>
      </x:c>
      <x:c r="G6" s="94" t="str">
        <x:v>购物广告</x:v>
      </x:c>
      <x:c r="H6" s="94" t="str">
        <x:v>SKU-0014</x:v>
      </x:c>
      <x:c r="I6" s="94" t="str">
        <x:v>家居生活</x:v>
      </x:c>
      <x:c r="J6" s="94" t="str">
        <x:v>扫地机器人 D</x:v>
      </x:c>
      <x:c r="K6" s="97" t="n">
        <x:v>160.28</x:v>
      </x:c>
      <x:c r="L6" s="95" t="n">
        <x:v>1</x:v>
      </x:c>
      <x:c r="M6" s="97" t="n">
        <x:f>ROUND(K6*L6,2)</x:f>
        <x:v>160.28</x:v>
      </x:c>
      <x:c r="N6" s="109" t="n">
        <x:v>0.07</x:v>
      </x:c>
      <x:c r="O6" s="97" t="n">
        <x:f>ROUND(M6*N6,2)</x:f>
        <x:v>11.22</x:v>
      </x:c>
      <x:c r="P6" s="94" t="str">
        <x:v>已确认</x:v>
      </x:c>
      <x:c r="Q6" s="97" t="n">
        <x:f>IF(P6="已退款",M6,0)</x:f>
        <x:v>0</x:v>
      </x:c>
      <x:c r="R6" s="97" t="n">
        <x:f>IF(P6="已退款",O6,0)</x:f>
        <x:v>0</x:v>
      </x:c>
      <x:c r="S6" s="97" t="n">
        <x:f>O6-R6</x:f>
        <x:v>11.22</x:v>
      </x:c>
      <x:c r="T6" s="94" t="n">
        <x:v>0</x:v>
      </x:c>
      <x:c r="U6" s="94" t="str">
        <x:v>模拟：Amazon Associates订单回传</x:v>
      </x:c>
    </x:row>
    <x:row r="7">
      <x:c r="A7" s="92" t="str">
        <x:v>AMZ-ORD-00006</x:v>
      </x:c>
      <x:c r="B7" s="94" t="str">
        <x:v>PROC-0004</x:v>
      </x:c>
      <x:c r="C7" s="108" t="n">
        <x:v>46026.7625</x:v>
      </x:c>
      <x:c r="D7" s="93" t="n">
        <x:v>46023</x:v>
      </x:c>
      <x:c r="E7" s="94" t="str">
        <x:v>Google Ads</x:v>
      </x:c>
      <x:c r="F7" s="94" t="str">
        <x:v>美国</x:v>
      </x:c>
      <x:c r="G7" s="94" t="str">
        <x:v>通用搜索</x:v>
      </x:c>
      <x:c r="H7" s="94" t="str">
        <x:v>SKU-0025</x:v>
      </x:c>
      <x:c r="I7" s="94" t="str">
        <x:v>运动健康</x:v>
      </x:c>
      <x:c r="J7" s="94" t="str">
        <x:v>跑步机配件 E</x:v>
      </x:c>
      <x:c r="K7" s="97" t="n">
        <x:v>155.53</x:v>
      </x:c>
      <x:c r="L7" s="95" t="n">
        <x:v>1</x:v>
      </x:c>
      <x:c r="M7" s="97" t="n">
        <x:f>ROUND(K7*L7,2)</x:f>
        <x:v>155.53</x:v>
      </x:c>
      <x:c r="N7" s="109" t="n">
        <x:v>0.08</x:v>
      </x:c>
      <x:c r="O7" s="97" t="n">
        <x:f>ROUND(M7*N7,2)</x:f>
        <x:v>12.44</x:v>
      </x:c>
      <x:c r="P7" s="94" t="str">
        <x:v>已确认</x:v>
      </x:c>
      <x:c r="Q7" s="97" t="n">
        <x:f>IF(P7="已退款",M7,0)</x:f>
        <x:v>0</x:v>
      </x:c>
      <x:c r="R7" s="97" t="n">
        <x:f>IF(P7="已退款",O7,0)</x:f>
        <x:v>0</x:v>
      </x:c>
      <x:c r="S7" s="97" t="n">
        <x:f>O7-R7</x:f>
        <x:v>12.44</x:v>
      </x:c>
      <x:c r="T7" s="94" t="n">
        <x:v>3</x:v>
      </x:c>
      <x:c r="U7" s="94" t="str">
        <x:v>模拟：Amazon Associates订单回传</x:v>
      </x:c>
    </x:row>
    <x:row r="8">
      <x:c r="A8" s="92" t="str">
        <x:v>AMZ-ORD-00007</x:v>
      </x:c>
      <x:c r="B8" s="94" t="str">
        <x:v>PROC-0005</x:v>
      </x:c>
      <x:c r="C8" s="108" t="n">
        <x:v>46026.458333333336</x:v>
      </x:c>
      <x:c r="D8" s="93" t="n">
        <x:v>46023</x:v>
      </x:c>
      <x:c r="E8" s="94" t="str">
        <x:v>Google Ads</x:v>
      </x:c>
      <x:c r="F8" s="94" t="str">
        <x:v>日本</x:v>
      </x:c>
      <x:c r="G8" s="94" t="str">
        <x:v>购物广告</x:v>
      </x:c>
      <x:c r="H8" s="94" t="str">
        <x:v>SKU-0003</x:v>
      </x:c>
      <x:c r="I8" s="94" t="str">
        <x:v>电子产品</x:v>
      </x:c>
      <x:c r="J8" s="94" t="str">
        <x:v>智能家居中枢 C</x:v>
      </x:c>
      <x:c r="K8" s="97" t="n">
        <x:v>376.61</x:v>
      </x:c>
      <x:c r="L8" s="95" t="n">
        <x:v>1</x:v>
      </x:c>
      <x:c r="M8" s="97" t="n">
        <x:f>ROUND(K8*L8,2)</x:f>
        <x:v>376.61</x:v>
      </x:c>
      <x:c r="N8" s="109" t="n">
        <x:v>0.05</x:v>
      </x:c>
      <x:c r="O8" s="97" t="n">
        <x:f>ROUND(M8*N8,2)</x:f>
        <x:v>18.83</x:v>
      </x:c>
      <x:c r="P8" s="94" t="str">
        <x:v>已确认</x:v>
      </x:c>
      <x:c r="Q8" s="97" t="n">
        <x:f>IF(P8="已退款",M8,0)</x:f>
        <x:v>0</x:v>
      </x:c>
      <x:c r="R8" s="97" t="n">
        <x:f>IF(P8="已退款",O8,0)</x:f>
        <x:v>0</x:v>
      </x:c>
      <x:c r="S8" s="97" t="n">
        <x:f>O8-R8</x:f>
        <x:v>18.83</x:v>
      </x:c>
      <x:c r="T8" s="94" t="n">
        <x:v>3</x:v>
      </x:c>
      <x:c r="U8" s="94" t="str">
        <x:v>模拟：Amazon Associates订单回传</x:v>
      </x:c>
    </x:row>
    <x:row r="9">
      <x:c r="A9" s="92" t="str">
        <x:v>AMZ-ORD-00008</x:v>
      </x:c>
      <x:c r="B9" s="94" t="str">
        <x:v>PROC-0006</x:v>
      </x:c>
      <x:c r="C9" s="108" t="n">
        <x:v>46023.714583333334</x:v>
      </x:c>
      <x:c r="D9" s="93" t="n">
        <x:v>46023</x:v>
      </x:c>
      <x:c r="E9" s="94" t="str">
        <x:v>Microsoft Ads</x:v>
      </x:c>
      <x:c r="F9" s="94" t="str">
        <x:v>美国</x:v>
      </x:c>
      <x:c r="G9" s="94" t="str">
        <x:v>通用搜索</x:v>
      </x:c>
      <x:c r="H9" s="94" t="str">
        <x:v>SKU-0026</x:v>
      </x:c>
      <x:c r="I9" s="94" t="str">
        <x:v>运动健康</x:v>
      </x:c>
      <x:c r="J9" s="94" t="str">
        <x:v>骑行头盔 F</x:v>
      </x:c>
      <x:c r="K9" s="97" t="n">
        <x:v>171.17</x:v>
      </x:c>
      <x:c r="L9" s="95" t="n">
        <x:v>1</x:v>
      </x:c>
      <x:c r="M9" s="97" t="n">
        <x:f>ROUND(K9*L9,2)</x:f>
        <x:v>171.17</x:v>
      </x:c>
      <x:c r="N9" s="109" t="n">
        <x:v>0.08</x:v>
      </x:c>
      <x:c r="O9" s="97" t="n">
        <x:f>ROUND(M9*N9,2)</x:f>
        <x:v>13.69</x:v>
      </x:c>
      <x:c r="P9" s="94" t="str">
        <x:v>已确认</x:v>
      </x:c>
      <x:c r="Q9" s="97" t="n">
        <x:f>IF(P9="已退款",M9,0)</x:f>
        <x:v>0</x:v>
      </x:c>
      <x:c r="R9" s="97" t="n">
        <x:f>IF(P9="已退款",O9,0)</x:f>
        <x:v>0</x:v>
      </x:c>
      <x:c r="S9" s="97" t="n">
        <x:f>O9-R9</x:f>
        <x:v>13.69</x:v>
      </x:c>
      <x:c r="T9" s="94" t="n">
        <x:v>0</x:v>
      </x:c>
      <x:c r="U9" s="94" t="str">
        <x:v>模拟：Amazon Associates订单回传</x:v>
      </x:c>
    </x:row>
    <x:row r="10">
      <x:c r="A10" s="92" t="str">
        <x:v>AMZ-ORD-00009</x:v>
      </x:c>
      <x:c r="B10" s="94" t="str">
        <x:v>PROC-0007</x:v>
      </x:c>
      <x:c r="C10" s="108" t="n">
        <x:v>46024.552777777775</x:v>
      </x:c>
      <x:c r="D10" s="93" t="n">
        <x:v>46024</x:v>
      </x:c>
      <x:c r="E10" s="94" t="str">
        <x:v>Microsoft Ads</x:v>
      </x:c>
      <x:c r="F10" s="94" t="str">
        <x:v>德国</x:v>
      </x:c>
      <x:c r="G10" s="94" t="str">
        <x:v>购物广告</x:v>
      </x:c>
      <x:c r="H10" s="94" t="str">
        <x:v>SKU-0021</x:v>
      </x:c>
      <x:c r="I10" s="94" t="str">
        <x:v>运动健康</x:v>
      </x:c>
      <x:c r="J10" s="94" t="str">
        <x:v>智能手表 A</x:v>
      </x:c>
      <x:c r="K10" s="97" t="n">
        <x:v>239.21</x:v>
      </x:c>
      <x:c r="L10" s="95" t="n">
        <x:v>1</x:v>
      </x:c>
      <x:c r="M10" s="97" t="n">
        <x:f>ROUND(K10*L10,2)</x:f>
        <x:v>239.21</x:v>
      </x:c>
      <x:c r="N10" s="109" t="n">
        <x:v>0.08</x:v>
      </x:c>
      <x:c r="O10" s="97" t="n">
        <x:f>ROUND(M10*N10,2)</x:f>
        <x:v>19.14</x:v>
      </x:c>
      <x:c r="P10" s="94" t="str">
        <x:v>已确认</x:v>
      </x:c>
      <x:c r="Q10" s="97" t="n">
        <x:f>IF(P10="已退款",M10,0)</x:f>
        <x:v>0</x:v>
      </x:c>
      <x:c r="R10" s="97" t="n">
        <x:f>IF(P10="已退款",O10,0)</x:f>
        <x:v>0</x:v>
      </x:c>
      <x:c r="S10" s="97" t="n">
        <x:f>O10-R10</x:f>
        <x:v>19.14</x:v>
      </x:c>
      <x:c r="T10" s="94" t="n">
        <x:v>0</x:v>
      </x:c>
      <x:c r="U10" s="94" t="str">
        <x:v>模拟：Amazon Associates订单回传</x:v>
      </x:c>
    </x:row>
    <x:row r="11">
      <x:c r="A11" s="92" t="str">
        <x:v>AMZ-ORD-00010</x:v>
      </x:c>
      <x:c r="B11" s="94" t="str">
        <x:v>PROC-0008</x:v>
      </x:c>
      <x:c r="C11" s="108" t="n">
        <x:v>46026.71319444444</x:v>
      </x:c>
      <x:c r="D11" s="93" t="n">
        <x:v>46024</x:v>
      </x:c>
      <x:c r="E11" s="94" t="str">
        <x:v>Google Ads</x:v>
      </x:c>
      <x:c r="F11" s="94" t="str">
        <x:v>美国</x:v>
      </x:c>
      <x:c r="G11" s="94" t="str">
        <x:v>购物广告</x:v>
      </x:c>
      <x:c r="H11" s="94" t="str">
        <x:v>SKU-0007</x:v>
      </x:c>
      <x:c r="I11" s="94" t="str">
        <x:v>电子产品</x:v>
      </x:c>
      <x:c r="J11" s="94" t="str">
        <x:v>运动相机 G</x:v>
      </x:c>
      <x:c r="K11" s="97" t="n">
        <x:v>444.32</x:v>
      </x:c>
      <x:c r="L11" s="95" t="n">
        <x:v>1</x:v>
      </x:c>
      <x:c r="M11" s="97" t="n">
        <x:f>ROUND(K11*L11,2)</x:f>
        <x:v>444.32</x:v>
      </x:c>
      <x:c r="N11" s="109" t="n">
        <x:v>0.05</x:v>
      </x:c>
      <x:c r="O11" s="97" t="n">
        <x:f>ROUND(M11*N11,2)</x:f>
        <x:v>22.22</x:v>
      </x:c>
      <x:c r="P11" s="94" t="str">
        <x:v>待确认</x:v>
      </x:c>
      <x:c r="Q11" s="97" t="n">
        <x:f>IF(P11="已退款",M11,0)</x:f>
        <x:v>0</x:v>
      </x:c>
      <x:c r="R11" s="97" t="n">
        <x:f>IF(P11="已退款",O11,0)</x:f>
        <x:v>0</x:v>
      </x:c>
      <x:c r="S11" s="97" t="n">
        <x:f>O11-R11</x:f>
        <x:v>22.22</x:v>
      </x:c>
      <x:c r="T11" s="94" t="n">
        <x:v>2</x:v>
      </x:c>
      <x:c r="U11" s="94" t="str">
        <x:v>模拟：Amazon Associates订单回传</x:v>
      </x:c>
    </x:row>
    <x:row r="12">
      <x:c r="A12" s="92" t="str">
        <x:v>AMZ-ORD-00011</x:v>
      </x:c>
      <x:c r="B12" s="94" t="str">
        <x:v>PROC-0008</x:v>
      </x:c>
      <x:c r="C12" s="108" t="n">
        <x:v>46026.85763888889</x:v>
      </x:c>
      <x:c r="D12" s="93" t="n">
        <x:v>46024</x:v>
      </x:c>
      <x:c r="E12" s="94" t="str">
        <x:v>Google Ads</x:v>
      </x:c>
      <x:c r="F12" s="94" t="str">
        <x:v>美国</x:v>
      </x:c>
      <x:c r="G12" s="94" t="str">
        <x:v>购物广告</x:v>
      </x:c>
      <x:c r="H12" s="94" t="str">
        <x:v>SKU-0016</x:v>
      </x:c>
      <x:c r="I12" s="94" t="str">
        <x:v>家居生活</x:v>
      </x:c>
      <x:c r="J12" s="94" t="str">
        <x:v>厨师机 F</x:v>
      </x:c>
      <x:c r="K12" s="97" t="n">
        <x:v>195.74</x:v>
      </x:c>
      <x:c r="L12" s="95" t="n">
        <x:v>1</x:v>
      </x:c>
      <x:c r="M12" s="97" t="n">
        <x:f>ROUND(K12*L12,2)</x:f>
        <x:v>195.74</x:v>
      </x:c>
      <x:c r="N12" s="109" t="n">
        <x:v>0.07</x:v>
      </x:c>
      <x:c r="O12" s="97" t="n">
        <x:f>ROUND(M12*N12,2)</x:f>
        <x:v>13.7</x:v>
      </x:c>
      <x:c r="P12" s="94" t="str">
        <x:v>已确认</x:v>
      </x:c>
      <x:c r="Q12" s="97" t="n">
        <x:f>IF(P12="已退款",M12,0)</x:f>
        <x:v>0</x:v>
      </x:c>
      <x:c r="R12" s="97" t="n">
        <x:f>IF(P12="已退款",O12,0)</x:f>
        <x:v>0</x:v>
      </x:c>
      <x:c r="S12" s="97" t="n">
        <x:f>O12-R12</x:f>
        <x:v>13.7</x:v>
      </x:c>
      <x:c r="T12" s="94" t="n">
        <x:v>2</x:v>
      </x:c>
      <x:c r="U12" s="94" t="str">
        <x:v>模拟：Amazon Associates订单回传</x:v>
      </x:c>
    </x:row>
    <x:row r="13">
      <x:c r="A13" s="92" t="str">
        <x:v>AMZ-ORD-00012</x:v>
      </x:c>
      <x:c r="B13" s="94" t="str">
        <x:v>PROC-0009</x:v>
      </x:c>
      <x:c r="C13" s="108" t="n">
        <x:v>46028.44027777778</x:v>
      </x:c>
      <x:c r="D13" s="93" t="n">
        <x:v>46024</x:v>
      </x:c>
      <x:c r="E13" s="94" t="str">
        <x:v>Google Ads</x:v>
      </x:c>
      <x:c r="F13" s="94" t="str">
        <x:v>美国</x:v>
      </x:c>
      <x:c r="G13" s="94" t="str">
        <x:v>通用搜索</x:v>
      </x:c>
      <x:c r="H13" s="94" t="str">
        <x:v>SKU-0012</x:v>
      </x:c>
      <x:c r="I13" s="94" t="str">
        <x:v>家居生活</x:v>
      </x:c>
      <x:c r="J13" s="94" t="str">
        <x:v>咖啡机 B</x:v>
      </x:c>
      <x:c r="K13" s="97" t="n">
        <x:v>325.39</x:v>
      </x:c>
      <x:c r="L13" s="95" t="n">
        <x:v>1</x:v>
      </x:c>
      <x:c r="M13" s="97" t="n">
        <x:f>ROUND(K13*L13,2)</x:f>
        <x:v>325.39</x:v>
      </x:c>
      <x:c r="N13" s="109" t="n">
        <x:v>0.07</x:v>
      </x:c>
      <x:c r="O13" s="97" t="n">
        <x:f>ROUND(M13*N13,2)</x:f>
        <x:v>22.78</x:v>
      </x:c>
      <x:c r="P13" s="94" t="str">
        <x:v>已确认</x:v>
      </x:c>
      <x:c r="Q13" s="97" t="n">
        <x:f>IF(P13="已退款",M13,0)</x:f>
        <x:v>0</x:v>
      </x:c>
      <x:c r="R13" s="97" t="n">
        <x:f>IF(P13="已退款",O13,0)</x:f>
        <x:v>0</x:v>
      </x:c>
      <x:c r="S13" s="97" t="n">
        <x:f>O13-R13</x:f>
        <x:v>22.78</x:v>
      </x:c>
      <x:c r="T13" s="94" t="n">
        <x:v>4</x:v>
      </x:c>
      <x:c r="U13" s="94" t="str">
        <x:v>模拟：Amazon Associates订单回传</x:v>
      </x:c>
    </x:row>
    <x:row r="14">
      <x:c r="A14" s="92" t="str">
        <x:v>AMZ-ORD-00013</x:v>
      </x:c>
      <x:c r="B14" s="94" t="str">
        <x:v>PROC-0010</x:v>
      </x:c>
      <x:c r="C14" s="108" t="n">
        <x:v>46027.385416666664</x:v>
      </x:c>
      <x:c r="D14" s="93" t="n">
        <x:v>46024</x:v>
      </x:c>
      <x:c r="E14" s="94" t="str">
        <x:v>Google Ads</x:v>
      </x:c>
      <x:c r="F14" s="94" t="str">
        <x:v>美国</x:v>
      </x:c>
      <x:c r="G14" s="94" t="str">
        <x:v>购物广告</x:v>
      </x:c>
      <x:c r="H14" s="94" t="str">
        <x:v>SKU-0011</x:v>
      </x:c>
      <x:c r="I14" s="94" t="str">
        <x:v>家居生活</x:v>
      </x:c>
      <x:c r="J14" s="94" t="str">
        <x:v>空气净化器 A</x:v>
      </x:c>
      <x:c r="K14" s="97" t="n">
        <x:v>215.83</x:v>
      </x:c>
      <x:c r="L14" s="95" t="n">
        <x:v>2</x:v>
      </x:c>
      <x:c r="M14" s="97" t="n">
        <x:f>ROUND(K14*L14,2)</x:f>
        <x:v>431.66</x:v>
      </x:c>
      <x:c r="N14" s="109" t="n">
        <x:v>0.07</x:v>
      </x:c>
      <x:c r="O14" s="97" t="n">
        <x:f>ROUND(M14*N14,2)</x:f>
        <x:v>30.22</x:v>
      </x:c>
      <x:c r="P14" s="94" t="str">
        <x:v>已确认</x:v>
      </x:c>
      <x:c r="Q14" s="97" t="n">
        <x:f>IF(P14="已退款",M14,0)</x:f>
        <x:v>0</x:v>
      </x:c>
      <x:c r="R14" s="97" t="n">
        <x:f>IF(P14="已退款",O14,0)</x:f>
        <x:v>0</x:v>
      </x:c>
      <x:c r="S14" s="97" t="n">
        <x:f>O14-R14</x:f>
        <x:v>30.22</x:v>
      </x:c>
      <x:c r="T14" s="94" t="n">
        <x:v>3</x:v>
      </x:c>
      <x:c r="U14" s="94" t="str">
        <x:v>模拟：Amazon Associates订单回传</x:v>
      </x:c>
    </x:row>
    <x:row r="15">
      <x:c r="A15" s="92" t="str">
        <x:v>AMZ-ORD-00014</x:v>
      </x:c>
      <x:c r="B15" s="94" t="str">
        <x:v>PROC-0011</x:v>
      </x:c>
      <x:c r="C15" s="108" t="n">
        <x:v>46028.80069444444</x:v>
      </x:c>
      <x:c r="D15" s="93" t="n">
        <x:v>46024</x:v>
      </x:c>
      <x:c r="E15" s="94" t="str">
        <x:v>Microsoft Ads</x:v>
      </x:c>
      <x:c r="F15" s="94" t="str">
        <x:v>美国</x:v>
      </x:c>
      <x:c r="G15" s="94" t="str">
        <x:v>品牌搜索</x:v>
      </x:c>
      <x:c r="H15" s="94" t="str">
        <x:v>SKU-0004</x:v>
      </x:c>
      <x:c r="I15" s="94" t="str">
        <x:v>电子产品</x:v>
      </x:c>
      <x:c r="J15" s="94" t="str">
        <x:v>机械键盘 D</x:v>
      </x:c>
      <x:c r="K15" s="97" t="n">
        <x:v>623.31</x:v>
      </x:c>
      <x:c r="L15" s="95" t="n">
        <x:v>1</x:v>
      </x:c>
      <x:c r="M15" s="97" t="n">
        <x:f>ROUND(K15*L15,2)</x:f>
        <x:v>623.31</x:v>
      </x:c>
      <x:c r="N15" s="109" t="n">
        <x:v>0.05</x:v>
      </x:c>
      <x:c r="O15" s="97" t="n">
        <x:f>ROUND(M15*N15,2)</x:f>
        <x:v>31.17</x:v>
      </x:c>
      <x:c r="P15" s="94" t="str">
        <x:v>已确认</x:v>
      </x:c>
      <x:c r="Q15" s="97" t="n">
        <x:f>IF(P15="已退款",M15,0)</x:f>
        <x:v>0</x:v>
      </x:c>
      <x:c r="R15" s="97" t="n">
        <x:f>IF(P15="已退款",O15,0)</x:f>
        <x:v>0</x:v>
      </x:c>
      <x:c r="S15" s="97" t="n">
        <x:f>O15-R15</x:f>
        <x:v>31.17</x:v>
      </x:c>
      <x:c r="T15" s="94" t="n">
        <x:v>4</x:v>
      </x:c>
      <x:c r="U15" s="94" t="str">
        <x:v>模拟：Amazon Associates订单回传</x:v>
      </x:c>
    </x:row>
    <x:row r="16">
      <x:c r="A16" s="92" t="str">
        <x:v>AMZ-ORD-00015</x:v>
      </x:c>
      <x:c r="B16" s="94" t="str">
        <x:v>PROC-0011</x:v>
      </x:c>
      <x:c r="C16" s="108" t="n">
        <x:v>46026.899305555555</x:v>
      </x:c>
      <x:c r="D16" s="93" t="n">
        <x:v>46024</x:v>
      </x:c>
      <x:c r="E16" s="94" t="str">
        <x:v>Microsoft Ads</x:v>
      </x:c>
      <x:c r="F16" s="94" t="str">
        <x:v>美国</x:v>
      </x:c>
      <x:c r="G16" s="94" t="str">
        <x:v>品牌搜索</x:v>
      </x:c>
      <x:c r="H16" s="94" t="str">
        <x:v>SKU-0004</x:v>
      </x:c>
      <x:c r="I16" s="94" t="str">
        <x:v>电子产品</x:v>
      </x:c>
      <x:c r="J16" s="94" t="str">
        <x:v>机械键盘 D</x:v>
      </x:c>
      <x:c r="K16" s="97" t="n">
        <x:v>250.34</x:v>
      </x:c>
      <x:c r="L16" s="95" t="n">
        <x:v>2</x:v>
      </x:c>
      <x:c r="M16" s="97" t="n">
        <x:f>ROUND(K16*L16,2)</x:f>
        <x:v>500.68</x:v>
      </x:c>
      <x:c r="N16" s="109" t="n">
        <x:v>0.05</x:v>
      </x:c>
      <x:c r="O16" s="97" t="n">
        <x:f>ROUND(M16*N16,2)</x:f>
        <x:v>25.03</x:v>
      </x:c>
      <x:c r="P16" s="94" t="str">
        <x:v>已确认</x:v>
      </x:c>
      <x:c r="Q16" s="97" t="n">
        <x:f>IF(P16="已退款",M16,0)</x:f>
        <x:v>0</x:v>
      </x:c>
      <x:c r="R16" s="97" t="n">
        <x:f>IF(P16="已退款",O16,0)</x:f>
        <x:v>0</x:v>
      </x:c>
      <x:c r="S16" s="97" t="n">
        <x:f>O16-R16</x:f>
        <x:v>25.03</x:v>
      </x:c>
      <x:c r="T16" s="94" t="n">
        <x:v>2</x:v>
      </x:c>
      <x:c r="U16" s="94" t="str">
        <x:v>模拟：Amazon Associates订单回传</x:v>
      </x:c>
    </x:row>
    <x:row r="17">
      <x:c r="A17" s="92" t="str">
        <x:v>AMZ-ORD-00016</x:v>
      </x:c>
      <x:c r="B17" s="94" t="str">
        <x:v>PROC-0012</x:v>
      </x:c>
      <x:c r="C17" s="108" t="n">
        <x:v>46024.595138888886</x:v>
      </x:c>
      <x:c r="D17" s="93" t="n">
        <x:v>46024</x:v>
      </x:c>
      <x:c r="E17" s="94" t="str">
        <x:v>Google Ads</x:v>
      </x:c>
      <x:c r="F17" s="94" t="str">
        <x:v>英国</x:v>
      </x:c>
      <x:c r="G17" s="94" t="str">
        <x:v>通用搜索</x:v>
      </x:c>
      <x:c r="H17" s="94" t="str">
        <x:v>SKU-0019</x:v>
      </x:c>
      <x:c r="I17" s="94" t="str">
        <x:v>家居生活</x:v>
      </x:c>
      <x:c r="J17" s="94" t="str">
        <x:v>无线吸尘器 I</x:v>
      </x:c>
      <x:c r="K17" s="97" t="n">
        <x:v>101.76</x:v>
      </x:c>
      <x:c r="L17" s="95" t="n">
        <x:v>2</x:v>
      </x:c>
      <x:c r="M17" s="97" t="n">
        <x:f>ROUND(K17*L17,2)</x:f>
        <x:v>203.52</x:v>
      </x:c>
      <x:c r="N17" s="109" t="n">
        <x:v>0.07</x:v>
      </x:c>
      <x:c r="O17" s="97" t="n">
        <x:f>ROUND(M17*N17,2)</x:f>
        <x:v>14.25</x:v>
      </x:c>
      <x:c r="P17" s="94" t="str">
        <x:v>已确认</x:v>
      </x:c>
      <x:c r="Q17" s="97" t="n">
        <x:f>IF(P17="已退款",M17,0)</x:f>
        <x:v>0</x:v>
      </x:c>
      <x:c r="R17" s="97" t="n">
        <x:f>IF(P17="已退款",O17,0)</x:f>
        <x:v>0</x:v>
      </x:c>
      <x:c r="S17" s="97" t="n">
        <x:f>O17-R17</x:f>
        <x:v>14.25</x:v>
      </x:c>
      <x:c r="T17" s="94" t="n">
        <x:v>0</x:v>
      </x:c>
      <x:c r="U17" s="94" t="str">
        <x:v>模拟：Amazon Associates订单回传</x:v>
      </x:c>
    </x:row>
    <x:row r="18">
      <x:c r="A18" s="92" t="str">
        <x:v>AMZ-ORD-00017</x:v>
      </x:c>
      <x:c r="B18" s="94" t="str">
        <x:v>PROC-0013</x:v>
      </x:c>
      <x:c r="C18" s="108" t="n">
        <x:v>46026.42569444444</x:v>
      </x:c>
      <x:c r="D18" s="93" t="n">
        <x:v>46025</x:v>
      </x:c>
      <x:c r="E18" s="94" t="str">
        <x:v>Google Ads</x:v>
      </x:c>
      <x:c r="F18" s="94" t="str">
        <x:v>英国</x:v>
      </x:c>
      <x:c r="G18" s="94" t="str">
        <x:v>购物广告</x:v>
      </x:c>
      <x:c r="H18" s="94" t="str">
        <x:v>SKU-0008</x:v>
      </x:c>
      <x:c r="I18" s="94" t="str">
        <x:v>电子产品</x:v>
      </x:c>
      <x:c r="J18" s="94" t="str">
        <x:v>Wi-Fi路由器 H</x:v>
      </x:c>
      <x:c r="K18" s="97" t="n">
        <x:v>493.6</x:v>
      </x:c>
      <x:c r="L18" s="95" t="n">
        <x:v>1</x:v>
      </x:c>
      <x:c r="M18" s="97" t="n">
        <x:f>ROUND(K18*L18,2)</x:f>
        <x:v>493.6</x:v>
      </x:c>
      <x:c r="N18" s="109" t="n">
        <x:v>0.05</x:v>
      </x:c>
      <x:c r="O18" s="97" t="n">
        <x:f>ROUND(M18*N18,2)</x:f>
        <x:v>24.68</x:v>
      </x:c>
      <x:c r="P18" s="94" t="str">
        <x:v>已确认</x:v>
      </x:c>
      <x:c r="Q18" s="97" t="n">
        <x:f>IF(P18="已退款",M18,0)</x:f>
        <x:v>0</x:v>
      </x:c>
      <x:c r="R18" s="97" t="n">
        <x:f>IF(P18="已退款",O18,0)</x:f>
        <x:v>0</x:v>
      </x:c>
      <x:c r="S18" s="97" t="n">
        <x:f>O18-R18</x:f>
        <x:v>24.68</x:v>
      </x:c>
      <x:c r="T18" s="94" t="n">
        <x:v>1</x:v>
      </x:c>
      <x:c r="U18" s="94" t="str">
        <x:v>模拟：Amazon Associates订单回传</x:v>
      </x:c>
    </x:row>
    <x:row r="19">
      <x:c r="A19" s="92" t="str">
        <x:v>AMZ-ORD-00018</x:v>
      </x:c>
      <x:c r="B19" s="94" t="str">
        <x:v>PROC-0014</x:v>
      </x:c>
      <x:c r="C19" s="108" t="n">
        <x:v>46027.67152777778</x:v>
      </x:c>
      <x:c r="D19" s="93" t="n">
        <x:v>46025</x:v>
      </x:c>
      <x:c r="E19" s="94" t="str">
        <x:v>Google Ads</x:v>
      </x:c>
      <x:c r="F19" s="94" t="str">
        <x:v>日本</x:v>
      </x:c>
      <x:c r="G19" s="94" t="str">
        <x:v>品牌搜索</x:v>
      </x:c>
      <x:c r="H19" s="94" t="str">
        <x:v>SKU-0008</x:v>
      </x:c>
      <x:c r="I19" s="94" t="str">
        <x:v>电子产品</x:v>
      </x:c>
      <x:c r="J19" s="94" t="str">
        <x:v>Wi-Fi路由器 H</x:v>
      </x:c>
      <x:c r="K19" s="97" t="n">
        <x:v>457.43</x:v>
      </x:c>
      <x:c r="L19" s="95" t="n">
        <x:v>1</x:v>
      </x:c>
      <x:c r="M19" s="97" t="n">
        <x:f>ROUND(K19*L19,2)</x:f>
        <x:v>457.43</x:v>
      </x:c>
      <x:c r="N19" s="109" t="n">
        <x:v>0.05</x:v>
      </x:c>
      <x:c r="O19" s="97" t="n">
        <x:f>ROUND(M19*N19,2)</x:f>
        <x:v>22.87</x:v>
      </x:c>
      <x:c r="P19" s="94" t="str">
        <x:v>已确认</x:v>
      </x:c>
      <x:c r="Q19" s="97" t="n">
        <x:f>IF(P19="已退款",M19,0)</x:f>
        <x:v>0</x:v>
      </x:c>
      <x:c r="R19" s="97" t="n">
        <x:f>IF(P19="已退款",O19,0)</x:f>
        <x:v>0</x:v>
      </x:c>
      <x:c r="S19" s="97" t="n">
        <x:f>O19-R19</x:f>
        <x:v>22.87</x:v>
      </x:c>
      <x:c r="T19" s="94" t="n">
        <x:v>2</x:v>
      </x:c>
      <x:c r="U19" s="94" t="str">
        <x:v>模拟：Amazon Associates订单回传</x:v>
      </x:c>
    </x:row>
    <x:row r="20">
      <x:c r="A20" s="92" t="str">
        <x:v>AMZ-ORD-00019</x:v>
      </x:c>
      <x:c r="B20" s="94" t="str">
        <x:v>PROC-0015</x:v>
      </x:c>
      <x:c r="C20" s="108" t="n">
        <x:v>46028.68541666667</x:v>
      </x:c>
      <x:c r="D20" s="93" t="n">
        <x:v>46025</x:v>
      </x:c>
      <x:c r="E20" s="94" t="str">
        <x:v>Google Ads</x:v>
      </x:c>
      <x:c r="F20" s="94" t="str">
        <x:v>美国</x:v>
      </x:c>
      <x:c r="G20" s="94" t="str">
        <x:v>品牌搜索</x:v>
      </x:c>
      <x:c r="H20" s="94" t="str">
        <x:v>SKU-0019</x:v>
      </x:c>
      <x:c r="I20" s="94" t="str">
        <x:v>家居生活</x:v>
      </x:c>
      <x:c r="J20" s="94" t="str">
        <x:v>无线吸尘器 I</x:v>
      </x:c>
      <x:c r="K20" s="97" t="n">
        <x:v>331.11</x:v>
      </x:c>
      <x:c r="L20" s="95" t="n">
        <x:v>1</x:v>
      </x:c>
      <x:c r="M20" s="97" t="n">
        <x:f>ROUND(K20*L20,2)</x:f>
        <x:v>331.11</x:v>
      </x:c>
      <x:c r="N20" s="109" t="n">
        <x:v>0.07</x:v>
      </x:c>
      <x:c r="O20" s="97" t="n">
        <x:f>ROUND(M20*N20,2)</x:f>
        <x:v>23.18</x:v>
      </x:c>
      <x:c r="P20" s="94" t="str">
        <x:v>已确认</x:v>
      </x:c>
      <x:c r="Q20" s="97" t="n">
        <x:f>IF(P20="已退款",M20,0)</x:f>
        <x:v>0</x:v>
      </x:c>
      <x:c r="R20" s="97" t="n">
        <x:f>IF(P20="已退款",O20,0)</x:f>
        <x:v>0</x:v>
      </x:c>
      <x:c r="S20" s="97" t="n">
        <x:f>O20-R20</x:f>
        <x:v>23.18</x:v>
      </x:c>
      <x:c r="T20" s="94" t="n">
        <x:v>3</x:v>
      </x:c>
      <x:c r="U20" s="94" t="str">
        <x:v>模拟：Amazon Associates订单回传</x:v>
      </x:c>
    </x:row>
    <x:row r="21">
      <x:c r="A21" s="92" t="str">
        <x:v>AMZ-ORD-00020</x:v>
      </x:c>
      <x:c r="B21" s="94" t="str">
        <x:v>PROC-0016</x:v>
      </x:c>
      <x:c r="C21" s="108" t="n">
        <x:v>46028.36597222222</x:v>
      </x:c>
      <x:c r="D21" s="93" t="n">
        <x:v>46025</x:v>
      </x:c>
      <x:c r="E21" s="94" t="str">
        <x:v>Google Ads</x:v>
      </x:c>
      <x:c r="F21" s="94" t="str">
        <x:v>日本</x:v>
      </x:c>
      <x:c r="G21" s="94" t="str">
        <x:v>购物广告</x:v>
      </x:c>
      <x:c r="H21" s="94" t="str">
        <x:v>SKU-0003</x:v>
      </x:c>
      <x:c r="I21" s="94" t="str">
        <x:v>电子产品</x:v>
      </x:c>
      <x:c r="J21" s="94" t="str">
        <x:v>智能家居中枢 C</x:v>
      </x:c>
      <x:c r="K21" s="97" t="n">
        <x:v>521.47</x:v>
      </x:c>
      <x:c r="L21" s="95" t="n">
        <x:v>1</x:v>
      </x:c>
      <x:c r="M21" s="97" t="n">
        <x:f>ROUND(K21*L21,2)</x:f>
        <x:v>521.47</x:v>
      </x:c>
      <x:c r="N21" s="109" t="n">
        <x:v>0.05</x:v>
      </x:c>
      <x:c r="O21" s="97" t="n">
        <x:f>ROUND(M21*N21,2)</x:f>
        <x:v>26.07</x:v>
      </x:c>
      <x:c r="P21" s="94" t="str">
        <x:v>已确认</x:v>
      </x:c>
      <x:c r="Q21" s="97" t="n">
        <x:f>IF(P21="已退款",M21,0)</x:f>
        <x:v>0</x:v>
      </x:c>
      <x:c r="R21" s="97" t="n">
        <x:f>IF(P21="已退款",O21,0)</x:f>
        <x:v>0</x:v>
      </x:c>
      <x:c r="S21" s="97" t="n">
        <x:f>O21-R21</x:f>
        <x:v>26.07</x:v>
      </x:c>
      <x:c r="T21" s="94" t="n">
        <x:v>3</x:v>
      </x:c>
      <x:c r="U21" s="94" t="str">
        <x:v>模拟：Amazon Associates订单回传</x:v>
      </x:c>
    </x:row>
    <x:row r="22">
      <x:c r="A22" s="92" t="str">
        <x:v>AMZ-ORD-00021</x:v>
      </x:c>
      <x:c r="B22" s="94" t="str">
        <x:v>PROC-0018</x:v>
      </x:c>
      <x:c r="C22" s="108" t="n">
        <x:v>46028.79305555556</x:v>
      </x:c>
      <x:c r="D22" s="93" t="n">
        <x:v>46026</x:v>
      </x:c>
      <x:c r="E22" s="94" t="str">
        <x:v>Microsoft Ads</x:v>
      </x:c>
      <x:c r="F22" s="94" t="str">
        <x:v>德国</x:v>
      </x:c>
      <x:c r="G22" s="94" t="str">
        <x:v>竞品搜索</x:v>
      </x:c>
      <x:c r="H22" s="94" t="str">
        <x:v>SKU-0025</x:v>
      </x:c>
      <x:c r="I22" s="94" t="str">
        <x:v>运动健康</x:v>
      </x:c>
      <x:c r="J22" s="94" t="str">
        <x:v>跑步机配件 E</x:v>
      </x:c>
      <x:c r="K22" s="97" t="n">
        <x:v>278.09</x:v>
      </x:c>
      <x:c r="L22" s="95" t="n">
        <x:v>2</x:v>
      </x:c>
      <x:c r="M22" s="97" t="n">
        <x:f>ROUND(K22*L22,2)</x:f>
        <x:v>556.18</x:v>
      </x:c>
      <x:c r="N22" s="109" t="n">
        <x:v>0.08</x:v>
      </x:c>
      <x:c r="O22" s="97" t="n">
        <x:f>ROUND(M22*N22,2)</x:f>
        <x:v>44.49</x:v>
      </x:c>
      <x:c r="P22" s="94" t="str">
        <x:v>已确认</x:v>
      </x:c>
      <x:c r="Q22" s="97" t="n">
        <x:f>IF(P22="已退款",M22,0)</x:f>
        <x:v>0</x:v>
      </x:c>
      <x:c r="R22" s="97" t="n">
        <x:f>IF(P22="已退款",O22,0)</x:f>
        <x:v>0</x:v>
      </x:c>
      <x:c r="S22" s="97" t="n">
        <x:f>O22-R22</x:f>
        <x:v>44.49</x:v>
      </x:c>
      <x:c r="T22" s="94" t="n">
        <x:v>2</x:v>
      </x:c>
      <x:c r="U22" s="94" t="str">
        <x:v>模拟：Amazon Associates订单回传</x:v>
      </x:c>
    </x:row>
    <x:row r="23">
      <x:c r="A23" s="92" t="str">
        <x:v>AMZ-ORD-00022</x:v>
      </x:c>
      <x:c r="B23" s="94" t="str">
        <x:v>PROC-0020</x:v>
      </x:c>
      <x:c r="C23" s="108" t="n">
        <x:v>46029.822916666664</x:v>
      </x:c>
      <x:c r="D23" s="93" t="n">
        <x:v>46026</x:v>
      </x:c>
      <x:c r="E23" s="94" t="str">
        <x:v>Microsoft Ads</x:v>
      </x:c>
      <x:c r="F23" s="94" t="str">
        <x:v>美国</x:v>
      </x:c>
      <x:c r="G23" s="94" t="str">
        <x:v>品牌搜索</x:v>
      </x:c>
      <x:c r="H23" s="94" t="str">
        <x:v>SKU-0002</x:v>
      </x:c>
      <x:c r="I23" s="94" t="str">
        <x:v>电子产品</x:v>
      </x:c>
      <x:c r="J23" s="94" t="str">
        <x:v>便携显示器 B</x:v>
      </x:c>
      <x:c r="K23" s="97" t="n">
        <x:v>462.99</x:v>
      </x:c>
      <x:c r="L23" s="95" t="n">
        <x:v>1</x:v>
      </x:c>
      <x:c r="M23" s="97" t="n">
        <x:f>ROUND(K23*L23,2)</x:f>
        <x:v>462.99</x:v>
      </x:c>
      <x:c r="N23" s="109" t="n">
        <x:v>0.05</x:v>
      </x:c>
      <x:c r="O23" s="97" t="n">
        <x:f>ROUND(M23*N23,2)</x:f>
        <x:v>23.15</x:v>
      </x:c>
      <x:c r="P23" s="94" t="str">
        <x:v>已确认</x:v>
      </x:c>
      <x:c r="Q23" s="97" t="n">
        <x:f>IF(P23="已退款",M23,0)</x:f>
        <x:v>0</x:v>
      </x:c>
      <x:c r="R23" s="97" t="n">
        <x:f>IF(P23="已退款",O23,0)</x:f>
        <x:v>0</x:v>
      </x:c>
      <x:c r="S23" s="97" t="n">
        <x:f>O23-R23</x:f>
        <x:v>23.15</x:v>
      </x:c>
      <x:c r="T23" s="94" t="n">
        <x:v>3</x:v>
      </x:c>
      <x:c r="U23" s="94" t="str">
        <x:v>模拟：Amazon Associates订单回传</x:v>
      </x:c>
    </x:row>
    <x:row r="24">
      <x:c r="A24" s="92" t="str">
        <x:v>AMZ-ORD-00023</x:v>
      </x:c>
      <x:c r="B24" s="94" t="str">
        <x:v>PROC-0020</x:v>
      </x:c>
      <x:c r="C24" s="108" t="n">
        <x:v>46030.395833333336</x:v>
      </x:c>
      <x:c r="D24" s="93" t="n">
        <x:v>46026</x:v>
      </x:c>
      <x:c r="E24" s="94" t="str">
        <x:v>Microsoft Ads</x:v>
      </x:c>
      <x:c r="F24" s="94" t="str">
        <x:v>美国</x:v>
      </x:c>
      <x:c r="G24" s="94" t="str">
        <x:v>品牌搜索</x:v>
      </x:c>
      <x:c r="H24" s="94" t="str">
        <x:v>SKU-0010</x:v>
      </x:c>
      <x:c r="I24" s="94" t="str">
        <x:v>电子产品</x:v>
      </x:c>
      <x:c r="J24" s="94" t="str">
        <x:v>多口扩展坞 J</x:v>
      </x:c>
      <x:c r="K24" s="97" t="n">
        <x:v>409.35</x:v>
      </x:c>
      <x:c r="L24" s="95" t="n">
        <x:v>1</x:v>
      </x:c>
      <x:c r="M24" s="97" t="n">
        <x:f>ROUND(K24*L24,2)</x:f>
        <x:v>409.35</x:v>
      </x:c>
      <x:c r="N24" s="109" t="n">
        <x:v>0.05</x:v>
      </x:c>
      <x:c r="O24" s="97" t="n">
        <x:f>ROUND(M24*N24,2)</x:f>
        <x:v>20.47</x:v>
      </x:c>
      <x:c r="P24" s="94" t="str">
        <x:v>已确认</x:v>
      </x:c>
      <x:c r="Q24" s="97" t="n">
        <x:f>IF(P24="已退款",M24,0)</x:f>
        <x:v>0</x:v>
      </x:c>
      <x:c r="R24" s="97" t="n">
        <x:f>IF(P24="已退款",O24,0)</x:f>
        <x:v>0</x:v>
      </x:c>
      <x:c r="S24" s="97" t="n">
        <x:f>O24-R24</x:f>
        <x:v>20.47</x:v>
      </x:c>
      <x:c r="T24" s="94" t="n">
        <x:v>4</x:v>
      </x:c>
      <x:c r="U24" s="94" t="str">
        <x:v>模拟：Amazon Associates订单回传</x:v>
      </x:c>
    </x:row>
    <x:row r="25">
      <x:c r="A25" s="92" t="str">
        <x:v>AMZ-ORD-00024</x:v>
      </x:c>
      <x:c r="B25" s="94" t="str">
        <x:v>PROC-0021</x:v>
      </x:c>
      <x:c r="C25" s="108" t="n">
        <x:v>46028.79236111111</x:v>
      </x:c>
      <x:c r="D25" s="93" t="n">
        <x:v>46026</x:v>
      </x:c>
      <x:c r="E25" s="94" t="str">
        <x:v>Microsoft Ads</x:v>
      </x:c>
      <x:c r="F25" s="94" t="str">
        <x:v>英国</x:v>
      </x:c>
      <x:c r="G25" s="94" t="str">
        <x:v>通用搜索</x:v>
      </x:c>
      <x:c r="H25" s="94" t="str">
        <x:v>SKU-0019</x:v>
      </x:c>
      <x:c r="I25" s="94" t="str">
        <x:v>家居生活</x:v>
      </x:c>
      <x:c r="J25" s="94" t="str">
        <x:v>无线吸尘器 I</x:v>
      </x:c>
      <x:c r="K25" s="97" t="n">
        <x:v>115.48</x:v>
      </x:c>
      <x:c r="L25" s="95" t="n">
        <x:v>1</x:v>
      </x:c>
      <x:c r="M25" s="97" t="n">
        <x:f>ROUND(K25*L25,2)</x:f>
        <x:v>115.48</x:v>
      </x:c>
      <x:c r="N25" s="109" t="n">
        <x:v>0.07</x:v>
      </x:c>
      <x:c r="O25" s="97" t="n">
        <x:f>ROUND(M25*N25,2)</x:f>
        <x:v>8.08</x:v>
      </x:c>
      <x:c r="P25" s="94" t="str">
        <x:v>已确认</x:v>
      </x:c>
      <x:c r="Q25" s="97" t="n">
        <x:f>IF(P25="已退款",M25,0)</x:f>
        <x:v>0</x:v>
      </x:c>
      <x:c r="R25" s="97" t="n">
        <x:f>IF(P25="已退款",O25,0)</x:f>
        <x:v>0</x:v>
      </x:c>
      <x:c r="S25" s="97" t="n">
        <x:f>O25-R25</x:f>
        <x:v>8.08</x:v>
      </x:c>
      <x:c r="T25" s="94" t="n">
        <x:v>2</x:v>
      </x:c>
      <x:c r="U25" s="94" t="str">
        <x:v>模拟：Amazon Associates订单回传</x:v>
      </x:c>
    </x:row>
    <x:row r="26">
      <x:c r="A26" s="92" t="str">
        <x:v>AMZ-ORD-00025</x:v>
      </x:c>
      <x:c r="B26" s="94" t="str">
        <x:v>PROC-0022</x:v>
      </x:c>
      <x:c r="C26" s="108" t="n">
        <x:v>46029.885416666664</x:v>
      </x:c>
      <x:c r="D26" s="93" t="n">
        <x:v>46026</x:v>
      </x:c>
      <x:c r="E26" s="94" t="str">
        <x:v>Google Ads</x:v>
      </x:c>
      <x:c r="F26" s="94" t="str">
        <x:v>英国</x:v>
      </x:c>
      <x:c r="G26" s="94" t="str">
        <x:v>购物广告</x:v>
      </x:c>
      <x:c r="H26" s="94" t="str">
        <x:v>SKU-0014</x:v>
      </x:c>
      <x:c r="I26" s="94" t="str">
        <x:v>家居生活</x:v>
      </x:c>
      <x:c r="J26" s="94" t="str">
        <x:v>扫地机器人 D</x:v>
      </x:c>
      <x:c r="K26" s="97" t="n">
        <x:v>301.8</x:v>
      </x:c>
      <x:c r="L26" s="95" t="n">
        <x:v>1</x:v>
      </x:c>
      <x:c r="M26" s="97" t="n">
        <x:f>ROUND(K26*L26,2)</x:f>
        <x:v>301.8</x:v>
      </x:c>
      <x:c r="N26" s="109" t="n">
        <x:v>0.07</x:v>
      </x:c>
      <x:c r="O26" s="97" t="n">
        <x:f>ROUND(M26*N26,2)</x:f>
        <x:v>21.13</x:v>
      </x:c>
      <x:c r="P26" s="94" t="str">
        <x:v>已确认</x:v>
      </x:c>
      <x:c r="Q26" s="97" t="n">
        <x:f>IF(P26="已退款",M26,0)</x:f>
        <x:v>0</x:v>
      </x:c>
      <x:c r="R26" s="97" t="n">
        <x:f>IF(P26="已退款",O26,0)</x:f>
        <x:v>0</x:v>
      </x:c>
      <x:c r="S26" s="97" t="n">
        <x:f>O26-R26</x:f>
        <x:v>21.13</x:v>
      </x:c>
      <x:c r="T26" s="94" t="n">
        <x:v>3</x:v>
      </x:c>
      <x:c r="U26" s="94" t="str">
        <x:v>模拟：Amazon Associates订单回传</x:v>
      </x:c>
    </x:row>
    <x:row r="27">
      <x:c r="A27" s="92" t="str">
        <x:v>AMZ-ORD-00026</x:v>
      </x:c>
      <x:c r="B27" s="94" t="str">
        <x:v>PROC-0023</x:v>
      </x:c>
      <x:c r="C27" s="108" t="n">
        <x:v>46027.89444444444</x:v>
      </x:c>
      <x:c r="D27" s="93" t="n">
        <x:v>46026</x:v>
      </x:c>
      <x:c r="E27" s="94" t="str">
        <x:v>Google Ads</x:v>
      </x:c>
      <x:c r="F27" s="94" t="str">
        <x:v>美国</x:v>
      </x:c>
      <x:c r="G27" s="94" t="str">
        <x:v>通用搜索</x:v>
      </x:c>
      <x:c r="H27" s="94" t="str">
        <x:v>SKU-0010</x:v>
      </x:c>
      <x:c r="I27" s="94" t="str">
        <x:v>电子产品</x:v>
      </x:c>
      <x:c r="J27" s="94" t="str">
        <x:v>多口扩展坞 J</x:v>
      </x:c>
      <x:c r="K27" s="97" t="n">
        <x:v>419.76</x:v>
      </x:c>
      <x:c r="L27" s="95" t="n">
        <x:v>1</x:v>
      </x:c>
      <x:c r="M27" s="97" t="n">
        <x:f>ROUND(K27*L27,2)</x:f>
        <x:v>419.76</x:v>
      </x:c>
      <x:c r="N27" s="109" t="n">
        <x:v>0.05</x:v>
      </x:c>
      <x:c r="O27" s="97" t="n">
        <x:f>ROUND(M27*N27,2)</x:f>
        <x:v>20.99</x:v>
      </x:c>
      <x:c r="P27" s="94" t="str">
        <x:v>已确认</x:v>
      </x:c>
      <x:c r="Q27" s="97" t="n">
        <x:f>IF(P27="已退款",M27,0)</x:f>
        <x:v>0</x:v>
      </x:c>
      <x:c r="R27" s="97" t="n">
        <x:f>IF(P27="已退款",O27,0)</x:f>
        <x:v>0</x:v>
      </x:c>
      <x:c r="S27" s="97" t="n">
        <x:f>O27-R27</x:f>
        <x:v>20.99</x:v>
      </x:c>
      <x:c r="T27" s="94" t="n">
        <x:v>1</x:v>
      </x:c>
      <x:c r="U27" s="94" t="str">
        <x:v>模拟：Amazon Associates订单回传</x:v>
      </x:c>
    </x:row>
    <x:row r="28">
      <x:c r="A28" s="92" t="str">
        <x:v>AMZ-ORD-00027</x:v>
      </x:c>
      <x:c r="B28" s="94" t="str">
        <x:v>PROC-0024</x:v>
      </x:c>
      <x:c r="C28" s="108" t="n">
        <x:v>46028.674305555556</x:v>
      </x:c>
      <x:c r="D28" s="93" t="n">
        <x:v>46027</x:v>
      </x:c>
      <x:c r="E28" s="94" t="str">
        <x:v>Microsoft Ads</x:v>
      </x:c>
      <x:c r="F28" s="94" t="str">
        <x:v>日本</x:v>
      </x:c>
      <x:c r="G28" s="94" t="str">
        <x:v>购物广告</x:v>
      </x:c>
      <x:c r="H28" s="94" t="str">
        <x:v>SKU-0027</x:v>
      </x:c>
      <x:c r="I28" s="94" t="str">
        <x:v>运动健康</x:v>
      </x:c>
      <x:c r="J28" s="94" t="str">
        <x:v>户外背包 G</x:v>
      </x:c>
      <x:c r="K28" s="97" t="n">
        <x:v>114.66</x:v>
      </x:c>
      <x:c r="L28" s="95" t="n">
        <x:v>1</x:v>
      </x:c>
      <x:c r="M28" s="97" t="n">
        <x:f>ROUND(K28*L28,2)</x:f>
        <x:v>114.66</x:v>
      </x:c>
      <x:c r="N28" s="109" t="n">
        <x:v>0.08</x:v>
      </x:c>
      <x:c r="O28" s="97" t="n">
        <x:f>ROUND(M28*N28,2)</x:f>
        <x:v>9.17</x:v>
      </x:c>
      <x:c r="P28" s="94" t="str">
        <x:v>已确认</x:v>
      </x:c>
      <x:c r="Q28" s="97" t="n">
        <x:f>IF(P28="已退款",M28,0)</x:f>
        <x:v>0</x:v>
      </x:c>
      <x:c r="R28" s="97" t="n">
        <x:f>IF(P28="已退款",O28,0)</x:f>
        <x:v>0</x:v>
      </x:c>
      <x:c r="S28" s="97" t="n">
        <x:f>O28-R28</x:f>
        <x:v>9.17</x:v>
      </x:c>
      <x:c r="T28" s="94" t="n">
        <x:v>1</x:v>
      </x:c>
      <x:c r="U28" s="94" t="str">
        <x:v>模拟：Amazon Associates订单回传</x:v>
      </x:c>
    </x:row>
    <x:row r="29">
      <x:c r="A29" s="92" t="str">
        <x:v>AMZ-ORD-00028</x:v>
      </x:c>
      <x:c r="B29" s="94" t="str">
        <x:v>PROC-0025</x:v>
      </x:c>
      <x:c r="C29" s="108" t="n">
        <x:v>46030.479166666664</x:v>
      </x:c>
      <x:c r="D29" s="93" t="n">
        <x:v>46027</x:v>
      </x:c>
      <x:c r="E29" s="94" t="str">
        <x:v>Google Ads</x:v>
      </x:c>
      <x:c r="F29" s="94" t="str">
        <x:v>美国</x:v>
      </x:c>
      <x:c r="G29" s="94" t="str">
        <x:v>通用搜索</x:v>
      </x:c>
      <x:c r="H29" s="94" t="str">
        <x:v>SKU-0046</x:v>
      </x:c>
      <x:c r="I29" s="94" t="str">
        <x:v>办公学习</x:v>
      </x:c>
      <x:c r="J29" s="94" t="str">
        <x:v>高清摄像头 F</x:v>
      </x:c>
      <x:c r="K29" s="97" t="n">
        <x:v>121.15</x:v>
      </x:c>
      <x:c r="L29" s="95" t="n">
        <x:v>1</x:v>
      </x:c>
      <x:c r="M29" s="97" t="n">
        <x:f>ROUND(K29*L29,2)</x:f>
        <x:v>121.15</x:v>
      </x:c>
      <x:c r="N29" s="109" t="n">
        <x:v>0.07</x:v>
      </x:c>
      <x:c r="O29" s="97" t="n">
        <x:f>ROUND(M29*N29,2)</x:f>
        <x:v>8.48</x:v>
      </x:c>
      <x:c r="P29" s="94" t="str">
        <x:v>已确认</x:v>
      </x:c>
      <x:c r="Q29" s="97" t="n">
        <x:f>IF(P29="已退款",M29,0)</x:f>
        <x:v>0</x:v>
      </x:c>
      <x:c r="R29" s="97" t="n">
        <x:f>IF(P29="已退款",O29,0)</x:f>
        <x:v>0</x:v>
      </x:c>
      <x:c r="S29" s="97" t="n">
        <x:f>O29-R29</x:f>
        <x:v>8.48</x:v>
      </x:c>
      <x:c r="T29" s="94" t="n">
        <x:v>3</x:v>
      </x:c>
      <x:c r="U29" s="94" t="str">
        <x:v>模拟：Amazon Associates订单回传</x:v>
      </x:c>
    </x:row>
    <x:row r="30">
      <x:c r="A30" s="92" t="str">
        <x:v>AMZ-ORD-00029</x:v>
      </x:c>
      <x:c r="B30" s="94" t="str">
        <x:v>PROC-0026</x:v>
      </x:c>
      <x:c r="C30" s="108" t="n">
        <x:v>46027.777083333334</x:v>
      </x:c>
      <x:c r="D30" s="93" t="n">
        <x:v>46027</x:v>
      </x:c>
      <x:c r="E30" s="94" t="str">
        <x:v>Google Ads</x:v>
      </x:c>
      <x:c r="F30" s="94" t="str">
        <x:v>美国</x:v>
      </x:c>
      <x:c r="G30" s="94" t="str">
        <x:v>购物广告</x:v>
      </x:c>
      <x:c r="H30" s="94" t="str">
        <x:v>SKU-0042</x:v>
      </x:c>
      <x:c r="I30" s="94" t="str">
        <x:v>办公学习</x:v>
      </x:c>
      <x:c r="J30" s="94" t="str">
        <x:v>护眼台灯 B</x:v>
      </x:c>
      <x:c r="K30" s="97" t="n">
        <x:v>159.87</x:v>
      </x:c>
      <x:c r="L30" s="95" t="n">
        <x:v>1</x:v>
      </x:c>
      <x:c r="M30" s="97" t="n">
        <x:f>ROUND(K30*L30,2)</x:f>
        <x:v>159.87</x:v>
      </x:c>
      <x:c r="N30" s="109" t="n">
        <x:v>0.07</x:v>
      </x:c>
      <x:c r="O30" s="97" t="n">
        <x:f>ROUND(M30*N30,2)</x:f>
        <x:v>11.19</x:v>
      </x:c>
      <x:c r="P30" s="94" t="str">
        <x:v>已确认</x:v>
      </x:c>
      <x:c r="Q30" s="97" t="n">
        <x:f>IF(P30="已退款",M30,0)</x:f>
        <x:v>0</x:v>
      </x:c>
      <x:c r="R30" s="97" t="n">
        <x:f>IF(P30="已退款",O30,0)</x:f>
        <x:v>0</x:v>
      </x:c>
      <x:c r="S30" s="97" t="n">
        <x:f>O30-R30</x:f>
        <x:v>11.19</x:v>
      </x:c>
      <x:c r="T30" s="94" t="n">
        <x:v>0</x:v>
      </x:c>
      <x:c r="U30" s="94" t="str">
        <x:v>模拟：Amazon Associates订单回传</x:v>
      </x:c>
    </x:row>
    <x:row r="31">
      <x:c r="A31" s="92" t="str">
        <x:v>AMZ-ORD-00030</x:v>
      </x:c>
      <x:c r="B31" s="94" t="str">
        <x:v>PROC-0028</x:v>
      </x:c>
      <x:c r="C31" s="108" t="n">
        <x:v>46029.39097222222</x:v>
      </x:c>
      <x:c r="D31" s="93" t="n">
        <x:v>46027</x:v>
      </x:c>
      <x:c r="E31" s="94" t="str">
        <x:v>Microsoft Ads</x:v>
      </x:c>
      <x:c r="F31" s="94" t="str">
        <x:v>德国</x:v>
      </x:c>
      <x:c r="G31" s="94" t="str">
        <x:v>通用搜索</x:v>
      </x:c>
      <x:c r="H31" s="94" t="str">
        <x:v>SKU-0040</x:v>
      </x:c>
      <x:c r="I31" s="94" t="str">
        <x:v>美妆个护</x:v>
      </x:c>
      <x:c r="J31" s="94" t="str">
        <x:v>旅行护理套装 J</x:v>
      </x:c>
      <x:c r="K31" s="97" t="n">
        <x:v>92.47</x:v>
      </x:c>
      <x:c r="L31" s="95" t="n">
        <x:v>1</x:v>
      </x:c>
      <x:c r="M31" s="97" t="n">
        <x:f>ROUND(K31*L31,2)</x:f>
        <x:v>92.47</x:v>
      </x:c>
      <x:c r="N31" s="109" t="n">
        <x:v>0.1</x:v>
      </x:c>
      <x:c r="O31" s="97" t="n">
        <x:f>ROUND(M31*N31,2)</x:f>
        <x:v>9.25</x:v>
      </x:c>
      <x:c r="P31" s="94" t="str">
        <x:v>已确认</x:v>
      </x:c>
      <x:c r="Q31" s="97" t="n">
        <x:f>IF(P31="已退款",M31,0)</x:f>
        <x:v>0</x:v>
      </x:c>
      <x:c r="R31" s="97" t="n">
        <x:f>IF(P31="已退款",O31,0)</x:f>
        <x:v>0</x:v>
      </x:c>
      <x:c r="S31" s="97" t="n">
        <x:f>O31-R31</x:f>
        <x:v>9.25</x:v>
      </x:c>
      <x:c r="T31" s="94" t="n">
        <x:v>2</x:v>
      </x:c>
      <x:c r="U31" s="94" t="str">
        <x:v>模拟：Amazon Associates订单回传</x:v>
      </x:c>
    </x:row>
    <x:row r="32">
      <x:c r="A32" s="92" t="str">
        <x:v>AMZ-ORD-00031</x:v>
      </x:c>
      <x:c r="B32" s="94" t="str">
        <x:v>PROC-0029</x:v>
      </x:c>
      <x:c r="C32" s="108" t="n">
        <x:v>46029.52638888889</x:v>
      </x:c>
      <x:c r="D32" s="93" t="n">
        <x:v>46028</x:v>
      </x:c>
      <x:c r="E32" s="94" t="str">
        <x:v>Google Ads</x:v>
      </x:c>
      <x:c r="F32" s="94" t="str">
        <x:v>美国</x:v>
      </x:c>
      <x:c r="G32" s="94" t="str">
        <x:v>购物广告</x:v>
      </x:c>
      <x:c r="H32" s="94" t="str">
        <x:v>SKU-0014</x:v>
      </x:c>
      <x:c r="I32" s="94" t="str">
        <x:v>家居生活</x:v>
      </x:c>
      <x:c r="J32" s="94" t="str">
        <x:v>扫地机器人 D</x:v>
      </x:c>
      <x:c r="K32" s="97" t="n">
        <x:v>96.9</x:v>
      </x:c>
      <x:c r="L32" s="95" t="n">
        <x:v>2</x:v>
      </x:c>
      <x:c r="M32" s="97" t="n">
        <x:f>ROUND(K32*L32,2)</x:f>
        <x:v>193.8</x:v>
      </x:c>
      <x:c r="N32" s="109" t="n">
        <x:v>0.07</x:v>
      </x:c>
      <x:c r="O32" s="97" t="n">
        <x:f>ROUND(M32*N32,2)</x:f>
        <x:v>13.57</x:v>
      </x:c>
      <x:c r="P32" s="94" t="str">
        <x:v>已确认</x:v>
      </x:c>
      <x:c r="Q32" s="97" t="n">
        <x:f>IF(P32="已退款",M32,0)</x:f>
        <x:v>0</x:v>
      </x:c>
      <x:c r="R32" s="97" t="n">
        <x:f>IF(P32="已退款",O32,0)</x:f>
        <x:v>0</x:v>
      </x:c>
      <x:c r="S32" s="97" t="n">
        <x:f>O32-R32</x:f>
        <x:v>13.57</x:v>
      </x:c>
      <x:c r="T32" s="94" t="n">
        <x:v>1</x:v>
      </x:c>
      <x:c r="U32" s="94" t="str">
        <x:v>模拟：Amazon Associates订单回传</x:v>
      </x:c>
    </x:row>
    <x:row r="33">
      <x:c r="A33" s="92" t="str">
        <x:v>AMZ-ORD-00032</x:v>
      </x:c>
      <x:c r="B33" s="94" t="str">
        <x:v>PROC-0031</x:v>
      </x:c>
      <x:c r="C33" s="108" t="n">
        <x:v>46030.51458333333</x:v>
      </x:c>
      <x:c r="D33" s="93" t="n">
        <x:v>46028</x:v>
      </x:c>
      <x:c r="E33" s="94" t="str">
        <x:v>Microsoft Ads</x:v>
      </x:c>
      <x:c r="F33" s="94" t="str">
        <x:v>美国</x:v>
      </x:c>
      <x:c r="G33" s="94" t="str">
        <x:v>品牌搜索</x:v>
      </x:c>
      <x:c r="H33" s="94" t="str">
        <x:v>SKU-0010</x:v>
      </x:c>
      <x:c r="I33" s="94" t="str">
        <x:v>电子产品</x:v>
      </x:c>
      <x:c r="J33" s="94" t="str">
        <x:v>多口扩展坞 J</x:v>
      </x:c>
      <x:c r="K33" s="97" t="n">
        <x:v>575.79</x:v>
      </x:c>
      <x:c r="L33" s="95" t="n">
        <x:v>1</x:v>
      </x:c>
      <x:c r="M33" s="97" t="n">
        <x:f>ROUND(K33*L33,2)</x:f>
        <x:v>575.79</x:v>
      </x:c>
      <x:c r="N33" s="109" t="n">
        <x:v>0.05</x:v>
      </x:c>
      <x:c r="O33" s="97" t="n">
        <x:f>ROUND(M33*N33,2)</x:f>
        <x:v>28.79</x:v>
      </x:c>
      <x:c r="P33" s="94" t="str">
        <x:v>已确认</x:v>
      </x:c>
      <x:c r="Q33" s="97" t="n">
        <x:f>IF(P33="已退款",M33,0)</x:f>
        <x:v>0</x:v>
      </x:c>
      <x:c r="R33" s="97" t="n">
        <x:f>IF(P33="已退款",O33,0)</x:f>
        <x:v>0</x:v>
      </x:c>
      <x:c r="S33" s="97" t="n">
        <x:f>O33-R33</x:f>
        <x:v>28.79</x:v>
      </x:c>
      <x:c r="T33" s="94" t="n">
        <x:v>2</x:v>
      </x:c>
      <x:c r="U33" s="94" t="str">
        <x:v>模拟：Amazon Associates订单回传</x:v>
      </x:c>
    </x:row>
    <x:row r="34">
      <x:c r="A34" s="92" t="str">
        <x:v>AMZ-ORD-00033</x:v>
      </x:c>
      <x:c r="B34" s="94" t="str">
        <x:v>PROC-0031</x:v>
      </x:c>
      <x:c r="C34" s="108" t="n">
        <x:v>46029.385416666664</x:v>
      </x:c>
      <x:c r="D34" s="93" t="n">
        <x:v>46028</x:v>
      </x:c>
      <x:c r="E34" s="94" t="str">
        <x:v>Microsoft Ads</x:v>
      </x:c>
      <x:c r="F34" s="94" t="str">
        <x:v>美国</x:v>
      </x:c>
      <x:c r="G34" s="94" t="str">
        <x:v>品牌搜索</x:v>
      </x:c>
      <x:c r="H34" s="94" t="str">
        <x:v>SKU-0003</x:v>
      </x:c>
      <x:c r="I34" s="94" t="str">
        <x:v>电子产品</x:v>
      </x:c>
      <x:c r="J34" s="94" t="str">
        <x:v>智能家居中枢 C</x:v>
      </x:c>
      <x:c r="K34" s="97" t="n">
        <x:v>244.58</x:v>
      </x:c>
      <x:c r="L34" s="95" t="n">
        <x:v>1</x:v>
      </x:c>
      <x:c r="M34" s="97" t="n">
        <x:f>ROUND(K34*L34,2)</x:f>
        <x:v>244.58</x:v>
      </x:c>
      <x:c r="N34" s="109" t="n">
        <x:v>0.05</x:v>
      </x:c>
      <x:c r="O34" s="97" t="n">
        <x:f>ROUND(M34*N34,2)</x:f>
        <x:v>12.23</x:v>
      </x:c>
      <x:c r="P34" s="94" t="str">
        <x:v>已确认</x:v>
      </x:c>
      <x:c r="Q34" s="97" t="n">
        <x:f>IF(P34="已退款",M34,0)</x:f>
        <x:v>0</x:v>
      </x:c>
      <x:c r="R34" s="97" t="n">
        <x:f>IF(P34="已退款",O34,0)</x:f>
        <x:v>0</x:v>
      </x:c>
      <x:c r="S34" s="97" t="n">
        <x:f>O34-R34</x:f>
        <x:v>12.23</x:v>
      </x:c>
      <x:c r="T34" s="94" t="n">
        <x:v>1</x:v>
      </x:c>
      <x:c r="U34" s="94" t="str">
        <x:v>模拟：Amazon Associates订单回传</x:v>
      </x:c>
    </x:row>
    <x:row r="35">
      <x:c r="A35" s="92" t="str">
        <x:v>AMZ-ORD-00034</x:v>
      </x:c>
      <x:c r="B35" s="94" t="str">
        <x:v>PROC-0032</x:v>
      </x:c>
      <x:c r="C35" s="108" t="n">
        <x:v>46030.388194444444</x:v>
      </x:c>
      <x:c r="D35" s="93" t="n">
        <x:v>46028</x:v>
      </x:c>
      <x:c r="E35" s="94" t="str">
        <x:v>Microsoft Ads</x:v>
      </x:c>
      <x:c r="F35" s="94" t="str">
        <x:v>英国</x:v>
      </x:c>
      <x:c r="G35" s="94" t="str">
        <x:v>购物广告</x:v>
      </x:c>
      <x:c r="H35" s="94" t="str">
        <x:v>SKU-0012</x:v>
      </x:c>
      <x:c r="I35" s="94" t="str">
        <x:v>家居生活</x:v>
      </x:c>
      <x:c r="J35" s="94" t="str">
        <x:v>咖啡机 B</x:v>
      </x:c>
      <x:c r="K35" s="97" t="n">
        <x:v>255.05</x:v>
      </x:c>
      <x:c r="L35" s="95" t="n">
        <x:v>1</x:v>
      </x:c>
      <x:c r="M35" s="97" t="n">
        <x:f>ROUND(K35*L35,2)</x:f>
        <x:v>255.05</x:v>
      </x:c>
      <x:c r="N35" s="109" t="n">
        <x:v>0.07</x:v>
      </x:c>
      <x:c r="O35" s="97" t="n">
        <x:f>ROUND(M35*N35,2)</x:f>
        <x:v>17.85</x:v>
      </x:c>
      <x:c r="P35" s="94" t="str">
        <x:v>已确认</x:v>
      </x:c>
      <x:c r="Q35" s="97" t="n">
        <x:f>IF(P35="已退款",M35,0)</x:f>
        <x:v>0</x:v>
      </x:c>
      <x:c r="R35" s="97" t="n">
        <x:f>IF(P35="已退款",O35,0)</x:f>
        <x:v>0</x:v>
      </x:c>
      <x:c r="S35" s="97" t="n">
        <x:f>O35-R35</x:f>
        <x:v>17.85</x:v>
      </x:c>
      <x:c r="T35" s="94" t="n">
        <x:v>2</x:v>
      </x:c>
      <x:c r="U35" s="94" t="str">
        <x:v>模拟：Amazon Associates订单回传</x:v>
      </x:c>
    </x:row>
    <x:row r="36">
      <x:c r="A36" s="92" t="str">
        <x:v>AMZ-ORD-00035</x:v>
      </x:c>
      <x:c r="B36" s="94" t="str">
        <x:v>PROC-0033</x:v>
      </x:c>
      <x:c r="C36" s="108" t="n">
        <x:v>46032.899305555555</x:v>
      </x:c>
      <x:c r="D36" s="93" t="n">
        <x:v>46028</x:v>
      </x:c>
      <x:c r="E36" s="94" t="str">
        <x:v>Microsoft Ads</x:v>
      </x:c>
      <x:c r="F36" s="94" t="str">
        <x:v>美国</x:v>
      </x:c>
      <x:c r="G36" s="94" t="str">
        <x:v>通用搜索</x:v>
      </x:c>
      <x:c r="H36" s="94" t="str">
        <x:v>SKU-0008</x:v>
      </x:c>
      <x:c r="I36" s="94" t="str">
        <x:v>电子产品</x:v>
      </x:c>
      <x:c r="J36" s="94" t="str">
        <x:v>Wi-Fi路由器 H</x:v>
      </x:c>
      <x:c r="K36" s="97" t="n">
        <x:v>492.12</x:v>
      </x:c>
      <x:c r="L36" s="95" t="n">
        <x:v>1</x:v>
      </x:c>
      <x:c r="M36" s="97" t="n">
        <x:f>ROUND(K36*L36,2)</x:f>
        <x:v>492.12</x:v>
      </x:c>
      <x:c r="N36" s="109" t="n">
        <x:v>0.05</x:v>
      </x:c>
      <x:c r="O36" s="97" t="n">
        <x:f>ROUND(M36*N36,2)</x:f>
        <x:v>24.61</x:v>
      </x:c>
      <x:c r="P36" s="94" t="str">
        <x:v>已确认</x:v>
      </x:c>
      <x:c r="Q36" s="97" t="n">
        <x:f>IF(P36="已退款",M36,0)</x:f>
        <x:v>0</x:v>
      </x:c>
      <x:c r="R36" s="97" t="n">
        <x:f>IF(P36="已退款",O36,0)</x:f>
        <x:v>0</x:v>
      </x:c>
      <x:c r="S36" s="97" t="n">
        <x:f>O36-R36</x:f>
        <x:v>24.61</x:v>
      </x:c>
      <x:c r="T36" s="94" t="n">
        <x:v>4</x:v>
      </x:c>
      <x:c r="U36" s="94" t="str">
        <x:v>模拟：Amazon Associates订单回传</x:v>
      </x:c>
    </x:row>
    <x:row r="37">
      <x:c r="A37" s="92" t="str">
        <x:v>AMZ-ORD-00036</x:v>
      </x:c>
      <x:c r="B37" s="94" t="str">
        <x:v>PROC-0034</x:v>
      </x:c>
      <x:c r="C37" s="108" t="n">
        <x:v>46032.535416666666</x:v>
      </x:c>
      <x:c r="D37" s="93" t="n">
        <x:v>46028</x:v>
      </x:c>
      <x:c r="E37" s="94" t="str">
        <x:v>Google Ads</x:v>
      </x:c>
      <x:c r="F37" s="94" t="str">
        <x:v>美国</x:v>
      </x:c>
      <x:c r="G37" s="94" t="str">
        <x:v>购物广告</x:v>
      </x:c>
      <x:c r="H37" s="94" t="str">
        <x:v>SKU-0049</x:v>
      </x:c>
      <x:c r="I37" s="94" t="str">
        <x:v>办公学习</x:v>
      </x:c>
      <x:c r="J37" s="94" t="str">
        <x:v>移动白板 I</x:v>
      </x:c>
      <x:c r="K37" s="97" t="n">
        <x:v>135.84</x:v>
      </x:c>
      <x:c r="L37" s="95" t="n">
        <x:v>1</x:v>
      </x:c>
      <x:c r="M37" s="97" t="n">
        <x:f>ROUND(K37*L37,2)</x:f>
        <x:v>135.84</x:v>
      </x:c>
      <x:c r="N37" s="109" t="n">
        <x:v>0.07</x:v>
      </x:c>
      <x:c r="O37" s="97" t="n">
        <x:f>ROUND(M37*N37,2)</x:f>
        <x:v>9.51</x:v>
      </x:c>
      <x:c r="P37" s="94" t="str">
        <x:v>已确认</x:v>
      </x:c>
      <x:c r="Q37" s="97" t="n">
        <x:f>IF(P37="已退款",M37,0)</x:f>
        <x:v>0</x:v>
      </x:c>
      <x:c r="R37" s="97" t="n">
        <x:f>IF(P37="已退款",O37,0)</x:f>
        <x:v>0</x:v>
      </x:c>
      <x:c r="S37" s="97" t="n">
        <x:f>O37-R37</x:f>
        <x:v>9.51</x:v>
      </x:c>
      <x:c r="T37" s="94" t="n">
        <x:v>4</x:v>
      </x:c>
      <x:c r="U37" s="94" t="str">
        <x:v>模拟：Amazon Associates订单回传</x:v>
      </x:c>
    </x:row>
    <x:row r="38">
      <x:c r="A38" s="92" t="str">
        <x:v>AMZ-ORD-00037</x:v>
      </x:c>
      <x:c r="B38" s="94" t="str">
        <x:v>PROC-0036</x:v>
      </x:c>
      <x:c r="C38" s="108" t="n">
        <x:v>46033.71527777778</x:v>
      </x:c>
      <x:c r="D38" s="93" t="n">
        <x:v>46029</x:v>
      </x:c>
      <x:c r="E38" s="94" t="str">
        <x:v>Google Ads</x:v>
      </x:c>
      <x:c r="F38" s="94" t="str">
        <x:v>日本</x:v>
      </x:c>
      <x:c r="G38" s="94" t="str">
        <x:v>购物广告</x:v>
      </x:c>
      <x:c r="H38" s="94" t="str">
        <x:v>SKU-0027</x:v>
      </x:c>
      <x:c r="I38" s="94" t="str">
        <x:v>运动健康</x:v>
      </x:c>
      <x:c r="J38" s="94" t="str">
        <x:v>户外背包 G</x:v>
      </x:c>
      <x:c r="K38" s="97" t="n">
        <x:v>244.58</x:v>
      </x:c>
      <x:c r="L38" s="95" t="n">
        <x:v>1</x:v>
      </x:c>
      <x:c r="M38" s="97" t="n">
        <x:f>ROUND(K38*L38,2)</x:f>
        <x:v>244.58</x:v>
      </x:c>
      <x:c r="N38" s="109" t="n">
        <x:v>0.08</x:v>
      </x:c>
      <x:c r="O38" s="97" t="n">
        <x:f>ROUND(M38*N38,2)</x:f>
        <x:v>19.57</x:v>
      </x:c>
      <x:c r="P38" s="94" t="str">
        <x:v>已确认</x:v>
      </x:c>
      <x:c r="Q38" s="97" t="n">
        <x:f>IF(P38="已退款",M38,0)</x:f>
        <x:v>0</x:v>
      </x:c>
      <x:c r="R38" s="97" t="n">
        <x:f>IF(P38="已退款",O38,0)</x:f>
        <x:v>0</x:v>
      </x:c>
      <x:c r="S38" s="97" t="n">
        <x:f>O38-R38</x:f>
        <x:v>19.57</x:v>
      </x:c>
      <x:c r="T38" s="94" t="n">
        <x:v>4</x:v>
      </x:c>
      <x:c r="U38" s="94" t="str">
        <x:v>模拟：Amazon Associates订单回传</x:v>
      </x:c>
    </x:row>
    <x:row r="39">
      <x:c r="A39" s="92" t="str">
        <x:v>AMZ-ORD-00038</x:v>
      </x:c>
      <x:c r="B39" s="94" t="str">
        <x:v>PROC-0037</x:v>
      </x:c>
      <x:c r="C39" s="108" t="n">
        <x:v>46031.40555555555</x:v>
      </x:c>
      <x:c r="D39" s="93" t="n">
        <x:v>46029</x:v>
      </x:c>
      <x:c r="E39" s="94" t="str">
        <x:v>Google Ads</x:v>
      </x:c>
      <x:c r="F39" s="94" t="str">
        <x:v>日本</x:v>
      </x:c>
      <x:c r="G39" s="94" t="str">
        <x:v>购物广告</x:v>
      </x:c>
      <x:c r="H39" s="94" t="str">
        <x:v>SKU-0036</x:v>
      </x:c>
      <x:c r="I39" s="94" t="str">
        <x:v>美妆个护</x:v>
      </x:c>
      <x:c r="J39" s="94" t="str">
        <x:v>剃须刀 F</x:v>
      </x:c>
      <x:c r="K39" s="97" t="n">
        <x:v>128.01</x:v>
      </x:c>
      <x:c r="L39" s="95" t="n">
        <x:v>1</x:v>
      </x:c>
      <x:c r="M39" s="97" t="n">
        <x:f>ROUND(K39*L39,2)</x:f>
        <x:v>128.01</x:v>
      </x:c>
      <x:c r="N39" s="109" t="n">
        <x:v>0.1</x:v>
      </x:c>
      <x:c r="O39" s="97" t="n">
        <x:f>ROUND(M39*N39,2)</x:f>
        <x:v>12.8</x:v>
      </x:c>
      <x:c r="P39" s="94" t="str">
        <x:v>已确认</x:v>
      </x:c>
      <x:c r="Q39" s="97" t="n">
        <x:f>IF(P39="已退款",M39,0)</x:f>
        <x:v>0</x:v>
      </x:c>
      <x:c r="R39" s="97" t="n">
        <x:f>IF(P39="已退款",O39,0)</x:f>
        <x:v>0</x:v>
      </x:c>
      <x:c r="S39" s="97" t="n">
        <x:f>O39-R39</x:f>
        <x:v>12.8</x:v>
      </x:c>
      <x:c r="T39" s="94" t="n">
        <x:v>2</x:v>
      </x:c>
      <x:c r="U39" s="94" t="str">
        <x:v>模拟：Amazon Associates订单回传</x:v>
      </x:c>
    </x:row>
    <x:row r="40">
      <x:c r="A40" s="92" t="str">
        <x:v>AMZ-ORD-00039</x:v>
      </x:c>
      <x:c r="B40" s="94" t="str">
        <x:v>PROC-0038</x:v>
      </x:c>
      <x:c r="C40" s="108" t="n">
        <x:v>46030.853472222225</x:v>
      </x:c>
      <x:c r="D40" s="93" t="n">
        <x:v>46029</x:v>
      </x:c>
      <x:c r="E40" s="94" t="str">
        <x:v>Google Ads</x:v>
      </x:c>
      <x:c r="F40" s="94" t="str">
        <x:v>日本</x:v>
      </x:c>
      <x:c r="G40" s="94" t="str">
        <x:v>品牌搜索</x:v>
      </x:c>
      <x:c r="H40" s="94" t="str">
        <x:v>SKU-0001</x:v>
      </x:c>
      <x:c r="I40" s="94" t="str">
        <x:v>电子产品</x:v>
      </x:c>
      <x:c r="J40" s="94" t="str">
        <x:v>无线耳机 A</x:v>
      </x:c>
      <x:c r="K40" s="97" t="n">
        <x:v>736.49</x:v>
      </x:c>
      <x:c r="L40" s="95" t="n">
        <x:v>1</x:v>
      </x:c>
      <x:c r="M40" s="97" t="n">
        <x:f>ROUND(K40*L40,2)</x:f>
        <x:v>736.49</x:v>
      </x:c>
      <x:c r="N40" s="109" t="n">
        <x:v>0.05</x:v>
      </x:c>
      <x:c r="O40" s="97" t="n">
        <x:f>ROUND(M40*N40,2)</x:f>
        <x:v>36.82</x:v>
      </x:c>
      <x:c r="P40" s="94" t="str">
        <x:v>已确认</x:v>
      </x:c>
      <x:c r="Q40" s="97" t="n">
        <x:f>IF(P40="已退款",M40,0)</x:f>
        <x:v>0</x:v>
      </x:c>
      <x:c r="R40" s="97" t="n">
        <x:f>IF(P40="已退款",O40,0)</x:f>
        <x:v>0</x:v>
      </x:c>
      <x:c r="S40" s="97" t="n">
        <x:f>O40-R40</x:f>
        <x:v>36.82</x:v>
      </x:c>
      <x:c r="T40" s="94" t="n">
        <x:v>1</x:v>
      </x:c>
      <x:c r="U40" s="94" t="str">
        <x:v>模拟：Amazon Associates订单回传</x:v>
      </x:c>
    </x:row>
    <x:row r="41">
      <x:c r="A41" s="92" t="str">
        <x:v>AMZ-ORD-00040</x:v>
      </x:c>
      <x:c r="B41" s="94" t="str">
        <x:v>PROC-0039</x:v>
      </x:c>
      <x:c r="C41" s="108" t="n">
        <x:v>46031.57847222222</x:v>
      </x:c>
      <x:c r="D41" s="93" t="n">
        <x:v>46029</x:v>
      </x:c>
      <x:c r="E41" s="94" t="str">
        <x:v>Microsoft Ads</x:v>
      </x:c>
      <x:c r="F41" s="94" t="str">
        <x:v>美国</x:v>
      </x:c>
      <x:c r="G41" s="94" t="str">
        <x:v>购物广告</x:v>
      </x:c>
      <x:c r="H41" s="94" t="str">
        <x:v>SKU-0008</x:v>
      </x:c>
      <x:c r="I41" s="94" t="str">
        <x:v>电子产品</x:v>
      </x:c>
      <x:c r="J41" s="94" t="str">
        <x:v>Wi-Fi路由器 H</x:v>
      </x:c>
      <x:c r="K41" s="97" t="n">
        <x:v>757.87</x:v>
      </x:c>
      <x:c r="L41" s="95" t="n">
        <x:v>1</x:v>
      </x:c>
      <x:c r="M41" s="97" t="n">
        <x:f>ROUND(K41*L41,2)</x:f>
        <x:v>757.87</x:v>
      </x:c>
      <x:c r="N41" s="109" t="n">
        <x:v>0.05</x:v>
      </x:c>
      <x:c r="O41" s="97" t="n">
        <x:f>ROUND(M41*N41,2)</x:f>
        <x:v>37.89</x:v>
      </x:c>
      <x:c r="P41" s="94" t="str">
        <x:v>已确认</x:v>
      </x:c>
      <x:c r="Q41" s="97" t="n">
        <x:f>IF(P41="已退款",M41,0)</x:f>
        <x:v>0</x:v>
      </x:c>
      <x:c r="R41" s="97" t="n">
        <x:f>IF(P41="已退款",O41,0)</x:f>
        <x:v>0</x:v>
      </x:c>
      <x:c r="S41" s="97" t="n">
        <x:f>O41-R41</x:f>
        <x:v>37.89</x:v>
      </x:c>
      <x:c r="T41" s="94" t="n">
        <x:v>2</x:v>
      </x:c>
      <x:c r="U41" s="94" t="str">
        <x:v>模拟：Amazon Associates订单回传</x:v>
      </x:c>
    </x:row>
    <x:row r="42">
      <x:c r="A42" s="92" t="str">
        <x:v>AMZ-ORD-00041</x:v>
      </x:c>
      <x:c r="B42" s="94" t="str">
        <x:v>PROC-0040</x:v>
      </x:c>
      <x:c r="C42" s="108" t="n">
        <x:v>46032.58125</x:v>
      </x:c>
      <x:c r="D42" s="93" t="n">
        <x:v>46030</x:v>
      </x:c>
      <x:c r="E42" s="94" t="str">
        <x:v>Google Ads</x:v>
      </x:c>
      <x:c r="F42" s="94" t="str">
        <x:v>日本</x:v>
      </x:c>
      <x:c r="G42" s="94" t="str">
        <x:v>品牌搜索</x:v>
      </x:c>
      <x:c r="H42" s="94" t="str">
        <x:v>SKU-0010</x:v>
      </x:c>
      <x:c r="I42" s="94" t="str">
        <x:v>电子产品</x:v>
      </x:c>
      <x:c r="J42" s="94" t="str">
        <x:v>多口扩展坞 J</x:v>
      </x:c>
      <x:c r="K42" s="97" t="n">
        <x:v>590.69</x:v>
      </x:c>
      <x:c r="L42" s="95" t="n">
        <x:v>2</x:v>
      </x:c>
      <x:c r="M42" s="97" t="n">
        <x:f>ROUND(K42*L42,2)</x:f>
        <x:v>1181.38</x:v>
      </x:c>
      <x:c r="N42" s="109" t="n">
        <x:v>0.05</x:v>
      </x:c>
      <x:c r="O42" s="97" t="n">
        <x:f>ROUND(M42*N42,2)</x:f>
        <x:v>59.07</x:v>
      </x:c>
      <x:c r="P42" s="94" t="str">
        <x:v>已确认</x:v>
      </x:c>
      <x:c r="Q42" s="97" t="n">
        <x:f>IF(P42="已退款",M42,0)</x:f>
        <x:v>0</x:v>
      </x:c>
      <x:c r="R42" s="97" t="n">
        <x:f>IF(P42="已退款",O42,0)</x:f>
        <x:v>0</x:v>
      </x:c>
      <x:c r="S42" s="97" t="n">
        <x:f>O42-R42</x:f>
        <x:v>59.07</x:v>
      </x:c>
      <x:c r="T42" s="94" t="n">
        <x:v>2</x:v>
      </x:c>
      <x:c r="U42" s="94" t="str">
        <x:v>模拟：Amazon Associates订单回传</x:v>
      </x:c>
    </x:row>
    <x:row r="43">
      <x:c r="A43" s="92" t="str">
        <x:v>AMZ-ORD-00042</x:v>
      </x:c>
      <x:c r="B43" s="94" t="str">
        <x:v>PROC-0040</x:v>
      </x:c>
      <x:c r="C43" s="108" t="n">
        <x:v>46032.683333333334</x:v>
      </x:c>
      <x:c r="D43" s="93" t="n">
        <x:v>46030</x:v>
      </x:c>
      <x:c r="E43" s="94" t="str">
        <x:v>Google Ads</x:v>
      </x:c>
      <x:c r="F43" s="94" t="str">
        <x:v>日本</x:v>
      </x:c>
      <x:c r="G43" s="94" t="str">
        <x:v>品牌搜索</x:v>
      </x:c>
      <x:c r="H43" s="94" t="str">
        <x:v>SKU-0018</x:v>
      </x:c>
      <x:c r="I43" s="94" t="str">
        <x:v>家居生活</x:v>
      </x:c>
      <x:c r="J43" s="94" t="str">
        <x:v>收纳组合 H</x:v>
      </x:c>
      <x:c r="K43" s="97" t="n">
        <x:v>313.79</x:v>
      </x:c>
      <x:c r="L43" s="95" t="n">
        <x:v>1</x:v>
      </x:c>
      <x:c r="M43" s="97" t="n">
        <x:f>ROUND(K43*L43,2)</x:f>
        <x:v>313.79</x:v>
      </x:c>
      <x:c r="N43" s="109" t="n">
        <x:v>0.07</x:v>
      </x:c>
      <x:c r="O43" s="97" t="n">
        <x:f>ROUND(M43*N43,2)</x:f>
        <x:v>21.97</x:v>
      </x:c>
      <x:c r="P43" s="94" t="str">
        <x:v>已确认</x:v>
      </x:c>
      <x:c r="Q43" s="97" t="n">
        <x:f>IF(P43="已退款",M43,0)</x:f>
        <x:v>0</x:v>
      </x:c>
      <x:c r="R43" s="97" t="n">
        <x:f>IF(P43="已退款",O43,0)</x:f>
        <x:v>0</x:v>
      </x:c>
      <x:c r="S43" s="97" t="n">
        <x:f>O43-R43</x:f>
        <x:v>21.97</x:v>
      </x:c>
      <x:c r="T43" s="94" t="n">
        <x:v>2</x:v>
      </x:c>
      <x:c r="U43" s="94" t="str">
        <x:v>模拟：Amazon Associates订单回传</x:v>
      </x:c>
    </x:row>
    <x:row r="44">
      <x:c r="A44" s="92" t="str">
        <x:v>AMZ-ORD-00043</x:v>
      </x:c>
      <x:c r="B44" s="94" t="str">
        <x:v>PROC-0041</x:v>
      </x:c>
      <x:c r="C44" s="108" t="n">
        <x:v>46032.78888888889</x:v>
      </x:c>
      <x:c r="D44" s="93" t="n">
        <x:v>46030</x:v>
      </x:c>
      <x:c r="E44" s="94" t="str">
        <x:v>Microsoft Ads</x:v>
      </x:c>
      <x:c r="F44" s="94" t="str">
        <x:v>日本</x:v>
      </x:c>
      <x:c r="G44" s="94" t="str">
        <x:v>通用搜索</x:v>
      </x:c>
      <x:c r="H44" s="94" t="str">
        <x:v>SKU-0042</x:v>
      </x:c>
      <x:c r="I44" s="94" t="str">
        <x:v>办公学习</x:v>
      </x:c>
      <x:c r="J44" s="94" t="str">
        <x:v>护眼台灯 B</x:v>
      </x:c>
      <x:c r="K44" s="97" t="n">
        <x:v>204.35</x:v>
      </x:c>
      <x:c r="L44" s="95" t="n">
        <x:v>2</x:v>
      </x:c>
      <x:c r="M44" s="97" t="n">
        <x:f>ROUND(K44*L44,2)</x:f>
        <x:v>408.7</x:v>
      </x:c>
      <x:c r="N44" s="109" t="n">
        <x:v>0.07</x:v>
      </x:c>
      <x:c r="O44" s="97" t="n">
        <x:f>ROUND(M44*N44,2)</x:f>
        <x:v>28.61</x:v>
      </x:c>
      <x:c r="P44" s="94" t="str">
        <x:v>已确认</x:v>
      </x:c>
      <x:c r="Q44" s="97" t="n">
        <x:f>IF(P44="已退款",M44,0)</x:f>
        <x:v>0</x:v>
      </x:c>
      <x:c r="R44" s="97" t="n">
        <x:f>IF(P44="已退款",O44,0)</x:f>
        <x:v>0</x:v>
      </x:c>
      <x:c r="S44" s="97" t="n">
        <x:f>O44-R44</x:f>
        <x:v>28.61</x:v>
      </x:c>
      <x:c r="T44" s="94" t="n">
        <x:v>2</x:v>
      </x:c>
      <x:c r="U44" s="94" t="str">
        <x:v>模拟：Amazon Associates订单回传</x:v>
      </x:c>
    </x:row>
    <x:row r="45">
      <x:c r="A45" s="92" t="str">
        <x:v>AMZ-ORD-00044</x:v>
      </x:c>
      <x:c r="B45" s="94" t="str">
        <x:v>PROC-0043</x:v>
      </x:c>
      <x:c r="C45" s="108" t="n">
        <x:v>46031.80416666667</x:v>
      </x:c>
      <x:c r="D45" s="93" t="n">
        <x:v>46030</x:v>
      </x:c>
      <x:c r="E45" s="94" t="str">
        <x:v>Google Ads</x:v>
      </x:c>
      <x:c r="F45" s="94" t="str">
        <x:v>美国</x:v>
      </x:c>
      <x:c r="G45" s="94" t="str">
        <x:v>通用搜索</x:v>
      </x:c>
      <x:c r="H45" s="94" t="str">
        <x:v>SKU-0005</x:v>
      </x:c>
      <x:c r="I45" s="94" t="str">
        <x:v>电子产品</x:v>
      </x:c>
      <x:c r="J45" s="94" t="str">
        <x:v>降噪耳机 E</x:v>
      </x:c>
      <x:c r="K45" s="97" t="n">
        <x:v>617.64</x:v>
      </x:c>
      <x:c r="L45" s="95" t="n">
        <x:v>1</x:v>
      </x:c>
      <x:c r="M45" s="97" t="n">
        <x:f>ROUND(K45*L45,2)</x:f>
        <x:v>617.64</x:v>
      </x:c>
      <x:c r="N45" s="109" t="n">
        <x:v>0.05</x:v>
      </x:c>
      <x:c r="O45" s="97" t="n">
        <x:f>ROUND(M45*N45,2)</x:f>
        <x:v>30.88</x:v>
      </x:c>
      <x:c r="P45" s="94" t="str">
        <x:v>已确认</x:v>
      </x:c>
      <x:c r="Q45" s="97" t="n">
        <x:f>IF(P45="已退款",M45,0)</x:f>
        <x:v>0</x:v>
      </x:c>
      <x:c r="R45" s="97" t="n">
        <x:f>IF(P45="已退款",O45,0)</x:f>
        <x:v>0</x:v>
      </x:c>
      <x:c r="S45" s="97" t="n">
        <x:f>O45-R45</x:f>
        <x:v>30.88</x:v>
      </x:c>
      <x:c r="T45" s="94" t="n">
        <x:v>1</x:v>
      </x:c>
      <x:c r="U45" s="94" t="str">
        <x:v>模拟：Amazon Associates订单回传</x:v>
      </x:c>
    </x:row>
    <x:row r="46">
      <x:c r="A46" s="92" t="str">
        <x:v>AMZ-ORD-00045</x:v>
      </x:c>
      <x:c r="B46" s="94" t="str">
        <x:v>PROC-0044</x:v>
      </x:c>
      <x:c r="C46" s="108" t="n">
        <x:v>46031.79722222222</x:v>
      </x:c>
      <x:c r="D46" s="93" t="n">
        <x:v>46030</x:v>
      </x:c>
      <x:c r="E46" s="94" t="str">
        <x:v>Google Ads</x:v>
      </x:c>
      <x:c r="F46" s="94" t="str">
        <x:v>美国</x:v>
      </x:c>
      <x:c r="G46" s="94" t="str">
        <x:v>品牌搜索</x:v>
      </x:c>
      <x:c r="H46" s="94" t="str">
        <x:v>SKU-0018</x:v>
      </x:c>
      <x:c r="I46" s="94" t="str">
        <x:v>家居生活</x:v>
      </x:c>
      <x:c r="J46" s="94" t="str">
        <x:v>收纳组合 H</x:v>
      </x:c>
      <x:c r="K46" s="97" t="n">
        <x:v>347.07</x:v>
      </x:c>
      <x:c r="L46" s="95" t="n">
        <x:v>1</x:v>
      </x:c>
      <x:c r="M46" s="97" t="n">
        <x:f>ROUND(K46*L46,2)</x:f>
        <x:v>347.07</x:v>
      </x:c>
      <x:c r="N46" s="109" t="n">
        <x:v>0.07</x:v>
      </x:c>
      <x:c r="O46" s="97" t="n">
        <x:f>ROUND(M46*N46,2)</x:f>
        <x:v>24.29</x:v>
      </x:c>
      <x:c r="P46" s="94" t="str">
        <x:v>已确认</x:v>
      </x:c>
      <x:c r="Q46" s="97" t="n">
        <x:f>IF(P46="已退款",M46,0)</x:f>
        <x:v>0</x:v>
      </x:c>
      <x:c r="R46" s="97" t="n">
        <x:f>IF(P46="已退款",O46,0)</x:f>
        <x:v>0</x:v>
      </x:c>
      <x:c r="S46" s="97" t="n">
        <x:f>O46-R46</x:f>
        <x:v>24.29</x:v>
      </x:c>
      <x:c r="T46" s="94" t="n">
        <x:v>1</x:v>
      </x:c>
      <x:c r="U46" s="94" t="str">
        <x:v>模拟：Amazon Associates订单回传</x:v>
      </x:c>
    </x:row>
    <x:row r="47">
      <x:c r="A47" s="92" t="str">
        <x:v>AMZ-ORD-00046</x:v>
      </x:c>
      <x:c r="B47" s="94" t="str">
        <x:v>PROC-0046</x:v>
      </x:c>
      <x:c r="C47" s="108" t="n">
        <x:v>46034.65555555555</x:v>
      </x:c>
      <x:c r="D47" s="93" t="n">
        <x:v>46031</x:v>
      </x:c>
      <x:c r="E47" s="94" t="str">
        <x:v>Google Ads</x:v>
      </x:c>
      <x:c r="F47" s="94" t="str">
        <x:v>日本</x:v>
      </x:c>
      <x:c r="G47" s="94" t="str">
        <x:v>购物广告</x:v>
      </x:c>
      <x:c r="H47" s="94" t="str">
        <x:v>SKU-0015</x:v>
      </x:c>
      <x:c r="I47" s="94" t="str">
        <x:v>家居生活</x:v>
      </x:c>
      <x:c r="J47" s="94" t="str">
        <x:v>床品套装 E</x:v>
      </x:c>
      <x:c r="K47" s="97" t="n">
        <x:v>207.81</x:v>
      </x:c>
      <x:c r="L47" s="95" t="n">
        <x:v>2</x:v>
      </x:c>
      <x:c r="M47" s="97" t="n">
        <x:f>ROUND(K47*L47,2)</x:f>
        <x:v>415.62</x:v>
      </x:c>
      <x:c r="N47" s="109" t="n">
        <x:v>0.07</x:v>
      </x:c>
      <x:c r="O47" s="97" t="n">
        <x:f>ROUND(M47*N47,2)</x:f>
        <x:v>29.09</x:v>
      </x:c>
      <x:c r="P47" s="94" t="str">
        <x:v>已确认</x:v>
      </x:c>
      <x:c r="Q47" s="97" t="n">
        <x:f>IF(P47="已退款",M47,0)</x:f>
        <x:v>0</x:v>
      </x:c>
      <x:c r="R47" s="97" t="n">
        <x:f>IF(P47="已退款",O47,0)</x:f>
        <x:v>0</x:v>
      </x:c>
      <x:c r="S47" s="97" t="n">
        <x:f>O47-R47</x:f>
        <x:v>29.09</x:v>
      </x:c>
      <x:c r="T47" s="94" t="n">
        <x:v>3</x:v>
      </x:c>
      <x:c r="U47" s="94" t="str">
        <x:v>模拟：Amazon Associates订单回传</x:v>
      </x:c>
    </x:row>
    <x:row r="48">
      <x:c r="A48" s="92" t="str">
        <x:v>AMZ-ORD-00047</x:v>
      </x:c>
      <x:c r="B48" s="94" t="str">
        <x:v>PROC-0047</x:v>
      </x:c>
      <x:c r="C48" s="108" t="n">
        <x:v>46033.842361111114</x:v>
      </x:c>
      <x:c r="D48" s="93" t="n">
        <x:v>46031</x:v>
      </x:c>
      <x:c r="E48" s="94" t="str">
        <x:v>Google Ads</x:v>
      </x:c>
      <x:c r="F48" s="94" t="str">
        <x:v>英国</x:v>
      </x:c>
      <x:c r="G48" s="94" t="str">
        <x:v>通用搜索</x:v>
      </x:c>
      <x:c r="H48" s="94" t="str">
        <x:v>SKU-0048</x:v>
      </x:c>
      <x:c r="I48" s="94" t="str">
        <x:v>办公学习</x:v>
      </x:c>
      <x:c r="J48" s="94" t="str">
        <x:v>阅读支架 H</x:v>
      </x:c>
      <x:c r="K48" s="97" t="n">
        <x:v>82.97</x:v>
      </x:c>
      <x:c r="L48" s="95" t="n">
        <x:v>1</x:v>
      </x:c>
      <x:c r="M48" s="97" t="n">
        <x:f>ROUND(K48*L48,2)</x:f>
        <x:v>82.97</x:v>
      </x:c>
      <x:c r="N48" s="109" t="n">
        <x:v>0.07</x:v>
      </x:c>
      <x:c r="O48" s="97" t="n">
        <x:f>ROUND(M48*N48,2)</x:f>
        <x:v>5.81</x:v>
      </x:c>
      <x:c r="P48" s="94" t="str">
        <x:v>已确认</x:v>
      </x:c>
      <x:c r="Q48" s="97" t="n">
        <x:f>IF(P48="已退款",M48,0)</x:f>
        <x:v>0</x:v>
      </x:c>
      <x:c r="R48" s="97" t="n">
        <x:f>IF(P48="已退款",O48,0)</x:f>
        <x:v>0</x:v>
      </x:c>
      <x:c r="S48" s="97" t="n">
        <x:f>O48-R48</x:f>
        <x:v>5.81</x:v>
      </x:c>
      <x:c r="T48" s="94" t="n">
        <x:v>2</x:v>
      </x:c>
      <x:c r="U48" s="94" t="str">
        <x:v>模拟：Amazon Associates订单回传</x:v>
      </x:c>
    </x:row>
    <x:row r="49">
      <x:c r="A49" s="92" t="str">
        <x:v>AMZ-ORD-00048</x:v>
      </x:c>
      <x:c r="B49" s="94" t="str">
        <x:v>PROC-0049</x:v>
      </x:c>
      <x:c r="C49" s="108" t="n">
        <x:v>46033.67916666667</x:v>
      </x:c>
      <x:c r="D49" s="93" t="n">
        <x:v>46031</x:v>
      </x:c>
      <x:c r="E49" s="94" t="str">
        <x:v>Google Ads</x:v>
      </x:c>
      <x:c r="F49" s="94" t="str">
        <x:v>德国</x:v>
      </x:c>
      <x:c r="G49" s="94" t="str">
        <x:v>通用搜索</x:v>
      </x:c>
      <x:c r="H49" s="94" t="str">
        <x:v>SKU-0002</x:v>
      </x:c>
      <x:c r="I49" s="94" t="str">
        <x:v>电子产品</x:v>
      </x:c>
      <x:c r="J49" s="94" t="str">
        <x:v>便携显示器 B</x:v>
      </x:c>
      <x:c r="K49" s="97" t="n">
        <x:v>604.76</x:v>
      </x:c>
      <x:c r="L49" s="95" t="n">
        <x:v>1</x:v>
      </x:c>
      <x:c r="M49" s="97" t="n">
        <x:f>ROUND(K49*L49,2)</x:f>
        <x:v>604.76</x:v>
      </x:c>
      <x:c r="N49" s="109" t="n">
        <x:v>0.05</x:v>
      </x:c>
      <x:c r="O49" s="97" t="n">
        <x:f>ROUND(M49*N49,2)</x:f>
        <x:v>30.24</x:v>
      </x:c>
      <x:c r="P49" s="94" t="str">
        <x:v>已确认</x:v>
      </x:c>
      <x:c r="Q49" s="97" t="n">
        <x:f>IF(P49="已退款",M49,0)</x:f>
        <x:v>0</x:v>
      </x:c>
      <x:c r="R49" s="97" t="n">
        <x:f>IF(P49="已退款",O49,0)</x:f>
        <x:v>0</x:v>
      </x:c>
      <x:c r="S49" s="97" t="n">
        <x:f>O49-R49</x:f>
        <x:v>30.24</x:v>
      </x:c>
      <x:c r="T49" s="94" t="n">
        <x:v>2</x:v>
      </x:c>
      <x:c r="U49" s="94" t="str">
        <x:v>模拟：Amazon Associates订单回传</x:v>
      </x:c>
    </x:row>
    <x:row r="50">
      <x:c r="A50" s="92" t="str">
        <x:v>AMZ-ORD-00049</x:v>
      </x:c>
      <x:c r="B50" s="94" t="str">
        <x:v>PROC-0050</x:v>
      </x:c>
      <x:c r="C50" s="108" t="n">
        <x:v>46034.42569444444</x:v>
      </x:c>
      <x:c r="D50" s="93" t="n">
        <x:v>46031</x:v>
      </x:c>
      <x:c r="E50" s="94" t="str">
        <x:v>Google Ads</x:v>
      </x:c>
      <x:c r="F50" s="94" t="str">
        <x:v>英国</x:v>
      </x:c>
      <x:c r="G50" s="94" t="str">
        <x:v>品牌搜索</x:v>
      </x:c>
      <x:c r="H50" s="94" t="str">
        <x:v>SKU-0024</x:v>
      </x:c>
      <x:c r="I50" s="94" t="str">
        <x:v>运动健康</x:v>
      </x:c>
      <x:c r="J50" s="94" t="str">
        <x:v>筋膜枪 D</x:v>
      </x:c>
      <x:c r="K50" s="97" t="n">
        <x:v>152.07</x:v>
      </x:c>
      <x:c r="L50" s="95" t="n">
        <x:v>2</x:v>
      </x:c>
      <x:c r="M50" s="97" t="n">
        <x:f>ROUND(K50*L50,2)</x:f>
        <x:v>304.14</x:v>
      </x:c>
      <x:c r="N50" s="109" t="n">
        <x:v>0.08</x:v>
      </x:c>
      <x:c r="O50" s="97" t="n">
        <x:f>ROUND(M50*N50,2)</x:f>
        <x:v>24.33</x:v>
      </x:c>
      <x:c r="P50" s="94" t="str">
        <x:v>已确认</x:v>
      </x:c>
      <x:c r="Q50" s="97" t="n">
        <x:f>IF(P50="已退款",M50,0)</x:f>
        <x:v>0</x:v>
      </x:c>
      <x:c r="R50" s="97" t="n">
        <x:f>IF(P50="已退款",O50,0)</x:f>
        <x:v>0</x:v>
      </x:c>
      <x:c r="S50" s="97" t="n">
        <x:f>O50-R50</x:f>
        <x:v>24.33</x:v>
      </x:c>
      <x:c r="T50" s="94" t="n">
        <x:v>3</x:v>
      </x:c>
      <x:c r="U50" s="94" t="str">
        <x:v>模拟：Amazon Associates订单回传</x:v>
      </x:c>
    </x:row>
    <x:row r="51">
      <x:c r="A51" s="92" t="str">
        <x:v>AMZ-ORD-00050</x:v>
      </x:c>
      <x:c r="B51" s="94" t="str">
        <x:v>PROC-0051</x:v>
      </x:c>
      <x:c r="C51" s="108" t="n">
        <x:v>46034.64444444444</x:v>
      </x:c>
      <x:c r="D51" s="93" t="n">
        <x:v>46032</x:v>
      </x:c>
      <x:c r="E51" s="94" t="str">
        <x:v>Microsoft Ads</x:v>
      </x:c>
      <x:c r="F51" s="94" t="str">
        <x:v>日本</x:v>
      </x:c>
      <x:c r="G51" s="94" t="str">
        <x:v>品牌搜索</x:v>
      </x:c>
      <x:c r="H51" s="94" t="str">
        <x:v>SKU-0007</x:v>
      </x:c>
      <x:c r="I51" s="94" t="str">
        <x:v>电子产品</x:v>
      </x:c>
      <x:c r="J51" s="94" t="str">
        <x:v>运动相机 G</x:v>
      </x:c>
      <x:c r="K51" s="97" t="n">
        <x:v>395.37</x:v>
      </x:c>
      <x:c r="L51" s="95" t="n">
        <x:v>3</x:v>
      </x:c>
      <x:c r="M51" s="97" t="n">
        <x:f>ROUND(K51*L51,2)</x:f>
        <x:v>1186.11</x:v>
      </x:c>
      <x:c r="N51" s="109" t="n">
        <x:v>0.05</x:v>
      </x:c>
      <x:c r="O51" s="97" t="n">
        <x:f>ROUND(M51*N51,2)</x:f>
        <x:v>59.31</x:v>
      </x:c>
      <x:c r="P51" s="94" t="str">
        <x:v>已确认</x:v>
      </x:c>
      <x:c r="Q51" s="97" t="n">
        <x:f>IF(P51="已退款",M51,0)</x:f>
        <x:v>0</x:v>
      </x:c>
      <x:c r="R51" s="97" t="n">
        <x:f>IF(P51="已退款",O51,0)</x:f>
        <x:v>0</x:v>
      </x:c>
      <x:c r="S51" s="97" t="n">
        <x:f>O51-R51</x:f>
        <x:v>59.31</x:v>
      </x:c>
      <x:c r="T51" s="94" t="n">
        <x:v>2</x:v>
      </x:c>
      <x:c r="U51" s="94" t="str">
        <x:v>模拟：Amazon Associates订单回传</x:v>
      </x:c>
    </x:row>
    <x:row r="52">
      <x:c r="A52" s="92" t="str">
        <x:v>AMZ-ORD-00051</x:v>
      </x:c>
      <x:c r="B52" s="94" t="str">
        <x:v>PROC-0052</x:v>
      </x:c>
      <x:c r="C52" s="108" t="n">
        <x:v>46032.87777777778</x:v>
      </x:c>
      <x:c r="D52" s="93" t="n">
        <x:v>46032</x:v>
      </x:c>
      <x:c r="E52" s="94" t="str">
        <x:v>Microsoft Ads</x:v>
      </x:c>
      <x:c r="F52" s="94" t="str">
        <x:v>英国</x:v>
      </x:c>
      <x:c r="G52" s="94" t="str">
        <x:v>购物广告</x:v>
      </x:c>
      <x:c r="H52" s="94" t="str">
        <x:v>SKU-0038</x:v>
      </x:c>
      <x:c r="I52" s="94" t="str">
        <x:v>美妆个护</x:v>
      </x:c>
      <x:c r="J52" s="94" t="str">
        <x:v>卷发棒 H</x:v>
      </x:c>
      <x:c r="K52" s="97" t="n">
        <x:v>100.13</x:v>
      </x:c>
      <x:c r="L52" s="95" t="n">
        <x:v>1</x:v>
      </x:c>
      <x:c r="M52" s="97" t="n">
        <x:f>ROUND(K52*L52,2)</x:f>
        <x:v>100.13</x:v>
      </x:c>
      <x:c r="N52" s="109" t="n">
        <x:v>0.1</x:v>
      </x:c>
      <x:c r="O52" s="97" t="n">
        <x:f>ROUND(M52*N52,2)</x:f>
        <x:v>10.01</x:v>
      </x:c>
      <x:c r="P52" s="94" t="str">
        <x:v>已确认</x:v>
      </x:c>
      <x:c r="Q52" s="97" t="n">
        <x:f>IF(P52="已退款",M52,0)</x:f>
        <x:v>0</x:v>
      </x:c>
      <x:c r="R52" s="97" t="n">
        <x:f>IF(P52="已退款",O52,0)</x:f>
        <x:v>0</x:v>
      </x:c>
      <x:c r="S52" s="97" t="n">
        <x:f>O52-R52</x:f>
        <x:v>10.01</x:v>
      </x:c>
      <x:c r="T52" s="94" t="n">
        <x:v>0</x:v>
      </x:c>
      <x:c r="U52" s="94" t="str">
        <x:v>模拟：Amazon Associates订单回传</x:v>
      </x:c>
    </x:row>
    <x:row r="53">
      <x:c r="A53" s="92" t="str">
        <x:v>AMZ-ORD-00052</x:v>
      </x:c>
      <x:c r="B53" s="94" t="str">
        <x:v>PROC-0053</x:v>
      </x:c>
      <x:c r="C53" s="108" t="n">
        <x:v>46034.785416666666</x:v>
      </x:c>
      <x:c r="D53" s="93" t="n">
        <x:v>46032</x:v>
      </x:c>
      <x:c r="E53" s="94" t="str">
        <x:v>Microsoft Ads</x:v>
      </x:c>
      <x:c r="F53" s="94" t="str">
        <x:v>英国</x:v>
      </x:c>
      <x:c r="G53" s="94" t="str">
        <x:v>购物广告</x:v>
      </x:c>
      <x:c r="H53" s="94" t="str">
        <x:v>SKU-0030</x:v>
      </x:c>
      <x:c r="I53" s="94" t="str">
        <x:v>运动健康</x:v>
      </x:c>
      <x:c r="J53" s="94" t="str">
        <x:v>露营套装 J</x:v>
      </x:c>
      <x:c r="K53" s="97" t="n">
        <x:v>113.93</x:v>
      </x:c>
      <x:c r="L53" s="95" t="n">
        <x:v>1</x:v>
      </x:c>
      <x:c r="M53" s="97" t="n">
        <x:f>ROUND(K53*L53,2)</x:f>
        <x:v>113.93</x:v>
      </x:c>
      <x:c r="N53" s="109" t="n">
        <x:v>0.08</x:v>
      </x:c>
      <x:c r="O53" s="97" t="n">
        <x:f>ROUND(M53*N53,2)</x:f>
        <x:v>9.11</x:v>
      </x:c>
      <x:c r="P53" s="94" t="str">
        <x:v>已确认</x:v>
      </x:c>
      <x:c r="Q53" s="97" t="n">
        <x:f>IF(P53="已退款",M53,0)</x:f>
        <x:v>0</x:v>
      </x:c>
      <x:c r="R53" s="97" t="n">
        <x:f>IF(P53="已退款",O53,0)</x:f>
        <x:v>0</x:v>
      </x:c>
      <x:c r="S53" s="97" t="n">
        <x:f>O53-R53</x:f>
        <x:v>9.11</x:v>
      </x:c>
      <x:c r="T53" s="94" t="n">
        <x:v>2</x:v>
      </x:c>
      <x:c r="U53" s="94" t="str">
        <x:v>模拟：Amazon Associates订单回传</x:v>
      </x:c>
    </x:row>
    <x:row r="54">
      <x:c r="A54" s="92" t="str">
        <x:v>AMZ-ORD-00053</x:v>
      </x:c>
      <x:c r="B54" s="94" t="str">
        <x:v>PROC-0054</x:v>
      </x:c>
      <x:c r="C54" s="108" t="n">
        <x:v>46032.506944444445</x:v>
      </x:c>
      <x:c r="D54" s="93" t="n">
        <x:v>46032</x:v>
      </x:c>
      <x:c r="E54" s="94" t="str">
        <x:v>Google Ads</x:v>
      </x:c>
      <x:c r="F54" s="94" t="str">
        <x:v>德国</x:v>
      </x:c>
      <x:c r="G54" s="94" t="str">
        <x:v>品牌搜索</x:v>
      </x:c>
      <x:c r="H54" s="94" t="str">
        <x:v>SKU-0004</x:v>
      </x:c>
      <x:c r="I54" s="94" t="str">
        <x:v>电子产品</x:v>
      </x:c>
      <x:c r="J54" s="94" t="str">
        <x:v>机械键盘 D</x:v>
      </x:c>
      <x:c r="K54" s="97" t="n">
        <x:v>425.67</x:v>
      </x:c>
      <x:c r="L54" s="95" t="n">
        <x:v>1</x:v>
      </x:c>
      <x:c r="M54" s="97" t="n">
        <x:f>ROUND(K54*L54,2)</x:f>
        <x:v>425.67</x:v>
      </x:c>
      <x:c r="N54" s="109" t="n">
        <x:v>0.05</x:v>
      </x:c>
      <x:c r="O54" s="97" t="n">
        <x:f>ROUND(M54*N54,2)</x:f>
        <x:v>21.28</x:v>
      </x:c>
      <x:c r="P54" s="94" t="str">
        <x:v>已确认</x:v>
      </x:c>
      <x:c r="Q54" s="97" t="n">
        <x:f>IF(P54="已退款",M54,0)</x:f>
        <x:v>0</x:v>
      </x:c>
      <x:c r="R54" s="97" t="n">
        <x:f>IF(P54="已退款",O54,0)</x:f>
        <x:v>0</x:v>
      </x:c>
      <x:c r="S54" s="97" t="n">
        <x:f>O54-R54</x:f>
        <x:v>21.28</x:v>
      </x:c>
      <x:c r="T54" s="94" t="n">
        <x:v>0</x:v>
      </x:c>
      <x:c r="U54" s="94" t="str">
        <x:v>模拟：Amazon Associates订单回传</x:v>
      </x:c>
    </x:row>
    <x:row r="55">
      <x:c r="A55" s="92" t="str">
        <x:v>AMZ-ORD-00054</x:v>
      </x:c>
      <x:c r="B55" s="94" t="str">
        <x:v>PROC-0055</x:v>
      </x:c>
      <x:c r="C55" s="108" t="n">
        <x:v>46034.70416666667</x:v>
      </x:c>
      <x:c r="D55" s="93" t="n">
        <x:v>46032</x:v>
      </x:c>
      <x:c r="E55" s="94" t="str">
        <x:v>Microsoft Ads</x:v>
      </x:c>
      <x:c r="F55" s="94" t="str">
        <x:v>英国</x:v>
      </x:c>
      <x:c r="G55" s="94" t="str">
        <x:v>购物广告</x:v>
      </x:c>
      <x:c r="H55" s="94" t="str">
        <x:v>SKU-0024</x:v>
      </x:c>
      <x:c r="I55" s="94" t="str">
        <x:v>运动健康</x:v>
      </x:c>
      <x:c r="J55" s="94" t="str">
        <x:v>筋膜枪 D</x:v>
      </x:c>
      <x:c r="K55" s="97" t="n">
        <x:v>151.86</x:v>
      </x:c>
      <x:c r="L55" s="95" t="n">
        <x:v>3</x:v>
      </x:c>
      <x:c r="M55" s="97" t="n">
        <x:f>ROUND(K55*L55,2)</x:f>
        <x:v>455.58</x:v>
      </x:c>
      <x:c r="N55" s="109" t="n">
        <x:v>0.08</x:v>
      </x:c>
      <x:c r="O55" s="97" t="n">
        <x:f>ROUND(M55*N55,2)</x:f>
        <x:v>36.45</x:v>
      </x:c>
      <x:c r="P55" s="94" t="str">
        <x:v>已确认</x:v>
      </x:c>
      <x:c r="Q55" s="97" t="n">
        <x:f>IF(P55="已退款",M55,0)</x:f>
        <x:v>0</x:v>
      </x:c>
      <x:c r="R55" s="97" t="n">
        <x:f>IF(P55="已退款",O55,0)</x:f>
        <x:v>0</x:v>
      </x:c>
      <x:c r="S55" s="97" t="n">
        <x:f>O55-R55</x:f>
        <x:v>36.45</x:v>
      </x:c>
      <x:c r="T55" s="94" t="n">
        <x:v>2</x:v>
      </x:c>
      <x:c r="U55" s="94" t="str">
        <x:v>模拟：Amazon Associates订单回传</x:v>
      </x:c>
    </x:row>
    <x:row r="56">
      <x:c r="A56" s="92" t="str">
        <x:v>AMZ-ORD-00055</x:v>
      </x:c>
      <x:c r="B56" s="94" t="str">
        <x:v>PROC-0056</x:v>
      </x:c>
      <x:c r="C56" s="108" t="n">
        <x:v>46036.90347222222</x:v>
      </x:c>
      <x:c r="D56" s="93" t="n">
        <x:v>46032</x:v>
      </x:c>
      <x:c r="E56" s="94" t="str">
        <x:v>Microsoft Ads</x:v>
      </x:c>
      <x:c r="F56" s="94" t="str">
        <x:v>美国</x:v>
      </x:c>
      <x:c r="G56" s="94" t="str">
        <x:v>竞品搜索</x:v>
      </x:c>
      <x:c r="H56" s="94" t="str">
        <x:v>SKU-0026</x:v>
      </x:c>
      <x:c r="I56" s="94" t="str">
        <x:v>运动健康</x:v>
      </x:c>
      <x:c r="J56" s="94" t="str">
        <x:v>骑行头盔 F</x:v>
      </x:c>
      <x:c r="K56" s="97" t="n">
        <x:v>255.07</x:v>
      </x:c>
      <x:c r="L56" s="95" t="n">
        <x:v>1</x:v>
      </x:c>
      <x:c r="M56" s="97" t="n">
        <x:f>ROUND(K56*L56,2)</x:f>
        <x:v>255.07</x:v>
      </x:c>
      <x:c r="N56" s="109" t="n">
        <x:v>0.08</x:v>
      </x:c>
      <x:c r="O56" s="97" t="n">
        <x:f>ROUND(M56*N56,2)</x:f>
        <x:v>20.41</x:v>
      </x:c>
      <x:c r="P56" s="94" t="str">
        <x:v>已确认</x:v>
      </x:c>
      <x:c r="Q56" s="97" t="n">
        <x:f>IF(P56="已退款",M56,0)</x:f>
        <x:v>0</x:v>
      </x:c>
      <x:c r="R56" s="97" t="n">
        <x:f>IF(P56="已退款",O56,0)</x:f>
        <x:v>0</x:v>
      </x:c>
      <x:c r="S56" s="97" t="n">
        <x:f>O56-R56</x:f>
        <x:v>20.41</x:v>
      </x:c>
      <x:c r="T56" s="94" t="n">
        <x:v>4</x:v>
      </x:c>
      <x:c r="U56" s="94" t="str">
        <x:v>模拟：Amazon Associates订单回传</x:v>
      </x:c>
    </x:row>
    <x:row r="57">
      <x:c r="A57" s="92" t="str">
        <x:v>AMZ-ORD-00056</x:v>
      </x:c>
      <x:c r="B57" s="94" t="str">
        <x:v>PROC-0057</x:v>
      </x:c>
      <x:c r="C57" s="108" t="n">
        <x:v>46034.850694444445</x:v>
      </x:c>
      <x:c r="D57" s="93" t="n">
        <x:v>46033</x:v>
      </x:c>
      <x:c r="E57" s="94" t="str">
        <x:v>Microsoft Ads</x:v>
      </x:c>
      <x:c r="F57" s="94" t="str">
        <x:v>英国</x:v>
      </x:c>
      <x:c r="G57" s="94" t="str">
        <x:v>竞品搜索</x:v>
      </x:c>
      <x:c r="H57" s="94" t="str">
        <x:v>SKU-0028</x:v>
      </x:c>
      <x:c r="I57" s="94" t="str">
        <x:v>运动健康</x:v>
      </x:c>
      <x:c r="J57" s="94" t="str">
        <x:v>体脂秤 H</x:v>
      </x:c>
      <x:c r="K57" s="97" t="n">
        <x:v>220.43</x:v>
      </x:c>
      <x:c r="L57" s="95" t="n">
        <x:v>1</x:v>
      </x:c>
      <x:c r="M57" s="97" t="n">
        <x:f>ROUND(K57*L57,2)</x:f>
        <x:v>220.43</x:v>
      </x:c>
      <x:c r="N57" s="109" t="n">
        <x:v>0.08</x:v>
      </x:c>
      <x:c r="O57" s="97" t="n">
        <x:f>ROUND(M57*N57,2)</x:f>
        <x:v>17.63</x:v>
      </x:c>
      <x:c r="P57" s="94" t="str">
        <x:v>已确认</x:v>
      </x:c>
      <x:c r="Q57" s="97" t="n">
        <x:f>IF(P57="已退款",M57,0)</x:f>
        <x:v>0</x:v>
      </x:c>
      <x:c r="R57" s="97" t="n">
        <x:f>IF(P57="已退款",O57,0)</x:f>
        <x:v>0</x:v>
      </x:c>
      <x:c r="S57" s="97" t="n">
        <x:f>O57-R57</x:f>
        <x:v>17.63</x:v>
      </x:c>
      <x:c r="T57" s="94" t="n">
        <x:v>1</x:v>
      </x:c>
      <x:c r="U57" s="94" t="str">
        <x:v>模拟：Amazon Associates订单回传</x:v>
      </x:c>
    </x:row>
    <x:row r="58">
      <x:c r="A58" s="92" t="str">
        <x:v>AMZ-ORD-00057</x:v>
      </x:c>
      <x:c r="B58" s="94" t="str">
        <x:v>PROC-0058</x:v>
      </x:c>
      <x:c r="C58" s="108" t="n">
        <x:v>46035.86111111111</x:v>
      </x:c>
      <x:c r="D58" s="93" t="n">
        <x:v>46033</x:v>
      </x:c>
      <x:c r="E58" s="94" t="str">
        <x:v>Google Ads</x:v>
      </x:c>
      <x:c r="F58" s="94" t="str">
        <x:v>德国</x:v>
      </x:c>
      <x:c r="G58" s="94" t="str">
        <x:v>购物广告</x:v>
      </x:c>
      <x:c r="H58" s="94" t="str">
        <x:v>SKU-0026</x:v>
      </x:c>
      <x:c r="I58" s="94" t="str">
        <x:v>运动健康</x:v>
      </x:c>
      <x:c r="J58" s="94" t="str">
        <x:v>骑行头盔 F</x:v>
      </x:c>
      <x:c r="K58" s="97" t="n">
        <x:v>148.01</x:v>
      </x:c>
      <x:c r="L58" s="95" t="n">
        <x:v>2</x:v>
      </x:c>
      <x:c r="M58" s="97" t="n">
        <x:f>ROUND(K58*L58,2)</x:f>
        <x:v>296.02</x:v>
      </x:c>
      <x:c r="N58" s="109" t="n">
        <x:v>0.08</x:v>
      </x:c>
      <x:c r="O58" s="97" t="n">
        <x:f>ROUND(M58*N58,2)</x:f>
        <x:v>23.68</x:v>
      </x:c>
      <x:c r="P58" s="94" t="str">
        <x:v>已确认</x:v>
      </x:c>
      <x:c r="Q58" s="97" t="n">
        <x:f>IF(P58="已退款",M58,0)</x:f>
        <x:v>0</x:v>
      </x:c>
      <x:c r="R58" s="97" t="n">
        <x:f>IF(P58="已退款",O58,0)</x:f>
        <x:v>0</x:v>
      </x:c>
      <x:c r="S58" s="97" t="n">
        <x:f>O58-R58</x:f>
        <x:v>23.68</x:v>
      </x:c>
      <x:c r="T58" s="94" t="n">
        <x:v>2</x:v>
      </x:c>
      <x:c r="U58" s="94" t="str">
        <x:v>模拟：Amazon Associates订单回传</x:v>
      </x:c>
    </x:row>
    <x:row r="59">
      <x:c r="A59" s="92" t="str">
        <x:v>AMZ-ORD-00058</x:v>
      </x:c>
      <x:c r="B59" s="94" t="str">
        <x:v>PROC-0060</x:v>
      </x:c>
      <x:c r="C59" s="108" t="n">
        <x:v>46034.73472222222</x:v>
      </x:c>
      <x:c r="D59" s="93" t="n">
        <x:v>46033</x:v>
      </x:c>
      <x:c r="E59" s="94" t="str">
        <x:v>Google Ads</x:v>
      </x:c>
      <x:c r="F59" s="94" t="str">
        <x:v>德国</x:v>
      </x:c>
      <x:c r="G59" s="94" t="str">
        <x:v>品牌搜索</x:v>
      </x:c>
      <x:c r="H59" s="94" t="str">
        <x:v>SKU-0008</x:v>
      </x:c>
      <x:c r="I59" s="94" t="str">
        <x:v>电子产品</x:v>
      </x:c>
      <x:c r="J59" s="94" t="str">
        <x:v>Wi-Fi路由器 H</x:v>
      </x:c>
      <x:c r="K59" s="97" t="n">
        <x:v>619.75</x:v>
      </x:c>
      <x:c r="L59" s="95" t="n">
        <x:v>2</x:v>
      </x:c>
      <x:c r="M59" s="97" t="n">
        <x:f>ROUND(K59*L59,2)</x:f>
        <x:v>1239.5</x:v>
      </x:c>
      <x:c r="N59" s="109" t="n">
        <x:v>0.05</x:v>
      </x:c>
      <x:c r="O59" s="97" t="n">
        <x:f>ROUND(M59*N59,2)</x:f>
        <x:v>61.98</x:v>
      </x:c>
      <x:c r="P59" s="94" t="str">
        <x:v>已确认</x:v>
      </x:c>
      <x:c r="Q59" s="97" t="n">
        <x:f>IF(P59="已退款",M59,0)</x:f>
        <x:v>0</x:v>
      </x:c>
      <x:c r="R59" s="97" t="n">
        <x:f>IF(P59="已退款",O59,0)</x:f>
        <x:v>0</x:v>
      </x:c>
      <x:c r="S59" s="97" t="n">
        <x:f>O59-R59</x:f>
        <x:v>61.98</x:v>
      </x:c>
      <x:c r="T59" s="94" t="n">
        <x:v>1</x:v>
      </x:c>
      <x:c r="U59" s="94" t="str">
        <x:v>模拟：Amazon Associates订单回传</x:v>
      </x:c>
    </x:row>
    <x:row r="60">
      <x:c r="A60" s="92" t="str">
        <x:v>AMZ-ORD-00059</x:v>
      </x:c>
      <x:c r="B60" s="94" t="str">
        <x:v>PROC-0061</x:v>
      </x:c>
      <x:c r="C60" s="108" t="n">
        <x:v>46036.59375</x:v>
      </x:c>
      <x:c r="D60" s="93" t="n">
        <x:v>46033</x:v>
      </x:c>
      <x:c r="E60" s="94" t="str">
        <x:v>Microsoft Ads</x:v>
      </x:c>
      <x:c r="F60" s="94" t="str">
        <x:v>德国</x:v>
      </x:c>
      <x:c r="G60" s="94" t="str">
        <x:v>购物广告</x:v>
      </x:c>
      <x:c r="H60" s="94" t="str">
        <x:v>SKU-0002</x:v>
      </x:c>
      <x:c r="I60" s="94" t="str">
        <x:v>电子产品</x:v>
      </x:c>
      <x:c r="J60" s="94" t="str">
        <x:v>便携显示器 B</x:v>
      </x:c>
      <x:c r="K60" s="97" t="n">
        <x:v>387.57</x:v>
      </x:c>
      <x:c r="L60" s="95" t="n">
        <x:v>1</x:v>
      </x:c>
      <x:c r="M60" s="97" t="n">
        <x:f>ROUND(K60*L60,2)</x:f>
        <x:v>387.57</x:v>
      </x:c>
      <x:c r="N60" s="109" t="n">
        <x:v>0.05</x:v>
      </x:c>
      <x:c r="O60" s="97" t="n">
        <x:f>ROUND(M60*N60,2)</x:f>
        <x:v>19.38</x:v>
      </x:c>
      <x:c r="P60" s="94" t="str">
        <x:v>已确认</x:v>
      </x:c>
      <x:c r="Q60" s="97" t="n">
        <x:f>IF(P60="已退款",M60,0)</x:f>
        <x:v>0</x:v>
      </x:c>
      <x:c r="R60" s="97" t="n">
        <x:f>IF(P60="已退款",O60,0)</x:f>
        <x:v>0</x:v>
      </x:c>
      <x:c r="S60" s="97" t="n">
        <x:f>O60-R60</x:f>
        <x:v>19.38</x:v>
      </x:c>
      <x:c r="T60" s="94" t="n">
        <x:v>3</x:v>
      </x:c>
      <x:c r="U60" s="94" t="str">
        <x:v>模拟：Amazon Associates订单回传</x:v>
      </x:c>
    </x:row>
    <x:row r="61">
      <x:c r="A61" s="92" t="str">
        <x:v>AMZ-ORD-00060</x:v>
      </x:c>
      <x:c r="B61" s="94" t="str">
        <x:v>PROC-0062</x:v>
      </x:c>
      <x:c r="C61" s="108" t="n">
        <x:v>46037.729166666664</x:v>
      </x:c>
      <x:c r="D61" s="93" t="n">
        <x:v>46034</x:v>
      </x:c>
      <x:c r="E61" s="94" t="str">
        <x:v>Google Ads</x:v>
      </x:c>
      <x:c r="F61" s="94" t="str">
        <x:v>英国</x:v>
      </x:c>
      <x:c r="G61" s="94" t="str">
        <x:v>通用搜索</x:v>
      </x:c>
      <x:c r="H61" s="94" t="str">
        <x:v>SKU-0008</x:v>
      </x:c>
      <x:c r="I61" s="94" t="str">
        <x:v>电子产品</x:v>
      </x:c>
      <x:c r="J61" s="94" t="str">
        <x:v>Wi-Fi路由器 H</x:v>
      </x:c>
      <x:c r="K61" s="97" t="n">
        <x:v>388.22</x:v>
      </x:c>
      <x:c r="L61" s="95" t="n">
        <x:v>1</x:v>
      </x:c>
      <x:c r="M61" s="97" t="n">
        <x:f>ROUND(K61*L61,2)</x:f>
        <x:v>388.22</x:v>
      </x:c>
      <x:c r="N61" s="109" t="n">
        <x:v>0.05</x:v>
      </x:c>
      <x:c r="O61" s="97" t="n">
        <x:f>ROUND(M61*N61,2)</x:f>
        <x:v>19.41</x:v>
      </x:c>
      <x:c r="P61" s="94" t="str">
        <x:v>已确认</x:v>
      </x:c>
      <x:c r="Q61" s="97" t="n">
        <x:f>IF(P61="已退款",M61,0)</x:f>
        <x:v>0</x:v>
      </x:c>
      <x:c r="R61" s="97" t="n">
        <x:f>IF(P61="已退款",O61,0)</x:f>
        <x:v>0</x:v>
      </x:c>
      <x:c r="S61" s="97" t="n">
        <x:f>O61-R61</x:f>
        <x:v>19.41</x:v>
      </x:c>
      <x:c r="T61" s="94" t="n">
        <x:v>3</x:v>
      </x:c>
      <x:c r="U61" s="94" t="str">
        <x:v>模拟：Amazon Associates订单回传</x:v>
      </x:c>
    </x:row>
    <x:row r="62">
      <x:c r="A62" s="92" t="str">
        <x:v>AMZ-ORD-00061</x:v>
      </x:c>
      <x:c r="B62" s="94" t="str">
        <x:v>PROC-0064</x:v>
      </x:c>
      <x:c r="C62" s="108" t="n">
        <x:v>46038.70347222222</x:v>
      </x:c>
      <x:c r="D62" s="93" t="n">
        <x:v>46034</x:v>
      </x:c>
      <x:c r="E62" s="94" t="str">
        <x:v>Google Ads</x:v>
      </x:c>
      <x:c r="F62" s="94" t="str">
        <x:v>美国</x:v>
      </x:c>
      <x:c r="G62" s="94" t="str">
        <x:v>通用搜索</x:v>
      </x:c>
      <x:c r="H62" s="94" t="str">
        <x:v>SKU-0020</x:v>
      </x:c>
      <x:c r="I62" s="94" t="str">
        <x:v>家居生活</x:v>
      </x:c>
      <x:c r="J62" s="94" t="str">
        <x:v>智能门锁 J</x:v>
      </x:c>
      <x:c r="K62" s="97" t="n">
        <x:v>156.5</x:v>
      </x:c>
      <x:c r="L62" s="95" t="n">
        <x:v>1</x:v>
      </x:c>
      <x:c r="M62" s="97" t="n">
        <x:f>ROUND(K62*L62,2)</x:f>
        <x:v>156.5</x:v>
      </x:c>
      <x:c r="N62" s="109" t="n">
        <x:v>0.07</x:v>
      </x:c>
      <x:c r="O62" s="97" t="n">
        <x:f>ROUND(M62*N62,2)</x:f>
        <x:v>10.96</x:v>
      </x:c>
      <x:c r="P62" s="94" t="str">
        <x:v>已确认</x:v>
      </x:c>
      <x:c r="Q62" s="97" t="n">
        <x:f>IF(P62="已退款",M62,0)</x:f>
        <x:v>0</x:v>
      </x:c>
      <x:c r="R62" s="97" t="n">
        <x:f>IF(P62="已退款",O62,0)</x:f>
        <x:v>0</x:v>
      </x:c>
      <x:c r="S62" s="97" t="n">
        <x:f>O62-R62</x:f>
        <x:v>10.96</x:v>
      </x:c>
      <x:c r="T62" s="94" t="n">
        <x:v>4</x:v>
      </x:c>
      <x:c r="U62" s="94" t="str">
        <x:v>模拟：Amazon Associates订单回传</x:v>
      </x:c>
    </x:row>
    <x:row r="63">
      <x:c r="A63" s="92" t="str">
        <x:v>AMZ-ORD-00062</x:v>
      </x:c>
      <x:c r="B63" s="94" t="str">
        <x:v>PROC-0065</x:v>
      </x:c>
      <x:c r="C63" s="108" t="n">
        <x:v>46036.69375</x:v>
      </x:c>
      <x:c r="D63" s="93" t="n">
        <x:v>46034</x:v>
      </x:c>
      <x:c r="E63" s="94" t="str">
        <x:v>Microsoft Ads</x:v>
      </x:c>
      <x:c r="F63" s="94" t="str">
        <x:v>英国</x:v>
      </x:c>
      <x:c r="G63" s="94" t="str">
        <x:v>通用搜索</x:v>
      </x:c>
      <x:c r="H63" s="94" t="str">
        <x:v>SKU-0042</x:v>
      </x:c>
      <x:c r="I63" s="94" t="str">
        <x:v>办公学习</x:v>
      </x:c>
      <x:c r="J63" s="94" t="str">
        <x:v>护眼台灯 B</x:v>
      </x:c>
      <x:c r="K63" s="97" t="n">
        <x:v>169.25</x:v>
      </x:c>
      <x:c r="L63" s="95" t="n">
        <x:v>1</x:v>
      </x:c>
      <x:c r="M63" s="97" t="n">
        <x:f>ROUND(K63*L63,2)</x:f>
        <x:v>169.25</x:v>
      </x:c>
      <x:c r="N63" s="109" t="n">
        <x:v>0.07</x:v>
      </x:c>
      <x:c r="O63" s="97" t="n">
        <x:f>ROUND(M63*N63,2)</x:f>
        <x:v>11.85</x:v>
      </x:c>
      <x:c r="P63" s="94" t="str">
        <x:v>已确认</x:v>
      </x:c>
      <x:c r="Q63" s="97" t="n">
        <x:f>IF(P63="已退款",M63,0)</x:f>
        <x:v>0</x:v>
      </x:c>
      <x:c r="R63" s="97" t="n">
        <x:f>IF(P63="已退款",O63,0)</x:f>
        <x:v>0</x:v>
      </x:c>
      <x:c r="S63" s="97" t="n">
        <x:f>O63-R63</x:f>
        <x:v>11.85</x:v>
      </x:c>
      <x:c r="T63" s="94" t="n">
        <x:v>2</x:v>
      </x:c>
      <x:c r="U63" s="94" t="str">
        <x:v>模拟：Amazon Associates订单回传</x:v>
      </x:c>
    </x:row>
    <x:row r="64">
      <x:c r="A64" s="92" t="str">
        <x:v>AMZ-ORD-00063</x:v>
      </x:c>
      <x:c r="B64" s="94" t="str">
        <x:v>PROC-0066</x:v>
      </x:c>
      <x:c r="C64" s="108" t="n">
        <x:v>46038.71111111111</x:v>
      </x:c>
      <x:c r="D64" s="93" t="n">
        <x:v>46034</x:v>
      </x:c>
      <x:c r="E64" s="94" t="str">
        <x:v>Google Ads</x:v>
      </x:c>
      <x:c r="F64" s="94" t="str">
        <x:v>日本</x:v>
      </x:c>
      <x:c r="G64" s="94" t="str">
        <x:v>购物广告</x:v>
      </x:c>
      <x:c r="H64" s="94" t="str">
        <x:v>SKU-0002</x:v>
      </x:c>
      <x:c r="I64" s="94" t="str">
        <x:v>电子产品</x:v>
      </x:c>
      <x:c r="J64" s="94" t="str">
        <x:v>便携显示器 B</x:v>
      </x:c>
      <x:c r="K64" s="97" t="n">
        <x:v>222.51</x:v>
      </x:c>
      <x:c r="L64" s="95" t="n">
        <x:v>1</x:v>
      </x:c>
      <x:c r="M64" s="97" t="n">
        <x:f>ROUND(K64*L64,2)</x:f>
        <x:v>222.51</x:v>
      </x:c>
      <x:c r="N64" s="109" t="n">
        <x:v>0.05</x:v>
      </x:c>
      <x:c r="O64" s="97" t="n">
        <x:f>ROUND(M64*N64,2)</x:f>
        <x:v>11.13</x:v>
      </x:c>
      <x:c r="P64" s="94" t="str">
        <x:v>已确认</x:v>
      </x:c>
      <x:c r="Q64" s="97" t="n">
        <x:f>IF(P64="已退款",M64,0)</x:f>
        <x:v>0</x:v>
      </x:c>
      <x:c r="R64" s="97" t="n">
        <x:f>IF(P64="已退款",O64,0)</x:f>
        <x:v>0</x:v>
      </x:c>
      <x:c r="S64" s="97" t="n">
        <x:f>O64-R64</x:f>
        <x:v>11.13</x:v>
      </x:c>
      <x:c r="T64" s="94" t="n">
        <x:v>4</x:v>
      </x:c>
      <x:c r="U64" s="94" t="str">
        <x:v>模拟：Amazon Associates订单回传</x:v>
      </x:c>
    </x:row>
    <x:row r="65">
      <x:c r="A65" s="92" t="str">
        <x:v>AMZ-ORD-00064</x:v>
      </x:c>
      <x:c r="B65" s="94" t="str">
        <x:v>PROC-0067</x:v>
      </x:c>
      <x:c r="C65" s="108" t="n">
        <x:v>46036.37152777778</x:v>
      </x:c>
      <x:c r="D65" s="93" t="n">
        <x:v>46034</x:v>
      </x:c>
      <x:c r="E65" s="94" t="str">
        <x:v>Google Ads</x:v>
      </x:c>
      <x:c r="F65" s="94" t="str">
        <x:v>美国</x:v>
      </x:c>
      <x:c r="G65" s="94" t="str">
        <x:v>通用搜索</x:v>
      </x:c>
      <x:c r="H65" s="94" t="str">
        <x:v>SKU-0033</x:v>
      </x:c>
      <x:c r="I65" s="94" t="str">
        <x:v>美妆个护</x:v>
      </x:c>
      <x:c r="J65" s="94" t="str">
        <x:v>护肤套装 C</x:v>
      </x:c>
      <x:c r="K65" s="97" t="n">
        <x:v>108.9</x:v>
      </x:c>
      <x:c r="L65" s="95" t="n">
        <x:v>1</x:v>
      </x:c>
      <x:c r="M65" s="97" t="n">
        <x:f>ROUND(K65*L65,2)</x:f>
        <x:v>108.9</x:v>
      </x:c>
      <x:c r="N65" s="109" t="n">
        <x:v>0.1</x:v>
      </x:c>
      <x:c r="O65" s="97" t="n">
        <x:f>ROUND(M65*N65,2)</x:f>
        <x:v>10.89</x:v>
      </x:c>
      <x:c r="P65" s="94" t="str">
        <x:v>已确认</x:v>
      </x:c>
      <x:c r="Q65" s="97" t="n">
        <x:f>IF(P65="已退款",M65,0)</x:f>
        <x:v>0</x:v>
      </x:c>
      <x:c r="R65" s="97" t="n">
        <x:f>IF(P65="已退款",O65,0)</x:f>
        <x:v>0</x:v>
      </x:c>
      <x:c r="S65" s="97" t="n">
        <x:f>O65-R65</x:f>
        <x:v>10.89</x:v>
      </x:c>
      <x:c r="T65" s="94" t="n">
        <x:v>2</x:v>
      </x:c>
      <x:c r="U65" s="94" t="str">
        <x:v>模拟：Amazon Associates订单回传</x:v>
      </x:c>
    </x:row>
    <x:row r="66">
      <x:c r="A66" s="92" t="str">
        <x:v>AMZ-ORD-00065</x:v>
      </x:c>
      <x:c r="B66" s="94" t="str">
        <x:v>PROC-0069</x:v>
      </x:c>
      <x:c r="C66" s="108" t="n">
        <x:v>46036.64791666667</x:v>
      </x:c>
      <x:c r="D66" s="93" t="n">
        <x:v>46035</x:v>
      </x:c>
      <x:c r="E66" s="94" t="str">
        <x:v>Google Ads</x:v>
      </x:c>
      <x:c r="F66" s="94" t="str">
        <x:v>美国</x:v>
      </x:c>
      <x:c r="G66" s="94" t="str">
        <x:v>购物广告</x:v>
      </x:c>
      <x:c r="H66" s="94" t="str">
        <x:v>SKU-0044</x:v>
      </x:c>
      <x:c r="I66" s="94" t="str">
        <x:v>办公学习</x:v>
      </x:c>
      <x:c r="J66" s="94" t="str">
        <x:v>数字笔记本 D</x:v>
      </x:c>
      <x:c r="K66" s="97" t="n">
        <x:v>153.58</x:v>
      </x:c>
      <x:c r="L66" s="95" t="n">
        <x:v>1</x:v>
      </x:c>
      <x:c r="M66" s="97" t="n">
        <x:f>ROUND(K66*L66,2)</x:f>
        <x:v>153.58</x:v>
      </x:c>
      <x:c r="N66" s="109" t="n">
        <x:v>0.07</x:v>
      </x:c>
      <x:c r="O66" s="97" t="n">
        <x:f>ROUND(M66*N66,2)</x:f>
        <x:v>10.75</x:v>
      </x:c>
      <x:c r="P66" s="94" t="str">
        <x:v>已确认</x:v>
      </x:c>
      <x:c r="Q66" s="97" t="n">
        <x:f>IF(P66="已退款",M66,0)</x:f>
        <x:v>0</x:v>
      </x:c>
      <x:c r="R66" s="97" t="n">
        <x:f>IF(P66="已退款",O66,0)</x:f>
        <x:v>0</x:v>
      </x:c>
      <x:c r="S66" s="97" t="n">
        <x:f>O66-R66</x:f>
        <x:v>10.75</x:v>
      </x:c>
      <x:c r="T66" s="94" t="n">
        <x:v>1</x:v>
      </x:c>
      <x:c r="U66" s="94" t="str">
        <x:v>模拟：Amazon Associates订单回传</x:v>
      </x:c>
    </x:row>
    <x:row r="67">
      <x:c r="A67" s="92" t="str">
        <x:v>AMZ-ORD-00066</x:v>
      </x:c>
      <x:c r="B67" s="94" t="str">
        <x:v>PROC-0069</x:v>
      </x:c>
      <x:c r="C67" s="108" t="n">
        <x:v>46037.49097222222</x:v>
      </x:c>
      <x:c r="D67" s="93" t="n">
        <x:v>46035</x:v>
      </x:c>
      <x:c r="E67" s="94" t="str">
        <x:v>Google Ads</x:v>
      </x:c>
      <x:c r="F67" s="94" t="str">
        <x:v>美国</x:v>
      </x:c>
      <x:c r="G67" s="94" t="str">
        <x:v>购物广告</x:v>
      </x:c>
      <x:c r="H67" s="94" t="str">
        <x:v>SKU-0015</x:v>
      </x:c>
      <x:c r="I67" s="94" t="str">
        <x:v>家居生活</x:v>
      </x:c>
      <x:c r="J67" s="94" t="str">
        <x:v>床品套装 E</x:v>
      </x:c>
      <x:c r="K67" s="97" t="n">
        <x:v>267.69</x:v>
      </x:c>
      <x:c r="L67" s="95" t="n">
        <x:v>1</x:v>
      </x:c>
      <x:c r="M67" s="97" t="n">
        <x:f>ROUND(K67*L67,2)</x:f>
        <x:v>267.69</x:v>
      </x:c>
      <x:c r="N67" s="109" t="n">
        <x:v>0.07</x:v>
      </x:c>
      <x:c r="O67" s="97" t="n">
        <x:f>ROUND(M67*N67,2)</x:f>
        <x:v>18.74</x:v>
      </x:c>
      <x:c r="P67" s="94" t="str">
        <x:v>已确认</x:v>
      </x:c>
      <x:c r="Q67" s="97" t="n">
        <x:f>IF(P67="已退款",M67,0)</x:f>
        <x:v>0</x:v>
      </x:c>
      <x:c r="R67" s="97" t="n">
        <x:f>IF(P67="已退款",O67,0)</x:f>
        <x:v>0</x:v>
      </x:c>
      <x:c r="S67" s="97" t="n">
        <x:f>O67-R67</x:f>
        <x:v>18.74</x:v>
      </x:c>
      <x:c r="T67" s="94" t="n">
        <x:v>2</x:v>
      </x:c>
      <x:c r="U67" s="94" t="str">
        <x:v>模拟：Amazon Associates订单回传</x:v>
      </x:c>
    </x:row>
    <x:row r="68">
      <x:c r="A68" s="92" t="str">
        <x:v>AMZ-ORD-00067</x:v>
      </x:c>
      <x:c r="B68" s="94" t="str">
        <x:v>PROC-0070</x:v>
      </x:c>
      <x:c r="C68" s="108" t="n">
        <x:v>46035.80972222222</x:v>
      </x:c>
      <x:c r="D68" s="93" t="n">
        <x:v>46035</x:v>
      </x:c>
      <x:c r="E68" s="94" t="str">
        <x:v>Google Ads</x:v>
      </x:c>
      <x:c r="F68" s="94" t="str">
        <x:v>美国</x:v>
      </x:c>
      <x:c r="G68" s="94" t="str">
        <x:v>通用搜索</x:v>
      </x:c>
      <x:c r="H68" s="94" t="str">
        <x:v>SKU-0026</x:v>
      </x:c>
      <x:c r="I68" s="94" t="str">
        <x:v>运动健康</x:v>
      </x:c>
      <x:c r="J68" s="94" t="str">
        <x:v>骑行头盔 F</x:v>
      </x:c>
      <x:c r="K68" s="97" t="n">
        <x:v>264.21</x:v>
      </x:c>
      <x:c r="L68" s="95" t="n">
        <x:v>1</x:v>
      </x:c>
      <x:c r="M68" s="97" t="n">
        <x:f>ROUND(K68*L68,2)</x:f>
        <x:v>264.21</x:v>
      </x:c>
      <x:c r="N68" s="109" t="n">
        <x:v>0.08</x:v>
      </x:c>
      <x:c r="O68" s="97" t="n">
        <x:f>ROUND(M68*N68,2)</x:f>
        <x:v>21.14</x:v>
      </x:c>
      <x:c r="P68" s="94" t="str">
        <x:v>已确认</x:v>
      </x:c>
      <x:c r="Q68" s="97" t="n">
        <x:f>IF(P68="已退款",M68,0)</x:f>
        <x:v>0</x:v>
      </x:c>
      <x:c r="R68" s="97" t="n">
        <x:f>IF(P68="已退款",O68,0)</x:f>
        <x:v>0</x:v>
      </x:c>
      <x:c r="S68" s="97" t="n">
        <x:f>O68-R68</x:f>
        <x:v>21.14</x:v>
      </x:c>
      <x:c r="T68" s="94" t="n">
        <x:v>0</x:v>
      </x:c>
      <x:c r="U68" s="94" t="str">
        <x:v>模拟：Amazon Associates订单回传</x:v>
      </x:c>
    </x:row>
    <x:row r="69">
      <x:c r="A69" s="92" t="str">
        <x:v>AMZ-ORD-00068</x:v>
      </x:c>
      <x:c r="B69" s="94" t="str">
        <x:v>PROC-0071</x:v>
      </x:c>
      <x:c r="C69" s="108" t="n">
        <x:v>46039.35486111111</x:v>
      </x:c>
      <x:c r="D69" s="93" t="n">
        <x:v>46035</x:v>
      </x:c>
      <x:c r="E69" s="94" t="str">
        <x:v>Microsoft Ads</x:v>
      </x:c>
      <x:c r="F69" s="94" t="str">
        <x:v>美国</x:v>
      </x:c>
      <x:c r="G69" s="94" t="str">
        <x:v>竞品搜索</x:v>
      </x:c>
      <x:c r="H69" s="94" t="str">
        <x:v>SKU-0018</x:v>
      </x:c>
      <x:c r="I69" s="94" t="str">
        <x:v>家居生活</x:v>
      </x:c>
      <x:c r="J69" s="94" t="str">
        <x:v>收纳组合 H</x:v>
      </x:c>
      <x:c r="K69" s="97" t="n">
        <x:v>279.96</x:v>
      </x:c>
      <x:c r="L69" s="95" t="n">
        <x:v>1</x:v>
      </x:c>
      <x:c r="M69" s="97" t="n">
        <x:f>ROUND(K69*L69,2)</x:f>
        <x:v>279.96</x:v>
      </x:c>
      <x:c r="N69" s="109" t="n">
        <x:v>0.07</x:v>
      </x:c>
      <x:c r="O69" s="97" t="n">
        <x:f>ROUND(M69*N69,2)</x:f>
        <x:v>19.6</x:v>
      </x:c>
      <x:c r="P69" s="94" t="str">
        <x:v>已确认</x:v>
      </x:c>
      <x:c r="Q69" s="97" t="n">
        <x:f>IF(P69="已退款",M69,0)</x:f>
        <x:v>0</x:v>
      </x:c>
      <x:c r="R69" s="97" t="n">
        <x:f>IF(P69="已退款",O69,0)</x:f>
        <x:v>0</x:v>
      </x:c>
      <x:c r="S69" s="97" t="n">
        <x:f>O69-R69</x:f>
        <x:v>19.6</x:v>
      </x:c>
      <x:c r="T69" s="94" t="n">
        <x:v>4</x:v>
      </x:c>
      <x:c r="U69" s="94" t="str">
        <x:v>模拟：Amazon Associates订单回传</x:v>
      </x:c>
    </x:row>
    <x:row r="70">
      <x:c r="A70" s="92" t="str">
        <x:v>AMZ-ORD-00069</x:v>
      </x:c>
      <x:c r="B70" s="94" t="str">
        <x:v>PROC-0072</x:v>
      </x:c>
      <x:c r="C70" s="108" t="n">
        <x:v>46038.67986111111</x:v>
      </x:c>
      <x:c r="D70" s="93" t="n">
        <x:v>46035</x:v>
      </x:c>
      <x:c r="E70" s="94" t="str">
        <x:v>Google Ads</x:v>
      </x:c>
      <x:c r="F70" s="94" t="str">
        <x:v>美国</x:v>
      </x:c>
      <x:c r="G70" s="94" t="str">
        <x:v>通用搜索</x:v>
      </x:c>
      <x:c r="H70" s="94" t="str">
        <x:v>SKU-0014</x:v>
      </x:c>
      <x:c r="I70" s="94" t="str">
        <x:v>家居生活</x:v>
      </x:c>
      <x:c r="J70" s="94" t="str">
        <x:v>扫地机器人 D</x:v>
      </x:c>
      <x:c r="K70" s="97" t="n">
        <x:v>219.38</x:v>
      </x:c>
      <x:c r="L70" s="95" t="n">
        <x:v>1</x:v>
      </x:c>
      <x:c r="M70" s="97" t="n">
        <x:f>ROUND(K70*L70,2)</x:f>
        <x:v>219.38</x:v>
      </x:c>
      <x:c r="N70" s="109" t="n">
        <x:v>0.07</x:v>
      </x:c>
      <x:c r="O70" s="97" t="n">
        <x:f>ROUND(M70*N70,2)</x:f>
        <x:v>15.36</x:v>
      </x:c>
      <x:c r="P70" s="94" t="str">
        <x:v>已确认</x:v>
      </x:c>
      <x:c r="Q70" s="97" t="n">
        <x:f>IF(P70="已退款",M70,0)</x:f>
        <x:v>0</x:v>
      </x:c>
      <x:c r="R70" s="97" t="n">
        <x:f>IF(P70="已退款",O70,0)</x:f>
        <x:v>0</x:v>
      </x:c>
      <x:c r="S70" s="97" t="n">
        <x:f>O70-R70</x:f>
        <x:v>15.36</x:v>
      </x:c>
      <x:c r="T70" s="94" t="n">
        <x:v>3</x:v>
      </x:c>
      <x:c r="U70" s="94" t="str">
        <x:v>模拟：Amazon Associates订单回传</x:v>
      </x:c>
    </x:row>
    <x:row r="71">
      <x:c r="A71" s="92" t="str">
        <x:v>AMZ-ORD-00070</x:v>
      </x:c>
      <x:c r="B71" s="94" t="str">
        <x:v>PROC-0073</x:v>
      </x:c>
      <x:c r="C71" s="108" t="n">
        <x:v>46037.811111111114</x:v>
      </x:c>
      <x:c r="D71" s="93" t="n">
        <x:v>46036</x:v>
      </x:c>
      <x:c r="E71" s="94" t="str">
        <x:v>Google Ads</x:v>
      </x:c>
      <x:c r="F71" s="94" t="str">
        <x:v>美国</x:v>
      </x:c>
      <x:c r="G71" s="94" t="str">
        <x:v>购物广告</x:v>
      </x:c>
      <x:c r="H71" s="94" t="str">
        <x:v>SKU-0007</x:v>
      </x:c>
      <x:c r="I71" s="94" t="str">
        <x:v>电子产品</x:v>
      </x:c>
      <x:c r="J71" s="94" t="str">
        <x:v>运动相机 G</x:v>
      </x:c>
      <x:c r="K71" s="97" t="n">
        <x:v>697.58</x:v>
      </x:c>
      <x:c r="L71" s="95" t="n">
        <x:v>1</x:v>
      </x:c>
      <x:c r="M71" s="97" t="n">
        <x:f>ROUND(K71*L71,2)</x:f>
        <x:v>697.58</x:v>
      </x:c>
      <x:c r="N71" s="109" t="n">
        <x:v>0.05</x:v>
      </x:c>
      <x:c r="O71" s="97" t="n">
        <x:f>ROUND(M71*N71,2)</x:f>
        <x:v>34.88</x:v>
      </x:c>
      <x:c r="P71" s="94" t="str">
        <x:v>已确认</x:v>
      </x:c>
      <x:c r="Q71" s="97" t="n">
        <x:f>IF(P71="已退款",M71,0)</x:f>
        <x:v>0</x:v>
      </x:c>
      <x:c r="R71" s="97" t="n">
        <x:f>IF(P71="已退款",O71,0)</x:f>
        <x:v>0</x:v>
      </x:c>
      <x:c r="S71" s="97" t="n">
        <x:f>O71-R71</x:f>
        <x:v>34.88</x:v>
      </x:c>
      <x:c r="T71" s="94" t="n">
        <x:v>1</x:v>
      </x:c>
      <x:c r="U71" s="94" t="str">
        <x:v>模拟：Amazon Associates订单回传</x:v>
      </x:c>
    </x:row>
    <x:row r="72">
      <x:c r="A72" s="92" t="str">
        <x:v>AMZ-ORD-00071</x:v>
      </x:c>
      <x:c r="B72" s="94" t="str">
        <x:v>PROC-0074</x:v>
      </x:c>
      <x:c r="C72" s="108" t="n">
        <x:v>46037.47638888889</x:v>
      </x:c>
      <x:c r="D72" s="93" t="n">
        <x:v>46036</x:v>
      </x:c>
      <x:c r="E72" s="94" t="str">
        <x:v>Microsoft Ads</x:v>
      </x:c>
      <x:c r="F72" s="94" t="str">
        <x:v>英国</x:v>
      </x:c>
      <x:c r="G72" s="94" t="str">
        <x:v>购物广告</x:v>
      </x:c>
      <x:c r="H72" s="94" t="str">
        <x:v>SKU-0011</x:v>
      </x:c>
      <x:c r="I72" s="94" t="str">
        <x:v>家居生活</x:v>
      </x:c>
      <x:c r="J72" s="94" t="str">
        <x:v>空气净化器 A</x:v>
      </x:c>
      <x:c r="K72" s="97" t="n">
        <x:v>113.37</x:v>
      </x:c>
      <x:c r="L72" s="95" t="n">
        <x:v>1</x:v>
      </x:c>
      <x:c r="M72" s="97" t="n">
        <x:f>ROUND(K72*L72,2)</x:f>
        <x:v>113.37</x:v>
      </x:c>
      <x:c r="N72" s="109" t="n">
        <x:v>0.07</x:v>
      </x:c>
      <x:c r="O72" s="97" t="n">
        <x:f>ROUND(M72*N72,2)</x:f>
        <x:v>7.94</x:v>
      </x:c>
      <x:c r="P72" s="94" t="str">
        <x:v>已确认</x:v>
      </x:c>
      <x:c r="Q72" s="97" t="n">
        <x:f>IF(P72="已退款",M72,0)</x:f>
        <x:v>0</x:v>
      </x:c>
      <x:c r="R72" s="97" t="n">
        <x:f>IF(P72="已退款",O72,0)</x:f>
        <x:v>0</x:v>
      </x:c>
      <x:c r="S72" s="97" t="n">
        <x:f>O72-R72</x:f>
        <x:v>7.94</x:v>
      </x:c>
      <x:c r="T72" s="94" t="n">
        <x:v>1</x:v>
      </x:c>
      <x:c r="U72" s="94" t="str">
        <x:v>模拟：Amazon Associates订单回传</x:v>
      </x:c>
    </x:row>
    <x:row r="73">
      <x:c r="A73" s="92" t="str">
        <x:v>AMZ-ORD-00072</x:v>
      </x:c>
      <x:c r="B73" s="94" t="str">
        <x:v>PROC-0074</x:v>
      </x:c>
      <x:c r="C73" s="108" t="n">
        <x:v>46037.83541666667</x:v>
      </x:c>
      <x:c r="D73" s="93" t="n">
        <x:v>46036</x:v>
      </x:c>
      <x:c r="E73" s="94" t="str">
        <x:v>Microsoft Ads</x:v>
      </x:c>
      <x:c r="F73" s="94" t="str">
        <x:v>英国</x:v>
      </x:c>
      <x:c r="G73" s="94" t="str">
        <x:v>购物广告</x:v>
      </x:c>
      <x:c r="H73" s="94" t="str">
        <x:v>SKU-0008</x:v>
      </x:c>
      <x:c r="I73" s="94" t="str">
        <x:v>电子产品</x:v>
      </x:c>
      <x:c r="J73" s="94" t="str">
        <x:v>Wi-Fi路由器 H</x:v>
      </x:c>
      <x:c r="K73" s="97" t="n">
        <x:v>283.66</x:v>
      </x:c>
      <x:c r="L73" s="95" t="n">
        <x:v>1</x:v>
      </x:c>
      <x:c r="M73" s="97" t="n">
        <x:f>ROUND(K73*L73,2)</x:f>
        <x:v>283.66</x:v>
      </x:c>
      <x:c r="N73" s="109" t="n">
        <x:v>0.05</x:v>
      </x:c>
      <x:c r="O73" s="97" t="n">
        <x:f>ROUND(M73*N73,2)</x:f>
        <x:v>14.18</x:v>
      </x:c>
      <x:c r="P73" s="94" t="str">
        <x:v>已确认</x:v>
      </x:c>
      <x:c r="Q73" s="97" t="n">
        <x:f>IF(P73="已退款",M73,0)</x:f>
        <x:v>0</x:v>
      </x:c>
      <x:c r="R73" s="97" t="n">
        <x:f>IF(P73="已退款",O73,0)</x:f>
        <x:v>0</x:v>
      </x:c>
      <x:c r="S73" s="97" t="n">
        <x:f>O73-R73</x:f>
        <x:v>14.18</x:v>
      </x:c>
      <x:c r="T73" s="94" t="n">
        <x:v>1</x:v>
      </x:c>
      <x:c r="U73" s="94" t="str">
        <x:v>模拟：Amazon Associates订单回传</x:v>
      </x:c>
    </x:row>
    <x:row r="74">
      <x:c r="A74" s="92" t="str">
        <x:v>AMZ-ORD-00073</x:v>
      </x:c>
      <x:c r="B74" s="94" t="str">
        <x:v>PROC-0075</x:v>
      </x:c>
      <x:c r="C74" s="108" t="n">
        <x:v>46040.81736111111</x:v>
      </x:c>
      <x:c r="D74" s="93" t="n">
        <x:v>46036</x:v>
      </x:c>
      <x:c r="E74" s="94" t="str">
        <x:v>Google Ads</x:v>
      </x:c>
      <x:c r="F74" s="94" t="str">
        <x:v>日本</x:v>
      </x:c>
      <x:c r="G74" s="94" t="str">
        <x:v>通用搜索</x:v>
      </x:c>
      <x:c r="H74" s="94" t="str">
        <x:v>SKU-0031</x:v>
      </x:c>
      <x:c r="I74" s="94" t="str">
        <x:v>美妆个护</x:v>
      </x:c>
      <x:c r="J74" s="94" t="str">
        <x:v>洁面仪 A</x:v>
      </x:c>
      <x:c r="K74" s="97" t="n">
        <x:v>100.75</x:v>
      </x:c>
      <x:c r="L74" s="95" t="n">
        <x:v>1</x:v>
      </x:c>
      <x:c r="M74" s="97" t="n">
        <x:f>ROUND(K74*L74,2)</x:f>
        <x:v>100.75</x:v>
      </x:c>
      <x:c r="N74" s="109" t="n">
        <x:v>0.1</x:v>
      </x:c>
      <x:c r="O74" s="97" t="n">
        <x:f>ROUND(M74*N74,2)</x:f>
        <x:v>10.08</x:v>
      </x:c>
      <x:c r="P74" s="94" t="str">
        <x:v>已确认</x:v>
      </x:c>
      <x:c r="Q74" s="97" t="n">
        <x:f>IF(P74="已退款",M74,0)</x:f>
        <x:v>0</x:v>
      </x:c>
      <x:c r="R74" s="97" t="n">
        <x:f>IF(P74="已退款",O74,0)</x:f>
        <x:v>0</x:v>
      </x:c>
      <x:c r="S74" s="97" t="n">
        <x:f>O74-R74</x:f>
        <x:v>10.08</x:v>
      </x:c>
      <x:c r="T74" s="94" t="n">
        <x:v>4</x:v>
      </x:c>
      <x:c r="U74" s="94" t="str">
        <x:v>模拟：Amazon Associates订单回传</x:v>
      </x:c>
    </x:row>
    <x:row r="75">
      <x:c r="A75" s="92" t="str">
        <x:v>AMZ-ORD-00074</x:v>
      </x:c>
      <x:c r="B75" s="94" t="str">
        <x:v>PROC-0077</x:v>
      </x:c>
      <x:c r="C75" s="108" t="n">
        <x:v>46039.60902777778</x:v>
      </x:c>
      <x:c r="D75" s="93" t="n">
        <x:v>46036</x:v>
      </x:c>
      <x:c r="E75" s="94" t="str">
        <x:v>Microsoft Ads</x:v>
      </x:c>
      <x:c r="F75" s="94" t="str">
        <x:v>美国</x:v>
      </x:c>
      <x:c r="G75" s="94" t="str">
        <x:v>竞品搜索</x:v>
      </x:c>
      <x:c r="H75" s="94" t="str">
        <x:v>SKU-0042</x:v>
      </x:c>
      <x:c r="I75" s="94" t="str">
        <x:v>办公学习</x:v>
      </x:c>
      <x:c r="J75" s="94" t="str">
        <x:v>护眼台灯 B</x:v>
      </x:c>
      <x:c r="K75" s="97" t="n">
        <x:v>72.87</x:v>
      </x:c>
      <x:c r="L75" s="95" t="n">
        <x:v>1</x:v>
      </x:c>
      <x:c r="M75" s="97" t="n">
        <x:f>ROUND(K75*L75,2)</x:f>
        <x:v>72.87</x:v>
      </x:c>
      <x:c r="N75" s="109" t="n">
        <x:v>0.07</x:v>
      </x:c>
      <x:c r="O75" s="97" t="n">
        <x:f>ROUND(M75*N75,2)</x:f>
        <x:v>5.1</x:v>
      </x:c>
      <x:c r="P75" s="94" t="str">
        <x:v>已确认</x:v>
      </x:c>
      <x:c r="Q75" s="97" t="n">
        <x:f>IF(P75="已退款",M75,0)</x:f>
        <x:v>0</x:v>
      </x:c>
      <x:c r="R75" s="97" t="n">
        <x:f>IF(P75="已退款",O75,0)</x:f>
        <x:v>0</x:v>
      </x:c>
      <x:c r="S75" s="97" t="n">
        <x:f>O75-R75</x:f>
        <x:v>5.1</x:v>
      </x:c>
      <x:c r="T75" s="94" t="n">
        <x:v>3</x:v>
      </x:c>
      <x:c r="U75" s="94" t="str">
        <x:v>模拟：Amazon Associates订单回传</x:v>
      </x:c>
    </x:row>
    <x:row r="76">
      <x:c r="A76" s="92" t="str">
        <x:v>AMZ-ORD-00075</x:v>
      </x:c>
      <x:c r="B76" s="94" t="str">
        <x:v>PROC-0078</x:v>
      </x:c>
      <x:c r="C76" s="108" t="n">
        <x:v>46036.68194444444</x:v>
      </x:c>
      <x:c r="D76" s="93" t="n">
        <x:v>46036</x:v>
      </x:c>
      <x:c r="E76" s="94" t="str">
        <x:v>Microsoft Ads</x:v>
      </x:c>
      <x:c r="F76" s="94" t="str">
        <x:v>英国</x:v>
      </x:c>
      <x:c r="G76" s="94" t="str">
        <x:v>购物广告</x:v>
      </x:c>
      <x:c r="H76" s="94" t="str">
        <x:v>SKU-0008</x:v>
      </x:c>
      <x:c r="I76" s="94" t="str">
        <x:v>电子产品</x:v>
      </x:c>
      <x:c r="J76" s="94" t="str">
        <x:v>Wi-Fi路由器 H</x:v>
      </x:c>
      <x:c r="K76" s="97" t="n">
        <x:v>343.49</x:v>
      </x:c>
      <x:c r="L76" s="95" t="n">
        <x:v>1</x:v>
      </x:c>
      <x:c r="M76" s="97" t="n">
        <x:f>ROUND(K76*L76,2)</x:f>
        <x:v>343.49</x:v>
      </x:c>
      <x:c r="N76" s="109" t="n">
        <x:v>0.05</x:v>
      </x:c>
      <x:c r="O76" s="97" t="n">
        <x:f>ROUND(M76*N76,2)</x:f>
        <x:v>17.17</x:v>
      </x:c>
      <x:c r="P76" s="94" t="str">
        <x:v>已确认</x:v>
      </x:c>
      <x:c r="Q76" s="97" t="n">
        <x:f>IF(P76="已退款",M76,0)</x:f>
        <x:v>0</x:v>
      </x:c>
      <x:c r="R76" s="97" t="n">
        <x:f>IF(P76="已退款",O76,0)</x:f>
        <x:v>0</x:v>
      </x:c>
      <x:c r="S76" s="97" t="n">
        <x:f>O76-R76</x:f>
        <x:v>17.17</x:v>
      </x:c>
      <x:c r="T76" s="94" t="n">
        <x:v>0</x:v>
      </x:c>
      <x:c r="U76" s="94" t="str">
        <x:v>模拟：Amazon Associates订单回传</x:v>
      </x:c>
    </x:row>
    <x:row r="77">
      <x:c r="A77" s="92" t="str">
        <x:v>AMZ-ORD-00076</x:v>
      </x:c>
      <x:c r="B77" s="94" t="str">
        <x:v>PROC-0080</x:v>
      </x:c>
      <x:c r="C77" s="108" t="n">
        <x:v>46038.368055555555</x:v>
      </x:c>
      <x:c r="D77" s="93" t="n">
        <x:v>46037</x:v>
      </x:c>
      <x:c r="E77" s="94" t="str">
        <x:v>Google Ads</x:v>
      </x:c>
      <x:c r="F77" s="94" t="str">
        <x:v>英国</x:v>
      </x:c>
      <x:c r="G77" s="94" t="str">
        <x:v>购物广告</x:v>
      </x:c>
      <x:c r="H77" s="94" t="str">
        <x:v>SKU-0040</x:v>
      </x:c>
      <x:c r="I77" s="94" t="str">
        <x:v>美妆个护</x:v>
      </x:c>
      <x:c r="J77" s="94" t="str">
        <x:v>旅行护理套装 J</x:v>
      </x:c>
      <x:c r="K77" s="97" t="n">
        <x:v>70.95</x:v>
      </x:c>
      <x:c r="L77" s="95" t="n">
        <x:v>1</x:v>
      </x:c>
      <x:c r="M77" s="97" t="n">
        <x:f>ROUND(K77*L77,2)</x:f>
        <x:v>70.95</x:v>
      </x:c>
      <x:c r="N77" s="109" t="n">
        <x:v>0.1</x:v>
      </x:c>
      <x:c r="O77" s="97" t="n">
        <x:f>ROUND(M77*N77,2)</x:f>
        <x:v>7.1</x:v>
      </x:c>
      <x:c r="P77" s="94" t="str">
        <x:v>已确认</x:v>
      </x:c>
      <x:c r="Q77" s="97" t="n">
        <x:f>IF(P77="已退款",M77,0)</x:f>
        <x:v>0</x:v>
      </x:c>
      <x:c r="R77" s="97" t="n">
        <x:f>IF(P77="已退款",O77,0)</x:f>
        <x:v>0</x:v>
      </x:c>
      <x:c r="S77" s="97" t="n">
        <x:f>O77-R77</x:f>
        <x:v>7.1</x:v>
      </x:c>
      <x:c r="T77" s="94" t="n">
        <x:v>1</x:v>
      </x:c>
      <x:c r="U77" s="94" t="str">
        <x:v>模拟：Amazon Associates订单回传</x:v>
      </x:c>
    </x:row>
    <x:row r="78">
      <x:c r="A78" s="92" t="str">
        <x:v>AMZ-ORD-00077</x:v>
      </x:c>
      <x:c r="B78" s="94" t="str">
        <x:v>PROC-0081</x:v>
      </x:c>
      <x:c r="C78" s="108" t="n">
        <x:v>46039.833333333336</x:v>
      </x:c>
      <x:c r="D78" s="93" t="n">
        <x:v>46037</x:v>
      </x:c>
      <x:c r="E78" s="94" t="str">
        <x:v>Microsoft Ads</x:v>
      </x:c>
      <x:c r="F78" s="94" t="str">
        <x:v>美国</x:v>
      </x:c>
      <x:c r="G78" s="94" t="str">
        <x:v>通用搜索</x:v>
      </x:c>
      <x:c r="H78" s="94" t="str">
        <x:v>SKU-0036</x:v>
      </x:c>
      <x:c r="I78" s="94" t="str">
        <x:v>美妆个护</x:v>
      </x:c>
      <x:c r="J78" s="94" t="str">
        <x:v>剃须刀 F</x:v>
      </x:c>
      <x:c r="K78" s="97" t="n">
        <x:v>146.58</x:v>
      </x:c>
      <x:c r="L78" s="95" t="n">
        <x:v>1</x:v>
      </x:c>
      <x:c r="M78" s="97" t="n">
        <x:f>ROUND(K78*L78,2)</x:f>
        <x:v>146.58</x:v>
      </x:c>
      <x:c r="N78" s="109" t="n">
        <x:v>0.1</x:v>
      </x:c>
      <x:c r="O78" s="97" t="n">
        <x:f>ROUND(M78*N78,2)</x:f>
        <x:v>14.66</x:v>
      </x:c>
      <x:c r="P78" s="94" t="str">
        <x:v>已确认</x:v>
      </x:c>
      <x:c r="Q78" s="97" t="n">
        <x:f>IF(P78="已退款",M78,0)</x:f>
        <x:v>0</x:v>
      </x:c>
      <x:c r="R78" s="97" t="n">
        <x:f>IF(P78="已退款",O78,0)</x:f>
        <x:v>0</x:v>
      </x:c>
      <x:c r="S78" s="97" t="n">
        <x:f>O78-R78</x:f>
        <x:v>14.66</x:v>
      </x:c>
      <x:c r="T78" s="94" t="n">
        <x:v>2</x:v>
      </x:c>
      <x:c r="U78" s="94" t="str">
        <x:v>模拟：Amazon Associates订单回传</x:v>
      </x:c>
    </x:row>
    <x:row r="79">
      <x:c r="A79" s="92" t="str">
        <x:v>AMZ-ORD-00078</x:v>
      </x:c>
      <x:c r="B79" s="94" t="str">
        <x:v>PROC-0082</x:v>
      </x:c>
      <x:c r="C79" s="108" t="n">
        <x:v>46041.46666666667</x:v>
      </x:c>
      <x:c r="D79" s="93" t="n">
        <x:v>46037</x:v>
      </x:c>
      <x:c r="E79" s="94" t="str">
        <x:v>Google Ads</x:v>
      </x:c>
      <x:c r="F79" s="94" t="str">
        <x:v>日本</x:v>
      </x:c>
      <x:c r="G79" s="94" t="str">
        <x:v>通用搜索</x:v>
      </x:c>
      <x:c r="H79" s="94" t="str">
        <x:v>SKU-0047</x:v>
      </x:c>
      <x:c r="I79" s="94" t="str">
        <x:v>办公学习</x:v>
      </x:c>
      <x:c r="J79" s="94" t="str">
        <x:v>标签打印机 G</x:v>
      </x:c>
      <x:c r="K79" s="97" t="n">
        <x:v>211.05</x:v>
      </x:c>
      <x:c r="L79" s="95" t="n">
        <x:v>2</x:v>
      </x:c>
      <x:c r="M79" s="97" t="n">
        <x:f>ROUND(K79*L79,2)</x:f>
        <x:v>422.1</x:v>
      </x:c>
      <x:c r="N79" s="109" t="n">
        <x:v>0.07</x:v>
      </x:c>
      <x:c r="O79" s="97" t="n">
        <x:f>ROUND(M79*N79,2)</x:f>
        <x:v>29.55</x:v>
      </x:c>
      <x:c r="P79" s="94" t="str">
        <x:v>已确认</x:v>
      </x:c>
      <x:c r="Q79" s="97" t="n">
        <x:f>IF(P79="已退款",M79,0)</x:f>
        <x:v>0</x:v>
      </x:c>
      <x:c r="R79" s="97" t="n">
        <x:f>IF(P79="已退款",O79,0)</x:f>
        <x:v>0</x:v>
      </x:c>
      <x:c r="S79" s="97" t="n">
        <x:f>O79-R79</x:f>
        <x:v>29.55</x:v>
      </x:c>
      <x:c r="T79" s="94" t="n">
        <x:v>4</x:v>
      </x:c>
      <x:c r="U79" s="94" t="str">
        <x:v>模拟：Amazon Associates订单回传</x:v>
      </x:c>
    </x:row>
    <x:row r="80">
      <x:c r="A80" s="92" t="str">
        <x:v>AMZ-ORD-00079</x:v>
      </x:c>
      <x:c r="B80" s="94" t="str">
        <x:v>PROC-0083</x:v>
      </x:c>
      <x:c r="C80" s="108" t="n">
        <x:v>46038.42361111111</x:v>
      </x:c>
      <x:c r="D80" s="93" t="n">
        <x:v>46037</x:v>
      </x:c>
      <x:c r="E80" s="94" t="str">
        <x:v>Google Ads</x:v>
      </x:c>
      <x:c r="F80" s="94" t="str">
        <x:v>日本</x:v>
      </x:c>
      <x:c r="G80" s="94" t="str">
        <x:v>购物广告</x:v>
      </x:c>
      <x:c r="H80" s="94" t="str">
        <x:v>SKU-0043</x:v>
      </x:c>
      <x:c r="I80" s="94" t="str">
        <x:v>办公学习</x:v>
      </x:c>
      <x:c r="J80" s="94" t="str">
        <x:v>会议麦克风 C</x:v>
      </x:c>
      <x:c r="K80" s="97" t="n">
        <x:v>247.52</x:v>
      </x:c>
      <x:c r="L80" s="95" t="n">
        <x:v>1</x:v>
      </x:c>
      <x:c r="M80" s="97" t="n">
        <x:f>ROUND(K80*L80,2)</x:f>
        <x:v>247.52</x:v>
      </x:c>
      <x:c r="N80" s="109" t="n">
        <x:v>0.07</x:v>
      </x:c>
      <x:c r="O80" s="97" t="n">
        <x:f>ROUND(M80*N80,2)</x:f>
        <x:v>17.33</x:v>
      </x:c>
      <x:c r="P80" s="94" t="str">
        <x:v>已确认</x:v>
      </x:c>
      <x:c r="Q80" s="97" t="n">
        <x:f>IF(P80="已退款",M80,0)</x:f>
        <x:v>0</x:v>
      </x:c>
      <x:c r="R80" s="97" t="n">
        <x:f>IF(P80="已退款",O80,0)</x:f>
        <x:v>0</x:v>
      </x:c>
      <x:c r="S80" s="97" t="n">
        <x:f>O80-R80</x:f>
        <x:v>17.33</x:v>
      </x:c>
      <x:c r="T80" s="94" t="n">
        <x:v>1</x:v>
      </x:c>
      <x:c r="U80" s="94" t="str">
        <x:v>模拟：Amazon Associates订单回传</x:v>
      </x:c>
    </x:row>
    <x:row r="81">
      <x:c r="A81" s="92" t="str">
        <x:v>AMZ-ORD-00080</x:v>
      </x:c>
      <x:c r="B81" s="94" t="str">
        <x:v>PROC-0084</x:v>
      </x:c>
      <x:c r="C81" s="108" t="n">
        <x:v>46040.34930555556</x:v>
      </x:c>
      <x:c r="D81" s="93" t="n">
        <x:v>46038</x:v>
      </x:c>
      <x:c r="E81" s="94" t="str">
        <x:v>Microsoft Ads</x:v>
      </x:c>
      <x:c r="F81" s="94" t="str">
        <x:v>日本</x:v>
      </x:c>
      <x:c r="G81" s="94" t="str">
        <x:v>通用搜索</x:v>
      </x:c>
      <x:c r="H81" s="94" t="str">
        <x:v>SKU-0023</x:v>
      </x:c>
      <x:c r="I81" s="94" t="str">
        <x:v>运动健康</x:v>
      </x:c>
      <x:c r="J81" s="94" t="str">
        <x:v>可调哑铃 C</x:v>
      </x:c>
      <x:c r="K81" s="97" t="n">
        <x:v>248.36</x:v>
      </x:c>
      <x:c r="L81" s="95" t="n">
        <x:v>1</x:v>
      </x:c>
      <x:c r="M81" s="97" t="n">
        <x:f>ROUND(K81*L81,2)</x:f>
        <x:v>248.36</x:v>
      </x:c>
      <x:c r="N81" s="109" t="n">
        <x:v>0.08</x:v>
      </x:c>
      <x:c r="O81" s="97" t="n">
        <x:f>ROUND(M81*N81,2)</x:f>
        <x:v>19.87</x:v>
      </x:c>
      <x:c r="P81" s="94" t="str">
        <x:v>已确认</x:v>
      </x:c>
      <x:c r="Q81" s="97" t="n">
        <x:f>IF(P81="已退款",M81,0)</x:f>
        <x:v>0</x:v>
      </x:c>
      <x:c r="R81" s="97" t="n">
        <x:f>IF(P81="已退款",O81,0)</x:f>
        <x:v>0</x:v>
      </x:c>
      <x:c r="S81" s="97" t="n">
        <x:f>O81-R81</x:f>
        <x:v>19.87</x:v>
      </x:c>
      <x:c r="T81" s="94" t="n">
        <x:v>2</x:v>
      </x:c>
      <x:c r="U81" s="94" t="str">
        <x:v>模拟：Amazon Associates订单回传</x:v>
      </x:c>
    </x:row>
    <x:row r="82">
      <x:c r="A82" s="92" t="str">
        <x:v>AMZ-ORD-00081</x:v>
      </x:c>
      <x:c r="B82" s="94" t="str">
        <x:v>PROC-0085</x:v>
      </x:c>
      <x:c r="C82" s="108" t="n">
        <x:v>46040.356944444444</x:v>
      </x:c>
      <x:c r="D82" s="93" t="n">
        <x:v>46038</x:v>
      </x:c>
      <x:c r="E82" s="94" t="str">
        <x:v>Microsoft Ads</x:v>
      </x:c>
      <x:c r="F82" s="94" t="str">
        <x:v>德国</x:v>
      </x:c>
      <x:c r="G82" s="94" t="str">
        <x:v>品牌搜索</x:v>
      </x:c>
      <x:c r="H82" s="94" t="str">
        <x:v>SKU-0007</x:v>
      </x:c>
      <x:c r="I82" s="94" t="str">
        <x:v>电子产品</x:v>
      </x:c>
      <x:c r="J82" s="94" t="str">
        <x:v>运动相机 G</x:v>
      </x:c>
      <x:c r="K82" s="97" t="n">
        <x:v>230.5</x:v>
      </x:c>
      <x:c r="L82" s="95" t="n">
        <x:v>1</x:v>
      </x:c>
      <x:c r="M82" s="97" t="n">
        <x:f>ROUND(K82*L82,2)</x:f>
        <x:v>230.5</x:v>
      </x:c>
      <x:c r="N82" s="109" t="n">
        <x:v>0.05</x:v>
      </x:c>
      <x:c r="O82" s="97" t="n">
        <x:f>ROUND(M82*N82,2)</x:f>
        <x:v>11.53</x:v>
      </x:c>
      <x:c r="P82" s="94" t="str">
        <x:v>已确认</x:v>
      </x:c>
      <x:c r="Q82" s="97" t="n">
        <x:f>IF(P82="已退款",M82,0)</x:f>
        <x:v>0</x:v>
      </x:c>
      <x:c r="R82" s="97" t="n">
        <x:f>IF(P82="已退款",O82,0)</x:f>
        <x:v>0</x:v>
      </x:c>
      <x:c r="S82" s="97" t="n">
        <x:f>O82-R82</x:f>
        <x:v>11.53</x:v>
      </x:c>
      <x:c r="T82" s="94" t="n">
        <x:v>2</x:v>
      </x:c>
      <x:c r="U82" s="94" t="str">
        <x:v>模拟：Amazon Associates订单回传</x:v>
      </x:c>
    </x:row>
    <x:row r="83">
      <x:c r="A83" s="92" t="str">
        <x:v>AMZ-ORD-00082</x:v>
      </x:c>
      <x:c r="B83" s="94" t="str">
        <x:v>PROC-0085</x:v>
      </x:c>
      <x:c r="C83" s="108" t="n">
        <x:v>46039.60833333333</x:v>
      </x:c>
      <x:c r="D83" s="93" t="n">
        <x:v>46038</x:v>
      </x:c>
      <x:c r="E83" s="94" t="str">
        <x:v>Microsoft Ads</x:v>
      </x:c>
      <x:c r="F83" s="94" t="str">
        <x:v>德国</x:v>
      </x:c>
      <x:c r="G83" s="94" t="str">
        <x:v>品牌搜索</x:v>
      </x:c>
      <x:c r="H83" s="94" t="str">
        <x:v>SKU-0026</x:v>
      </x:c>
      <x:c r="I83" s="94" t="str">
        <x:v>运动健康</x:v>
      </x:c>
      <x:c r="J83" s="94" t="str">
        <x:v>骑行头盔 F</x:v>
      </x:c>
      <x:c r="K83" s="97" t="n">
        <x:v>121.79</x:v>
      </x:c>
      <x:c r="L83" s="95" t="n">
        <x:v>3</x:v>
      </x:c>
      <x:c r="M83" s="97" t="n">
        <x:f>ROUND(K83*L83,2)</x:f>
        <x:v>365.37</x:v>
      </x:c>
      <x:c r="N83" s="109" t="n">
        <x:v>0.08</x:v>
      </x:c>
      <x:c r="O83" s="97" t="n">
        <x:f>ROUND(M83*N83,2)</x:f>
        <x:v>29.23</x:v>
      </x:c>
      <x:c r="P83" s="94" t="str">
        <x:v>已确认</x:v>
      </x:c>
      <x:c r="Q83" s="97" t="n">
        <x:f>IF(P83="已退款",M83,0)</x:f>
        <x:v>0</x:v>
      </x:c>
      <x:c r="R83" s="97" t="n">
        <x:f>IF(P83="已退款",O83,0)</x:f>
        <x:v>0</x:v>
      </x:c>
      <x:c r="S83" s="97" t="n">
        <x:f>O83-R83</x:f>
        <x:v>29.23</x:v>
      </x:c>
      <x:c r="T83" s="94" t="n">
        <x:v>1</x:v>
      </x:c>
      <x:c r="U83" s="94" t="str">
        <x:v>模拟：Amazon Associates订单回传</x:v>
      </x:c>
    </x:row>
    <x:row r="84">
      <x:c r="A84" s="92" t="str">
        <x:v>AMZ-ORD-00083</x:v>
      </x:c>
      <x:c r="B84" s="94" t="str">
        <x:v>PROC-0087</x:v>
      </x:c>
      <x:c r="C84" s="108" t="n">
        <x:v>46041.79305555556</x:v>
      </x:c>
      <x:c r="D84" s="93" t="n">
        <x:v>46038</x:v>
      </x:c>
      <x:c r="E84" s="94" t="str">
        <x:v>Google Ads</x:v>
      </x:c>
      <x:c r="F84" s="94" t="str">
        <x:v>日本</x:v>
      </x:c>
      <x:c r="G84" s="94" t="str">
        <x:v>品牌搜索</x:v>
      </x:c>
      <x:c r="H84" s="94" t="str">
        <x:v>SKU-0043</x:v>
      </x:c>
      <x:c r="I84" s="94" t="str">
        <x:v>办公学习</x:v>
      </x:c>
      <x:c r="J84" s="94" t="str">
        <x:v>会议麦克风 C</x:v>
      </x:c>
      <x:c r="K84" s="97" t="n">
        <x:v>186.3</x:v>
      </x:c>
      <x:c r="L84" s="95" t="n">
        <x:v>1</x:v>
      </x:c>
      <x:c r="M84" s="97" t="n">
        <x:f>ROUND(K84*L84,2)</x:f>
        <x:v>186.3</x:v>
      </x:c>
      <x:c r="N84" s="109" t="n">
        <x:v>0.07</x:v>
      </x:c>
      <x:c r="O84" s="97" t="n">
        <x:f>ROUND(M84*N84,2)</x:f>
        <x:v>13.04</x:v>
      </x:c>
      <x:c r="P84" s="94" t="str">
        <x:v>已确认</x:v>
      </x:c>
      <x:c r="Q84" s="97" t="n">
        <x:f>IF(P84="已退款",M84,0)</x:f>
        <x:v>0</x:v>
      </x:c>
      <x:c r="R84" s="97" t="n">
        <x:f>IF(P84="已退款",O84,0)</x:f>
        <x:v>0</x:v>
      </x:c>
      <x:c r="S84" s="97" t="n">
        <x:f>O84-R84</x:f>
        <x:v>13.04</x:v>
      </x:c>
      <x:c r="T84" s="94" t="n">
        <x:v>3</x:v>
      </x:c>
      <x:c r="U84" s="94" t="str">
        <x:v>模拟：Amazon Associates订单回传</x:v>
      </x:c>
    </x:row>
    <x:row r="85">
      <x:c r="A85" s="92" t="str">
        <x:v>AMZ-ORD-00084</x:v>
      </x:c>
      <x:c r="B85" s="94" t="str">
        <x:v>PROC-0087</x:v>
      </x:c>
      <x:c r="C85" s="108" t="n">
        <x:v>46038.62708333333</x:v>
      </x:c>
      <x:c r="D85" s="93" t="n">
        <x:v>46038</x:v>
      </x:c>
      <x:c r="E85" s="94" t="str">
        <x:v>Google Ads</x:v>
      </x:c>
      <x:c r="F85" s="94" t="str">
        <x:v>日本</x:v>
      </x:c>
      <x:c r="G85" s="94" t="str">
        <x:v>品牌搜索</x:v>
      </x:c>
      <x:c r="H85" s="94" t="str">
        <x:v>SKU-0017</x:v>
      </x:c>
      <x:c r="I85" s="94" t="str">
        <x:v>家居生活</x:v>
      </x:c>
      <x:c r="J85" s="94" t="str">
        <x:v>落地灯 G</x:v>
      </x:c>
      <x:c r="K85" s="97" t="n">
        <x:v>130.72</x:v>
      </x:c>
      <x:c r="L85" s="95" t="n">
        <x:v>1</x:v>
      </x:c>
      <x:c r="M85" s="97" t="n">
        <x:f>ROUND(K85*L85,2)</x:f>
        <x:v>130.72</x:v>
      </x:c>
      <x:c r="N85" s="109" t="n">
        <x:v>0.07</x:v>
      </x:c>
      <x:c r="O85" s="97" t="n">
        <x:f>ROUND(M85*N85,2)</x:f>
        <x:v>9.15</x:v>
      </x:c>
      <x:c r="P85" s="94" t="str">
        <x:v>已确认</x:v>
      </x:c>
      <x:c r="Q85" s="97" t="n">
        <x:f>IF(P85="已退款",M85,0)</x:f>
        <x:v>0</x:v>
      </x:c>
      <x:c r="R85" s="97" t="n">
        <x:f>IF(P85="已退款",O85,0)</x:f>
        <x:v>0</x:v>
      </x:c>
      <x:c r="S85" s="97" t="n">
        <x:f>O85-R85</x:f>
        <x:v>9.15</x:v>
      </x:c>
      <x:c r="T85" s="94" t="n">
        <x:v>0</x:v>
      </x:c>
      <x:c r="U85" s="94" t="str">
        <x:v>模拟：Amazon Associates订单回传</x:v>
      </x:c>
    </x:row>
    <x:row r="86">
      <x:c r="A86" s="92" t="str">
        <x:v>AMZ-ORD-00085</x:v>
      </x:c>
      <x:c r="B86" s="94" t="str">
        <x:v>PROC-0088</x:v>
      </x:c>
      <x:c r="C86" s="108" t="n">
        <x:v>46041.55</x:v>
      </x:c>
      <x:c r="D86" s="93" t="n">
        <x:v>46038</x:v>
      </x:c>
      <x:c r="E86" s="94" t="str">
        <x:v>Microsoft Ads</x:v>
      </x:c>
      <x:c r="F86" s="94" t="str">
        <x:v>日本</x:v>
      </x:c>
      <x:c r="G86" s="94" t="str">
        <x:v>购物广告</x:v>
      </x:c>
      <x:c r="H86" s="94" t="str">
        <x:v>SKU-0004</x:v>
      </x:c>
      <x:c r="I86" s="94" t="str">
        <x:v>电子产品</x:v>
      </x:c>
      <x:c r="J86" s="94" t="str">
        <x:v>机械键盘 D</x:v>
      </x:c>
      <x:c r="K86" s="97" t="n">
        <x:v>583.51</x:v>
      </x:c>
      <x:c r="L86" s="95" t="n">
        <x:v>1</x:v>
      </x:c>
      <x:c r="M86" s="97" t="n">
        <x:f>ROUND(K86*L86,2)</x:f>
        <x:v>583.51</x:v>
      </x:c>
      <x:c r="N86" s="109" t="n">
        <x:v>0.05</x:v>
      </x:c>
      <x:c r="O86" s="97" t="n">
        <x:f>ROUND(M86*N86,2)</x:f>
        <x:v>29.18</x:v>
      </x:c>
      <x:c r="P86" s="94" t="str">
        <x:v>已确认</x:v>
      </x:c>
      <x:c r="Q86" s="97" t="n">
        <x:f>IF(P86="已退款",M86,0)</x:f>
        <x:v>0</x:v>
      </x:c>
      <x:c r="R86" s="97" t="n">
        <x:f>IF(P86="已退款",O86,0)</x:f>
        <x:v>0</x:v>
      </x:c>
      <x:c r="S86" s="97" t="n">
        <x:f>O86-R86</x:f>
        <x:v>29.18</x:v>
      </x:c>
      <x:c r="T86" s="94" t="n">
        <x:v>3</x:v>
      </x:c>
      <x:c r="U86" s="94" t="str">
        <x:v>模拟：Amazon Associates订单回传</x:v>
      </x:c>
    </x:row>
    <x:row r="87">
      <x:c r="A87" s="92" t="str">
        <x:v>AMZ-ORD-00086</x:v>
      </x:c>
      <x:c r="B87" s="94" t="str">
        <x:v>PROC-0089</x:v>
      </x:c>
      <x:c r="C87" s="108" t="n">
        <x:v>46040.70763888889</x:v>
      </x:c>
      <x:c r="D87" s="93" t="n">
        <x:v>46038</x:v>
      </x:c>
      <x:c r="E87" s="94" t="str">
        <x:v>Microsoft Ads</x:v>
      </x:c>
      <x:c r="F87" s="94" t="str">
        <x:v>英国</x:v>
      </x:c>
      <x:c r="G87" s="94" t="str">
        <x:v>通用搜索</x:v>
      </x:c>
      <x:c r="H87" s="94" t="str">
        <x:v>SKU-0038</x:v>
      </x:c>
      <x:c r="I87" s="94" t="str">
        <x:v>美妆个护</x:v>
      </x:c>
      <x:c r="J87" s="94" t="str">
        <x:v>卷发棒 H</x:v>
      </x:c>
      <x:c r="K87" s="97" t="n">
        <x:v>110.22</x:v>
      </x:c>
      <x:c r="L87" s="95" t="n">
        <x:v>1</x:v>
      </x:c>
      <x:c r="M87" s="97" t="n">
        <x:f>ROUND(K87*L87,2)</x:f>
        <x:v>110.22</x:v>
      </x:c>
      <x:c r="N87" s="109" t="n">
        <x:v>0.1</x:v>
      </x:c>
      <x:c r="O87" s="97" t="n">
        <x:f>ROUND(M87*N87,2)</x:f>
        <x:v>11.02</x:v>
      </x:c>
      <x:c r="P87" s="94" t="str">
        <x:v>已确认</x:v>
      </x:c>
      <x:c r="Q87" s="97" t="n">
        <x:f>IF(P87="已退款",M87,0)</x:f>
        <x:v>0</x:v>
      </x:c>
      <x:c r="R87" s="97" t="n">
        <x:f>IF(P87="已退款",O87,0)</x:f>
        <x:v>0</x:v>
      </x:c>
      <x:c r="S87" s="97" t="n">
        <x:f>O87-R87</x:f>
        <x:v>11.02</x:v>
      </x:c>
      <x:c r="T87" s="94" t="n">
        <x:v>2</x:v>
      </x:c>
      <x:c r="U87" s="94" t="str">
        <x:v>模拟：Amazon Associates订单回传</x:v>
      </x:c>
    </x:row>
    <x:row r="88">
      <x:c r="A88" s="92" t="str">
        <x:v>AMZ-ORD-00087</x:v>
      </x:c>
      <x:c r="B88" s="94" t="str">
        <x:v>PROC-0090</x:v>
      </x:c>
      <x:c r="C88" s="108" t="n">
        <x:v>46039.40416666667</x:v>
      </x:c>
      <x:c r="D88" s="93" t="n">
        <x:v>46039</x:v>
      </x:c>
      <x:c r="E88" s="94" t="str">
        <x:v>Microsoft Ads</x:v>
      </x:c>
      <x:c r="F88" s="94" t="str">
        <x:v>英国</x:v>
      </x:c>
      <x:c r="G88" s="94" t="str">
        <x:v>通用搜索</x:v>
      </x:c>
      <x:c r="H88" s="94" t="str">
        <x:v>SKU-0018</x:v>
      </x:c>
      <x:c r="I88" s="94" t="str">
        <x:v>家居生活</x:v>
      </x:c>
      <x:c r="J88" s="94" t="str">
        <x:v>收纳组合 H</x:v>
      </x:c>
      <x:c r="K88" s="97" t="n">
        <x:v>194.94</x:v>
      </x:c>
      <x:c r="L88" s="95" t="n">
        <x:v>1</x:v>
      </x:c>
      <x:c r="M88" s="97" t="n">
        <x:f>ROUND(K88*L88,2)</x:f>
        <x:v>194.94</x:v>
      </x:c>
      <x:c r="N88" s="109" t="n">
        <x:v>0.07</x:v>
      </x:c>
      <x:c r="O88" s="97" t="n">
        <x:f>ROUND(M88*N88,2)</x:f>
        <x:v>13.65</x:v>
      </x:c>
      <x:c r="P88" s="94" t="str">
        <x:v>已确认</x:v>
      </x:c>
      <x:c r="Q88" s="97" t="n">
        <x:f>IF(P88="已退款",M88,0)</x:f>
        <x:v>0</x:v>
      </x:c>
      <x:c r="R88" s="97" t="n">
        <x:f>IF(P88="已退款",O88,0)</x:f>
        <x:v>0</x:v>
      </x:c>
      <x:c r="S88" s="97" t="n">
        <x:f>O88-R88</x:f>
        <x:v>13.65</x:v>
      </x:c>
      <x:c r="T88" s="94" t="n">
        <x:v>0</x:v>
      </x:c>
      <x:c r="U88" s="94" t="str">
        <x:v>模拟：Amazon Associates订单回传</x:v>
      </x:c>
    </x:row>
    <x:row r="89">
      <x:c r="A89" s="92" t="str">
        <x:v>AMZ-ORD-00088</x:v>
      </x:c>
      <x:c r="B89" s="94" t="str">
        <x:v>PROC-0091</x:v>
      </x:c>
      <x:c r="C89" s="108" t="n">
        <x:v>46040.53472222222</x:v>
      </x:c>
      <x:c r="D89" s="93" t="n">
        <x:v>46039</x:v>
      </x:c>
      <x:c r="E89" s="94" t="str">
        <x:v>Microsoft Ads</x:v>
      </x:c>
      <x:c r="F89" s="94" t="str">
        <x:v>美国</x:v>
      </x:c>
      <x:c r="G89" s="94" t="str">
        <x:v>通用搜索</x:v>
      </x:c>
      <x:c r="H89" s="94" t="str">
        <x:v>SKU-0046</x:v>
      </x:c>
      <x:c r="I89" s="94" t="str">
        <x:v>办公学习</x:v>
      </x:c>
      <x:c r="J89" s="94" t="str">
        <x:v>高清摄像头 F</x:v>
      </x:c>
      <x:c r="K89" s="97" t="n">
        <x:v>84.09</x:v>
      </x:c>
      <x:c r="L89" s="95" t="n">
        <x:v>1</x:v>
      </x:c>
      <x:c r="M89" s="97" t="n">
        <x:f>ROUND(K89*L89,2)</x:f>
        <x:v>84.09</x:v>
      </x:c>
      <x:c r="N89" s="109" t="n">
        <x:v>0.07</x:v>
      </x:c>
      <x:c r="O89" s="97" t="n">
        <x:f>ROUND(M89*N89,2)</x:f>
        <x:v>5.89</x:v>
      </x:c>
      <x:c r="P89" s="94" t="str">
        <x:v>已确认</x:v>
      </x:c>
      <x:c r="Q89" s="97" t="n">
        <x:f>IF(P89="已退款",M89,0)</x:f>
        <x:v>0</x:v>
      </x:c>
      <x:c r="R89" s="97" t="n">
        <x:f>IF(P89="已退款",O89,0)</x:f>
        <x:v>0</x:v>
      </x:c>
      <x:c r="S89" s="97" t="n">
        <x:f>O89-R89</x:f>
        <x:v>5.89</x:v>
      </x:c>
      <x:c r="T89" s="94" t="n">
        <x:v>1</x:v>
      </x:c>
      <x:c r="U89" s="94" t="str">
        <x:v>模拟：Amazon Associates订单回传</x:v>
      </x:c>
    </x:row>
    <x:row r="90">
      <x:c r="A90" s="92" t="str">
        <x:v>AMZ-ORD-00089</x:v>
      </x:c>
      <x:c r="B90" s="94" t="str">
        <x:v>PROC-0092</x:v>
      </x:c>
      <x:c r="C90" s="108" t="n">
        <x:v>46042.48263888889</x:v>
      </x:c>
      <x:c r="D90" s="93" t="n">
        <x:v>46039</x:v>
      </x:c>
      <x:c r="E90" s="94" t="str">
        <x:v>Microsoft Ads</x:v>
      </x:c>
      <x:c r="F90" s="94" t="str">
        <x:v>日本</x:v>
      </x:c>
      <x:c r="G90" s="94" t="str">
        <x:v>竞品搜索</x:v>
      </x:c>
      <x:c r="H90" s="94" t="str">
        <x:v>SKU-0050</x:v>
      </x:c>
      <x:c r="I90" s="94" t="str">
        <x:v>办公学习</x:v>
      </x:c>
      <x:c r="J90" s="94" t="str">
        <x:v>静音鼠标 J</x:v>
      </x:c>
      <x:c r="K90" s="97" t="n">
        <x:v>98.51</x:v>
      </x:c>
      <x:c r="L90" s="95" t="n">
        <x:v>1</x:v>
      </x:c>
      <x:c r="M90" s="97" t="n">
        <x:f>ROUND(K90*L90,2)</x:f>
        <x:v>98.51</x:v>
      </x:c>
      <x:c r="N90" s="109" t="n">
        <x:v>0.07</x:v>
      </x:c>
      <x:c r="O90" s="97" t="n">
        <x:f>ROUND(M90*N90,2)</x:f>
        <x:v>6.9</x:v>
      </x:c>
      <x:c r="P90" s="94" t="str">
        <x:v>已确认</x:v>
      </x:c>
      <x:c r="Q90" s="97" t="n">
        <x:f>IF(P90="已退款",M90,0)</x:f>
        <x:v>0</x:v>
      </x:c>
      <x:c r="R90" s="97" t="n">
        <x:f>IF(P90="已退款",O90,0)</x:f>
        <x:v>0</x:v>
      </x:c>
      <x:c r="S90" s="97" t="n">
        <x:f>O90-R90</x:f>
        <x:v>6.9</x:v>
      </x:c>
      <x:c r="T90" s="94" t="n">
        <x:v>3</x:v>
      </x:c>
      <x:c r="U90" s="94" t="str">
        <x:v>模拟：Amazon Associates订单回传</x:v>
      </x:c>
    </x:row>
    <x:row r="91">
      <x:c r="A91" s="92" t="str">
        <x:v>AMZ-ORD-00090</x:v>
      </x:c>
      <x:c r="B91" s="94" t="str">
        <x:v>PROC-0093</x:v>
      </x:c>
      <x:c r="C91" s="108" t="n">
        <x:v>46042.856944444444</x:v>
      </x:c>
      <x:c r="D91" s="93" t="n">
        <x:v>46039</x:v>
      </x:c>
      <x:c r="E91" s="94" t="str">
        <x:v>Microsoft Ads</x:v>
      </x:c>
      <x:c r="F91" s="94" t="str">
        <x:v>美国</x:v>
      </x:c>
      <x:c r="G91" s="94" t="str">
        <x:v>品牌搜索</x:v>
      </x:c>
      <x:c r="H91" s="94" t="str">
        <x:v>SKU-0006</x:v>
      </x:c>
      <x:c r="I91" s="94" t="str">
        <x:v>电子产品</x:v>
      </x:c>
      <x:c r="J91" s="94" t="str">
        <x:v>迷你投影仪 F</x:v>
      </x:c>
      <x:c r="K91" s="97" t="n">
        <x:v>659.16</x:v>
      </x:c>
      <x:c r="L91" s="95" t="n">
        <x:v>1</x:v>
      </x:c>
      <x:c r="M91" s="97" t="n">
        <x:f>ROUND(K91*L91,2)</x:f>
        <x:v>659.16</x:v>
      </x:c>
      <x:c r="N91" s="109" t="n">
        <x:v>0.05</x:v>
      </x:c>
      <x:c r="O91" s="97" t="n">
        <x:f>ROUND(M91*N91,2)</x:f>
        <x:v>32.96</x:v>
      </x:c>
      <x:c r="P91" s="94" t="str">
        <x:v>已确认</x:v>
      </x:c>
      <x:c r="Q91" s="97" t="n">
        <x:f>IF(P91="已退款",M91,0)</x:f>
        <x:v>0</x:v>
      </x:c>
      <x:c r="R91" s="97" t="n">
        <x:f>IF(P91="已退款",O91,0)</x:f>
        <x:v>0</x:v>
      </x:c>
      <x:c r="S91" s="97" t="n">
        <x:f>O91-R91</x:f>
        <x:v>32.96</x:v>
      </x:c>
      <x:c r="T91" s="94" t="n">
        <x:v>3</x:v>
      </x:c>
      <x:c r="U91" s="94" t="str">
        <x:v>模拟：Amazon Associates订单回传</x:v>
      </x:c>
    </x:row>
    <x:row r="92">
      <x:c r="A92" s="92" t="str">
        <x:v>AMZ-ORD-00091</x:v>
      </x:c>
      <x:c r="B92" s="94" t="str">
        <x:v>PROC-0094</x:v>
      </x:c>
      <x:c r="C92" s="108" t="n">
        <x:v>46041.4</x:v>
      </x:c>
      <x:c r="D92" s="93" t="n">
        <x:v>46039</x:v>
      </x:c>
      <x:c r="E92" s="94" t="str">
        <x:v>Google Ads</x:v>
      </x:c>
      <x:c r="F92" s="94" t="str">
        <x:v>美国</x:v>
      </x:c>
      <x:c r="G92" s="94" t="str">
        <x:v>购物广告</x:v>
      </x:c>
      <x:c r="H92" s="94" t="str">
        <x:v>SKU-0029</x:v>
      </x:c>
      <x:c r="I92" s="94" t="str">
        <x:v>运动健康</x:v>
      </x:c>
      <x:c r="J92" s="94" t="str">
        <x:v>运动耳机 I</x:v>
      </x:c>
      <x:c r="K92" s="97" t="n">
        <x:v>75.77</x:v>
      </x:c>
      <x:c r="L92" s="95" t="n">
        <x:v>1</x:v>
      </x:c>
      <x:c r="M92" s="97" t="n">
        <x:f>ROUND(K92*L92,2)</x:f>
        <x:v>75.77</x:v>
      </x:c>
      <x:c r="N92" s="109" t="n">
        <x:v>0.08</x:v>
      </x:c>
      <x:c r="O92" s="97" t="n">
        <x:f>ROUND(M92*N92,2)</x:f>
        <x:v>6.06</x:v>
      </x:c>
      <x:c r="P92" s="94" t="str">
        <x:v>已确认</x:v>
      </x:c>
      <x:c r="Q92" s="97" t="n">
        <x:f>IF(P92="已退款",M92,0)</x:f>
        <x:v>0</x:v>
      </x:c>
      <x:c r="R92" s="97" t="n">
        <x:f>IF(P92="已退款",O92,0)</x:f>
        <x:v>0</x:v>
      </x:c>
      <x:c r="S92" s="97" t="n">
        <x:f>O92-R92</x:f>
        <x:v>6.06</x:v>
      </x:c>
      <x:c r="T92" s="94" t="n">
        <x:v>2</x:v>
      </x:c>
      <x:c r="U92" s="94" t="str">
        <x:v>模拟：Amazon Associates订单回传</x:v>
      </x:c>
    </x:row>
    <x:row r="93">
      <x:c r="A93" s="92" t="str">
        <x:v>AMZ-ORD-00092</x:v>
      </x:c>
      <x:c r="B93" s="94" t="str">
        <x:v>PROC-0095</x:v>
      </x:c>
      <x:c r="C93" s="108" t="n">
        <x:v>46041.68263888889</x:v>
      </x:c>
      <x:c r="D93" s="93" t="n">
        <x:v>46040</x:v>
      </x:c>
      <x:c r="E93" s="94" t="str">
        <x:v>Google Ads</x:v>
      </x:c>
      <x:c r="F93" s="94" t="str">
        <x:v>美国</x:v>
      </x:c>
      <x:c r="G93" s="94" t="str">
        <x:v>品牌搜索</x:v>
      </x:c>
      <x:c r="H93" s="94" t="str">
        <x:v>SKU-0050</x:v>
      </x:c>
      <x:c r="I93" s="94" t="str">
        <x:v>办公学习</x:v>
      </x:c>
      <x:c r="J93" s="94" t="str">
        <x:v>静音鼠标 J</x:v>
      </x:c>
      <x:c r="K93" s="97" t="n">
        <x:v>200.19</x:v>
      </x:c>
      <x:c r="L93" s="95" t="n">
        <x:v>1</x:v>
      </x:c>
      <x:c r="M93" s="97" t="n">
        <x:f>ROUND(K93*L93,2)</x:f>
        <x:v>200.19</x:v>
      </x:c>
      <x:c r="N93" s="109" t="n">
        <x:v>0.07</x:v>
      </x:c>
      <x:c r="O93" s="97" t="n">
        <x:f>ROUND(M93*N93,2)</x:f>
        <x:v>14.01</x:v>
      </x:c>
      <x:c r="P93" s="94" t="str">
        <x:v>已确认</x:v>
      </x:c>
      <x:c r="Q93" s="97" t="n">
        <x:f>IF(P93="已退款",M93,0)</x:f>
        <x:v>0</x:v>
      </x:c>
      <x:c r="R93" s="97" t="n">
        <x:f>IF(P93="已退款",O93,0)</x:f>
        <x:v>0</x:v>
      </x:c>
      <x:c r="S93" s="97" t="n">
        <x:f>O93-R93</x:f>
        <x:v>14.01</x:v>
      </x:c>
      <x:c r="T93" s="94" t="n">
        <x:v>1</x:v>
      </x:c>
      <x:c r="U93" s="94" t="str">
        <x:v>模拟：Amazon Associates订单回传</x:v>
      </x:c>
    </x:row>
    <x:row r="94">
      <x:c r="A94" s="92" t="str">
        <x:v>AMZ-ORD-00093</x:v>
      </x:c>
      <x:c r="B94" s="94" t="str">
        <x:v>PROC-0096</x:v>
      </x:c>
      <x:c r="C94" s="108" t="n">
        <x:v>46043.79722222222</x:v>
      </x:c>
      <x:c r="D94" s="93" t="n">
        <x:v>46040</x:v>
      </x:c>
      <x:c r="E94" s="94" t="str">
        <x:v>Google Ads</x:v>
      </x:c>
      <x:c r="F94" s="94" t="str">
        <x:v>美国</x:v>
      </x:c>
      <x:c r="G94" s="94" t="str">
        <x:v>竞品搜索</x:v>
      </x:c>
      <x:c r="H94" s="94" t="str">
        <x:v>SKU-0049</x:v>
      </x:c>
      <x:c r="I94" s="94" t="str">
        <x:v>办公学习</x:v>
      </x:c>
      <x:c r="J94" s="94" t="str">
        <x:v>移动白板 I</x:v>
      </x:c>
      <x:c r="K94" s="97" t="n">
        <x:v>140.62</x:v>
      </x:c>
      <x:c r="L94" s="95" t="n">
        <x:v>2</x:v>
      </x:c>
      <x:c r="M94" s="97" t="n">
        <x:f>ROUND(K94*L94,2)</x:f>
        <x:v>281.24</x:v>
      </x:c>
      <x:c r="N94" s="109" t="n">
        <x:v>0.07</x:v>
      </x:c>
      <x:c r="O94" s="97" t="n">
        <x:f>ROUND(M94*N94,2)</x:f>
        <x:v>19.69</x:v>
      </x:c>
      <x:c r="P94" s="94" t="str">
        <x:v>已退款</x:v>
      </x:c>
      <x:c r="Q94" s="97" t="n">
        <x:f>IF(P94="已退款",M94,0)</x:f>
        <x:v>281.24</x:v>
      </x:c>
      <x:c r="R94" s="97" t="n">
        <x:f>IF(P94="已退款",O94,0)</x:f>
        <x:v>19.69</x:v>
      </x:c>
      <x:c r="S94" s="97" t="n">
        <x:f>O94-R94</x:f>
        <x:v>0</x:v>
      </x:c>
      <x:c r="T94" s="94" t="n">
        <x:v>3</x:v>
      </x:c>
      <x:c r="U94" s="94" t="str">
        <x:v>模拟：Amazon Associates订单回传</x:v>
      </x:c>
    </x:row>
    <x:row r="95">
      <x:c r="A95" s="92" t="str">
        <x:v>AMZ-ORD-00094</x:v>
      </x:c>
      <x:c r="B95" s="94" t="str">
        <x:v>PROC-0097</x:v>
      </x:c>
      <x:c r="C95" s="108" t="n">
        <x:v>46041.62708333333</x:v>
      </x:c>
      <x:c r="D95" s="93" t="n">
        <x:v>46040</x:v>
      </x:c>
      <x:c r="E95" s="94" t="str">
        <x:v>Microsoft Ads</x:v>
      </x:c>
      <x:c r="F95" s="94" t="str">
        <x:v>美国</x:v>
      </x:c>
      <x:c r="G95" s="94" t="str">
        <x:v>品牌搜索</x:v>
      </x:c>
      <x:c r="H95" s="94" t="str">
        <x:v>SKU-0030</x:v>
      </x:c>
      <x:c r="I95" s="94" t="str">
        <x:v>运动健康</x:v>
      </x:c>
      <x:c r="J95" s="94" t="str">
        <x:v>露营套装 J</x:v>
      </x:c>
      <x:c r="K95" s="97" t="n">
        <x:v>227.3</x:v>
      </x:c>
      <x:c r="L95" s="95" t="n">
        <x:v>1</x:v>
      </x:c>
      <x:c r="M95" s="97" t="n">
        <x:f>ROUND(K95*L95,2)</x:f>
        <x:v>227.3</x:v>
      </x:c>
      <x:c r="N95" s="109" t="n">
        <x:v>0.08</x:v>
      </x:c>
      <x:c r="O95" s="97" t="n">
        <x:f>ROUND(M95*N95,2)</x:f>
        <x:v>18.18</x:v>
      </x:c>
      <x:c r="P95" s="94" t="str">
        <x:v>已确认</x:v>
      </x:c>
      <x:c r="Q95" s="97" t="n">
        <x:f>IF(P95="已退款",M95,0)</x:f>
        <x:v>0</x:v>
      </x:c>
      <x:c r="R95" s="97" t="n">
        <x:f>IF(P95="已退款",O95,0)</x:f>
        <x:v>0</x:v>
      </x:c>
      <x:c r="S95" s="97" t="n">
        <x:f>O95-R95</x:f>
        <x:v>18.18</x:v>
      </x:c>
      <x:c r="T95" s="94" t="n">
        <x:v>1</x:v>
      </x:c>
      <x:c r="U95" s="94" t="str">
        <x:v>模拟：Amazon Associates订单回传</x:v>
      </x:c>
    </x:row>
    <x:row r="96">
      <x:c r="A96" s="92" t="str">
        <x:v>AMZ-ORD-00095</x:v>
      </x:c>
      <x:c r="B96" s="94" t="str">
        <x:v>PROC-0098</x:v>
      </x:c>
      <x:c r="C96" s="108" t="n">
        <x:v>46044.36875</x:v>
      </x:c>
      <x:c r="D96" s="93" t="n">
        <x:v>46040</x:v>
      </x:c>
      <x:c r="E96" s="94" t="str">
        <x:v>Microsoft Ads</x:v>
      </x:c>
      <x:c r="F96" s="94" t="str">
        <x:v>美国</x:v>
      </x:c>
      <x:c r="G96" s="94" t="str">
        <x:v>品牌搜索</x:v>
      </x:c>
      <x:c r="H96" s="94" t="str">
        <x:v>SKU-0017</x:v>
      </x:c>
      <x:c r="I96" s="94" t="str">
        <x:v>家居生活</x:v>
      </x:c>
      <x:c r="J96" s="94" t="str">
        <x:v>落地灯 G</x:v>
      </x:c>
      <x:c r="K96" s="97" t="n">
        <x:v>185.97</x:v>
      </x:c>
      <x:c r="L96" s="95" t="n">
        <x:v>2</x:v>
      </x:c>
      <x:c r="M96" s="97" t="n">
        <x:f>ROUND(K96*L96,2)</x:f>
        <x:v>371.94</x:v>
      </x:c>
      <x:c r="N96" s="109" t="n">
        <x:v>0.07</x:v>
      </x:c>
      <x:c r="O96" s="97" t="n">
        <x:f>ROUND(M96*N96,2)</x:f>
        <x:v>26.04</x:v>
      </x:c>
      <x:c r="P96" s="94" t="str">
        <x:v>已确认</x:v>
      </x:c>
      <x:c r="Q96" s="97" t="n">
        <x:f>IF(P96="已退款",M96,0)</x:f>
        <x:v>0</x:v>
      </x:c>
      <x:c r="R96" s="97" t="n">
        <x:f>IF(P96="已退款",O96,0)</x:f>
        <x:v>0</x:v>
      </x:c>
      <x:c r="S96" s="97" t="n">
        <x:f>O96-R96</x:f>
        <x:v>26.04</x:v>
      </x:c>
      <x:c r="T96" s="94" t="n">
        <x:v>4</x:v>
      </x:c>
      <x:c r="U96" s="94" t="str">
        <x:v>模拟：Amazon Associates订单回传</x:v>
      </x:c>
    </x:row>
    <x:row r="97">
      <x:c r="A97" s="92" t="str">
        <x:v>AMZ-ORD-00096</x:v>
      </x:c>
      <x:c r="B97" s="94" t="str">
        <x:v>PROC-0098</x:v>
      </x:c>
      <x:c r="C97" s="108" t="n">
        <x:v>46040.333333333336</x:v>
      </x:c>
      <x:c r="D97" s="93" t="n">
        <x:v>46040</x:v>
      </x:c>
      <x:c r="E97" s="94" t="str">
        <x:v>Microsoft Ads</x:v>
      </x:c>
      <x:c r="F97" s="94" t="str">
        <x:v>美国</x:v>
      </x:c>
      <x:c r="G97" s="94" t="str">
        <x:v>品牌搜索</x:v>
      </x:c>
      <x:c r="H97" s="94" t="str">
        <x:v>SKU-0008</x:v>
      </x:c>
      <x:c r="I97" s="94" t="str">
        <x:v>电子产品</x:v>
      </x:c>
      <x:c r="J97" s="94" t="str">
        <x:v>Wi-Fi路由器 H</x:v>
      </x:c>
      <x:c r="K97" s="97" t="n">
        <x:v>457.87</x:v>
      </x:c>
      <x:c r="L97" s="95" t="n">
        <x:v>1</x:v>
      </x:c>
      <x:c r="M97" s="97" t="n">
        <x:f>ROUND(K97*L97,2)</x:f>
        <x:v>457.87</x:v>
      </x:c>
      <x:c r="N97" s="109" t="n">
        <x:v>0.05</x:v>
      </x:c>
      <x:c r="O97" s="97" t="n">
        <x:f>ROUND(M97*N97,2)</x:f>
        <x:v>22.89</x:v>
      </x:c>
      <x:c r="P97" s="94" t="str">
        <x:v>已确认</x:v>
      </x:c>
      <x:c r="Q97" s="97" t="n">
        <x:f>IF(P97="已退款",M97,0)</x:f>
        <x:v>0</x:v>
      </x:c>
      <x:c r="R97" s="97" t="n">
        <x:f>IF(P97="已退款",O97,0)</x:f>
        <x:v>0</x:v>
      </x:c>
      <x:c r="S97" s="97" t="n">
        <x:f>O97-R97</x:f>
        <x:v>22.89</x:v>
      </x:c>
      <x:c r="T97" s="94" t="n">
        <x:v>0</x:v>
      </x:c>
      <x:c r="U97" s="94" t="str">
        <x:v>模拟：Amazon Associates订单回传</x:v>
      </x:c>
    </x:row>
    <x:row r="98">
      <x:c r="A98" s="92" t="str">
        <x:v>AMZ-ORD-00097</x:v>
      </x:c>
      <x:c r="B98" s="94" t="str">
        <x:v>PROC-0100</x:v>
      </x:c>
      <x:c r="C98" s="108" t="n">
        <x:v>46042.66805555556</x:v>
      </x:c>
      <x:c r="D98" s="93" t="n">
        <x:v>46040</x:v>
      </x:c>
      <x:c r="E98" s="94" t="str">
        <x:v>Google Ads</x:v>
      </x:c>
      <x:c r="F98" s="94" t="str">
        <x:v>美国</x:v>
      </x:c>
      <x:c r="G98" s="94" t="str">
        <x:v>品牌搜索</x:v>
      </x:c>
      <x:c r="H98" s="94" t="str">
        <x:v>SKU-0043</x:v>
      </x:c>
      <x:c r="I98" s="94" t="str">
        <x:v>办公学习</x:v>
      </x:c>
      <x:c r="J98" s="94" t="str">
        <x:v>会议麦克风 C</x:v>
      </x:c>
      <x:c r="K98" s="97" t="n">
        <x:v>220.99</x:v>
      </x:c>
      <x:c r="L98" s="95" t="n">
        <x:v>1</x:v>
      </x:c>
      <x:c r="M98" s="97" t="n">
        <x:f>ROUND(K98*L98,2)</x:f>
        <x:v>220.99</x:v>
      </x:c>
      <x:c r="N98" s="109" t="n">
        <x:v>0.07</x:v>
      </x:c>
      <x:c r="O98" s="97" t="n">
        <x:f>ROUND(M98*N98,2)</x:f>
        <x:v>15.47</x:v>
      </x:c>
      <x:c r="P98" s="94" t="str">
        <x:v>已确认</x:v>
      </x:c>
      <x:c r="Q98" s="97" t="n">
        <x:f>IF(P98="已退款",M98,0)</x:f>
        <x:v>0</x:v>
      </x:c>
      <x:c r="R98" s="97" t="n">
        <x:f>IF(P98="已退款",O98,0)</x:f>
        <x:v>0</x:v>
      </x:c>
      <x:c r="S98" s="97" t="n">
        <x:f>O98-R98</x:f>
        <x:v>15.47</x:v>
      </x:c>
      <x:c r="T98" s="94" t="n">
        <x:v>2</x:v>
      </x:c>
      <x:c r="U98" s="94" t="str">
        <x:v>模拟：Amazon Associates订单回传</x:v>
      </x:c>
    </x:row>
    <x:row r="99">
      <x:c r="A99" s="92" t="str">
        <x:v>AMZ-ORD-00098</x:v>
      </x:c>
      <x:c r="B99" s="94" t="str">
        <x:v>PROC-0100</x:v>
      </x:c>
      <x:c r="C99" s="108" t="n">
        <x:v>46043.5125</x:v>
      </x:c>
      <x:c r="D99" s="93" t="n">
        <x:v>46040</x:v>
      </x:c>
      <x:c r="E99" s="94" t="str">
        <x:v>Google Ads</x:v>
      </x:c>
      <x:c r="F99" s="94" t="str">
        <x:v>美国</x:v>
      </x:c>
      <x:c r="G99" s="94" t="str">
        <x:v>品牌搜索</x:v>
      </x:c>
      <x:c r="H99" s="94" t="str">
        <x:v>SKU-0009</x:v>
      </x:c>
      <x:c r="I99" s="94" t="str">
        <x:v>电子产品</x:v>
      </x:c>
      <x:c r="J99" s="94" t="str">
        <x:v>电子阅读器 I</x:v>
      </x:c>
      <x:c r="K99" s="97" t="n">
        <x:v>287.31</x:v>
      </x:c>
      <x:c r="L99" s="95" t="n">
        <x:v>1</x:v>
      </x:c>
      <x:c r="M99" s="97" t="n">
        <x:f>ROUND(K99*L99,2)</x:f>
        <x:v>287.31</x:v>
      </x:c>
      <x:c r="N99" s="109" t="n">
        <x:v>0.05</x:v>
      </x:c>
      <x:c r="O99" s="97" t="n">
        <x:f>ROUND(M99*N99,2)</x:f>
        <x:v>14.37</x:v>
      </x:c>
      <x:c r="P99" s="94" t="str">
        <x:v>已确认</x:v>
      </x:c>
      <x:c r="Q99" s="97" t="n">
        <x:f>IF(P99="已退款",M99,0)</x:f>
        <x:v>0</x:v>
      </x:c>
      <x:c r="R99" s="97" t="n">
        <x:f>IF(P99="已退款",O99,0)</x:f>
        <x:v>0</x:v>
      </x:c>
      <x:c r="S99" s="97" t="n">
        <x:f>O99-R99</x:f>
        <x:v>14.37</x:v>
      </x:c>
      <x:c r="T99" s="94" t="n">
        <x:v>3</x:v>
      </x:c>
      <x:c r="U99" s="94" t="str">
        <x:v>模拟：Amazon Associates订单回传</x:v>
      </x:c>
    </x:row>
    <x:row r="100">
      <x:c r="A100" s="92" t="str">
        <x:v>AMZ-ORD-00099</x:v>
      </x:c>
      <x:c r="B100" s="94" t="str">
        <x:v>PROC-0102</x:v>
      </x:c>
      <x:c r="C100" s="108" t="n">
        <x:v>46041.541666666664</x:v>
      </x:c>
      <x:c r="D100" s="93" t="n">
        <x:v>46041</x:v>
      </x:c>
      <x:c r="E100" s="94" t="str">
        <x:v>Microsoft Ads</x:v>
      </x:c>
      <x:c r="F100" s="94" t="str">
        <x:v>德国</x:v>
      </x:c>
      <x:c r="G100" s="94" t="str">
        <x:v>购物广告</x:v>
      </x:c>
      <x:c r="H100" s="94" t="str">
        <x:v>SKU-0047</x:v>
      </x:c>
      <x:c r="I100" s="94" t="str">
        <x:v>办公学习</x:v>
      </x:c>
      <x:c r="J100" s="94" t="str">
        <x:v>标签打印机 G</x:v>
      </x:c>
      <x:c r="K100" s="97" t="n">
        <x:v>210.24</x:v>
      </x:c>
      <x:c r="L100" s="95" t="n">
        <x:v>3</x:v>
      </x:c>
      <x:c r="M100" s="97" t="n">
        <x:f>ROUND(K100*L100,2)</x:f>
        <x:v>630.72</x:v>
      </x:c>
      <x:c r="N100" s="109" t="n">
        <x:v>0.07</x:v>
      </x:c>
      <x:c r="O100" s="97" t="n">
        <x:f>ROUND(M100*N100,2)</x:f>
        <x:v>44.15</x:v>
      </x:c>
      <x:c r="P100" s="94" t="str">
        <x:v>已确认</x:v>
      </x:c>
      <x:c r="Q100" s="97" t="n">
        <x:f>IF(P100="已退款",M100,0)</x:f>
        <x:v>0</x:v>
      </x:c>
      <x:c r="R100" s="97" t="n">
        <x:f>IF(P100="已退款",O100,0)</x:f>
        <x:v>0</x:v>
      </x:c>
      <x:c r="S100" s="97" t="n">
        <x:f>O100-R100</x:f>
        <x:v>44.15</x:v>
      </x:c>
      <x:c r="T100" s="94" t="n">
        <x:v>0</x:v>
      </x:c>
      <x:c r="U100" s="94" t="str">
        <x:v>模拟：Amazon Associates订单回传</x:v>
      </x:c>
    </x:row>
    <x:row r="101">
      <x:c r="A101" s="92" t="str">
        <x:v>AMZ-ORD-00100</x:v>
      </x:c>
      <x:c r="B101" s="94" t="str">
        <x:v>PROC-0103</x:v>
      </x:c>
      <x:c r="C101" s="108" t="n">
        <x:v>46041.7625</x:v>
      </x:c>
      <x:c r="D101" s="93" t="n">
        <x:v>46041</x:v>
      </x:c>
      <x:c r="E101" s="94" t="str">
        <x:v>Google Ads</x:v>
      </x:c>
      <x:c r="F101" s="94" t="str">
        <x:v>美国</x:v>
      </x:c>
      <x:c r="G101" s="94" t="str">
        <x:v>通用搜索</x:v>
      </x:c>
      <x:c r="H101" s="94" t="str">
        <x:v>SKU-0004</x:v>
      </x:c>
      <x:c r="I101" s="94" t="str">
        <x:v>电子产品</x:v>
      </x:c>
      <x:c r="J101" s="94" t="str">
        <x:v>机械键盘 D</x:v>
      </x:c>
      <x:c r="K101" s="97" t="n">
        <x:v>521.17</x:v>
      </x:c>
      <x:c r="L101" s="95" t="n">
        <x:v>1</x:v>
      </x:c>
      <x:c r="M101" s="97" t="n">
        <x:f>ROUND(K101*L101,2)</x:f>
        <x:v>521.17</x:v>
      </x:c>
      <x:c r="N101" s="109" t="n">
        <x:v>0.05</x:v>
      </x:c>
      <x:c r="O101" s="97" t="n">
        <x:f>ROUND(M101*N101,2)</x:f>
        <x:v>26.06</x:v>
      </x:c>
      <x:c r="P101" s="94" t="str">
        <x:v>已确认</x:v>
      </x:c>
      <x:c r="Q101" s="97" t="n">
        <x:f>IF(P101="已退款",M101,0)</x:f>
        <x:v>0</x:v>
      </x:c>
      <x:c r="R101" s="97" t="n">
        <x:f>IF(P101="已退款",O101,0)</x:f>
        <x:v>0</x:v>
      </x:c>
      <x:c r="S101" s="97" t="n">
        <x:f>O101-R101</x:f>
        <x:v>26.06</x:v>
      </x:c>
      <x:c r="T101" s="94" t="n">
        <x:v>0</x:v>
      </x:c>
      <x:c r="U101" s="94" t="str">
        <x:v>模拟：Amazon Associates订单回传</x:v>
      </x:c>
    </x:row>
    <x:row r="102">
      <x:c r="A102" s="92" t="str">
        <x:v>AMZ-ORD-00101</x:v>
      </x:c>
      <x:c r="B102" s="94" t="str">
        <x:v>PROC-0104</x:v>
      </x:c>
      <x:c r="C102" s="108" t="n">
        <x:v>46042.80069444444</x:v>
      </x:c>
      <x:c r="D102" s="93" t="n">
        <x:v>46041</x:v>
      </x:c>
      <x:c r="E102" s="94" t="str">
        <x:v>Microsoft Ads</x:v>
      </x:c>
      <x:c r="F102" s="94" t="str">
        <x:v>美国</x:v>
      </x:c>
      <x:c r="G102" s="94" t="str">
        <x:v>通用搜索</x:v>
      </x:c>
      <x:c r="H102" s="94" t="str">
        <x:v>SKU-0016</x:v>
      </x:c>
      <x:c r="I102" s="94" t="str">
        <x:v>家居生活</x:v>
      </x:c>
      <x:c r="J102" s="94" t="str">
        <x:v>厨师机 F</x:v>
      </x:c>
      <x:c r="K102" s="97" t="n">
        <x:v>338.95</x:v>
      </x:c>
      <x:c r="L102" s="95" t="n">
        <x:v>3</x:v>
      </x:c>
      <x:c r="M102" s="97" t="n">
        <x:f>ROUND(K102*L102,2)</x:f>
        <x:v>1016.85</x:v>
      </x:c>
      <x:c r="N102" s="109" t="n">
        <x:v>0.07</x:v>
      </x:c>
      <x:c r="O102" s="97" t="n">
        <x:f>ROUND(M102*N102,2)</x:f>
        <x:v>71.18</x:v>
      </x:c>
      <x:c r="P102" s="94" t="str">
        <x:v>已确认</x:v>
      </x:c>
      <x:c r="Q102" s="97" t="n">
        <x:f>IF(P102="已退款",M102,0)</x:f>
        <x:v>0</x:v>
      </x:c>
      <x:c r="R102" s="97" t="n">
        <x:f>IF(P102="已退款",O102,0)</x:f>
        <x:v>0</x:v>
      </x:c>
      <x:c r="S102" s="97" t="n">
        <x:f>O102-R102</x:f>
        <x:v>71.18</x:v>
      </x:c>
      <x:c r="T102" s="94" t="n">
        <x:v>1</x:v>
      </x:c>
      <x:c r="U102" s="94" t="str">
        <x:v>模拟：Amazon Associates订单回传</x:v>
      </x:c>
    </x:row>
    <x:row r="103">
      <x:c r="A103" s="92" t="str">
        <x:v>AMZ-ORD-00102</x:v>
      </x:c>
      <x:c r="B103" s="94" t="str">
        <x:v>PROC-0106</x:v>
      </x:c>
      <x:c r="C103" s="108" t="n">
        <x:v>46043.347916666666</x:v>
      </x:c>
      <x:c r="D103" s="93" t="n">
        <x:v>46042</x:v>
      </x:c>
      <x:c r="E103" s="94" t="str">
        <x:v>Microsoft Ads</x:v>
      </x:c>
      <x:c r="F103" s="94" t="str">
        <x:v>美国</x:v>
      </x:c>
      <x:c r="G103" s="94" t="str">
        <x:v>购物广告</x:v>
      </x:c>
      <x:c r="H103" s="94" t="str">
        <x:v>SKU-0046</x:v>
      </x:c>
      <x:c r="I103" s="94" t="str">
        <x:v>办公学习</x:v>
      </x:c>
      <x:c r="J103" s="94" t="str">
        <x:v>高清摄像头 F</x:v>
      </x:c>
      <x:c r="K103" s="97" t="n">
        <x:v>201.18</x:v>
      </x:c>
      <x:c r="L103" s="95" t="n">
        <x:v>1</x:v>
      </x:c>
      <x:c r="M103" s="97" t="n">
        <x:f>ROUND(K103*L103,2)</x:f>
        <x:v>201.18</x:v>
      </x:c>
      <x:c r="N103" s="109" t="n">
        <x:v>0.07</x:v>
      </x:c>
      <x:c r="O103" s="97" t="n">
        <x:f>ROUND(M103*N103,2)</x:f>
        <x:v>14.08</x:v>
      </x:c>
      <x:c r="P103" s="94" t="str">
        <x:v>已确认</x:v>
      </x:c>
      <x:c r="Q103" s="97" t="n">
        <x:f>IF(P103="已退款",M103,0)</x:f>
        <x:v>0</x:v>
      </x:c>
      <x:c r="R103" s="97" t="n">
        <x:f>IF(P103="已退款",O103,0)</x:f>
        <x:v>0</x:v>
      </x:c>
      <x:c r="S103" s="97" t="n">
        <x:f>O103-R103</x:f>
        <x:v>14.08</x:v>
      </x:c>
      <x:c r="T103" s="94" t="n">
        <x:v>1</x:v>
      </x:c>
      <x:c r="U103" s="94" t="str">
        <x:v>模拟：Amazon Associates订单回传</x:v>
      </x:c>
    </x:row>
    <x:row r="104">
      <x:c r="A104" s="92" t="str">
        <x:v>AMZ-ORD-00103</x:v>
      </x:c>
      <x:c r="B104" s="94" t="str">
        <x:v>PROC-0106</x:v>
      </x:c>
      <x:c r="C104" s="108" t="n">
        <x:v>46042.395833333336</x:v>
      </x:c>
      <x:c r="D104" s="93" t="n">
        <x:v>46042</x:v>
      </x:c>
      <x:c r="E104" s="94" t="str">
        <x:v>Microsoft Ads</x:v>
      </x:c>
      <x:c r="F104" s="94" t="str">
        <x:v>美国</x:v>
      </x:c>
      <x:c r="G104" s="94" t="str">
        <x:v>购物广告</x:v>
      </x:c>
      <x:c r="H104" s="94" t="str">
        <x:v>SKU-0016</x:v>
      </x:c>
      <x:c r="I104" s="94" t="str">
        <x:v>家居生活</x:v>
      </x:c>
      <x:c r="J104" s="94" t="str">
        <x:v>厨师机 F</x:v>
      </x:c>
      <x:c r="K104" s="97" t="n">
        <x:v>314.72</x:v>
      </x:c>
      <x:c r="L104" s="95" t="n">
        <x:v>1</x:v>
      </x:c>
      <x:c r="M104" s="97" t="n">
        <x:f>ROUND(K104*L104,2)</x:f>
        <x:v>314.72</x:v>
      </x:c>
      <x:c r="N104" s="109" t="n">
        <x:v>0.07</x:v>
      </x:c>
      <x:c r="O104" s="97" t="n">
        <x:f>ROUND(M104*N104,2)</x:f>
        <x:v>22.03</x:v>
      </x:c>
      <x:c r="P104" s="94" t="str">
        <x:v>已退款</x:v>
      </x:c>
      <x:c r="Q104" s="97" t="n">
        <x:f>IF(P104="已退款",M104,0)</x:f>
        <x:v>314.72</x:v>
      </x:c>
      <x:c r="R104" s="97" t="n">
        <x:f>IF(P104="已退款",O104,0)</x:f>
        <x:v>22.03</x:v>
      </x:c>
      <x:c r="S104" s="97" t="n">
        <x:f>O104-R104</x:f>
        <x:v>0</x:v>
      </x:c>
      <x:c r="T104" s="94" t="n">
        <x:v>0</x:v>
      </x:c>
      <x:c r="U104" s="94" t="str">
        <x:v>模拟：Amazon Associates订单回传</x:v>
      </x:c>
    </x:row>
    <x:row r="105">
      <x:c r="A105" s="92" t="str">
        <x:v>AMZ-ORD-00104</x:v>
      </x:c>
      <x:c r="B105" s="94" t="str">
        <x:v>PROC-0107</x:v>
      </x:c>
      <x:c r="C105" s="108" t="n">
        <x:v>46044.54375</x:v>
      </x:c>
      <x:c r="D105" s="93" t="n">
        <x:v>46042</x:v>
      </x:c>
      <x:c r="E105" s="94" t="str">
        <x:v>Microsoft Ads</x:v>
      </x:c>
      <x:c r="F105" s="94" t="str">
        <x:v>美国</x:v>
      </x:c>
      <x:c r="G105" s="94" t="str">
        <x:v>购物广告</x:v>
      </x:c>
      <x:c r="H105" s="94" t="str">
        <x:v>SKU-0041</x:v>
      </x:c>
      <x:c r="I105" s="94" t="str">
        <x:v>办公学习</x:v>
      </x:c>
      <x:c r="J105" s="94" t="str">
        <x:v>桌面升降台 A</x:v>
      </x:c>
      <x:c r="K105" s="97" t="n">
        <x:v>255.67</x:v>
      </x:c>
      <x:c r="L105" s="95" t="n">
        <x:v>1</x:v>
      </x:c>
      <x:c r="M105" s="97" t="n">
        <x:f>ROUND(K105*L105,2)</x:f>
        <x:v>255.67</x:v>
      </x:c>
      <x:c r="N105" s="109" t="n">
        <x:v>0.07</x:v>
      </x:c>
      <x:c r="O105" s="97" t="n">
        <x:f>ROUND(M105*N105,2)</x:f>
        <x:v>17.9</x:v>
      </x:c>
      <x:c r="P105" s="94" t="str">
        <x:v>已确认</x:v>
      </x:c>
      <x:c r="Q105" s="97" t="n">
        <x:f>IF(P105="已退款",M105,0)</x:f>
        <x:v>0</x:v>
      </x:c>
      <x:c r="R105" s="97" t="n">
        <x:f>IF(P105="已退款",O105,0)</x:f>
        <x:v>0</x:v>
      </x:c>
      <x:c r="S105" s="97" t="n">
        <x:f>O105-R105</x:f>
        <x:v>17.9</x:v>
      </x:c>
      <x:c r="T105" s="94" t="n">
        <x:v>2</x:v>
      </x:c>
      <x:c r="U105" s="94" t="str">
        <x:v>模拟：Amazon Associates订单回传</x:v>
      </x:c>
    </x:row>
    <x:row r="106">
      <x:c r="A106" s="92" t="str">
        <x:v>AMZ-ORD-00105</x:v>
      </x:c>
      <x:c r="B106" s="94" t="str">
        <x:v>PROC-0108</x:v>
      </x:c>
      <x:c r="C106" s="108" t="n">
        <x:v>46045.552083333336</x:v>
      </x:c>
      <x:c r="D106" s="93" t="n">
        <x:v>46042</x:v>
      </x:c>
      <x:c r="E106" s="94" t="str">
        <x:v>Google Ads</x:v>
      </x:c>
      <x:c r="F106" s="94" t="str">
        <x:v>德国</x:v>
      </x:c>
      <x:c r="G106" s="94" t="str">
        <x:v>品牌搜索</x:v>
      </x:c>
      <x:c r="H106" s="94" t="str">
        <x:v>SKU-0046</x:v>
      </x:c>
      <x:c r="I106" s="94" t="str">
        <x:v>办公学习</x:v>
      </x:c>
      <x:c r="J106" s="94" t="str">
        <x:v>高清摄像头 F</x:v>
      </x:c>
      <x:c r="K106" s="97" t="n">
        <x:v>79.18</x:v>
      </x:c>
      <x:c r="L106" s="95" t="n">
        <x:v>1</x:v>
      </x:c>
      <x:c r="M106" s="97" t="n">
        <x:f>ROUND(K106*L106,2)</x:f>
        <x:v>79.18</x:v>
      </x:c>
      <x:c r="N106" s="109" t="n">
        <x:v>0.07</x:v>
      </x:c>
      <x:c r="O106" s="97" t="n">
        <x:f>ROUND(M106*N106,2)</x:f>
        <x:v>5.54</x:v>
      </x:c>
      <x:c r="P106" s="94" t="str">
        <x:v>已确认</x:v>
      </x:c>
      <x:c r="Q106" s="97" t="n">
        <x:f>IF(P106="已退款",M106,0)</x:f>
        <x:v>0</x:v>
      </x:c>
      <x:c r="R106" s="97" t="n">
        <x:f>IF(P106="已退款",O106,0)</x:f>
        <x:v>0</x:v>
      </x:c>
      <x:c r="S106" s="97" t="n">
        <x:f>O106-R106</x:f>
        <x:v>5.54</x:v>
      </x:c>
      <x:c r="T106" s="94" t="n">
        <x:v>3</x:v>
      </x:c>
      <x:c r="U106" s="94" t="str">
        <x:v>模拟：Amazon Associates订单回传</x:v>
      </x:c>
    </x:row>
    <x:row r="107">
      <x:c r="A107" s="92" t="str">
        <x:v>AMZ-ORD-00106</x:v>
      </x:c>
      <x:c r="B107" s="94" t="str">
        <x:v>PROC-0109</x:v>
      </x:c>
      <x:c r="C107" s="108" t="n">
        <x:v>46043.49444444444</x:v>
      </x:c>
      <x:c r="D107" s="93" t="n">
        <x:v>46042</x:v>
      </x:c>
      <x:c r="E107" s="94" t="str">
        <x:v>Google Ads</x:v>
      </x:c>
      <x:c r="F107" s="94" t="str">
        <x:v>英国</x:v>
      </x:c>
      <x:c r="G107" s="94" t="str">
        <x:v>通用搜索</x:v>
      </x:c>
      <x:c r="H107" s="94" t="str">
        <x:v>SKU-0011</x:v>
      </x:c>
      <x:c r="I107" s="94" t="str">
        <x:v>家居生活</x:v>
      </x:c>
      <x:c r="J107" s="94" t="str">
        <x:v>空气净化器 A</x:v>
      </x:c>
      <x:c r="K107" s="97" t="n">
        <x:v>306.05</x:v>
      </x:c>
      <x:c r="L107" s="95" t="n">
        <x:v>1</x:v>
      </x:c>
      <x:c r="M107" s="97" t="n">
        <x:f>ROUND(K107*L107,2)</x:f>
        <x:v>306.05</x:v>
      </x:c>
      <x:c r="N107" s="109" t="n">
        <x:v>0.07</x:v>
      </x:c>
      <x:c r="O107" s="97" t="n">
        <x:f>ROUND(M107*N107,2)</x:f>
        <x:v>21.42</x:v>
      </x:c>
      <x:c r="P107" s="94" t="str">
        <x:v>已确认</x:v>
      </x:c>
      <x:c r="Q107" s="97" t="n">
        <x:f>IF(P107="已退款",M107,0)</x:f>
        <x:v>0</x:v>
      </x:c>
      <x:c r="R107" s="97" t="n">
        <x:f>IF(P107="已退款",O107,0)</x:f>
        <x:v>0</x:v>
      </x:c>
      <x:c r="S107" s="97" t="n">
        <x:f>O107-R107</x:f>
        <x:v>21.42</x:v>
      </x:c>
      <x:c r="T107" s="94" t="n">
        <x:v>1</x:v>
      </x:c>
      <x:c r="U107" s="94" t="str">
        <x:v>模拟：Amazon Associates订单回传</x:v>
      </x:c>
    </x:row>
    <x:row r="108">
      <x:c r="A108" s="92" t="str">
        <x:v>AMZ-ORD-00107</x:v>
      </x:c>
      <x:c r="B108" s="94" t="str">
        <x:v>PROC-0110</x:v>
      </x:c>
      <x:c r="C108" s="108" t="n">
        <x:v>46042.44652777778</x:v>
      </x:c>
      <x:c r="D108" s="93" t="n">
        <x:v>46042</x:v>
      </x:c>
      <x:c r="E108" s="94" t="str">
        <x:v>Google Ads</x:v>
      </x:c>
      <x:c r="F108" s="94" t="str">
        <x:v>美国</x:v>
      </x:c>
      <x:c r="G108" s="94" t="str">
        <x:v>通用搜索</x:v>
      </x:c>
      <x:c r="H108" s="94" t="str">
        <x:v>SKU-0007</x:v>
      </x:c>
      <x:c r="I108" s="94" t="str">
        <x:v>电子产品</x:v>
      </x:c>
      <x:c r="J108" s="94" t="str">
        <x:v>运动相机 G</x:v>
      </x:c>
      <x:c r="K108" s="97" t="n">
        <x:v>231.02</x:v>
      </x:c>
      <x:c r="L108" s="95" t="n">
        <x:v>3</x:v>
      </x:c>
      <x:c r="M108" s="97" t="n">
        <x:f>ROUND(K108*L108,2)</x:f>
        <x:v>693.06</x:v>
      </x:c>
      <x:c r="N108" s="109" t="n">
        <x:v>0.05</x:v>
      </x:c>
      <x:c r="O108" s="97" t="n">
        <x:f>ROUND(M108*N108,2)</x:f>
        <x:v>34.65</x:v>
      </x:c>
      <x:c r="P108" s="94" t="str">
        <x:v>已确认</x:v>
      </x:c>
      <x:c r="Q108" s="97" t="n">
        <x:f>IF(P108="已退款",M108,0)</x:f>
        <x:v>0</x:v>
      </x:c>
      <x:c r="R108" s="97" t="n">
        <x:f>IF(P108="已退款",O108,0)</x:f>
        <x:v>0</x:v>
      </x:c>
      <x:c r="S108" s="97" t="n">
        <x:f>O108-R108</x:f>
        <x:v>34.65</x:v>
      </x:c>
      <x:c r="T108" s="94" t="n">
        <x:v>0</x:v>
      </x:c>
      <x:c r="U108" s="94" t="str">
        <x:v>模拟：Amazon Associates订单回传</x:v>
      </x:c>
    </x:row>
    <x:row r="109">
      <x:c r="A109" s="92" t="str">
        <x:v>AMZ-ORD-00108</x:v>
      </x:c>
      <x:c r="B109" s="94" t="str">
        <x:v>PROC-0111</x:v>
      </x:c>
      <x:c r="C109" s="108" t="n">
        <x:v>46044.728472222225</x:v>
      </x:c>
      <x:c r="D109" s="93" t="n">
        <x:v>46042</x:v>
      </x:c>
      <x:c r="E109" s="94" t="str">
        <x:v>Microsoft Ads</x:v>
      </x:c>
      <x:c r="F109" s="94" t="str">
        <x:v>美国</x:v>
      </x:c>
      <x:c r="G109" s="94" t="str">
        <x:v>通用搜索</x:v>
      </x:c>
      <x:c r="H109" s="94" t="str">
        <x:v>SKU-0012</x:v>
      </x:c>
      <x:c r="I109" s="94" t="str">
        <x:v>家居生活</x:v>
      </x:c>
      <x:c r="J109" s="94" t="str">
        <x:v>咖啡机 B</x:v>
      </x:c>
      <x:c r="K109" s="97" t="n">
        <x:v>238.67</x:v>
      </x:c>
      <x:c r="L109" s="95" t="n">
        <x:v>1</x:v>
      </x:c>
      <x:c r="M109" s="97" t="n">
        <x:f>ROUND(K109*L109,2)</x:f>
        <x:v>238.67</x:v>
      </x:c>
      <x:c r="N109" s="109" t="n">
        <x:v>0.07</x:v>
      </x:c>
      <x:c r="O109" s="97" t="n">
        <x:f>ROUND(M109*N109,2)</x:f>
        <x:v>16.71</x:v>
      </x:c>
      <x:c r="P109" s="94" t="str">
        <x:v>已确认</x:v>
      </x:c>
      <x:c r="Q109" s="97" t="n">
        <x:f>IF(P109="已退款",M109,0)</x:f>
        <x:v>0</x:v>
      </x:c>
      <x:c r="R109" s="97" t="n">
        <x:f>IF(P109="已退款",O109,0)</x:f>
        <x:v>0</x:v>
      </x:c>
      <x:c r="S109" s="97" t="n">
        <x:f>O109-R109</x:f>
        <x:v>16.71</x:v>
      </x:c>
      <x:c r="T109" s="94" t="n">
        <x:v>2</x:v>
      </x:c>
      <x:c r="U109" s="94" t="str">
        <x:v>模拟：Amazon Associates订单回传</x:v>
      </x:c>
    </x:row>
    <x:row r="110">
      <x:c r="A110" s="92" t="str">
        <x:v>AMZ-ORD-00109</x:v>
      </x:c>
      <x:c r="B110" s="94" t="str">
        <x:v>PROC-0112</x:v>
      </x:c>
      <x:c r="C110" s="108" t="n">
        <x:v>46046.36597222222</x:v>
      </x:c>
      <x:c r="D110" s="93" t="n">
        <x:v>46043</x:v>
      </x:c>
      <x:c r="E110" s="94" t="str">
        <x:v>Microsoft Ads</x:v>
      </x:c>
      <x:c r="F110" s="94" t="str">
        <x:v>日本</x:v>
      </x:c>
      <x:c r="G110" s="94" t="str">
        <x:v>通用搜索</x:v>
      </x:c>
      <x:c r="H110" s="94" t="str">
        <x:v>SKU-0009</x:v>
      </x:c>
      <x:c r="I110" s="94" t="str">
        <x:v>电子产品</x:v>
      </x:c>
      <x:c r="J110" s="94" t="str">
        <x:v>电子阅读器 I</x:v>
      </x:c>
      <x:c r="K110" s="97" t="n">
        <x:v>295.14</x:v>
      </x:c>
      <x:c r="L110" s="95" t="n">
        <x:v>1</x:v>
      </x:c>
      <x:c r="M110" s="97" t="n">
        <x:f>ROUND(K110*L110,2)</x:f>
        <x:v>295.14</x:v>
      </x:c>
      <x:c r="N110" s="109" t="n">
        <x:v>0.05</x:v>
      </x:c>
      <x:c r="O110" s="97" t="n">
        <x:f>ROUND(M110*N110,2)</x:f>
        <x:v>14.76</x:v>
      </x:c>
      <x:c r="P110" s="94" t="str">
        <x:v>已确认</x:v>
      </x:c>
      <x:c r="Q110" s="97" t="n">
        <x:f>IF(P110="已退款",M110,0)</x:f>
        <x:v>0</x:v>
      </x:c>
      <x:c r="R110" s="97" t="n">
        <x:f>IF(P110="已退款",O110,0)</x:f>
        <x:v>0</x:v>
      </x:c>
      <x:c r="S110" s="97" t="n">
        <x:f>O110-R110</x:f>
        <x:v>14.76</x:v>
      </x:c>
      <x:c r="T110" s="94" t="n">
        <x:v>3</x:v>
      </x:c>
      <x:c r="U110" s="94" t="str">
        <x:v>模拟：Amazon Associates订单回传</x:v>
      </x:c>
    </x:row>
    <x:row r="111">
      <x:c r="A111" s="92" t="str">
        <x:v>AMZ-ORD-00110</x:v>
      </x:c>
      <x:c r="B111" s="94" t="str">
        <x:v>PROC-0113</x:v>
      </x:c>
      <x:c r="C111" s="108" t="n">
        <x:v>46043.46388888889</x:v>
      </x:c>
      <x:c r="D111" s="93" t="n">
        <x:v>46043</x:v>
      </x:c>
      <x:c r="E111" s="94" t="str">
        <x:v>Microsoft Ads</x:v>
      </x:c>
      <x:c r="F111" s="94" t="str">
        <x:v>美国</x:v>
      </x:c>
      <x:c r="G111" s="94" t="str">
        <x:v>竞品搜索</x:v>
      </x:c>
      <x:c r="H111" s="94" t="str">
        <x:v>SKU-0004</x:v>
      </x:c>
      <x:c r="I111" s="94" t="str">
        <x:v>电子产品</x:v>
      </x:c>
      <x:c r="J111" s="94" t="str">
        <x:v>机械键盘 D</x:v>
      </x:c>
      <x:c r="K111" s="97" t="n">
        <x:v>243.28</x:v>
      </x:c>
      <x:c r="L111" s="95" t="n">
        <x:v>1</x:v>
      </x:c>
      <x:c r="M111" s="97" t="n">
        <x:f>ROUND(K111*L111,2)</x:f>
        <x:v>243.28</x:v>
      </x:c>
      <x:c r="N111" s="109" t="n">
        <x:v>0.05</x:v>
      </x:c>
      <x:c r="O111" s="97" t="n">
        <x:f>ROUND(M111*N111,2)</x:f>
        <x:v>12.16</x:v>
      </x:c>
      <x:c r="P111" s="94" t="str">
        <x:v>已确认</x:v>
      </x:c>
      <x:c r="Q111" s="97" t="n">
        <x:f>IF(P111="已退款",M111,0)</x:f>
        <x:v>0</x:v>
      </x:c>
      <x:c r="R111" s="97" t="n">
        <x:f>IF(P111="已退款",O111,0)</x:f>
        <x:v>0</x:v>
      </x:c>
      <x:c r="S111" s="97" t="n">
        <x:f>O111-R111</x:f>
        <x:v>12.16</x:v>
      </x:c>
      <x:c r="T111" s="94" t="n">
        <x:v>0</x:v>
      </x:c>
      <x:c r="U111" s="94" t="str">
        <x:v>模拟：Amazon Associates订单回传</x:v>
      </x:c>
    </x:row>
    <x:row r="112">
      <x:c r="A112" s="92" t="str">
        <x:v>AMZ-ORD-00111</x:v>
      </x:c>
      <x:c r="B112" s="94" t="str">
        <x:v>PROC-0114</x:v>
      </x:c>
      <x:c r="C112" s="108" t="n">
        <x:v>46047.342361111114</x:v>
      </x:c>
      <x:c r="D112" s="93" t="n">
        <x:v>46043</x:v>
      </x:c>
      <x:c r="E112" s="94" t="str">
        <x:v>Microsoft Ads</x:v>
      </x:c>
      <x:c r="F112" s="94" t="str">
        <x:v>日本</x:v>
      </x:c>
      <x:c r="G112" s="94" t="str">
        <x:v>购物广告</x:v>
      </x:c>
      <x:c r="H112" s="94" t="str">
        <x:v>SKU-0017</x:v>
      </x:c>
      <x:c r="I112" s="94" t="str">
        <x:v>家居生活</x:v>
      </x:c>
      <x:c r="J112" s="94" t="str">
        <x:v>落地灯 G</x:v>
      </x:c>
      <x:c r="K112" s="97" t="n">
        <x:v>172.07</x:v>
      </x:c>
      <x:c r="L112" s="95" t="n">
        <x:v>1</x:v>
      </x:c>
      <x:c r="M112" s="97" t="n">
        <x:f>ROUND(K112*L112,2)</x:f>
        <x:v>172.07</x:v>
      </x:c>
      <x:c r="N112" s="109" t="n">
        <x:v>0.07</x:v>
      </x:c>
      <x:c r="O112" s="97" t="n">
        <x:f>ROUND(M112*N112,2)</x:f>
        <x:v>12.04</x:v>
      </x:c>
      <x:c r="P112" s="94" t="str">
        <x:v>已确认</x:v>
      </x:c>
      <x:c r="Q112" s="97" t="n">
        <x:f>IF(P112="已退款",M112,0)</x:f>
        <x:v>0</x:v>
      </x:c>
      <x:c r="R112" s="97" t="n">
        <x:f>IF(P112="已退款",O112,0)</x:f>
        <x:v>0</x:v>
      </x:c>
      <x:c r="S112" s="97" t="n">
        <x:f>O112-R112</x:f>
        <x:v>12.04</x:v>
      </x:c>
      <x:c r="T112" s="94" t="n">
        <x:v>4</x:v>
      </x:c>
      <x:c r="U112" s="94" t="str">
        <x:v>模拟：Amazon Associates订单回传</x:v>
      </x:c>
    </x:row>
    <x:row r="113">
      <x:c r="A113" s="92" t="str">
        <x:v>AMZ-ORD-00112</x:v>
      </x:c>
      <x:c r="B113" s="94" t="str">
        <x:v>PROC-0115</x:v>
      </x:c>
      <x:c r="C113" s="108" t="n">
        <x:v>46043.67569444444</x:v>
      </x:c>
      <x:c r="D113" s="93" t="n">
        <x:v>46043</x:v>
      </x:c>
      <x:c r="E113" s="94" t="str">
        <x:v>Microsoft Ads</x:v>
      </x:c>
      <x:c r="F113" s="94" t="str">
        <x:v>美国</x:v>
      </x:c>
      <x:c r="G113" s="94" t="str">
        <x:v>竞品搜索</x:v>
      </x:c>
      <x:c r="H113" s="94" t="str">
        <x:v>SKU-0020</x:v>
      </x:c>
      <x:c r="I113" s="94" t="str">
        <x:v>家居生活</x:v>
      </x:c>
      <x:c r="J113" s="94" t="str">
        <x:v>智能门锁 J</x:v>
      </x:c>
      <x:c r="K113" s="97" t="n">
        <x:v>91.05</x:v>
      </x:c>
      <x:c r="L113" s="95" t="n">
        <x:v>1</x:v>
      </x:c>
      <x:c r="M113" s="97" t="n">
        <x:f>ROUND(K113*L113,2)</x:f>
        <x:v>91.05</x:v>
      </x:c>
      <x:c r="N113" s="109" t="n">
        <x:v>0.07</x:v>
      </x:c>
      <x:c r="O113" s="97" t="n">
        <x:f>ROUND(M113*N113,2)</x:f>
        <x:v>6.37</x:v>
      </x:c>
      <x:c r="P113" s="94" t="str">
        <x:v>待确认</x:v>
      </x:c>
      <x:c r="Q113" s="97" t="n">
        <x:f>IF(P113="已退款",M113,0)</x:f>
        <x:v>0</x:v>
      </x:c>
      <x:c r="R113" s="97" t="n">
        <x:f>IF(P113="已退款",O113,0)</x:f>
        <x:v>0</x:v>
      </x:c>
      <x:c r="S113" s="97" t="n">
        <x:f>O113-R113</x:f>
        <x:v>6.37</x:v>
      </x:c>
      <x:c r="T113" s="94" t="n">
        <x:v>0</x:v>
      </x:c>
      <x:c r="U113" s="94" t="str">
        <x:v>模拟：Amazon Associates订单回传</x:v>
      </x:c>
    </x:row>
    <x:row r="114">
      <x:c r="A114" s="92" t="str">
        <x:v>AMZ-ORD-00113</x:v>
      </x:c>
      <x:c r="B114" s="94" t="str">
        <x:v>PROC-0117</x:v>
      </x:c>
      <x:c r="C114" s="108" t="n">
        <x:v>46046.42986111111</x:v>
      </x:c>
      <x:c r="D114" s="93" t="n">
        <x:v>46043</x:v>
      </x:c>
      <x:c r="E114" s="94" t="str">
        <x:v>Google Ads</x:v>
      </x:c>
      <x:c r="F114" s="94" t="str">
        <x:v>英国</x:v>
      </x:c>
      <x:c r="G114" s="94" t="str">
        <x:v>品牌搜索</x:v>
      </x:c>
      <x:c r="H114" s="94" t="str">
        <x:v>SKU-0021</x:v>
      </x:c>
      <x:c r="I114" s="94" t="str">
        <x:v>运动健康</x:v>
      </x:c>
      <x:c r="J114" s="94" t="str">
        <x:v>智能手表 A</x:v>
      </x:c>
      <x:c r="K114" s="97" t="n">
        <x:v>254.27</x:v>
      </x:c>
      <x:c r="L114" s="95" t="n">
        <x:v>1</x:v>
      </x:c>
      <x:c r="M114" s="97" t="n">
        <x:f>ROUND(K114*L114,2)</x:f>
        <x:v>254.27</x:v>
      </x:c>
      <x:c r="N114" s="109" t="n">
        <x:v>0.08</x:v>
      </x:c>
      <x:c r="O114" s="97" t="n">
        <x:f>ROUND(M114*N114,2)</x:f>
        <x:v>20.34</x:v>
      </x:c>
      <x:c r="P114" s="94" t="str">
        <x:v>已确认</x:v>
      </x:c>
      <x:c r="Q114" s="97" t="n">
        <x:f>IF(P114="已退款",M114,0)</x:f>
        <x:v>0</x:v>
      </x:c>
      <x:c r="R114" s="97" t="n">
        <x:f>IF(P114="已退款",O114,0)</x:f>
        <x:v>0</x:v>
      </x:c>
      <x:c r="S114" s="97" t="n">
        <x:f>O114-R114</x:f>
        <x:v>20.34</x:v>
      </x:c>
      <x:c r="T114" s="94" t="n">
        <x:v>3</x:v>
      </x:c>
      <x:c r="U114" s="94" t="str">
        <x:v>模拟：Amazon Associates订单回传</x:v>
      </x:c>
    </x:row>
    <x:row r="115">
      <x:c r="A115" s="92" t="str">
        <x:v>AMZ-ORD-00114</x:v>
      </x:c>
      <x:c r="B115" s="94" t="str">
        <x:v>PROC-0118</x:v>
      </x:c>
      <x:c r="C115" s="108" t="n">
        <x:v>46045.46875</x:v>
      </x:c>
      <x:c r="D115" s="93" t="n">
        <x:v>46044</x:v>
      </x:c>
      <x:c r="E115" s="94" t="str">
        <x:v>Google Ads</x:v>
      </x:c>
      <x:c r="F115" s="94" t="str">
        <x:v>日本</x:v>
      </x:c>
      <x:c r="G115" s="94" t="str">
        <x:v>购物广告</x:v>
      </x:c>
      <x:c r="H115" s="94" t="str">
        <x:v>SKU-0019</x:v>
      </x:c>
      <x:c r="I115" s="94" t="str">
        <x:v>家居生活</x:v>
      </x:c>
      <x:c r="J115" s="94" t="str">
        <x:v>无线吸尘器 I</x:v>
      </x:c>
      <x:c r="K115" s="97" t="n">
        <x:v>303.89</x:v>
      </x:c>
      <x:c r="L115" s="95" t="n">
        <x:v>2</x:v>
      </x:c>
      <x:c r="M115" s="97" t="n">
        <x:f>ROUND(K115*L115,2)</x:f>
        <x:v>607.78</x:v>
      </x:c>
      <x:c r="N115" s="109" t="n">
        <x:v>0.07</x:v>
      </x:c>
      <x:c r="O115" s="97" t="n">
        <x:f>ROUND(M115*N115,2)</x:f>
        <x:v>42.54</x:v>
      </x:c>
      <x:c r="P115" s="94" t="str">
        <x:v>已确认</x:v>
      </x:c>
      <x:c r="Q115" s="97" t="n">
        <x:f>IF(P115="已退款",M115,0)</x:f>
        <x:v>0</x:v>
      </x:c>
      <x:c r="R115" s="97" t="n">
        <x:f>IF(P115="已退款",O115,0)</x:f>
        <x:v>0</x:v>
      </x:c>
      <x:c r="S115" s="97" t="n">
        <x:f>O115-R115</x:f>
        <x:v>42.54</x:v>
      </x:c>
      <x:c r="T115" s="94" t="n">
        <x:v>1</x:v>
      </x:c>
      <x:c r="U115" s="94" t="str">
        <x:v>模拟：Amazon Associates订单回传</x:v>
      </x:c>
    </x:row>
    <x:row r="116">
      <x:c r="A116" s="92" t="str">
        <x:v>AMZ-ORD-00115</x:v>
      </x:c>
      <x:c r="B116" s="94" t="str">
        <x:v>PROC-0119</x:v>
      </x:c>
      <x:c r="C116" s="108" t="n">
        <x:v>46044.68541666667</x:v>
      </x:c>
      <x:c r="D116" s="93" t="n">
        <x:v>46044</x:v>
      </x:c>
      <x:c r="E116" s="94" t="str">
        <x:v>Google Ads</x:v>
      </x:c>
      <x:c r="F116" s="94" t="str">
        <x:v>英国</x:v>
      </x:c>
      <x:c r="G116" s="94" t="str">
        <x:v>品牌搜索</x:v>
      </x:c>
      <x:c r="H116" s="94" t="str">
        <x:v>SKU-0050</x:v>
      </x:c>
      <x:c r="I116" s="94" t="str">
        <x:v>办公学习</x:v>
      </x:c>
      <x:c r="J116" s="94" t="str">
        <x:v>静音鼠标 J</x:v>
      </x:c>
      <x:c r="K116" s="97" t="n">
        <x:v>91.22</x:v>
      </x:c>
      <x:c r="L116" s="95" t="n">
        <x:v>1</x:v>
      </x:c>
      <x:c r="M116" s="97" t="n">
        <x:f>ROUND(K116*L116,2)</x:f>
        <x:v>91.22</x:v>
      </x:c>
      <x:c r="N116" s="109" t="n">
        <x:v>0.07</x:v>
      </x:c>
      <x:c r="O116" s="97" t="n">
        <x:f>ROUND(M116*N116,2)</x:f>
        <x:v>6.39</x:v>
      </x:c>
      <x:c r="P116" s="94" t="str">
        <x:v>已确认</x:v>
      </x:c>
      <x:c r="Q116" s="97" t="n">
        <x:f>IF(P116="已退款",M116,0)</x:f>
        <x:v>0</x:v>
      </x:c>
      <x:c r="R116" s="97" t="n">
        <x:f>IF(P116="已退款",O116,0)</x:f>
        <x:v>0</x:v>
      </x:c>
      <x:c r="S116" s="97" t="n">
        <x:f>O116-R116</x:f>
        <x:v>6.39</x:v>
      </x:c>
      <x:c r="T116" s="94" t="n">
        <x:v>0</x:v>
      </x:c>
      <x:c r="U116" s="94" t="str">
        <x:v>模拟：Amazon Associates订单回传</x:v>
      </x:c>
    </x:row>
    <x:row r="117">
      <x:c r="A117" s="92" t="str">
        <x:v>AMZ-ORD-00116</x:v>
      </x:c>
      <x:c r="B117" s="94" t="str">
        <x:v>PROC-0119</x:v>
      </x:c>
      <x:c r="C117" s="108" t="n">
        <x:v>46047.59305555555</x:v>
      </x:c>
      <x:c r="D117" s="93" t="n">
        <x:v>46044</x:v>
      </x:c>
      <x:c r="E117" s="94" t="str">
        <x:v>Google Ads</x:v>
      </x:c>
      <x:c r="F117" s="94" t="str">
        <x:v>英国</x:v>
      </x:c>
      <x:c r="G117" s="94" t="str">
        <x:v>品牌搜索</x:v>
      </x:c>
      <x:c r="H117" s="94" t="str">
        <x:v>SKU-0013</x:v>
      </x:c>
      <x:c r="I117" s="94" t="str">
        <x:v>家居生活</x:v>
      </x:c>
      <x:c r="J117" s="94" t="str">
        <x:v>人体工学椅 C</x:v>
      </x:c>
      <x:c r="K117" s="97" t="n">
        <x:v>268.76</x:v>
      </x:c>
      <x:c r="L117" s="95" t="n">
        <x:v>1</x:v>
      </x:c>
      <x:c r="M117" s="97" t="n">
        <x:f>ROUND(K117*L117,2)</x:f>
        <x:v>268.76</x:v>
      </x:c>
      <x:c r="N117" s="109" t="n">
        <x:v>0.07</x:v>
      </x:c>
      <x:c r="O117" s="97" t="n">
        <x:f>ROUND(M117*N117,2)</x:f>
        <x:v>18.81</x:v>
      </x:c>
      <x:c r="P117" s="94" t="str">
        <x:v>已确认</x:v>
      </x:c>
      <x:c r="Q117" s="97" t="n">
        <x:f>IF(P117="已退款",M117,0)</x:f>
        <x:v>0</x:v>
      </x:c>
      <x:c r="R117" s="97" t="n">
        <x:f>IF(P117="已退款",O117,0)</x:f>
        <x:v>0</x:v>
      </x:c>
      <x:c r="S117" s="97" t="n">
        <x:f>O117-R117</x:f>
        <x:v>18.81</x:v>
      </x:c>
      <x:c r="T117" s="94" t="n">
        <x:v>3</x:v>
      </x:c>
      <x:c r="U117" s="94" t="str">
        <x:v>模拟：Amazon Associates订单回传</x:v>
      </x:c>
    </x:row>
    <x:row r="118">
      <x:c r="A118" s="92" t="str">
        <x:v>AMZ-ORD-00117</x:v>
      </x:c>
      <x:c r="B118" s="94" t="str">
        <x:v>PROC-0121</x:v>
      </x:c>
      <x:c r="C118" s="108" t="n">
        <x:v>46044.4375</x:v>
      </x:c>
      <x:c r="D118" s="93" t="n">
        <x:v>46044</x:v>
      </x:c>
      <x:c r="E118" s="94" t="str">
        <x:v>Google Ads</x:v>
      </x:c>
      <x:c r="F118" s="94" t="str">
        <x:v>日本</x:v>
      </x:c>
      <x:c r="G118" s="94" t="str">
        <x:v>通用搜索</x:v>
      </x:c>
      <x:c r="H118" s="94" t="str">
        <x:v>SKU-0021</x:v>
      </x:c>
      <x:c r="I118" s="94" t="str">
        <x:v>运动健康</x:v>
      </x:c>
      <x:c r="J118" s="94" t="str">
        <x:v>智能手表 A</x:v>
      </x:c>
      <x:c r="K118" s="97" t="n">
        <x:v>233.88</x:v>
      </x:c>
      <x:c r="L118" s="95" t="n">
        <x:v>1</x:v>
      </x:c>
      <x:c r="M118" s="97" t="n">
        <x:f>ROUND(K118*L118,2)</x:f>
        <x:v>233.88</x:v>
      </x:c>
      <x:c r="N118" s="109" t="n">
        <x:v>0.08</x:v>
      </x:c>
      <x:c r="O118" s="97" t="n">
        <x:f>ROUND(M118*N118,2)</x:f>
        <x:v>18.71</x:v>
      </x:c>
      <x:c r="P118" s="94" t="str">
        <x:v>已确认</x:v>
      </x:c>
      <x:c r="Q118" s="97" t="n">
        <x:f>IF(P118="已退款",M118,0)</x:f>
        <x:v>0</x:v>
      </x:c>
      <x:c r="R118" s="97" t="n">
        <x:f>IF(P118="已退款",O118,0)</x:f>
        <x:v>0</x:v>
      </x:c>
      <x:c r="S118" s="97" t="n">
        <x:f>O118-R118</x:f>
        <x:v>18.71</x:v>
      </x:c>
      <x:c r="T118" s="94" t="n">
        <x:v>0</x:v>
      </x:c>
      <x:c r="U118" s="94" t="str">
        <x:v>模拟：Amazon Associates订单回传</x:v>
      </x:c>
    </x:row>
    <x:row r="119">
      <x:c r="A119" s="92" t="str">
        <x:v>AMZ-ORD-00118</x:v>
      </x:c>
      <x:c r="B119" s="94" t="str">
        <x:v>PROC-0122</x:v>
      </x:c>
      <x:c r="C119" s="108" t="n">
        <x:v>46046.626388888886</x:v>
      </x:c>
      <x:c r="D119" s="93" t="n">
        <x:v>46044</x:v>
      </x:c>
      <x:c r="E119" s="94" t="str">
        <x:v>Google Ads</x:v>
      </x:c>
      <x:c r="F119" s="94" t="str">
        <x:v>日本</x:v>
      </x:c>
      <x:c r="G119" s="94" t="str">
        <x:v>购物广告</x:v>
      </x:c>
      <x:c r="H119" s="94" t="str">
        <x:v>SKU-0003</x:v>
      </x:c>
      <x:c r="I119" s="94" t="str">
        <x:v>电子产品</x:v>
      </x:c>
      <x:c r="J119" s="94" t="str">
        <x:v>智能家居中枢 C</x:v>
      </x:c>
      <x:c r="K119" s="97" t="n">
        <x:v>464.32</x:v>
      </x:c>
      <x:c r="L119" s="95" t="n">
        <x:v>1</x:v>
      </x:c>
      <x:c r="M119" s="97" t="n">
        <x:f>ROUND(K119*L119,2)</x:f>
        <x:v>464.32</x:v>
      </x:c>
      <x:c r="N119" s="109" t="n">
        <x:v>0.05</x:v>
      </x:c>
      <x:c r="O119" s="97" t="n">
        <x:f>ROUND(M119*N119,2)</x:f>
        <x:v>23.22</x:v>
      </x:c>
      <x:c r="P119" s="94" t="str">
        <x:v>已确认</x:v>
      </x:c>
      <x:c r="Q119" s="97" t="n">
        <x:f>IF(P119="已退款",M119,0)</x:f>
        <x:v>0</x:v>
      </x:c>
      <x:c r="R119" s="97" t="n">
        <x:f>IF(P119="已退款",O119,0)</x:f>
        <x:v>0</x:v>
      </x:c>
      <x:c r="S119" s="97" t="n">
        <x:f>O119-R119</x:f>
        <x:v>23.22</x:v>
      </x:c>
      <x:c r="T119" s="94" t="n">
        <x:v>2</x:v>
      </x:c>
      <x:c r="U119" s="94" t="str">
        <x:v>模拟：Amazon Associates订单回传</x:v>
      </x:c>
    </x:row>
    <x:row r="120">
      <x:c r="A120" s="92" t="str">
        <x:v>AMZ-ORD-00119</x:v>
      </x:c>
      <x:c r="B120" s="94" t="str">
        <x:v>PROC-0123</x:v>
      </x:c>
      <x:c r="C120" s="108" t="n">
        <x:v>46047.393055555556</x:v>
      </x:c>
      <x:c r="D120" s="93" t="n">
        <x:v>46045</x:v>
      </x:c>
      <x:c r="E120" s="94" t="str">
        <x:v>Microsoft Ads</x:v>
      </x:c>
      <x:c r="F120" s="94" t="str">
        <x:v>美国</x:v>
      </x:c>
      <x:c r="G120" s="94" t="str">
        <x:v>通用搜索</x:v>
      </x:c>
      <x:c r="H120" s="94" t="str">
        <x:v>SKU-0023</x:v>
      </x:c>
      <x:c r="I120" s="94" t="str">
        <x:v>运动健康</x:v>
      </x:c>
      <x:c r="J120" s="94" t="str">
        <x:v>可调哑铃 C</x:v>
      </x:c>
      <x:c r="K120" s="97" t="n">
        <x:v>176.11</x:v>
      </x:c>
      <x:c r="L120" s="95" t="n">
        <x:v>1</x:v>
      </x:c>
      <x:c r="M120" s="97" t="n">
        <x:f>ROUND(K120*L120,2)</x:f>
        <x:v>176.11</x:v>
      </x:c>
      <x:c r="N120" s="109" t="n">
        <x:v>0.08</x:v>
      </x:c>
      <x:c r="O120" s="97" t="n">
        <x:f>ROUND(M120*N120,2)</x:f>
        <x:v>14.09</x:v>
      </x:c>
      <x:c r="P120" s="94" t="str">
        <x:v>已确认</x:v>
      </x:c>
      <x:c r="Q120" s="97" t="n">
        <x:f>IF(P120="已退款",M120,0)</x:f>
        <x:v>0</x:v>
      </x:c>
      <x:c r="R120" s="97" t="n">
        <x:f>IF(P120="已退款",O120,0)</x:f>
        <x:v>0</x:v>
      </x:c>
      <x:c r="S120" s="97" t="n">
        <x:f>O120-R120</x:f>
        <x:v>14.09</x:v>
      </x:c>
      <x:c r="T120" s="94" t="n">
        <x:v>2</x:v>
      </x:c>
      <x:c r="U120" s="94" t="str">
        <x:v>模拟：Amazon Associates订单回传</x:v>
      </x:c>
    </x:row>
    <x:row r="121">
      <x:c r="A121" s="92" t="str">
        <x:v>AMZ-ORD-00120</x:v>
      </x:c>
      <x:c r="B121" s="94" t="str">
        <x:v>PROC-0124</x:v>
      </x:c>
      <x:c r="C121" s="108" t="n">
        <x:v>46048.71319444444</x:v>
      </x:c>
      <x:c r="D121" s="93" t="n">
        <x:v>46045</x:v>
      </x:c>
      <x:c r="E121" s="94" t="str">
        <x:v>Google Ads</x:v>
      </x:c>
      <x:c r="F121" s="94" t="str">
        <x:v>美国</x:v>
      </x:c>
      <x:c r="G121" s="94" t="str">
        <x:v>通用搜索</x:v>
      </x:c>
      <x:c r="H121" s="94" t="str">
        <x:v>SKU-0034</x:v>
      </x:c>
      <x:c r="I121" s="94" t="str">
        <x:v>美妆个护</x:v>
      </x:c>
      <x:c r="J121" s="94" t="str">
        <x:v>电动牙刷 D</x:v>
      </x:c>
      <x:c r="K121" s="97" t="n">
        <x:v>132.34</x:v>
      </x:c>
      <x:c r="L121" s="95" t="n">
        <x:v>1</x:v>
      </x:c>
      <x:c r="M121" s="97" t="n">
        <x:f>ROUND(K121*L121,2)</x:f>
        <x:v>132.34</x:v>
      </x:c>
      <x:c r="N121" s="109" t="n">
        <x:v>0.1</x:v>
      </x:c>
      <x:c r="O121" s="97" t="n">
        <x:f>ROUND(M121*N121,2)</x:f>
        <x:v>13.23</x:v>
      </x:c>
      <x:c r="P121" s="94" t="str">
        <x:v>已确认</x:v>
      </x:c>
      <x:c r="Q121" s="97" t="n">
        <x:f>IF(P121="已退款",M121,0)</x:f>
        <x:v>0</x:v>
      </x:c>
      <x:c r="R121" s="97" t="n">
        <x:f>IF(P121="已退款",O121,0)</x:f>
        <x:v>0</x:v>
      </x:c>
      <x:c r="S121" s="97" t="n">
        <x:f>O121-R121</x:f>
        <x:v>13.23</x:v>
      </x:c>
      <x:c r="T121" s="94" t="n">
        <x:v>3</x:v>
      </x:c>
      <x:c r="U121" s="94" t="str">
        <x:v>模拟：Amazon Associates订单回传</x:v>
      </x:c>
    </x:row>
    <x:row r="122">
      <x:c r="A122" s="92" t="str">
        <x:v>AMZ-ORD-00121</x:v>
      </x:c>
      <x:c r="B122" s="94" t="str">
        <x:v>PROC-0125</x:v>
      </x:c>
      <x:c r="C122" s="108" t="n">
        <x:v>46045.38680555556</x:v>
      </x:c>
      <x:c r="D122" s="93" t="n">
        <x:v>46045</x:v>
      </x:c>
      <x:c r="E122" s="94" t="str">
        <x:v>Google Ads</x:v>
      </x:c>
      <x:c r="F122" s="94" t="str">
        <x:v>美国</x:v>
      </x:c>
      <x:c r="G122" s="94" t="str">
        <x:v>购物广告</x:v>
      </x:c>
      <x:c r="H122" s="94" t="str">
        <x:v>SKU-0044</x:v>
      </x:c>
      <x:c r="I122" s="94" t="str">
        <x:v>办公学习</x:v>
      </x:c>
      <x:c r="J122" s="94" t="str">
        <x:v>数字笔记本 D</x:v>
      </x:c>
      <x:c r="K122" s="97" t="n">
        <x:v>67.83</x:v>
      </x:c>
      <x:c r="L122" s="95" t="n">
        <x:v>1</x:v>
      </x:c>
      <x:c r="M122" s="97" t="n">
        <x:f>ROUND(K122*L122,2)</x:f>
        <x:v>67.83</x:v>
      </x:c>
      <x:c r="N122" s="109" t="n">
        <x:v>0.07</x:v>
      </x:c>
      <x:c r="O122" s="97" t="n">
        <x:f>ROUND(M122*N122,2)</x:f>
        <x:v>4.75</x:v>
      </x:c>
      <x:c r="P122" s="94" t="str">
        <x:v>已确认</x:v>
      </x:c>
      <x:c r="Q122" s="97" t="n">
        <x:f>IF(P122="已退款",M122,0)</x:f>
        <x:v>0</x:v>
      </x:c>
      <x:c r="R122" s="97" t="n">
        <x:f>IF(P122="已退款",O122,0)</x:f>
        <x:v>0</x:v>
      </x:c>
      <x:c r="S122" s="97" t="n">
        <x:f>O122-R122</x:f>
        <x:v>4.75</x:v>
      </x:c>
      <x:c r="T122" s="94" t="n">
        <x:v>0</x:v>
      </x:c>
      <x:c r="U122" s="94" t="str">
        <x:v>模拟：Amazon Associates订单回传</x:v>
      </x:c>
    </x:row>
    <x:row r="123">
      <x:c r="A123" s="92" t="str">
        <x:v>AMZ-ORD-00122</x:v>
      </x:c>
      <x:c r="B123" s="94" t="str">
        <x:v>PROC-0126</x:v>
      </x:c>
      <x:c r="C123" s="108" t="n">
        <x:v>46045.65</x:v>
      </x:c>
      <x:c r="D123" s="93" t="n">
        <x:v>46045</x:v>
      </x:c>
      <x:c r="E123" s="94" t="str">
        <x:v>Microsoft Ads</x:v>
      </x:c>
      <x:c r="F123" s="94" t="str">
        <x:v>美国</x:v>
      </x:c>
      <x:c r="G123" s="94" t="str">
        <x:v>通用搜索</x:v>
      </x:c>
      <x:c r="H123" s="94" t="str">
        <x:v>SKU-0031</x:v>
      </x:c>
      <x:c r="I123" s="94" t="str">
        <x:v>美妆个护</x:v>
      </x:c>
      <x:c r="J123" s="94" t="str">
        <x:v>洁面仪 A</x:v>
      </x:c>
      <x:c r="K123" s="97" t="n">
        <x:v>87.88</x:v>
      </x:c>
      <x:c r="L123" s="95" t="n">
        <x:v>1</x:v>
      </x:c>
      <x:c r="M123" s="97" t="n">
        <x:f>ROUND(K123*L123,2)</x:f>
        <x:v>87.88</x:v>
      </x:c>
      <x:c r="N123" s="109" t="n">
        <x:v>0.1</x:v>
      </x:c>
      <x:c r="O123" s="97" t="n">
        <x:f>ROUND(M123*N123,2)</x:f>
        <x:v>8.79</x:v>
      </x:c>
      <x:c r="P123" s="94" t="str">
        <x:v>已确认</x:v>
      </x:c>
      <x:c r="Q123" s="97" t="n">
        <x:f>IF(P123="已退款",M123,0)</x:f>
        <x:v>0</x:v>
      </x:c>
      <x:c r="R123" s="97" t="n">
        <x:f>IF(P123="已退款",O123,0)</x:f>
        <x:v>0</x:v>
      </x:c>
      <x:c r="S123" s="97" t="n">
        <x:f>O123-R123</x:f>
        <x:v>8.79</x:v>
      </x:c>
      <x:c r="T123" s="94" t="n">
        <x:v>0</x:v>
      </x:c>
      <x:c r="U123" s="94" t="str">
        <x:v>模拟：Amazon Associates订单回传</x:v>
      </x:c>
    </x:row>
    <x:row r="124">
      <x:c r="A124" s="92" t="str">
        <x:v>AMZ-ORD-00123</x:v>
      </x:c>
      <x:c r="B124" s="94" t="str">
        <x:v>PROC-0127</x:v>
      </x:c>
      <x:c r="C124" s="108" t="n">
        <x:v>46046.79305555556</x:v>
      </x:c>
      <x:c r="D124" s="93" t="n">
        <x:v>46045</x:v>
      </x:c>
      <x:c r="E124" s="94" t="str">
        <x:v>Google Ads</x:v>
      </x:c>
      <x:c r="F124" s="94" t="str">
        <x:v>美国</x:v>
      </x:c>
      <x:c r="G124" s="94" t="str">
        <x:v>品牌搜索</x:v>
      </x:c>
      <x:c r="H124" s="94" t="str">
        <x:v>SKU-0005</x:v>
      </x:c>
      <x:c r="I124" s="94" t="str">
        <x:v>电子产品</x:v>
      </x:c>
      <x:c r="J124" s="94" t="str">
        <x:v>降噪耳机 E</x:v>
      </x:c>
      <x:c r="K124" s="97" t="n">
        <x:v>761.22</x:v>
      </x:c>
      <x:c r="L124" s="95" t="n">
        <x:v>1</x:v>
      </x:c>
      <x:c r="M124" s="97" t="n">
        <x:f>ROUND(K124*L124,2)</x:f>
        <x:v>761.22</x:v>
      </x:c>
      <x:c r="N124" s="109" t="n">
        <x:v>0.05</x:v>
      </x:c>
      <x:c r="O124" s="97" t="n">
        <x:f>ROUND(M124*N124,2)</x:f>
        <x:v>38.06</x:v>
      </x:c>
      <x:c r="P124" s="94" t="str">
        <x:v>已确认</x:v>
      </x:c>
      <x:c r="Q124" s="97" t="n">
        <x:f>IF(P124="已退款",M124,0)</x:f>
        <x:v>0</x:v>
      </x:c>
      <x:c r="R124" s="97" t="n">
        <x:f>IF(P124="已退款",O124,0)</x:f>
        <x:v>0</x:v>
      </x:c>
      <x:c r="S124" s="97" t="n">
        <x:f>O124-R124</x:f>
        <x:v>38.06</x:v>
      </x:c>
      <x:c r="T124" s="94" t="n">
        <x:v>1</x:v>
      </x:c>
      <x:c r="U124" s="94" t="str">
        <x:v>模拟：Amazon Associates订单回传</x:v>
      </x:c>
    </x:row>
    <x:row r="125">
      <x:c r="A125" s="92" t="str">
        <x:v>AMZ-ORD-00124</x:v>
      </x:c>
      <x:c r="B125" s="94" t="str">
        <x:v>PROC-0128</x:v>
      </x:c>
      <x:c r="C125" s="108" t="n">
        <x:v>46049.504166666666</x:v>
      </x:c>
      <x:c r="D125" s="93" t="n">
        <x:v>46045</x:v>
      </x:c>
      <x:c r="E125" s="94" t="str">
        <x:v>Google Ads</x:v>
      </x:c>
      <x:c r="F125" s="94" t="str">
        <x:v>德国</x:v>
      </x:c>
      <x:c r="G125" s="94" t="str">
        <x:v>品牌搜索</x:v>
      </x:c>
      <x:c r="H125" s="94" t="str">
        <x:v>SKU-0011</x:v>
      </x:c>
      <x:c r="I125" s="94" t="str">
        <x:v>家居生活</x:v>
      </x:c>
      <x:c r="J125" s="94" t="str">
        <x:v>空气净化器 A</x:v>
      </x:c>
      <x:c r="K125" s="97" t="n">
        <x:v>227.07</x:v>
      </x:c>
      <x:c r="L125" s="95" t="n">
        <x:v>1</x:v>
      </x:c>
      <x:c r="M125" s="97" t="n">
        <x:f>ROUND(K125*L125,2)</x:f>
        <x:v>227.07</x:v>
      </x:c>
      <x:c r="N125" s="109" t="n">
        <x:v>0.07</x:v>
      </x:c>
      <x:c r="O125" s="97" t="n">
        <x:f>ROUND(M125*N125,2)</x:f>
        <x:v>15.89</x:v>
      </x:c>
      <x:c r="P125" s="94" t="str">
        <x:v>已确认</x:v>
      </x:c>
      <x:c r="Q125" s="97" t="n">
        <x:f>IF(P125="已退款",M125,0)</x:f>
        <x:v>0</x:v>
      </x:c>
      <x:c r="R125" s="97" t="n">
        <x:f>IF(P125="已退款",O125,0)</x:f>
        <x:v>0</x:v>
      </x:c>
      <x:c r="S125" s="97" t="n">
        <x:f>O125-R125</x:f>
        <x:v>15.89</x:v>
      </x:c>
      <x:c r="T125" s="94" t="n">
        <x:v>4</x:v>
      </x:c>
      <x:c r="U125" s="94" t="str">
        <x:v>模拟：Amazon Associates订单回传</x:v>
      </x:c>
    </x:row>
    <x:row r="126">
      <x:c r="A126" s="92" t="str">
        <x:v>AMZ-ORD-00125</x:v>
      </x:c>
      <x:c r="B126" s="94" t="str">
        <x:v>PROC-0129</x:v>
      </x:c>
      <x:c r="C126" s="108" t="n">
        <x:v>46048.9</x:v>
      </x:c>
      <x:c r="D126" s="93" t="n">
        <x:v>46046</x:v>
      </x:c>
      <x:c r="E126" s="94" t="str">
        <x:v>Google Ads</x:v>
      </x:c>
      <x:c r="F126" s="94" t="str">
        <x:v>美国</x:v>
      </x:c>
      <x:c r="G126" s="94" t="str">
        <x:v>通用搜索</x:v>
      </x:c>
      <x:c r="H126" s="94" t="str">
        <x:v>SKU-0045</x:v>
      </x:c>
      <x:c r="I126" s="94" t="str">
        <x:v>办公学习</x:v>
      </x:c>
      <x:c r="J126" s="94" t="str">
        <x:v>办公收纳 E</x:v>
      </x:c>
      <x:c r="K126" s="97" t="n">
        <x:v>246.76</x:v>
      </x:c>
      <x:c r="L126" s="95" t="n">
        <x:v>1</x:v>
      </x:c>
      <x:c r="M126" s="97" t="n">
        <x:f>ROUND(K126*L126,2)</x:f>
        <x:v>246.76</x:v>
      </x:c>
      <x:c r="N126" s="109" t="n">
        <x:v>0.07</x:v>
      </x:c>
      <x:c r="O126" s="97" t="n">
        <x:f>ROUND(M126*N126,2)</x:f>
        <x:v>17.27</x:v>
      </x:c>
      <x:c r="P126" s="94" t="str">
        <x:v>待确认</x:v>
      </x:c>
      <x:c r="Q126" s="97" t="n">
        <x:f>IF(P126="已退款",M126,0)</x:f>
        <x:v>0</x:v>
      </x:c>
      <x:c r="R126" s="97" t="n">
        <x:f>IF(P126="已退款",O126,0)</x:f>
        <x:v>0</x:v>
      </x:c>
      <x:c r="S126" s="97" t="n">
        <x:f>O126-R126</x:f>
        <x:v>17.27</x:v>
      </x:c>
      <x:c r="T126" s="94" t="n">
        <x:v>2</x:v>
      </x:c>
      <x:c r="U126" s="94" t="str">
        <x:v>模拟：Amazon Associates订单回传</x:v>
      </x:c>
    </x:row>
    <x:row r="127">
      <x:c r="A127" s="92" t="str">
        <x:v>AMZ-ORD-00126</x:v>
      </x:c>
      <x:c r="B127" s="94" t="str">
        <x:v>PROC-0130</x:v>
      </x:c>
      <x:c r="C127" s="108" t="n">
        <x:v>46050.600694444445</x:v>
      </x:c>
      <x:c r="D127" s="93" t="n">
        <x:v>46046</x:v>
      </x:c>
      <x:c r="E127" s="94" t="str">
        <x:v>Microsoft Ads</x:v>
      </x:c>
      <x:c r="F127" s="94" t="str">
        <x:v>日本</x:v>
      </x:c>
      <x:c r="G127" s="94" t="str">
        <x:v>购物广告</x:v>
      </x:c>
      <x:c r="H127" s="94" t="str">
        <x:v>SKU-0029</x:v>
      </x:c>
      <x:c r="I127" s="94" t="str">
        <x:v>运动健康</x:v>
      </x:c>
      <x:c r="J127" s="94" t="str">
        <x:v>运动耳机 I</x:v>
      </x:c>
      <x:c r="K127" s="97" t="n">
        <x:v>229.75</x:v>
      </x:c>
      <x:c r="L127" s="95" t="n">
        <x:v>1</x:v>
      </x:c>
      <x:c r="M127" s="97" t="n">
        <x:f>ROUND(K127*L127,2)</x:f>
        <x:v>229.75</x:v>
      </x:c>
      <x:c r="N127" s="109" t="n">
        <x:v>0.08</x:v>
      </x:c>
      <x:c r="O127" s="97" t="n">
        <x:f>ROUND(M127*N127,2)</x:f>
        <x:v>18.38</x:v>
      </x:c>
      <x:c r="P127" s="94" t="str">
        <x:v>已确认</x:v>
      </x:c>
      <x:c r="Q127" s="97" t="n">
        <x:f>IF(P127="已退款",M127,0)</x:f>
        <x:v>0</x:v>
      </x:c>
      <x:c r="R127" s="97" t="n">
        <x:f>IF(P127="已退款",O127,0)</x:f>
        <x:v>0</x:v>
      </x:c>
      <x:c r="S127" s="97" t="n">
        <x:f>O127-R127</x:f>
        <x:v>18.38</x:v>
      </x:c>
      <x:c r="T127" s="94" t="n">
        <x:v>4</x:v>
      </x:c>
      <x:c r="U127" s="94" t="str">
        <x:v>模拟：Amazon Associates订单回传</x:v>
      </x:c>
    </x:row>
    <x:row r="128">
      <x:c r="A128" s="92" t="str">
        <x:v>AMZ-ORD-00127</x:v>
      </x:c>
      <x:c r="B128" s="94" t="str">
        <x:v>PROC-0130</x:v>
      </x:c>
      <x:c r="C128" s="108" t="n">
        <x:v>46048.754166666666</x:v>
      </x:c>
      <x:c r="D128" s="93" t="n">
        <x:v>46046</x:v>
      </x:c>
      <x:c r="E128" s="94" t="str">
        <x:v>Microsoft Ads</x:v>
      </x:c>
      <x:c r="F128" s="94" t="str">
        <x:v>日本</x:v>
      </x:c>
      <x:c r="G128" s="94" t="str">
        <x:v>购物广告</x:v>
      </x:c>
      <x:c r="H128" s="94" t="str">
        <x:v>SKU-0002</x:v>
      </x:c>
      <x:c r="I128" s="94" t="str">
        <x:v>电子产品</x:v>
      </x:c>
      <x:c r="J128" s="94" t="str">
        <x:v>便携显示器 B</x:v>
      </x:c>
      <x:c r="K128" s="97" t="n">
        <x:v>479.95</x:v>
      </x:c>
      <x:c r="L128" s="95" t="n">
        <x:v>1</x:v>
      </x:c>
      <x:c r="M128" s="97" t="n">
        <x:f>ROUND(K128*L128,2)</x:f>
        <x:v>479.95</x:v>
      </x:c>
      <x:c r="N128" s="109" t="n">
        <x:v>0.05</x:v>
      </x:c>
      <x:c r="O128" s="97" t="n">
        <x:f>ROUND(M128*N128,2)</x:f>
        <x:v>24</x:v>
      </x:c>
      <x:c r="P128" s="94" t="str">
        <x:v>已确认</x:v>
      </x:c>
      <x:c r="Q128" s="97" t="n">
        <x:f>IF(P128="已退款",M128,0)</x:f>
        <x:v>0</x:v>
      </x:c>
      <x:c r="R128" s="97" t="n">
        <x:f>IF(P128="已退款",O128,0)</x:f>
        <x:v>0</x:v>
      </x:c>
      <x:c r="S128" s="97" t="n">
        <x:f>O128-R128</x:f>
        <x:v>24</x:v>
      </x:c>
      <x:c r="T128" s="94" t="n">
        <x:v>2</x:v>
      </x:c>
      <x:c r="U128" s="94" t="str">
        <x:v>模拟：Amazon Associates订单回传</x:v>
      </x:c>
    </x:row>
    <x:row r="129">
      <x:c r="A129" s="92" t="str">
        <x:v>AMZ-ORD-00128</x:v>
      </x:c>
      <x:c r="B129" s="94" t="str">
        <x:v>PROC-0132</x:v>
      </x:c>
      <x:c r="C129" s="108" t="n">
        <x:v>46049.76388888889</x:v>
      </x:c>
      <x:c r="D129" s="93" t="n">
        <x:v>46046</x:v>
      </x:c>
      <x:c r="E129" s="94" t="str">
        <x:v>Microsoft Ads</x:v>
      </x:c>
      <x:c r="F129" s="94" t="str">
        <x:v>英国</x:v>
      </x:c>
      <x:c r="G129" s="94" t="str">
        <x:v>通用搜索</x:v>
      </x:c>
      <x:c r="H129" s="94" t="str">
        <x:v>SKU-0022</x:v>
      </x:c>
      <x:c r="I129" s="94" t="str">
        <x:v>运动健康</x:v>
      </x:c>
      <x:c r="J129" s="94" t="str">
        <x:v>瑜伽套装 B</x:v>
      </x:c>
      <x:c r="K129" s="97" t="n">
        <x:v>217.43</x:v>
      </x:c>
      <x:c r="L129" s="95" t="n">
        <x:v>1</x:v>
      </x:c>
      <x:c r="M129" s="97" t="n">
        <x:f>ROUND(K129*L129,2)</x:f>
        <x:v>217.43</x:v>
      </x:c>
      <x:c r="N129" s="109" t="n">
        <x:v>0.08</x:v>
      </x:c>
      <x:c r="O129" s="97" t="n">
        <x:f>ROUND(M129*N129,2)</x:f>
        <x:v>17.39</x:v>
      </x:c>
      <x:c r="P129" s="94" t="str">
        <x:v>已确认</x:v>
      </x:c>
      <x:c r="Q129" s="97" t="n">
        <x:f>IF(P129="已退款",M129,0)</x:f>
        <x:v>0</x:v>
      </x:c>
      <x:c r="R129" s="97" t="n">
        <x:f>IF(P129="已退款",O129,0)</x:f>
        <x:v>0</x:v>
      </x:c>
      <x:c r="S129" s="97" t="n">
        <x:f>O129-R129</x:f>
        <x:v>17.39</x:v>
      </x:c>
      <x:c r="T129" s="94" t="n">
        <x:v>3</x:v>
      </x:c>
      <x:c r="U129" s="94" t="str">
        <x:v>模拟：Amazon Associates订单回传</x:v>
      </x:c>
    </x:row>
    <x:row r="130">
      <x:c r="A130" s="92" t="str">
        <x:v>AMZ-ORD-00129</x:v>
      </x:c>
      <x:c r="B130" s="94" t="str">
        <x:v>PROC-0133</x:v>
      </x:c>
      <x:c r="C130" s="108" t="n">
        <x:v>46047.544444444444</x:v>
      </x:c>
      <x:c r="D130" s="93" t="n">
        <x:v>46046</x:v>
      </x:c>
      <x:c r="E130" s="94" t="str">
        <x:v>Google Ads</x:v>
      </x:c>
      <x:c r="F130" s="94" t="str">
        <x:v>德国</x:v>
      </x:c>
      <x:c r="G130" s="94" t="str">
        <x:v>品牌搜索</x:v>
      </x:c>
      <x:c r="H130" s="94" t="str">
        <x:v>SKU-0019</x:v>
      </x:c>
      <x:c r="I130" s="94" t="str">
        <x:v>家居生活</x:v>
      </x:c>
      <x:c r="J130" s="94" t="str">
        <x:v>无线吸尘器 I</x:v>
      </x:c>
      <x:c r="K130" s="97" t="n">
        <x:v>194.09</x:v>
      </x:c>
      <x:c r="L130" s="95" t="n">
        <x:v>1</x:v>
      </x:c>
      <x:c r="M130" s="97" t="n">
        <x:f>ROUND(K130*L130,2)</x:f>
        <x:v>194.09</x:v>
      </x:c>
      <x:c r="N130" s="109" t="n">
        <x:v>0.07</x:v>
      </x:c>
      <x:c r="O130" s="97" t="n">
        <x:f>ROUND(M130*N130,2)</x:f>
        <x:v>13.59</x:v>
      </x:c>
      <x:c r="P130" s="94" t="str">
        <x:v>已确认</x:v>
      </x:c>
      <x:c r="Q130" s="97" t="n">
        <x:f>IF(P130="已退款",M130,0)</x:f>
        <x:v>0</x:v>
      </x:c>
      <x:c r="R130" s="97" t="n">
        <x:f>IF(P130="已退款",O130,0)</x:f>
        <x:v>0</x:v>
      </x:c>
      <x:c r="S130" s="97" t="n">
        <x:f>O130-R130</x:f>
        <x:v>13.59</x:v>
      </x:c>
      <x:c r="T130" s="94" t="n">
        <x:v>1</x:v>
      </x:c>
      <x:c r="U130" s="94" t="str">
        <x:v>模拟：Amazon Associates订单回传</x:v>
      </x:c>
    </x:row>
    <x:row r="131">
      <x:c r="A131" s="92" t="str">
        <x:v>AMZ-ORD-00130</x:v>
      </x:c>
      <x:c r="B131" s="94" t="str">
        <x:v>PROC-0133</x:v>
      </x:c>
      <x:c r="C131" s="108" t="n">
        <x:v>46050.43194444444</x:v>
      </x:c>
      <x:c r="D131" s="93" t="n">
        <x:v>46046</x:v>
      </x:c>
      <x:c r="E131" s="94" t="str">
        <x:v>Google Ads</x:v>
      </x:c>
      <x:c r="F131" s="94" t="str">
        <x:v>德国</x:v>
      </x:c>
      <x:c r="G131" s="94" t="str">
        <x:v>品牌搜索</x:v>
      </x:c>
      <x:c r="H131" s="94" t="str">
        <x:v>SKU-0017</x:v>
      </x:c>
      <x:c r="I131" s="94" t="str">
        <x:v>家居生活</x:v>
      </x:c>
      <x:c r="J131" s="94" t="str">
        <x:v>落地灯 G</x:v>
      </x:c>
      <x:c r="K131" s="97" t="n">
        <x:v>299.52</x:v>
      </x:c>
      <x:c r="L131" s="95" t="n">
        <x:v>1</x:v>
      </x:c>
      <x:c r="M131" s="97" t="n">
        <x:f>ROUND(K131*L131,2)</x:f>
        <x:v>299.52</x:v>
      </x:c>
      <x:c r="N131" s="109" t="n">
        <x:v>0.07</x:v>
      </x:c>
      <x:c r="O131" s="97" t="n">
        <x:f>ROUND(M131*N131,2)</x:f>
        <x:v>20.97</x:v>
      </x:c>
      <x:c r="P131" s="94" t="str">
        <x:v>已确认</x:v>
      </x:c>
      <x:c r="Q131" s="97" t="n">
        <x:f>IF(P131="已退款",M131,0)</x:f>
        <x:v>0</x:v>
      </x:c>
      <x:c r="R131" s="97" t="n">
        <x:f>IF(P131="已退款",O131,0)</x:f>
        <x:v>0</x:v>
      </x:c>
      <x:c r="S131" s="97" t="n">
        <x:f>O131-R131</x:f>
        <x:v>20.97</x:v>
      </x:c>
      <x:c r="T131" s="94" t="n">
        <x:v>4</x:v>
      </x:c>
      <x:c r="U131" s="94" t="str">
        <x:v>模拟：Amazon Associates订单回传</x:v>
      </x:c>
    </x:row>
    <x:row r="132">
      <x:c r="A132" s="92" t="str">
        <x:v>AMZ-ORD-00131</x:v>
      </x:c>
      <x:c r="B132" s="94" t="str">
        <x:v>PROC-0134</x:v>
      </x:c>
      <x:c r="C132" s="108" t="n">
        <x:v>46051.37569444445</x:v>
      </x:c>
      <x:c r="D132" s="93" t="n">
        <x:v>46047</x:v>
      </x:c>
      <x:c r="E132" s="94" t="str">
        <x:v>Google Ads</x:v>
      </x:c>
      <x:c r="F132" s="94" t="str">
        <x:v>美国</x:v>
      </x:c>
      <x:c r="G132" s="94" t="str">
        <x:v>品牌搜索</x:v>
      </x:c>
      <x:c r="H132" s="94" t="str">
        <x:v>SKU-0016</x:v>
      </x:c>
      <x:c r="I132" s="94" t="str">
        <x:v>家居生活</x:v>
      </x:c>
      <x:c r="J132" s="94" t="str">
        <x:v>厨师机 F</x:v>
      </x:c>
      <x:c r="K132" s="97" t="n">
        <x:v>329.34</x:v>
      </x:c>
      <x:c r="L132" s="95" t="n">
        <x:v>1</x:v>
      </x:c>
      <x:c r="M132" s="97" t="n">
        <x:f>ROUND(K132*L132,2)</x:f>
        <x:v>329.34</x:v>
      </x:c>
      <x:c r="N132" s="109" t="n">
        <x:v>0.07</x:v>
      </x:c>
      <x:c r="O132" s="97" t="n">
        <x:f>ROUND(M132*N132,2)</x:f>
        <x:v>23.05</x:v>
      </x:c>
      <x:c r="P132" s="94" t="str">
        <x:v>已确认</x:v>
      </x:c>
      <x:c r="Q132" s="97" t="n">
        <x:f>IF(P132="已退款",M132,0)</x:f>
        <x:v>0</x:v>
      </x:c>
      <x:c r="R132" s="97" t="n">
        <x:f>IF(P132="已退款",O132,0)</x:f>
        <x:v>0</x:v>
      </x:c>
      <x:c r="S132" s="97" t="n">
        <x:f>O132-R132</x:f>
        <x:v>23.05</x:v>
      </x:c>
      <x:c r="T132" s="94" t="n">
        <x:v>4</x:v>
      </x:c>
      <x:c r="U132" s="94" t="str">
        <x:v>模拟：Amazon Associates订单回传</x:v>
      </x:c>
    </x:row>
    <x:row r="133">
      <x:c r="A133" s="92" t="str">
        <x:v>AMZ-ORD-00132</x:v>
      </x:c>
      <x:c r="B133" s="94" t="str">
        <x:v>PROC-0135</x:v>
      </x:c>
      <x:c r="C133" s="108" t="n">
        <x:v>46050.61111111111</x:v>
      </x:c>
      <x:c r="D133" s="93" t="n">
        <x:v>46047</x:v>
      </x:c>
      <x:c r="E133" s="94" t="str">
        <x:v>Google Ads</x:v>
      </x:c>
      <x:c r="F133" s="94" t="str">
        <x:v>美国</x:v>
      </x:c>
      <x:c r="G133" s="94" t="str">
        <x:v>品牌搜索</x:v>
      </x:c>
      <x:c r="H133" s="94" t="str">
        <x:v>SKU-0039</x:v>
      </x:c>
      <x:c r="I133" s="94" t="str">
        <x:v>美妆个护</x:v>
      </x:c>
      <x:c r="J133" s="94" t="str">
        <x:v>按摩梳 I</x:v>
      </x:c>
      <x:c r="K133" s="97" t="n">
        <x:v>59.55</x:v>
      </x:c>
      <x:c r="L133" s="95" t="n">
        <x:v>1</x:v>
      </x:c>
      <x:c r="M133" s="97" t="n">
        <x:f>ROUND(K133*L133,2)</x:f>
        <x:v>59.55</x:v>
      </x:c>
      <x:c r="N133" s="109" t="n">
        <x:v>0.1</x:v>
      </x:c>
      <x:c r="O133" s="97" t="n">
        <x:f>ROUND(M133*N133,2)</x:f>
        <x:v>5.96</x:v>
      </x:c>
      <x:c r="P133" s="94" t="str">
        <x:v>已确认</x:v>
      </x:c>
      <x:c r="Q133" s="97" t="n">
        <x:f>IF(P133="已退款",M133,0)</x:f>
        <x:v>0</x:v>
      </x:c>
      <x:c r="R133" s="97" t="n">
        <x:f>IF(P133="已退款",O133,0)</x:f>
        <x:v>0</x:v>
      </x:c>
      <x:c r="S133" s="97" t="n">
        <x:f>O133-R133</x:f>
        <x:v>5.96</x:v>
      </x:c>
      <x:c r="T133" s="94" t="n">
        <x:v>3</x:v>
      </x:c>
      <x:c r="U133" s="94" t="str">
        <x:v>模拟：Amazon Associates订单回传</x:v>
      </x:c>
    </x:row>
    <x:row r="134">
      <x:c r="A134" s="92" t="str">
        <x:v>AMZ-ORD-00133</x:v>
      </x:c>
      <x:c r="B134" s="94" t="str">
        <x:v>PROC-0136</x:v>
      </x:c>
      <x:c r="C134" s="108" t="n">
        <x:v>46048.606944444444</x:v>
      </x:c>
      <x:c r="D134" s="93" t="n">
        <x:v>46047</x:v>
      </x:c>
      <x:c r="E134" s="94" t="str">
        <x:v>Google Ads</x:v>
      </x:c>
      <x:c r="F134" s="94" t="str">
        <x:v>美国</x:v>
      </x:c>
      <x:c r="G134" s="94" t="str">
        <x:v>品牌搜索</x:v>
      </x:c>
      <x:c r="H134" s="94" t="str">
        <x:v>SKU-0047</x:v>
      </x:c>
      <x:c r="I134" s="94" t="str">
        <x:v>办公学习</x:v>
      </x:c>
      <x:c r="J134" s="94" t="str">
        <x:v>标签打印机 G</x:v>
      </x:c>
      <x:c r="K134" s="97" t="n">
        <x:v>63.77</x:v>
      </x:c>
      <x:c r="L134" s="95" t="n">
        <x:v>2</x:v>
      </x:c>
      <x:c r="M134" s="97" t="n">
        <x:f>ROUND(K134*L134,2)</x:f>
        <x:v>127.54</x:v>
      </x:c>
      <x:c r="N134" s="109" t="n">
        <x:v>0.07</x:v>
      </x:c>
      <x:c r="O134" s="97" t="n">
        <x:f>ROUND(M134*N134,2)</x:f>
        <x:v>8.93</x:v>
      </x:c>
      <x:c r="P134" s="94" t="str">
        <x:v>待确认</x:v>
      </x:c>
      <x:c r="Q134" s="97" t="n">
        <x:f>IF(P134="已退款",M134,0)</x:f>
        <x:v>0</x:v>
      </x:c>
      <x:c r="R134" s="97" t="n">
        <x:f>IF(P134="已退款",O134,0)</x:f>
        <x:v>0</x:v>
      </x:c>
      <x:c r="S134" s="97" t="n">
        <x:f>O134-R134</x:f>
        <x:v>8.93</x:v>
      </x:c>
      <x:c r="T134" s="94" t="n">
        <x:v>1</x:v>
      </x:c>
      <x:c r="U134" s="94" t="str">
        <x:v>模拟：Amazon Associates订单回传</x:v>
      </x:c>
    </x:row>
    <x:row r="135">
      <x:c r="A135" s="92" t="str">
        <x:v>AMZ-ORD-00134</x:v>
      </x:c>
      <x:c r="B135" s="94" t="str">
        <x:v>PROC-0136</x:v>
      </x:c>
      <x:c r="C135" s="108" t="n">
        <x:v>46050.40555555555</x:v>
      </x:c>
      <x:c r="D135" s="93" t="n">
        <x:v>46047</x:v>
      </x:c>
      <x:c r="E135" s="94" t="str">
        <x:v>Google Ads</x:v>
      </x:c>
      <x:c r="F135" s="94" t="str">
        <x:v>美国</x:v>
      </x:c>
      <x:c r="G135" s="94" t="str">
        <x:v>品牌搜索</x:v>
      </x:c>
      <x:c r="H135" s="94" t="str">
        <x:v>SKU-0044</x:v>
      </x:c>
      <x:c r="I135" s="94" t="str">
        <x:v>办公学习</x:v>
      </x:c>
      <x:c r="J135" s="94" t="str">
        <x:v>数字笔记本 D</x:v>
      </x:c>
      <x:c r="K135" s="97" t="n">
        <x:v>138.85</x:v>
      </x:c>
      <x:c r="L135" s="95" t="n">
        <x:v>1</x:v>
      </x:c>
      <x:c r="M135" s="97" t="n">
        <x:f>ROUND(K135*L135,2)</x:f>
        <x:v>138.85</x:v>
      </x:c>
      <x:c r="N135" s="109" t="n">
        <x:v>0.07</x:v>
      </x:c>
      <x:c r="O135" s="97" t="n">
        <x:f>ROUND(M135*N135,2)</x:f>
        <x:v>9.72</x:v>
      </x:c>
      <x:c r="P135" s="94" t="str">
        <x:v>已确认</x:v>
      </x:c>
      <x:c r="Q135" s="97" t="n">
        <x:f>IF(P135="已退款",M135,0)</x:f>
        <x:v>0</x:v>
      </x:c>
      <x:c r="R135" s="97" t="n">
        <x:f>IF(P135="已退款",O135,0)</x:f>
        <x:v>0</x:v>
      </x:c>
      <x:c r="S135" s="97" t="n">
        <x:f>O135-R135</x:f>
        <x:v>9.72</x:v>
      </x:c>
      <x:c r="T135" s="94" t="n">
        <x:v>3</x:v>
      </x:c>
      <x:c r="U135" s="94" t="str">
        <x:v>模拟：Amazon Associates订单回传</x:v>
      </x:c>
    </x:row>
    <x:row r="136">
      <x:c r="A136" s="92" t="str">
        <x:v>AMZ-ORD-00135</x:v>
      </x:c>
      <x:c r="B136" s="94" t="str">
        <x:v>PROC-0137</x:v>
      </x:c>
      <x:c r="C136" s="108" t="n">
        <x:v>46050.540972222225</x:v>
      </x:c>
      <x:c r="D136" s="93" t="n">
        <x:v>46047</x:v>
      </x:c>
      <x:c r="E136" s="94" t="str">
        <x:v>Google Ads</x:v>
      </x:c>
      <x:c r="F136" s="94" t="str">
        <x:v>德国</x:v>
      </x:c>
      <x:c r="G136" s="94" t="str">
        <x:v>通用搜索</x:v>
      </x:c>
      <x:c r="H136" s="94" t="str">
        <x:v>SKU-0038</x:v>
      </x:c>
      <x:c r="I136" s="94" t="str">
        <x:v>美妆个护</x:v>
      </x:c>
      <x:c r="J136" s="94" t="str">
        <x:v>卷发棒 H</x:v>
      </x:c>
      <x:c r="K136" s="97" t="n">
        <x:v>98.56</x:v>
      </x:c>
      <x:c r="L136" s="95" t="n">
        <x:v>1</x:v>
      </x:c>
      <x:c r="M136" s="97" t="n">
        <x:f>ROUND(K136*L136,2)</x:f>
        <x:v>98.56</x:v>
      </x:c>
      <x:c r="N136" s="109" t="n">
        <x:v>0.1</x:v>
      </x:c>
      <x:c r="O136" s="97" t="n">
        <x:f>ROUND(M136*N136,2)</x:f>
        <x:v>9.86</x:v>
      </x:c>
      <x:c r="P136" s="94" t="str">
        <x:v>已确认</x:v>
      </x:c>
      <x:c r="Q136" s="97" t="n">
        <x:f>IF(P136="已退款",M136,0)</x:f>
        <x:v>0</x:v>
      </x:c>
      <x:c r="R136" s="97" t="n">
        <x:f>IF(P136="已退款",O136,0)</x:f>
        <x:v>0</x:v>
      </x:c>
      <x:c r="S136" s="97" t="n">
        <x:f>O136-R136</x:f>
        <x:v>9.86</x:v>
      </x:c>
      <x:c r="T136" s="94" t="n">
        <x:v>3</x:v>
      </x:c>
      <x:c r="U136" s="94" t="str">
        <x:v>模拟：Amazon Associates订单回传</x:v>
      </x:c>
    </x:row>
    <x:row r="137">
      <x:c r="A137" s="92" t="str">
        <x:v>AMZ-ORD-00136</x:v>
      </x:c>
      <x:c r="B137" s="94" t="str">
        <x:v>PROC-0138</x:v>
      </x:c>
      <x:c r="C137" s="108" t="n">
        <x:v>46047.376388888886</x:v>
      </x:c>
      <x:c r="D137" s="93" t="n">
        <x:v>46047</x:v>
      </x:c>
      <x:c r="E137" s="94" t="str">
        <x:v>Microsoft Ads</x:v>
      </x:c>
      <x:c r="F137" s="94" t="str">
        <x:v>英国</x:v>
      </x:c>
      <x:c r="G137" s="94" t="str">
        <x:v>购物广告</x:v>
      </x:c>
      <x:c r="H137" s="94" t="str">
        <x:v>SKU-0017</x:v>
      </x:c>
      <x:c r="I137" s="94" t="str">
        <x:v>家居生活</x:v>
      </x:c>
      <x:c r="J137" s="94" t="str">
        <x:v>落地灯 G</x:v>
      </x:c>
      <x:c r="K137" s="97" t="n">
        <x:v>228.25</x:v>
      </x:c>
      <x:c r="L137" s="95" t="n">
        <x:v>1</x:v>
      </x:c>
      <x:c r="M137" s="97" t="n">
        <x:f>ROUND(K137*L137,2)</x:f>
        <x:v>228.25</x:v>
      </x:c>
      <x:c r="N137" s="109" t="n">
        <x:v>0.07</x:v>
      </x:c>
      <x:c r="O137" s="97" t="n">
        <x:f>ROUND(M137*N137,2)</x:f>
        <x:v>15.98</x:v>
      </x:c>
      <x:c r="P137" s="94" t="str">
        <x:v>已确认</x:v>
      </x:c>
      <x:c r="Q137" s="97" t="n">
        <x:f>IF(P137="已退款",M137,0)</x:f>
        <x:v>0</x:v>
      </x:c>
      <x:c r="R137" s="97" t="n">
        <x:f>IF(P137="已退款",O137,0)</x:f>
        <x:v>0</x:v>
      </x:c>
      <x:c r="S137" s="97" t="n">
        <x:f>O137-R137</x:f>
        <x:v>15.98</x:v>
      </x:c>
      <x:c r="T137" s="94" t="n">
        <x:v>0</x:v>
      </x:c>
      <x:c r="U137" s="94" t="str">
        <x:v>模拟：Amazon Associates订单回传</x:v>
      </x:c>
    </x:row>
    <x:row r="138">
      <x:c r="A138" s="92" t="str">
        <x:v>AMZ-ORD-00137</x:v>
      </x:c>
      <x:c r="B138" s="94" t="str">
        <x:v>PROC-0138</x:v>
      </x:c>
      <x:c r="C138" s="108" t="n">
        <x:v>46051.447916666664</x:v>
      </x:c>
      <x:c r="D138" s="93" t="n">
        <x:v>46047</x:v>
      </x:c>
      <x:c r="E138" s="94" t="str">
        <x:v>Microsoft Ads</x:v>
      </x:c>
      <x:c r="F138" s="94" t="str">
        <x:v>英国</x:v>
      </x:c>
      <x:c r="G138" s="94" t="str">
        <x:v>购物广告</x:v>
      </x:c>
      <x:c r="H138" s="94" t="str">
        <x:v>SKU-0001</x:v>
      </x:c>
      <x:c r="I138" s="94" t="str">
        <x:v>电子产品</x:v>
      </x:c>
      <x:c r="J138" s="94" t="str">
        <x:v>无线耳机 A</x:v>
      </x:c>
      <x:c r="K138" s="97" t="n">
        <x:v>221.35</x:v>
      </x:c>
      <x:c r="L138" s="95" t="n">
        <x:v>1</x:v>
      </x:c>
      <x:c r="M138" s="97" t="n">
        <x:f>ROUND(K138*L138,2)</x:f>
        <x:v>221.35</x:v>
      </x:c>
      <x:c r="N138" s="109" t="n">
        <x:v>0.05</x:v>
      </x:c>
      <x:c r="O138" s="97" t="n">
        <x:f>ROUND(M138*N138,2)</x:f>
        <x:v>11.07</x:v>
      </x:c>
      <x:c r="P138" s="94" t="str">
        <x:v>已确认</x:v>
      </x:c>
      <x:c r="Q138" s="97" t="n">
        <x:f>IF(P138="已退款",M138,0)</x:f>
        <x:v>0</x:v>
      </x:c>
      <x:c r="R138" s="97" t="n">
        <x:f>IF(P138="已退款",O138,0)</x:f>
        <x:v>0</x:v>
      </x:c>
      <x:c r="S138" s="97" t="n">
        <x:f>O138-R138</x:f>
        <x:v>11.07</x:v>
      </x:c>
      <x:c r="T138" s="94" t="n">
        <x:v>4</x:v>
      </x:c>
      <x:c r="U138" s="94" t="str">
        <x:v>模拟：Amazon Associates订单回传</x:v>
      </x:c>
    </x:row>
    <x:row r="139">
      <x:c r="A139" s="92" t="str">
        <x:v>AMZ-ORD-00138</x:v>
      </x:c>
      <x:c r="B139" s="94" t="str">
        <x:v>PROC-0140</x:v>
      </x:c>
      <x:c r="C139" s="108" t="n">
        <x:v>46052.66805555556</x:v>
      </x:c>
      <x:c r="D139" s="93" t="n">
        <x:v>46048</x:v>
      </x:c>
      <x:c r="E139" s="94" t="str">
        <x:v>Microsoft Ads</x:v>
      </x:c>
      <x:c r="F139" s="94" t="str">
        <x:v>美国</x:v>
      </x:c>
      <x:c r="G139" s="94" t="str">
        <x:v>购物广告</x:v>
      </x:c>
      <x:c r="H139" s="94" t="str">
        <x:v>SKU-0036</x:v>
      </x:c>
      <x:c r="I139" s="94" t="str">
        <x:v>美妆个护</x:v>
      </x:c>
      <x:c r="J139" s="94" t="str">
        <x:v>剃须刀 F</x:v>
      </x:c>
      <x:c r="K139" s="97" t="n">
        <x:v>106.45</x:v>
      </x:c>
      <x:c r="L139" s="95" t="n">
        <x:v>2</x:v>
      </x:c>
      <x:c r="M139" s="97" t="n">
        <x:f>ROUND(K139*L139,2)</x:f>
        <x:v>212.9</x:v>
      </x:c>
      <x:c r="N139" s="109" t="n">
        <x:v>0.1</x:v>
      </x:c>
      <x:c r="O139" s="97" t="n">
        <x:f>ROUND(M139*N139,2)</x:f>
        <x:v>21.29</x:v>
      </x:c>
      <x:c r="P139" s="94" t="str">
        <x:v>已确认</x:v>
      </x:c>
      <x:c r="Q139" s="97" t="n">
        <x:f>IF(P139="已退款",M139,0)</x:f>
        <x:v>0</x:v>
      </x:c>
      <x:c r="R139" s="97" t="n">
        <x:f>IF(P139="已退款",O139,0)</x:f>
        <x:v>0</x:v>
      </x:c>
      <x:c r="S139" s="97" t="n">
        <x:f>O139-R139</x:f>
        <x:v>21.29</x:v>
      </x:c>
      <x:c r="T139" s="94" t="n">
        <x:v>4</x:v>
      </x:c>
      <x:c r="U139" s="94" t="str">
        <x:v>模拟：Amazon Associates订单回传</x:v>
      </x:c>
    </x:row>
    <x:row r="140">
      <x:c r="A140" s="92" t="str">
        <x:v>AMZ-ORD-00139</x:v>
      </x:c>
      <x:c r="B140" s="94" t="str">
        <x:v>PROC-0140</x:v>
      </x:c>
      <x:c r="C140" s="108" t="n">
        <x:v>46049.736805555556</x:v>
      </x:c>
      <x:c r="D140" s="93" t="n">
        <x:v>46048</x:v>
      </x:c>
      <x:c r="E140" s="94" t="str">
        <x:v>Microsoft Ads</x:v>
      </x:c>
      <x:c r="F140" s="94" t="str">
        <x:v>美国</x:v>
      </x:c>
      <x:c r="G140" s="94" t="str">
        <x:v>购物广告</x:v>
      </x:c>
      <x:c r="H140" s="94" t="str">
        <x:v>SKU-0031</x:v>
      </x:c>
      <x:c r="I140" s="94" t="str">
        <x:v>美妆个护</x:v>
      </x:c>
      <x:c r="J140" s="94" t="str">
        <x:v>洁面仪 A</x:v>
      </x:c>
      <x:c r="K140" s="97" t="n">
        <x:v>143.81</x:v>
      </x:c>
      <x:c r="L140" s="95" t="n">
        <x:v>1</x:v>
      </x:c>
      <x:c r="M140" s="97" t="n">
        <x:f>ROUND(K140*L140,2)</x:f>
        <x:v>143.81</x:v>
      </x:c>
      <x:c r="N140" s="109" t="n">
        <x:v>0.1</x:v>
      </x:c>
      <x:c r="O140" s="97" t="n">
        <x:f>ROUND(M140*N140,2)</x:f>
        <x:v>14.38</x:v>
      </x:c>
      <x:c r="P140" s="94" t="str">
        <x:v>待确认</x:v>
      </x:c>
      <x:c r="Q140" s="97" t="n">
        <x:f>IF(P140="已退款",M140,0)</x:f>
        <x:v>0</x:v>
      </x:c>
      <x:c r="R140" s="97" t="n">
        <x:f>IF(P140="已退款",O140,0)</x:f>
        <x:v>0</x:v>
      </x:c>
      <x:c r="S140" s="97" t="n">
        <x:f>O140-R140</x:f>
        <x:v>14.38</x:v>
      </x:c>
      <x:c r="T140" s="94" t="n">
        <x:v>1</x:v>
      </x:c>
      <x:c r="U140" s="94" t="str">
        <x:v>模拟：Amazon Associates订单回传</x:v>
      </x:c>
    </x:row>
    <x:row r="141">
      <x:c r="A141" s="92" t="str">
        <x:v>AMZ-ORD-00140</x:v>
      </x:c>
      <x:c r="B141" s="94" t="str">
        <x:v>PROC-0141</x:v>
      </x:c>
      <x:c r="C141" s="108" t="n">
        <x:v>46051.38333333333</x:v>
      </x:c>
      <x:c r="D141" s="93" t="n">
        <x:v>46048</x:v>
      </x:c>
      <x:c r="E141" s="94" t="str">
        <x:v>Microsoft Ads</x:v>
      </x:c>
      <x:c r="F141" s="94" t="str">
        <x:v>英国</x:v>
      </x:c>
      <x:c r="G141" s="94" t="str">
        <x:v>购物广告</x:v>
      </x:c>
      <x:c r="H141" s="94" t="str">
        <x:v>SKU-0001</x:v>
      </x:c>
      <x:c r="I141" s="94" t="str">
        <x:v>电子产品</x:v>
      </x:c>
      <x:c r="J141" s="94" t="str">
        <x:v>无线耳机 A</x:v>
      </x:c>
      <x:c r="K141" s="97" t="n">
        <x:v>513.47</x:v>
      </x:c>
      <x:c r="L141" s="95" t="n">
        <x:v>2</x:v>
      </x:c>
      <x:c r="M141" s="97" t="n">
        <x:f>ROUND(K141*L141,2)</x:f>
        <x:v>1026.94</x:v>
      </x:c>
      <x:c r="N141" s="109" t="n">
        <x:v>0.05</x:v>
      </x:c>
      <x:c r="O141" s="97" t="n">
        <x:f>ROUND(M141*N141,2)</x:f>
        <x:v>51.35</x:v>
      </x:c>
      <x:c r="P141" s="94" t="str">
        <x:v>已确认</x:v>
      </x:c>
      <x:c r="Q141" s="97" t="n">
        <x:f>IF(P141="已退款",M141,0)</x:f>
        <x:v>0</x:v>
      </x:c>
      <x:c r="R141" s="97" t="n">
        <x:f>IF(P141="已退款",O141,0)</x:f>
        <x:v>0</x:v>
      </x:c>
      <x:c r="S141" s="97" t="n">
        <x:f>O141-R141</x:f>
        <x:v>51.35</x:v>
      </x:c>
      <x:c r="T141" s="94" t="n">
        <x:v>3</x:v>
      </x:c>
      <x:c r="U141" s="94" t="str">
        <x:v>模拟：Amazon Associates订单回传</x:v>
      </x:c>
    </x:row>
    <x:row r="142">
      <x:c r="A142" s="92" t="str">
        <x:v>AMZ-ORD-00141</x:v>
      </x:c>
      <x:c r="B142" s="94" t="str">
        <x:v>PROC-0143</x:v>
      </x:c>
      <x:c r="C142" s="108" t="n">
        <x:v>46050.59930555556</x:v>
      </x:c>
      <x:c r="D142" s="93" t="n">
        <x:v>46048</x:v>
      </x:c>
      <x:c r="E142" s="94" t="str">
        <x:v>Microsoft Ads</x:v>
      </x:c>
      <x:c r="F142" s="94" t="str">
        <x:v>德国</x:v>
      </x:c>
      <x:c r="G142" s="94" t="str">
        <x:v>品牌搜索</x:v>
      </x:c>
      <x:c r="H142" s="94" t="str">
        <x:v>SKU-0023</x:v>
      </x:c>
      <x:c r="I142" s="94" t="str">
        <x:v>运动健康</x:v>
      </x:c>
      <x:c r="J142" s="94" t="str">
        <x:v>可调哑铃 C</x:v>
      </x:c>
      <x:c r="K142" s="97" t="n">
        <x:v>171.06</x:v>
      </x:c>
      <x:c r="L142" s="95" t="n">
        <x:v>2</x:v>
      </x:c>
      <x:c r="M142" s="97" t="n">
        <x:f>ROUND(K142*L142,2)</x:f>
        <x:v>342.12</x:v>
      </x:c>
      <x:c r="N142" s="109" t="n">
        <x:v>0.08</x:v>
      </x:c>
      <x:c r="O142" s="97" t="n">
        <x:f>ROUND(M142*N142,2)</x:f>
        <x:v>27.37</x:v>
      </x:c>
      <x:c r="P142" s="94" t="str">
        <x:v>已确认</x:v>
      </x:c>
      <x:c r="Q142" s="97" t="n">
        <x:f>IF(P142="已退款",M142,0)</x:f>
        <x:v>0</x:v>
      </x:c>
      <x:c r="R142" s="97" t="n">
        <x:f>IF(P142="已退款",O142,0)</x:f>
        <x:v>0</x:v>
      </x:c>
      <x:c r="S142" s="97" t="n">
        <x:f>O142-R142</x:f>
        <x:v>27.37</x:v>
      </x:c>
      <x:c r="T142" s="94" t="n">
        <x:v>2</x:v>
      </x:c>
      <x:c r="U142" s="94" t="str">
        <x:v>模拟：Amazon Associates订单回传</x:v>
      </x:c>
    </x:row>
    <x:row r="143">
      <x:c r="A143" s="92" t="str">
        <x:v>AMZ-ORD-00142</x:v>
      </x:c>
      <x:c r="B143" s="94" t="str">
        <x:v>PROC-0143</x:v>
      </x:c>
      <x:c r="C143" s="108" t="n">
        <x:v>46048.70486111111</x:v>
      </x:c>
      <x:c r="D143" s="93" t="n">
        <x:v>46048</x:v>
      </x:c>
      <x:c r="E143" s="94" t="str">
        <x:v>Microsoft Ads</x:v>
      </x:c>
      <x:c r="F143" s="94" t="str">
        <x:v>德国</x:v>
      </x:c>
      <x:c r="G143" s="94" t="str">
        <x:v>品牌搜索</x:v>
      </x:c>
      <x:c r="H143" s="94" t="str">
        <x:v>SKU-0019</x:v>
      </x:c>
      <x:c r="I143" s="94" t="str">
        <x:v>家居生活</x:v>
      </x:c>
      <x:c r="J143" s="94" t="str">
        <x:v>无线吸尘器 I</x:v>
      </x:c>
      <x:c r="K143" s="97" t="n">
        <x:v>215.73</x:v>
      </x:c>
      <x:c r="L143" s="95" t="n">
        <x:v>2</x:v>
      </x:c>
      <x:c r="M143" s="97" t="n">
        <x:f>ROUND(K143*L143,2)</x:f>
        <x:v>431.46</x:v>
      </x:c>
      <x:c r="N143" s="109" t="n">
        <x:v>0.07</x:v>
      </x:c>
      <x:c r="O143" s="97" t="n">
        <x:f>ROUND(M143*N143,2)</x:f>
        <x:v>30.2</x:v>
      </x:c>
      <x:c r="P143" s="94" t="str">
        <x:v>已确认</x:v>
      </x:c>
      <x:c r="Q143" s="97" t="n">
        <x:f>IF(P143="已退款",M143,0)</x:f>
        <x:v>0</x:v>
      </x:c>
      <x:c r="R143" s="97" t="n">
        <x:f>IF(P143="已退款",O143,0)</x:f>
        <x:v>0</x:v>
      </x:c>
      <x:c r="S143" s="97" t="n">
        <x:f>O143-R143</x:f>
        <x:v>30.2</x:v>
      </x:c>
      <x:c r="T143" s="94" t="n">
        <x:v>0</x:v>
      </x:c>
      <x:c r="U143" s="94" t="str">
        <x:v>模拟：Amazon Associates订单回传</x:v>
      </x:c>
    </x:row>
    <x:row r="144">
      <x:c r="A144" s="92" t="str">
        <x:v>AMZ-ORD-00143</x:v>
      </x:c>
      <x:c r="B144" s="94" t="str">
        <x:v>PROC-0147</x:v>
      </x:c>
      <x:c r="C144" s="108" t="n">
        <x:v>46053.459027777775</x:v>
      </x:c>
      <x:c r="D144" s="93" t="n">
        <x:v>46049</x:v>
      </x:c>
      <x:c r="E144" s="94" t="str">
        <x:v>Google Ads</x:v>
      </x:c>
      <x:c r="F144" s="94" t="str">
        <x:v>英国</x:v>
      </x:c>
      <x:c r="G144" s="94" t="str">
        <x:v>购物广告</x:v>
      </x:c>
      <x:c r="H144" s="94" t="str">
        <x:v>SKU-0021</x:v>
      </x:c>
      <x:c r="I144" s="94" t="str">
        <x:v>运动健康</x:v>
      </x:c>
      <x:c r="J144" s="94" t="str">
        <x:v>智能手表 A</x:v>
      </x:c>
      <x:c r="K144" s="97" t="n">
        <x:v>198.44</x:v>
      </x:c>
      <x:c r="L144" s="95" t="n">
        <x:v>1</x:v>
      </x:c>
      <x:c r="M144" s="97" t="n">
        <x:f>ROUND(K144*L144,2)</x:f>
        <x:v>198.44</x:v>
      </x:c>
      <x:c r="N144" s="109" t="n">
        <x:v>0.08</x:v>
      </x:c>
      <x:c r="O144" s="97" t="n">
        <x:f>ROUND(M144*N144,2)</x:f>
        <x:v>15.88</x:v>
      </x:c>
      <x:c r="P144" s="94" t="str">
        <x:v>已确认</x:v>
      </x:c>
      <x:c r="Q144" s="97" t="n">
        <x:f>IF(P144="已退款",M144,0)</x:f>
        <x:v>0</x:v>
      </x:c>
      <x:c r="R144" s="97" t="n">
        <x:f>IF(P144="已退款",O144,0)</x:f>
        <x:v>0</x:v>
      </x:c>
      <x:c r="S144" s="97" t="n">
        <x:f>O144-R144</x:f>
        <x:v>15.88</x:v>
      </x:c>
      <x:c r="T144" s="94" t="n">
        <x:v>4</x:v>
      </x:c>
      <x:c r="U144" s="94" t="str">
        <x:v>模拟：Amazon Associates订单回传</x:v>
      </x:c>
    </x:row>
    <x:row r="145">
      <x:c r="A145" s="92" t="str">
        <x:v>AMZ-ORD-00144</x:v>
      </x:c>
      <x:c r="B145" s="94" t="str">
        <x:v>PROC-0148</x:v>
      </x:c>
      <x:c r="C145" s="108" t="n">
        <x:v>46053.61111111111</x:v>
      </x:c>
      <x:c r="D145" s="93" t="n">
        <x:v>46049</x:v>
      </x:c>
      <x:c r="E145" s="94" t="str">
        <x:v>Google Ads</x:v>
      </x:c>
      <x:c r="F145" s="94" t="str">
        <x:v>德国</x:v>
      </x:c>
      <x:c r="G145" s="94" t="str">
        <x:v>购物广告</x:v>
      </x:c>
      <x:c r="H145" s="94" t="str">
        <x:v>SKU-0015</x:v>
      </x:c>
      <x:c r="I145" s="94" t="str">
        <x:v>家居生活</x:v>
      </x:c>
      <x:c r="J145" s="94" t="str">
        <x:v>床品套装 E</x:v>
      </x:c>
      <x:c r="K145" s="97" t="n">
        <x:v>264.63</x:v>
      </x:c>
      <x:c r="L145" s="95" t="n">
        <x:v>1</x:v>
      </x:c>
      <x:c r="M145" s="97" t="n">
        <x:f>ROUND(K145*L145,2)</x:f>
        <x:v>264.63</x:v>
      </x:c>
      <x:c r="N145" s="109" t="n">
        <x:v>0.07</x:v>
      </x:c>
      <x:c r="O145" s="97" t="n">
        <x:f>ROUND(M145*N145,2)</x:f>
        <x:v>18.52</x:v>
      </x:c>
      <x:c r="P145" s="94" t="str">
        <x:v>已确认</x:v>
      </x:c>
      <x:c r="Q145" s="97" t="n">
        <x:f>IF(P145="已退款",M145,0)</x:f>
        <x:v>0</x:v>
      </x:c>
      <x:c r="R145" s="97" t="n">
        <x:f>IF(P145="已退款",O145,0)</x:f>
        <x:v>0</x:v>
      </x:c>
      <x:c r="S145" s="97" t="n">
        <x:f>O145-R145</x:f>
        <x:v>18.52</x:v>
      </x:c>
      <x:c r="T145" s="94" t="n">
        <x:v>4</x:v>
      </x:c>
      <x:c r="U145" s="94" t="str">
        <x:v>模拟：Amazon Associates订单回传</x:v>
      </x:c>
    </x:row>
    <x:row r="146">
      <x:c r="A146" s="92" t="str">
        <x:v>AMZ-ORD-00145</x:v>
      </x:c>
      <x:c r="B146" s="94" t="str">
        <x:v>PROC-0150</x:v>
      </x:c>
      <x:c r="C146" s="108" t="n">
        <x:v>46051.48125</x:v>
      </x:c>
      <x:c r="D146" s="93" t="n">
        <x:v>46049</x:v>
      </x:c>
      <x:c r="E146" s="94" t="str">
        <x:v>Google Ads</x:v>
      </x:c>
      <x:c r="F146" s="94" t="str">
        <x:v>美国</x:v>
      </x:c>
      <x:c r="G146" s="94" t="str">
        <x:v>品牌搜索</x:v>
      </x:c>
      <x:c r="H146" s="94" t="str">
        <x:v>SKU-0014</x:v>
      </x:c>
      <x:c r="I146" s="94" t="str">
        <x:v>家居生活</x:v>
      </x:c>
      <x:c r="J146" s="94" t="str">
        <x:v>扫地机器人 D</x:v>
      </x:c>
      <x:c r="K146" s="97" t="n">
        <x:v>322.8</x:v>
      </x:c>
      <x:c r="L146" s="95" t="n">
        <x:v>1</x:v>
      </x:c>
      <x:c r="M146" s="97" t="n">
        <x:f>ROUND(K146*L146,2)</x:f>
        <x:v>322.8</x:v>
      </x:c>
      <x:c r="N146" s="109" t="n">
        <x:v>0.07</x:v>
      </x:c>
      <x:c r="O146" s="97" t="n">
        <x:f>ROUND(M146*N146,2)</x:f>
        <x:v>22.6</x:v>
      </x:c>
      <x:c r="P146" s="94" t="str">
        <x:v>已确认</x:v>
      </x:c>
      <x:c r="Q146" s="97" t="n">
        <x:f>IF(P146="已退款",M146,0)</x:f>
        <x:v>0</x:v>
      </x:c>
      <x:c r="R146" s="97" t="n">
        <x:f>IF(P146="已退款",O146,0)</x:f>
        <x:v>0</x:v>
      </x:c>
      <x:c r="S146" s="97" t="n">
        <x:f>O146-R146</x:f>
        <x:v>22.6</x:v>
      </x:c>
      <x:c r="T146" s="94" t="n">
        <x:v>2</x:v>
      </x:c>
      <x:c r="U146" s="94" t="str">
        <x:v>模拟：Amazon Associates订单回传</x:v>
      </x:c>
    </x:row>
    <x:row r="147">
      <x:c r="A147" s="92" t="str">
        <x:v>AMZ-ORD-00146</x:v>
      </x:c>
      <x:c r="B147" s="94" t="str">
        <x:v>PROC-0150</x:v>
      </x:c>
      <x:c r="C147" s="108" t="n">
        <x:v>46050.50069444445</x:v>
      </x:c>
      <x:c r="D147" s="93" t="n">
        <x:v>46049</x:v>
      </x:c>
      <x:c r="E147" s="94" t="str">
        <x:v>Google Ads</x:v>
      </x:c>
      <x:c r="F147" s="94" t="str">
        <x:v>美国</x:v>
      </x:c>
      <x:c r="G147" s="94" t="str">
        <x:v>品牌搜索</x:v>
      </x:c>
      <x:c r="H147" s="94" t="str">
        <x:v>SKU-0034</x:v>
      </x:c>
      <x:c r="I147" s="94" t="str">
        <x:v>美妆个护</x:v>
      </x:c>
      <x:c r="J147" s="94" t="str">
        <x:v>电动牙刷 D</x:v>
      </x:c>
      <x:c r="K147" s="97" t="n">
        <x:v>154.23</x:v>
      </x:c>
      <x:c r="L147" s="95" t="n">
        <x:v>3</x:v>
      </x:c>
      <x:c r="M147" s="97" t="n">
        <x:f>ROUND(K147*L147,2)</x:f>
        <x:v>462.69</x:v>
      </x:c>
      <x:c r="N147" s="109" t="n">
        <x:v>0.1</x:v>
      </x:c>
      <x:c r="O147" s="97" t="n">
        <x:f>ROUND(M147*N147,2)</x:f>
        <x:v>46.27</x:v>
      </x:c>
      <x:c r="P147" s="94" t="str">
        <x:v>已确认</x:v>
      </x:c>
      <x:c r="Q147" s="97" t="n">
        <x:f>IF(P147="已退款",M147,0)</x:f>
        <x:v>0</x:v>
      </x:c>
      <x:c r="R147" s="97" t="n">
        <x:f>IF(P147="已退款",O147,0)</x:f>
        <x:v>0</x:v>
      </x:c>
      <x:c r="S147" s="97" t="n">
        <x:f>O147-R147</x:f>
        <x:v>46.27</x:v>
      </x:c>
      <x:c r="T147" s="94" t="n">
        <x:v>1</x:v>
      </x:c>
      <x:c r="U147" s="94" t="str">
        <x:v>模拟：Amazon Associates订单回传</x:v>
      </x:c>
    </x:row>
    <x:row r="148">
      <x:c r="A148" s="92" t="str">
        <x:v>AMZ-ORD-00147</x:v>
      </x:c>
      <x:c r="B148" s="94" t="str">
        <x:v>PROC-0150</x:v>
      </x:c>
      <x:c r="C148" s="108" t="n">
        <x:v>46053.75208333333</x:v>
      </x:c>
      <x:c r="D148" s="93" t="n">
        <x:v>46049</x:v>
      </x:c>
      <x:c r="E148" s="94" t="str">
        <x:v>Google Ads</x:v>
      </x:c>
      <x:c r="F148" s="94" t="str">
        <x:v>美国</x:v>
      </x:c>
      <x:c r="G148" s="94" t="str">
        <x:v>品牌搜索</x:v>
      </x:c>
      <x:c r="H148" s="94" t="str">
        <x:v>SKU-0050</x:v>
      </x:c>
      <x:c r="I148" s="94" t="str">
        <x:v>办公学习</x:v>
      </x:c>
      <x:c r="J148" s="94" t="str">
        <x:v>静音鼠标 J</x:v>
      </x:c>
      <x:c r="K148" s="97" t="n">
        <x:v>157.45</x:v>
      </x:c>
      <x:c r="L148" s="95" t="n">
        <x:v>1</x:v>
      </x:c>
      <x:c r="M148" s="97" t="n">
        <x:f>ROUND(K148*L148,2)</x:f>
        <x:v>157.45</x:v>
      </x:c>
      <x:c r="N148" s="109" t="n">
        <x:v>0.07</x:v>
      </x:c>
      <x:c r="O148" s="97" t="n">
        <x:f>ROUND(M148*N148,2)</x:f>
        <x:v>11.02</x:v>
      </x:c>
      <x:c r="P148" s="94" t="str">
        <x:v>待确认</x:v>
      </x:c>
      <x:c r="Q148" s="97" t="n">
        <x:f>IF(P148="已退款",M148,0)</x:f>
        <x:v>0</x:v>
      </x:c>
      <x:c r="R148" s="97" t="n">
        <x:f>IF(P148="已退款",O148,0)</x:f>
        <x:v>0</x:v>
      </x:c>
      <x:c r="S148" s="97" t="n">
        <x:f>O148-R148</x:f>
        <x:v>11.02</x:v>
      </x:c>
      <x:c r="T148" s="94" t="n">
        <x:v>4</x:v>
      </x:c>
      <x:c r="U148" s="94" t="str">
        <x:v>模拟：Amazon Associates订单回传</x:v>
      </x:c>
    </x:row>
    <x:row r="149">
      <x:c r="A149" s="92" t="str">
        <x:v>AMZ-ORD-00148</x:v>
      </x:c>
      <x:c r="B149" s="94" t="str">
        <x:v>PROC-0151</x:v>
      </x:c>
      <x:c r="C149" s="108" t="n">
        <x:v>46053.66736111111</x:v>
      </x:c>
      <x:c r="D149" s="93" t="n">
        <x:v>46050</x:v>
      </x:c>
      <x:c r="E149" s="94" t="str">
        <x:v>Microsoft Ads</x:v>
      </x:c>
      <x:c r="F149" s="94" t="str">
        <x:v>美国</x:v>
      </x:c>
      <x:c r="G149" s="94" t="str">
        <x:v>购物广告</x:v>
      </x:c>
      <x:c r="H149" s="94" t="str">
        <x:v>SKU-0001</x:v>
      </x:c>
      <x:c r="I149" s="94" t="str">
        <x:v>电子产品</x:v>
      </x:c>
      <x:c r="J149" s="94" t="str">
        <x:v>无线耳机 A</x:v>
      </x:c>
      <x:c r="K149" s="97" t="n">
        <x:v>630.4</x:v>
      </x:c>
      <x:c r="L149" s="95" t="n">
        <x:v>1</x:v>
      </x:c>
      <x:c r="M149" s="97" t="n">
        <x:f>ROUND(K149*L149,2)</x:f>
        <x:v>630.4</x:v>
      </x:c>
      <x:c r="N149" s="109" t="n">
        <x:v>0.05</x:v>
      </x:c>
      <x:c r="O149" s="97" t="n">
        <x:f>ROUND(M149*N149,2)</x:f>
        <x:v>31.52</x:v>
      </x:c>
      <x:c r="P149" s="94" t="str">
        <x:v>已确认</x:v>
      </x:c>
      <x:c r="Q149" s="97" t="n">
        <x:f>IF(P149="已退款",M149,0)</x:f>
        <x:v>0</x:v>
      </x:c>
      <x:c r="R149" s="97" t="n">
        <x:f>IF(P149="已退款",O149,0)</x:f>
        <x:v>0</x:v>
      </x:c>
      <x:c r="S149" s="97" t="n">
        <x:f>O149-R149</x:f>
        <x:v>31.52</x:v>
      </x:c>
      <x:c r="T149" s="94" t="n">
        <x:v>3</x:v>
      </x:c>
      <x:c r="U149" s="94" t="str">
        <x:v>模拟：Amazon Associates订单回传</x:v>
      </x:c>
    </x:row>
    <x:row r="150">
      <x:c r="A150" s="92" t="str">
        <x:v>AMZ-ORD-00149</x:v>
      </x:c>
      <x:c r="B150" s="94" t="str">
        <x:v>PROC-0152</x:v>
      </x:c>
      <x:c r="C150" s="108" t="n">
        <x:v>46054.54027777778</x:v>
      </x:c>
      <x:c r="D150" s="93" t="n">
        <x:v>46050</x:v>
      </x:c>
      <x:c r="E150" s="94" t="str">
        <x:v>Google Ads</x:v>
      </x:c>
      <x:c r="F150" s="94" t="str">
        <x:v>英国</x:v>
      </x:c>
      <x:c r="G150" s="94" t="str">
        <x:v>通用搜索</x:v>
      </x:c>
      <x:c r="H150" s="94" t="str">
        <x:v>SKU-0028</x:v>
      </x:c>
      <x:c r="I150" s="94" t="str">
        <x:v>运动健康</x:v>
      </x:c>
      <x:c r="J150" s="94" t="str">
        <x:v>体脂秤 H</x:v>
      </x:c>
      <x:c r="K150" s="97" t="n">
        <x:v>150.54</x:v>
      </x:c>
      <x:c r="L150" s="95" t="n">
        <x:v>1</x:v>
      </x:c>
      <x:c r="M150" s="97" t="n">
        <x:f>ROUND(K150*L150,2)</x:f>
        <x:v>150.54</x:v>
      </x:c>
      <x:c r="N150" s="109" t="n">
        <x:v>0.08</x:v>
      </x:c>
      <x:c r="O150" s="97" t="n">
        <x:f>ROUND(M150*N150,2)</x:f>
        <x:v>12.04</x:v>
      </x:c>
      <x:c r="P150" s="94" t="str">
        <x:v>已确认</x:v>
      </x:c>
      <x:c r="Q150" s="97" t="n">
        <x:f>IF(P150="已退款",M150,0)</x:f>
        <x:v>0</x:v>
      </x:c>
      <x:c r="R150" s="97" t="n">
        <x:f>IF(P150="已退款",O150,0)</x:f>
        <x:v>0</x:v>
      </x:c>
      <x:c r="S150" s="97" t="n">
        <x:f>O150-R150</x:f>
        <x:v>12.04</x:v>
      </x:c>
      <x:c r="T150" s="94" t="n">
        <x:v>4</x:v>
      </x:c>
      <x:c r="U150" s="94" t="str">
        <x:v>模拟：Amazon Associates订单回传</x:v>
      </x:c>
    </x:row>
    <x:row r="151">
      <x:c r="A151" s="92" t="str">
        <x:v>AMZ-ORD-00150</x:v>
      </x:c>
      <x:c r="B151" s="94" t="str">
        <x:v>PROC-0153</x:v>
      </x:c>
      <x:c r="C151" s="108" t="n">
        <x:v>46050.91388888889</x:v>
      </x:c>
      <x:c r="D151" s="93" t="n">
        <x:v>46050</x:v>
      </x:c>
      <x:c r="E151" s="94" t="str">
        <x:v>Microsoft Ads</x:v>
      </x:c>
      <x:c r="F151" s="94" t="str">
        <x:v>德国</x:v>
      </x:c>
      <x:c r="G151" s="94" t="str">
        <x:v>通用搜索</x:v>
      </x:c>
      <x:c r="H151" s="94" t="str">
        <x:v>SKU-0012</x:v>
      </x:c>
      <x:c r="I151" s="94" t="str">
        <x:v>家居生活</x:v>
      </x:c>
      <x:c r="J151" s="94" t="str">
        <x:v>咖啡机 B</x:v>
      </x:c>
      <x:c r="K151" s="97" t="n">
        <x:v>201.68</x:v>
      </x:c>
      <x:c r="L151" s="95" t="n">
        <x:v>1</x:v>
      </x:c>
      <x:c r="M151" s="97" t="n">
        <x:f>ROUND(K151*L151,2)</x:f>
        <x:v>201.68</x:v>
      </x:c>
      <x:c r="N151" s="109" t="n">
        <x:v>0.07</x:v>
      </x:c>
      <x:c r="O151" s="97" t="n">
        <x:f>ROUND(M151*N151,2)</x:f>
        <x:v>14.12</x:v>
      </x:c>
      <x:c r="P151" s="94" t="str">
        <x:v>已确认</x:v>
      </x:c>
      <x:c r="Q151" s="97" t="n">
        <x:f>IF(P151="已退款",M151,0)</x:f>
        <x:v>0</x:v>
      </x:c>
      <x:c r="R151" s="97" t="n">
        <x:f>IF(P151="已退款",O151,0)</x:f>
        <x:v>0</x:v>
      </x:c>
      <x:c r="S151" s="97" t="n">
        <x:f>O151-R151</x:f>
        <x:v>14.12</x:v>
      </x:c>
      <x:c r="T151" s="94" t="n">
        <x:v>0</x:v>
      </x:c>
      <x:c r="U151" s="94" t="str">
        <x:v>模拟：Amazon Associates订单回传</x:v>
      </x:c>
    </x:row>
    <x:row r="152">
      <x:c r="A152" s="92" t="str">
        <x:v>AMZ-ORD-00151</x:v>
      </x:c>
      <x:c r="B152" s="94" t="str">
        <x:v>PROC-0154</x:v>
      </x:c>
      <x:c r="C152" s="108" t="n">
        <x:v>46050.90902777778</x:v>
      </x:c>
      <x:c r="D152" s="93" t="n">
        <x:v>46050</x:v>
      </x:c>
      <x:c r="E152" s="94" t="str">
        <x:v>Google Ads</x:v>
      </x:c>
      <x:c r="F152" s="94" t="str">
        <x:v>德国</x:v>
      </x:c>
      <x:c r="G152" s="94" t="str">
        <x:v>品牌搜索</x:v>
      </x:c>
      <x:c r="H152" s="94" t="str">
        <x:v>SKU-0029</x:v>
      </x:c>
      <x:c r="I152" s="94" t="str">
        <x:v>运动健康</x:v>
      </x:c>
      <x:c r="J152" s="94" t="str">
        <x:v>运动耳机 I</x:v>
      </x:c>
      <x:c r="K152" s="97" t="n">
        <x:v>145.28</x:v>
      </x:c>
      <x:c r="L152" s="95" t="n">
        <x:v>1</x:v>
      </x:c>
      <x:c r="M152" s="97" t="n">
        <x:f>ROUND(K152*L152,2)</x:f>
        <x:v>145.28</x:v>
      </x:c>
      <x:c r="N152" s="109" t="n">
        <x:v>0.08</x:v>
      </x:c>
      <x:c r="O152" s="97" t="n">
        <x:f>ROUND(M152*N152,2)</x:f>
        <x:v>11.62</x:v>
      </x:c>
      <x:c r="P152" s="94" t="str">
        <x:v>已确认</x:v>
      </x:c>
      <x:c r="Q152" s="97" t="n">
        <x:f>IF(P152="已退款",M152,0)</x:f>
        <x:v>0</x:v>
      </x:c>
      <x:c r="R152" s="97" t="n">
        <x:f>IF(P152="已退款",O152,0)</x:f>
        <x:v>0</x:v>
      </x:c>
      <x:c r="S152" s="97" t="n">
        <x:f>O152-R152</x:f>
        <x:v>11.62</x:v>
      </x:c>
      <x:c r="T152" s="94" t="n">
        <x:v>0</x:v>
      </x:c>
      <x:c r="U152" s="94" t="str">
        <x:v>模拟：Amazon Associates订单回传</x:v>
      </x:c>
    </x:row>
    <x:row r="153">
      <x:c r="A153" s="92" t="str">
        <x:v>AMZ-ORD-00152</x:v>
      </x:c>
      <x:c r="B153" s="94" t="str">
        <x:v>PROC-0155</x:v>
      </x:c>
      <x:c r="C153" s="108" t="n">
        <x:v>46052.6375</x:v>
      </x:c>
      <x:c r="D153" s="93" t="n">
        <x:v>46050</x:v>
      </x:c>
      <x:c r="E153" s="94" t="str">
        <x:v>Google Ads</x:v>
      </x:c>
      <x:c r="F153" s="94" t="str">
        <x:v>美国</x:v>
      </x:c>
      <x:c r="G153" s="94" t="str">
        <x:v>品牌搜索</x:v>
      </x:c>
      <x:c r="H153" s="94" t="str">
        <x:v>SKU-0043</x:v>
      </x:c>
      <x:c r="I153" s="94" t="str">
        <x:v>办公学习</x:v>
      </x:c>
      <x:c r="J153" s="94" t="str">
        <x:v>会议麦克风 C</x:v>
      </x:c>
      <x:c r="K153" s="97" t="n">
        <x:v>212.05</x:v>
      </x:c>
      <x:c r="L153" s="95" t="n">
        <x:v>1</x:v>
      </x:c>
      <x:c r="M153" s="97" t="n">
        <x:f>ROUND(K153*L153,2)</x:f>
        <x:v>212.05</x:v>
      </x:c>
      <x:c r="N153" s="109" t="n">
        <x:v>0.07</x:v>
      </x:c>
      <x:c r="O153" s="97" t="n">
        <x:f>ROUND(M153*N153,2)</x:f>
        <x:v>14.84</x:v>
      </x:c>
      <x:c r="P153" s="94" t="str">
        <x:v>已确认</x:v>
      </x:c>
      <x:c r="Q153" s="97" t="n">
        <x:f>IF(P153="已退款",M153,0)</x:f>
        <x:v>0</x:v>
      </x:c>
      <x:c r="R153" s="97" t="n">
        <x:f>IF(P153="已退款",O153,0)</x:f>
        <x:v>0</x:v>
      </x:c>
      <x:c r="S153" s="97" t="n">
        <x:f>O153-R153</x:f>
        <x:v>14.84</x:v>
      </x:c>
      <x:c r="T153" s="94" t="n">
        <x:v>2</x:v>
      </x:c>
      <x:c r="U153" s="94" t="str">
        <x:v>模拟：Amazon Associates订单回传</x:v>
      </x:c>
    </x:row>
    <x:row r="154">
      <x:c r="A154" s="92" t="str">
        <x:v>AMZ-ORD-00153</x:v>
      </x:c>
      <x:c r="B154" s="94" t="str">
        <x:v>PROC-0155</x:v>
      </x:c>
      <x:c r="C154" s="108" t="n">
        <x:v>46051.88055555556</x:v>
      </x:c>
      <x:c r="D154" s="93" t="n">
        <x:v>46050</x:v>
      </x:c>
      <x:c r="E154" s="94" t="str">
        <x:v>Google Ads</x:v>
      </x:c>
      <x:c r="F154" s="94" t="str">
        <x:v>美国</x:v>
      </x:c>
      <x:c r="G154" s="94" t="str">
        <x:v>品牌搜索</x:v>
      </x:c>
      <x:c r="H154" s="94" t="str">
        <x:v>SKU-0026</x:v>
      </x:c>
      <x:c r="I154" s="94" t="str">
        <x:v>运动健康</x:v>
      </x:c>
      <x:c r="J154" s="94" t="str">
        <x:v>骑行头盔 F</x:v>
      </x:c>
      <x:c r="K154" s="97" t="n">
        <x:v>267.45</x:v>
      </x:c>
      <x:c r="L154" s="95" t="n">
        <x:v>1</x:v>
      </x:c>
      <x:c r="M154" s="97" t="n">
        <x:f>ROUND(K154*L154,2)</x:f>
        <x:v>267.45</x:v>
      </x:c>
      <x:c r="N154" s="109" t="n">
        <x:v>0.08</x:v>
      </x:c>
      <x:c r="O154" s="97" t="n">
        <x:f>ROUND(M154*N154,2)</x:f>
        <x:v>21.4</x:v>
      </x:c>
      <x:c r="P154" s="94" t="str">
        <x:v>已确认</x:v>
      </x:c>
      <x:c r="Q154" s="97" t="n">
        <x:f>IF(P154="已退款",M154,0)</x:f>
        <x:v>0</x:v>
      </x:c>
      <x:c r="R154" s="97" t="n">
        <x:f>IF(P154="已退款",O154,0)</x:f>
        <x:v>0</x:v>
      </x:c>
      <x:c r="S154" s="97" t="n">
        <x:f>O154-R154</x:f>
        <x:v>21.4</x:v>
      </x:c>
      <x:c r="T154" s="94" t="n">
        <x:v>1</x:v>
      </x:c>
      <x:c r="U154" s="94" t="str">
        <x:v>模拟：Amazon Associates订单回传</x:v>
      </x:c>
    </x:row>
    <x:row r="155">
      <x:c r="A155" s="92" t="str">
        <x:v>AMZ-ORD-00154</x:v>
      </x:c>
      <x:c r="B155" s="94" t="str">
        <x:v>PROC-0156</x:v>
      </x:c>
      <x:c r="C155" s="108" t="n">
        <x:v>46054.606944444444</x:v>
      </x:c>
      <x:c r="D155" s="93" t="n">
        <x:v>46051</x:v>
      </x:c>
      <x:c r="E155" s="94" t="str">
        <x:v>Microsoft Ads</x:v>
      </x:c>
      <x:c r="F155" s="94" t="str">
        <x:v>德国</x:v>
      </x:c>
      <x:c r="G155" s="94" t="str">
        <x:v>购物广告</x:v>
      </x:c>
      <x:c r="H155" s="94" t="str">
        <x:v>SKU-0007</x:v>
      </x:c>
      <x:c r="I155" s="94" t="str">
        <x:v>电子产品</x:v>
      </x:c>
      <x:c r="J155" s="94" t="str">
        <x:v>运动相机 G</x:v>
      </x:c>
      <x:c r="K155" s="97" t="n">
        <x:v>443.61</x:v>
      </x:c>
      <x:c r="L155" s="95" t="n">
        <x:v>1</x:v>
      </x:c>
      <x:c r="M155" s="97" t="n">
        <x:f>ROUND(K155*L155,2)</x:f>
        <x:v>443.61</x:v>
      </x:c>
      <x:c r="N155" s="109" t="n">
        <x:v>0.05</x:v>
      </x:c>
      <x:c r="O155" s="97" t="n">
        <x:f>ROUND(M155*N155,2)</x:f>
        <x:v>22.18</x:v>
      </x:c>
      <x:c r="P155" s="94" t="str">
        <x:v>已确认</x:v>
      </x:c>
      <x:c r="Q155" s="97" t="n">
        <x:f>IF(P155="已退款",M155,0)</x:f>
        <x:v>0</x:v>
      </x:c>
      <x:c r="R155" s="97" t="n">
        <x:f>IF(P155="已退款",O155,0)</x:f>
        <x:v>0</x:v>
      </x:c>
      <x:c r="S155" s="97" t="n">
        <x:f>O155-R155</x:f>
        <x:v>22.18</x:v>
      </x:c>
      <x:c r="T155" s="94" t="n">
        <x:v>3</x:v>
      </x:c>
      <x:c r="U155" s="94" t="str">
        <x:v>模拟：Amazon Associates订单回传</x:v>
      </x:c>
    </x:row>
    <x:row r="156">
      <x:c r="A156" s="92" t="str">
        <x:v>AMZ-ORD-00155</x:v>
      </x:c>
      <x:c r="B156" s="94" t="str">
        <x:v>PROC-0157</x:v>
      </x:c>
      <x:c r="C156" s="108" t="n">
        <x:v>46051.44097222222</x:v>
      </x:c>
      <x:c r="D156" s="93" t="n">
        <x:v>46051</x:v>
      </x:c>
      <x:c r="E156" s="94" t="str">
        <x:v>Google Ads</x:v>
      </x:c>
      <x:c r="F156" s="94" t="str">
        <x:v>英国</x:v>
      </x:c>
      <x:c r="G156" s="94" t="str">
        <x:v>购物广告</x:v>
      </x:c>
      <x:c r="H156" s="94" t="str">
        <x:v>SKU-0012</x:v>
      </x:c>
      <x:c r="I156" s="94" t="str">
        <x:v>家居生活</x:v>
      </x:c>
      <x:c r="J156" s="94" t="str">
        <x:v>咖啡机 B</x:v>
      </x:c>
      <x:c r="K156" s="97" t="n">
        <x:v>90.2</x:v>
      </x:c>
      <x:c r="L156" s="95" t="n">
        <x:v>2</x:v>
      </x:c>
      <x:c r="M156" s="97" t="n">
        <x:f>ROUND(K156*L156,2)</x:f>
        <x:v>180.4</x:v>
      </x:c>
      <x:c r="N156" s="109" t="n">
        <x:v>0.07</x:v>
      </x:c>
      <x:c r="O156" s="97" t="n">
        <x:f>ROUND(M156*N156,2)</x:f>
        <x:v>12.63</x:v>
      </x:c>
      <x:c r="P156" s="94" t="str">
        <x:v>已确认</x:v>
      </x:c>
      <x:c r="Q156" s="97" t="n">
        <x:f>IF(P156="已退款",M156,0)</x:f>
        <x:v>0</x:v>
      </x:c>
      <x:c r="R156" s="97" t="n">
        <x:f>IF(P156="已退款",O156,0)</x:f>
        <x:v>0</x:v>
      </x:c>
      <x:c r="S156" s="97" t="n">
        <x:f>O156-R156</x:f>
        <x:v>12.63</x:v>
      </x:c>
      <x:c r="T156" s="94" t="n">
        <x:v>0</x:v>
      </x:c>
      <x:c r="U156" s="94" t="str">
        <x:v>模拟：Amazon Associates订单回传</x:v>
      </x:c>
    </x:row>
    <x:row r="157">
      <x:c r="A157" s="92" t="str">
        <x:v>AMZ-ORD-00156</x:v>
      </x:c>
      <x:c r="B157" s="94" t="str">
        <x:v>PROC-0158</x:v>
      </x:c>
      <x:c r="C157" s="108" t="n">
        <x:v>46051.61736111111</x:v>
      </x:c>
      <x:c r="D157" s="93" t="n">
        <x:v>46051</x:v>
      </x:c>
      <x:c r="E157" s="94" t="str">
        <x:v>Microsoft Ads</x:v>
      </x:c>
      <x:c r="F157" s="94" t="str">
        <x:v>德国</x:v>
      </x:c>
      <x:c r="G157" s="94" t="str">
        <x:v>品牌搜索</x:v>
      </x:c>
      <x:c r="H157" s="94" t="str">
        <x:v>SKU-0012</x:v>
      </x:c>
      <x:c r="I157" s="94" t="str">
        <x:v>家居生活</x:v>
      </x:c>
      <x:c r="J157" s="94" t="str">
        <x:v>咖啡机 B</x:v>
      </x:c>
      <x:c r="K157" s="97" t="n">
        <x:v>344.1</x:v>
      </x:c>
      <x:c r="L157" s="95" t="n">
        <x:v>1</x:v>
      </x:c>
      <x:c r="M157" s="97" t="n">
        <x:f>ROUND(K157*L157,2)</x:f>
        <x:v>344.1</x:v>
      </x:c>
      <x:c r="N157" s="109" t="n">
        <x:v>0.07</x:v>
      </x:c>
      <x:c r="O157" s="97" t="n">
        <x:f>ROUND(M157*N157,2)</x:f>
        <x:v>24.09</x:v>
      </x:c>
      <x:c r="P157" s="94" t="str">
        <x:v>已确认</x:v>
      </x:c>
      <x:c r="Q157" s="97" t="n">
        <x:f>IF(P157="已退款",M157,0)</x:f>
        <x:v>0</x:v>
      </x:c>
      <x:c r="R157" s="97" t="n">
        <x:f>IF(P157="已退款",O157,0)</x:f>
        <x:v>0</x:v>
      </x:c>
      <x:c r="S157" s="97" t="n">
        <x:f>O157-R157</x:f>
        <x:v>24.09</x:v>
      </x:c>
      <x:c r="T157" s="94" t="n">
        <x:v>0</x:v>
      </x:c>
      <x:c r="U157" s="94" t="str">
        <x:v>模拟：Amazon Associates订单回传</x:v>
      </x:c>
    </x:row>
    <x:row r="158">
      <x:c r="A158" s="92" t="str">
        <x:v>AMZ-ORD-00157</x:v>
      </x:c>
      <x:c r="B158" s="94" t="str">
        <x:v>PROC-0159</x:v>
      </x:c>
      <x:c r="C158" s="108" t="n">
        <x:v>46054.868055555555</x:v>
      </x:c>
      <x:c r="D158" s="93" t="n">
        <x:v>46051</x:v>
      </x:c>
      <x:c r="E158" s="94" t="str">
        <x:v>Microsoft Ads</x:v>
      </x:c>
      <x:c r="F158" s="94" t="str">
        <x:v>英国</x:v>
      </x:c>
      <x:c r="G158" s="94" t="str">
        <x:v>通用搜索</x:v>
      </x:c>
      <x:c r="H158" s="94" t="str">
        <x:v>SKU-0040</x:v>
      </x:c>
      <x:c r="I158" s="94" t="str">
        <x:v>美妆个护</x:v>
      </x:c>
      <x:c r="J158" s="94" t="str">
        <x:v>旅行护理套装 J</x:v>
      </x:c>
      <x:c r="K158" s="97" t="n">
        <x:v>118.52</x:v>
      </x:c>
      <x:c r="L158" s="95" t="n">
        <x:v>2</x:v>
      </x:c>
      <x:c r="M158" s="97" t="n">
        <x:f>ROUND(K158*L158,2)</x:f>
        <x:v>237.04</x:v>
      </x:c>
      <x:c r="N158" s="109" t="n">
        <x:v>0.1</x:v>
      </x:c>
      <x:c r="O158" s="97" t="n">
        <x:f>ROUND(M158*N158,2)</x:f>
        <x:v>23.7</x:v>
      </x:c>
      <x:c r="P158" s="94" t="str">
        <x:v>已确认</x:v>
      </x:c>
      <x:c r="Q158" s="97" t="n">
        <x:f>IF(P158="已退款",M158,0)</x:f>
        <x:v>0</x:v>
      </x:c>
      <x:c r="R158" s="97" t="n">
        <x:f>IF(P158="已退款",O158,0)</x:f>
        <x:v>0</x:v>
      </x:c>
      <x:c r="S158" s="97" t="n">
        <x:f>O158-R158</x:f>
        <x:v>23.7</x:v>
      </x:c>
      <x:c r="T158" s="94" t="n">
        <x:v>3</x:v>
      </x:c>
      <x:c r="U158" s="94" t="str">
        <x:v>模拟：Amazon Associates订单回传</x:v>
      </x:c>
    </x:row>
    <x:row r="159">
      <x:c r="A159" s="92" t="str">
        <x:v>AMZ-ORD-00158</x:v>
      </x:c>
      <x:c r="B159" s="94" t="str">
        <x:v>PROC-0160</x:v>
      </x:c>
      <x:c r="C159" s="108" t="n">
        <x:v>46051.44861111111</x:v>
      </x:c>
      <x:c r="D159" s="93" t="n">
        <x:v>46051</x:v>
      </x:c>
      <x:c r="E159" s="94" t="str">
        <x:v>Microsoft Ads</x:v>
      </x:c>
      <x:c r="F159" s="94" t="str">
        <x:v>日本</x:v>
      </x:c>
      <x:c r="G159" s="94" t="str">
        <x:v>购物广告</x:v>
      </x:c>
      <x:c r="H159" s="94" t="str">
        <x:v>SKU-0035</x:v>
      </x:c>
      <x:c r="I159" s="94" t="str">
        <x:v>美妆个护</x:v>
      </x:c>
      <x:c r="J159" s="94" t="str">
        <x:v>香氛礼盒 E</x:v>
      </x:c>
      <x:c r="K159" s="97" t="n">
        <x:v>115.71</x:v>
      </x:c>
      <x:c r="L159" s="95" t="n">
        <x:v>2</x:v>
      </x:c>
      <x:c r="M159" s="97" t="n">
        <x:f>ROUND(K159*L159,2)</x:f>
        <x:v>231.42</x:v>
      </x:c>
      <x:c r="N159" s="109" t="n">
        <x:v>0.1</x:v>
      </x:c>
      <x:c r="O159" s="97" t="n">
        <x:f>ROUND(M159*N159,2)</x:f>
        <x:v>23.14</x:v>
      </x:c>
      <x:c r="P159" s="94" t="str">
        <x:v>已确认</x:v>
      </x:c>
      <x:c r="Q159" s="97" t="n">
        <x:f>IF(P159="已退款",M159,0)</x:f>
        <x:v>0</x:v>
      </x:c>
      <x:c r="R159" s="97" t="n">
        <x:f>IF(P159="已退款",O159,0)</x:f>
        <x:v>0</x:v>
      </x:c>
      <x:c r="S159" s="97" t="n">
        <x:f>O159-R159</x:f>
        <x:v>23.14</x:v>
      </x:c>
      <x:c r="T159" s="94" t="n">
        <x:v>0</x:v>
      </x:c>
      <x:c r="U159" s="94" t="str">
        <x:v>模拟：Amazon Associates订单回传</x:v>
      </x:c>
    </x:row>
    <x:row r="160">
      <x:c r="A160" s="92" t="str">
        <x:v>AMZ-ORD-00159</x:v>
      </x:c>
      <x:c r="B160" s="94" t="str">
        <x:v>PROC-0161</x:v>
      </x:c>
      <x:c r="C160" s="108" t="n">
        <x:v>46055.82777777778</x:v>
      </x:c>
      <x:c r="D160" s="93" t="n">
        <x:v>46051</x:v>
      </x:c>
      <x:c r="E160" s="94" t="str">
        <x:v>Google Ads</x:v>
      </x:c>
      <x:c r="F160" s="94" t="str">
        <x:v>美国</x:v>
      </x:c>
      <x:c r="G160" s="94" t="str">
        <x:v>通用搜索</x:v>
      </x:c>
      <x:c r="H160" s="94" t="str">
        <x:v>SKU-0019</x:v>
      </x:c>
      <x:c r="I160" s="94" t="str">
        <x:v>家居生活</x:v>
      </x:c>
      <x:c r="J160" s="94" t="str">
        <x:v>无线吸尘器 I</x:v>
      </x:c>
      <x:c r="K160" s="97" t="n">
        <x:v>289.35</x:v>
      </x:c>
      <x:c r="L160" s="95" t="n">
        <x:v>2</x:v>
      </x:c>
      <x:c r="M160" s="97" t="n">
        <x:f>ROUND(K160*L160,2)</x:f>
        <x:v>578.7</x:v>
      </x:c>
      <x:c r="N160" s="109" t="n">
        <x:v>0.07</x:v>
      </x:c>
      <x:c r="O160" s="97" t="n">
        <x:f>ROUND(M160*N160,2)</x:f>
        <x:v>40.51</x:v>
      </x:c>
      <x:c r="P160" s="94" t="str">
        <x:v>已确认</x:v>
      </x:c>
      <x:c r="Q160" s="97" t="n">
        <x:f>IF(P160="已退款",M160,0)</x:f>
        <x:v>0</x:v>
      </x:c>
      <x:c r="R160" s="97" t="n">
        <x:f>IF(P160="已退款",O160,0)</x:f>
        <x:v>0</x:v>
      </x:c>
      <x:c r="S160" s="97" t="n">
        <x:f>O160-R160</x:f>
        <x:v>40.51</x:v>
      </x:c>
      <x:c r="T160" s="94" t="n">
        <x:v>4</x:v>
      </x:c>
      <x:c r="U160" s="94" t="str">
        <x:v>模拟：Amazon Associates订单回传</x:v>
      </x:c>
    </x:row>
    <x:row r="161">
      <x:c r="A161" s="92" t="str">
        <x:v>AMZ-ORD-00160</x:v>
      </x:c>
      <x:c r="B161" s="94" t="str">
        <x:v>PROC-0162</x:v>
      </x:c>
      <x:c r="C161" s="108" t="n">
        <x:v>46056.825694444444</x:v>
      </x:c>
      <x:c r="D161" s="93" t="n">
        <x:v>46052</x:v>
      </x:c>
      <x:c r="E161" s="94" t="str">
        <x:v>Google Ads</x:v>
      </x:c>
      <x:c r="F161" s="94" t="str">
        <x:v>日本</x:v>
      </x:c>
      <x:c r="G161" s="94" t="str">
        <x:v>购物广告</x:v>
      </x:c>
      <x:c r="H161" s="94" t="str">
        <x:v>SKU-0006</x:v>
      </x:c>
      <x:c r="I161" s="94" t="str">
        <x:v>电子产品</x:v>
      </x:c>
      <x:c r="J161" s="94" t="str">
        <x:v>迷你投影仪 F</x:v>
      </x:c>
      <x:c r="K161" s="97" t="n">
        <x:v>544.03</x:v>
      </x:c>
      <x:c r="L161" s="95" t="n">
        <x:v>1</x:v>
      </x:c>
      <x:c r="M161" s="97" t="n">
        <x:f>ROUND(K161*L161,2)</x:f>
        <x:v>544.03</x:v>
      </x:c>
      <x:c r="N161" s="109" t="n">
        <x:v>0.05</x:v>
      </x:c>
      <x:c r="O161" s="97" t="n">
        <x:f>ROUND(M161*N161,2)</x:f>
        <x:v>27.2</x:v>
      </x:c>
      <x:c r="P161" s="94" t="str">
        <x:v>已确认</x:v>
      </x:c>
      <x:c r="Q161" s="97" t="n">
        <x:f>IF(P161="已退款",M161,0)</x:f>
        <x:v>0</x:v>
      </x:c>
      <x:c r="R161" s="97" t="n">
        <x:f>IF(P161="已退款",O161,0)</x:f>
        <x:v>0</x:v>
      </x:c>
      <x:c r="S161" s="97" t="n">
        <x:f>O161-R161</x:f>
        <x:v>27.2</x:v>
      </x:c>
      <x:c r="T161" s="94" t="n">
        <x:v>4</x:v>
      </x:c>
      <x:c r="U161" s="94" t="str">
        <x:v>模拟：Amazon Associates订单回传</x:v>
      </x:c>
    </x:row>
    <x:row r="162">
      <x:c r="A162" s="92" t="str">
        <x:v>AMZ-ORD-00161</x:v>
      </x:c>
      <x:c r="B162" s="94" t="str">
        <x:v>PROC-0163</x:v>
      </x:c>
      <x:c r="C162" s="108" t="n">
        <x:v>46055.59930555556</x:v>
      </x:c>
      <x:c r="D162" s="93" t="n">
        <x:v>46052</x:v>
      </x:c>
      <x:c r="E162" s="94" t="str">
        <x:v>Microsoft Ads</x:v>
      </x:c>
      <x:c r="F162" s="94" t="str">
        <x:v>日本</x:v>
      </x:c>
      <x:c r="G162" s="94" t="str">
        <x:v>购物广告</x:v>
      </x:c>
      <x:c r="H162" s="94" t="str">
        <x:v>SKU-0017</x:v>
      </x:c>
      <x:c r="I162" s="94" t="str">
        <x:v>家居生活</x:v>
      </x:c>
      <x:c r="J162" s="94" t="str">
        <x:v>落地灯 G</x:v>
      </x:c>
      <x:c r="K162" s="97" t="n">
        <x:v>232.44</x:v>
      </x:c>
      <x:c r="L162" s="95" t="n">
        <x:v>1</x:v>
      </x:c>
      <x:c r="M162" s="97" t="n">
        <x:f>ROUND(K162*L162,2)</x:f>
        <x:v>232.44</x:v>
      </x:c>
      <x:c r="N162" s="109" t="n">
        <x:v>0.07</x:v>
      </x:c>
      <x:c r="O162" s="97" t="n">
        <x:f>ROUND(M162*N162,2)</x:f>
        <x:v>16.27</x:v>
      </x:c>
      <x:c r="P162" s="94" t="str">
        <x:v>已确认</x:v>
      </x:c>
      <x:c r="Q162" s="97" t="n">
        <x:f>IF(P162="已退款",M162,0)</x:f>
        <x:v>0</x:v>
      </x:c>
      <x:c r="R162" s="97" t="n">
        <x:f>IF(P162="已退款",O162,0)</x:f>
        <x:v>0</x:v>
      </x:c>
      <x:c r="S162" s="97" t="n">
        <x:f>O162-R162</x:f>
        <x:v>16.27</x:v>
      </x:c>
      <x:c r="T162" s="94" t="n">
        <x:v>3</x:v>
      </x:c>
      <x:c r="U162" s="94" t="str">
        <x:v>模拟：Amazon Associates订单回传</x:v>
      </x:c>
    </x:row>
    <x:row r="163">
      <x:c r="A163" s="92" t="str">
        <x:v>AMZ-ORD-00162</x:v>
      </x:c>
      <x:c r="B163" s="94" t="str">
        <x:v>PROC-0164</x:v>
      </x:c>
      <x:c r="C163" s="108" t="n">
        <x:v>46055.61944444444</x:v>
      </x:c>
      <x:c r="D163" s="93" t="n">
        <x:v>46052</x:v>
      </x:c>
      <x:c r="E163" s="94" t="str">
        <x:v>Google Ads</x:v>
      </x:c>
      <x:c r="F163" s="94" t="str">
        <x:v>英国</x:v>
      </x:c>
      <x:c r="G163" s="94" t="str">
        <x:v>购物广告</x:v>
      </x:c>
      <x:c r="H163" s="94" t="str">
        <x:v>SKU-0018</x:v>
      </x:c>
      <x:c r="I163" s="94" t="str">
        <x:v>家居生活</x:v>
      </x:c>
      <x:c r="J163" s="94" t="str">
        <x:v>收纳组合 H</x:v>
      </x:c>
      <x:c r="K163" s="97" t="n">
        <x:v>224.31</x:v>
      </x:c>
      <x:c r="L163" s="95" t="n">
        <x:v>1</x:v>
      </x:c>
      <x:c r="M163" s="97" t="n">
        <x:f>ROUND(K163*L163,2)</x:f>
        <x:v>224.31</x:v>
      </x:c>
      <x:c r="N163" s="109" t="n">
        <x:v>0.07</x:v>
      </x:c>
      <x:c r="O163" s="97" t="n">
        <x:f>ROUND(M163*N163,2)</x:f>
        <x:v>15.7</x:v>
      </x:c>
      <x:c r="P163" s="94" t="str">
        <x:v>已确认</x:v>
      </x:c>
      <x:c r="Q163" s="97" t="n">
        <x:f>IF(P163="已退款",M163,0)</x:f>
        <x:v>0</x:v>
      </x:c>
      <x:c r="R163" s="97" t="n">
        <x:f>IF(P163="已退款",O163,0)</x:f>
        <x:v>0</x:v>
      </x:c>
      <x:c r="S163" s="97" t="n">
        <x:f>O163-R163</x:f>
        <x:v>15.7</x:v>
      </x:c>
      <x:c r="T163" s="94" t="n">
        <x:v>3</x:v>
      </x:c>
      <x:c r="U163" s="94" t="str">
        <x:v>模拟：Amazon Associates订单回传</x:v>
      </x:c>
    </x:row>
    <x:row r="164">
      <x:c r="A164" s="92" t="str">
        <x:v>AMZ-ORD-00163</x:v>
      </x:c>
      <x:c r="B164" s="94" t="str">
        <x:v>PROC-0165</x:v>
      </x:c>
      <x:c r="C164" s="108" t="n">
        <x:v>46052.459027777775</x:v>
      </x:c>
      <x:c r="D164" s="93" t="n">
        <x:v>46052</x:v>
      </x:c>
      <x:c r="E164" s="94" t="str">
        <x:v>Microsoft Ads</x:v>
      </x:c>
      <x:c r="F164" s="94" t="str">
        <x:v>英国</x:v>
      </x:c>
      <x:c r="G164" s="94" t="str">
        <x:v>品牌搜索</x:v>
      </x:c>
      <x:c r="H164" s="94" t="str">
        <x:v>SKU-0010</x:v>
      </x:c>
      <x:c r="I164" s="94" t="str">
        <x:v>电子产品</x:v>
      </x:c>
      <x:c r="J164" s="94" t="str">
        <x:v>多口扩展坞 J</x:v>
      </x:c>
      <x:c r="K164" s="97" t="n">
        <x:v>632.14</x:v>
      </x:c>
      <x:c r="L164" s="95" t="n">
        <x:v>1</x:v>
      </x:c>
      <x:c r="M164" s="97" t="n">
        <x:f>ROUND(K164*L164,2)</x:f>
        <x:v>632.14</x:v>
      </x:c>
      <x:c r="N164" s="109" t="n">
        <x:v>0.05</x:v>
      </x:c>
      <x:c r="O164" s="97" t="n">
        <x:f>ROUND(M164*N164,2)</x:f>
        <x:v>31.61</x:v>
      </x:c>
      <x:c r="P164" s="94" t="str">
        <x:v>已确认</x:v>
      </x:c>
      <x:c r="Q164" s="97" t="n">
        <x:f>IF(P164="已退款",M164,0)</x:f>
        <x:v>0</x:v>
      </x:c>
      <x:c r="R164" s="97" t="n">
        <x:f>IF(P164="已退款",O164,0)</x:f>
        <x:v>0</x:v>
      </x:c>
      <x:c r="S164" s="97" t="n">
        <x:f>O164-R164</x:f>
        <x:v>31.61</x:v>
      </x:c>
      <x:c r="T164" s="94" t="n">
        <x:v>0</x:v>
      </x:c>
      <x:c r="U164" s="94" t="str">
        <x:v>模拟：Amazon Associates订单回传</x:v>
      </x:c>
    </x:row>
    <x:row r="165">
      <x:c r="A165" s="92" t="str">
        <x:v>AMZ-ORD-00164</x:v>
      </x:c>
      <x:c r="B165" s="94" t="str">
        <x:v>PROC-0165</x:v>
      </x:c>
      <x:c r="C165" s="108" t="n">
        <x:v>46052.72430555556</x:v>
      </x:c>
      <x:c r="D165" s="93" t="n">
        <x:v>46052</x:v>
      </x:c>
      <x:c r="E165" s="94" t="str">
        <x:v>Microsoft Ads</x:v>
      </x:c>
      <x:c r="F165" s="94" t="str">
        <x:v>英国</x:v>
      </x:c>
      <x:c r="G165" s="94" t="str">
        <x:v>品牌搜索</x:v>
      </x:c>
      <x:c r="H165" s="94" t="str">
        <x:v>SKU-0025</x:v>
      </x:c>
      <x:c r="I165" s="94" t="str">
        <x:v>运动健康</x:v>
      </x:c>
      <x:c r="J165" s="94" t="str">
        <x:v>跑步机配件 E</x:v>
      </x:c>
      <x:c r="K165" s="97" t="n">
        <x:v>268.27</x:v>
      </x:c>
      <x:c r="L165" s="95" t="n">
        <x:v>1</x:v>
      </x:c>
      <x:c r="M165" s="97" t="n">
        <x:f>ROUND(K165*L165,2)</x:f>
        <x:v>268.27</x:v>
      </x:c>
      <x:c r="N165" s="109" t="n">
        <x:v>0.08</x:v>
      </x:c>
      <x:c r="O165" s="97" t="n">
        <x:f>ROUND(M165*N165,2)</x:f>
        <x:v>21.46</x:v>
      </x:c>
      <x:c r="P165" s="94" t="str">
        <x:v>已确认</x:v>
      </x:c>
      <x:c r="Q165" s="97" t="n">
        <x:f>IF(P165="已退款",M165,0)</x:f>
        <x:v>0</x:v>
      </x:c>
      <x:c r="R165" s="97" t="n">
        <x:f>IF(P165="已退款",O165,0)</x:f>
        <x:v>0</x:v>
      </x:c>
      <x:c r="S165" s="97" t="n">
        <x:f>O165-R165</x:f>
        <x:v>21.46</x:v>
      </x:c>
      <x:c r="T165" s="94" t="n">
        <x:v>0</x:v>
      </x:c>
      <x:c r="U165" s="94" t="str">
        <x:v>模拟：Amazon Associates订单回传</x:v>
      </x:c>
    </x:row>
    <x:row r="166">
      <x:c r="A166" s="92" t="str">
        <x:v>AMZ-ORD-00165</x:v>
      </x:c>
      <x:c r="B166" s="94" t="str">
        <x:v>PROC-0165</x:v>
      </x:c>
      <x:c r="C166" s="108" t="n">
        <x:v>46056.77013888889</x:v>
      </x:c>
      <x:c r="D166" s="93" t="n">
        <x:v>46052</x:v>
      </x:c>
      <x:c r="E166" s="94" t="str">
        <x:v>Microsoft Ads</x:v>
      </x:c>
      <x:c r="F166" s="94" t="str">
        <x:v>英国</x:v>
      </x:c>
      <x:c r="G166" s="94" t="str">
        <x:v>品牌搜索</x:v>
      </x:c>
      <x:c r="H166" s="94" t="str">
        <x:v>SKU-0013</x:v>
      </x:c>
      <x:c r="I166" s="94" t="str">
        <x:v>家居生活</x:v>
      </x:c>
      <x:c r="J166" s="94" t="str">
        <x:v>人体工学椅 C</x:v>
      </x:c>
      <x:c r="K166" s="97" t="n">
        <x:v>137.81</x:v>
      </x:c>
      <x:c r="L166" s="95" t="n">
        <x:v>1</x:v>
      </x:c>
      <x:c r="M166" s="97" t="n">
        <x:f>ROUND(K166*L166,2)</x:f>
        <x:v>137.81</x:v>
      </x:c>
      <x:c r="N166" s="109" t="n">
        <x:v>0.07</x:v>
      </x:c>
      <x:c r="O166" s="97" t="n">
        <x:f>ROUND(M166*N166,2)</x:f>
        <x:v>9.65</x:v>
      </x:c>
      <x:c r="P166" s="94" t="str">
        <x:v>已确认</x:v>
      </x:c>
      <x:c r="Q166" s="97" t="n">
        <x:f>IF(P166="已退款",M166,0)</x:f>
        <x:v>0</x:v>
      </x:c>
      <x:c r="R166" s="97" t="n">
        <x:f>IF(P166="已退款",O166,0)</x:f>
        <x:v>0</x:v>
      </x:c>
      <x:c r="S166" s="97" t="n">
        <x:f>O166-R166</x:f>
        <x:v>9.65</x:v>
      </x:c>
      <x:c r="T166" s="94" t="n">
        <x:v>4</x:v>
      </x:c>
      <x:c r="U166" s="94" t="str">
        <x:v>模拟：Amazon Associates订单回传</x:v>
      </x:c>
    </x:row>
    <x:row r="167">
      <x:c r="A167" s="92" t="str">
        <x:v>AMZ-ORD-00166</x:v>
      </x:c>
      <x:c r="B167" s="94" t="str">
        <x:v>PROC-0167</x:v>
      </x:c>
      <x:c r="C167" s="108" t="n">
        <x:v>46053.822222222225</x:v>
      </x:c>
      <x:c r="D167" s="93" t="n">
        <x:v>46053</x:v>
      </x:c>
      <x:c r="E167" s="94" t="str">
        <x:v>Google Ads</x:v>
      </x:c>
      <x:c r="F167" s="94" t="str">
        <x:v>德国</x:v>
      </x:c>
      <x:c r="G167" s="94" t="str">
        <x:v>品牌搜索</x:v>
      </x:c>
      <x:c r="H167" s="94" t="str">
        <x:v>SKU-0008</x:v>
      </x:c>
      <x:c r="I167" s="94" t="str">
        <x:v>电子产品</x:v>
      </x:c>
      <x:c r="J167" s="94" t="str">
        <x:v>Wi-Fi路由器 H</x:v>
      </x:c>
      <x:c r="K167" s="97" t="n">
        <x:v>295.6</x:v>
      </x:c>
      <x:c r="L167" s="95" t="n">
        <x:v>1</x:v>
      </x:c>
      <x:c r="M167" s="97" t="n">
        <x:f>ROUND(K167*L167,2)</x:f>
        <x:v>295.6</x:v>
      </x:c>
      <x:c r="N167" s="109" t="n">
        <x:v>0.05</x:v>
      </x:c>
      <x:c r="O167" s="97" t="n">
        <x:f>ROUND(M167*N167,2)</x:f>
        <x:v>14.78</x:v>
      </x:c>
      <x:c r="P167" s="94" t="str">
        <x:v>已确认</x:v>
      </x:c>
      <x:c r="Q167" s="97" t="n">
        <x:f>IF(P167="已退款",M167,0)</x:f>
        <x:v>0</x:v>
      </x:c>
      <x:c r="R167" s="97" t="n">
        <x:f>IF(P167="已退款",O167,0)</x:f>
        <x:v>0</x:v>
      </x:c>
      <x:c r="S167" s="97" t="n">
        <x:f>O167-R167</x:f>
        <x:v>14.78</x:v>
      </x:c>
      <x:c r="T167" s="94" t="n">
        <x:v>0</x:v>
      </x:c>
      <x:c r="U167" s="94" t="str">
        <x:v>模拟：Amazon Associates订单回传</x:v>
      </x:c>
    </x:row>
    <x:row r="168">
      <x:c r="A168" s="92" t="str">
        <x:v>AMZ-ORD-00167</x:v>
      </x:c>
      <x:c r="B168" s="94" t="str">
        <x:v>PROC-0168</x:v>
      </x:c>
      <x:c r="C168" s="108" t="n">
        <x:v>46055.555555555555</x:v>
      </x:c>
      <x:c r="D168" s="93" t="n">
        <x:v>46053</x:v>
      </x:c>
      <x:c r="E168" s="94" t="str">
        <x:v>Google Ads</x:v>
      </x:c>
      <x:c r="F168" s="94" t="str">
        <x:v>美国</x:v>
      </x:c>
      <x:c r="G168" s="94" t="str">
        <x:v>通用搜索</x:v>
      </x:c>
      <x:c r="H168" s="94" t="str">
        <x:v>SKU-0004</x:v>
      </x:c>
      <x:c r="I168" s="94" t="str">
        <x:v>电子产品</x:v>
      </x:c>
      <x:c r="J168" s="94" t="str">
        <x:v>机械键盘 D</x:v>
      </x:c>
      <x:c r="K168" s="97" t="n">
        <x:v>748.76</x:v>
      </x:c>
      <x:c r="L168" s="95" t="n">
        <x:v>1</x:v>
      </x:c>
      <x:c r="M168" s="97" t="n">
        <x:f>ROUND(K168*L168,2)</x:f>
        <x:v>748.76</x:v>
      </x:c>
      <x:c r="N168" s="109" t="n">
        <x:v>0.05</x:v>
      </x:c>
      <x:c r="O168" s="97" t="n">
        <x:f>ROUND(M168*N168,2)</x:f>
        <x:v>37.44</x:v>
      </x:c>
      <x:c r="P168" s="94" t="str">
        <x:v>已确认</x:v>
      </x:c>
      <x:c r="Q168" s="97" t="n">
        <x:f>IF(P168="已退款",M168,0)</x:f>
        <x:v>0</x:v>
      </x:c>
      <x:c r="R168" s="97" t="n">
        <x:f>IF(P168="已退款",O168,0)</x:f>
        <x:v>0</x:v>
      </x:c>
      <x:c r="S168" s="97" t="n">
        <x:f>O168-R168</x:f>
        <x:v>37.44</x:v>
      </x:c>
      <x:c r="T168" s="94" t="n">
        <x:v>2</x:v>
      </x:c>
      <x:c r="U168" s="94" t="str">
        <x:v>模拟：Amazon Associates订单回传</x:v>
      </x:c>
    </x:row>
    <x:row r="169">
      <x:c r="A169" s="92" t="str">
        <x:v>AMZ-ORD-00168</x:v>
      </x:c>
      <x:c r="B169" s="94" t="str">
        <x:v>PROC-0169</x:v>
      </x:c>
      <x:c r="C169" s="108" t="n">
        <x:v>46054.84861111111</x:v>
      </x:c>
      <x:c r="D169" s="93" t="n">
        <x:v>46053</x:v>
      </x:c>
      <x:c r="E169" s="94" t="str">
        <x:v>Google Ads</x:v>
      </x:c>
      <x:c r="F169" s="94" t="str">
        <x:v>德国</x:v>
      </x:c>
      <x:c r="G169" s="94" t="str">
        <x:v>品牌搜索</x:v>
      </x:c>
      <x:c r="H169" s="94" t="str">
        <x:v>SKU-0039</x:v>
      </x:c>
      <x:c r="I169" s="94" t="str">
        <x:v>美妆个护</x:v>
      </x:c>
      <x:c r="J169" s="94" t="str">
        <x:v>按摩梳 I</x:v>
      </x:c>
      <x:c r="K169" s="97" t="n">
        <x:v>142.63</x:v>
      </x:c>
      <x:c r="L169" s="95" t="n">
        <x:v>1</x:v>
      </x:c>
      <x:c r="M169" s="97" t="n">
        <x:f>ROUND(K169*L169,2)</x:f>
        <x:v>142.63</x:v>
      </x:c>
      <x:c r="N169" s="109" t="n">
        <x:v>0.1</x:v>
      </x:c>
      <x:c r="O169" s="97" t="n">
        <x:f>ROUND(M169*N169,2)</x:f>
        <x:v>14.26</x:v>
      </x:c>
      <x:c r="P169" s="94" t="str">
        <x:v>已确认</x:v>
      </x:c>
      <x:c r="Q169" s="97" t="n">
        <x:f>IF(P169="已退款",M169,0)</x:f>
        <x:v>0</x:v>
      </x:c>
      <x:c r="R169" s="97" t="n">
        <x:f>IF(P169="已退款",O169,0)</x:f>
        <x:v>0</x:v>
      </x:c>
      <x:c r="S169" s="97" t="n">
        <x:f>O169-R169</x:f>
        <x:v>14.26</x:v>
      </x:c>
      <x:c r="T169" s="94" t="n">
        <x:v>1</x:v>
      </x:c>
      <x:c r="U169" s="94" t="str">
        <x:v>模拟：Amazon Associates订单回传</x:v>
      </x:c>
    </x:row>
    <x:row r="170">
      <x:c r="A170" s="92" t="str">
        <x:v>AMZ-ORD-00169</x:v>
      </x:c>
      <x:c r="B170" s="94" t="str">
        <x:v>PROC-0170</x:v>
      </x:c>
      <x:c r="C170" s="108" t="n">
        <x:v>46054.34375</x:v>
      </x:c>
      <x:c r="D170" s="93" t="n">
        <x:v>46053</x:v>
      </x:c>
      <x:c r="E170" s="94" t="str">
        <x:v>Google Ads</x:v>
      </x:c>
      <x:c r="F170" s="94" t="str">
        <x:v>英国</x:v>
      </x:c>
      <x:c r="G170" s="94" t="str">
        <x:v>购物广告</x:v>
      </x:c>
      <x:c r="H170" s="94" t="str">
        <x:v>SKU-0031</x:v>
      </x:c>
      <x:c r="I170" s="94" t="str">
        <x:v>美妆个护</x:v>
      </x:c>
      <x:c r="J170" s="94" t="str">
        <x:v>洁面仪 A</x:v>
      </x:c>
      <x:c r="K170" s="97" t="n">
        <x:v>138.17</x:v>
      </x:c>
      <x:c r="L170" s="95" t="n">
        <x:v>1</x:v>
      </x:c>
      <x:c r="M170" s="97" t="n">
        <x:f>ROUND(K170*L170,2)</x:f>
        <x:v>138.17</x:v>
      </x:c>
      <x:c r="N170" s="109" t="n">
        <x:v>0.1</x:v>
      </x:c>
      <x:c r="O170" s="97" t="n">
        <x:f>ROUND(M170*N170,2)</x:f>
        <x:v>13.82</x:v>
      </x:c>
      <x:c r="P170" s="94" t="str">
        <x:v>已确认</x:v>
      </x:c>
      <x:c r="Q170" s="97" t="n">
        <x:f>IF(P170="已退款",M170,0)</x:f>
        <x:v>0</x:v>
      </x:c>
      <x:c r="R170" s="97" t="n">
        <x:f>IF(P170="已退款",O170,0)</x:f>
        <x:v>0</x:v>
      </x:c>
      <x:c r="S170" s="97" t="n">
        <x:f>O170-R170</x:f>
        <x:v>13.82</x:v>
      </x:c>
      <x:c r="T170" s="94" t="n">
        <x:v>1</x:v>
      </x:c>
      <x:c r="U170" s="94" t="str">
        <x:v>模拟：Amazon Associates订单回传</x:v>
      </x:c>
    </x:row>
    <x:row r="171">
      <x:c r="A171" s="92" t="str">
        <x:v>AMZ-ORD-00170</x:v>
      </x:c>
      <x:c r="B171" s="94" t="str">
        <x:v>PROC-0171</x:v>
      </x:c>
      <x:c r="C171" s="108" t="n">
        <x:v>46056.342361111114</x:v>
      </x:c>
      <x:c r="D171" s="93" t="n">
        <x:v>46053</x:v>
      </x:c>
      <x:c r="E171" s="94" t="str">
        <x:v>Google Ads</x:v>
      </x:c>
      <x:c r="F171" s="94" t="str">
        <x:v>美国</x:v>
      </x:c>
      <x:c r="G171" s="94" t="str">
        <x:v>购物广告</x:v>
      </x:c>
      <x:c r="H171" s="94" t="str">
        <x:v>SKU-0027</x:v>
      </x:c>
      <x:c r="I171" s="94" t="str">
        <x:v>运动健康</x:v>
      </x:c>
      <x:c r="J171" s="94" t="str">
        <x:v>户外背包 G</x:v>
      </x:c>
      <x:c r="K171" s="97" t="n">
        <x:v>171.65</x:v>
      </x:c>
      <x:c r="L171" s="95" t="n">
        <x:v>1</x:v>
      </x:c>
      <x:c r="M171" s="97" t="n">
        <x:f>ROUND(K171*L171,2)</x:f>
        <x:v>171.65</x:v>
      </x:c>
      <x:c r="N171" s="109" t="n">
        <x:v>0.08</x:v>
      </x:c>
      <x:c r="O171" s="97" t="n">
        <x:f>ROUND(M171*N171,2)</x:f>
        <x:v>13.73</x:v>
      </x:c>
      <x:c r="P171" s="94" t="str">
        <x:v>已确认</x:v>
      </x:c>
      <x:c r="Q171" s="97" t="n">
        <x:f>IF(P171="已退款",M171,0)</x:f>
        <x:v>0</x:v>
      </x:c>
      <x:c r="R171" s="97" t="n">
        <x:f>IF(P171="已退款",O171,0)</x:f>
        <x:v>0</x:v>
      </x:c>
      <x:c r="S171" s="97" t="n">
        <x:f>O171-R171</x:f>
        <x:v>13.73</x:v>
      </x:c>
      <x:c r="T171" s="94" t="n">
        <x:v>3</x:v>
      </x:c>
      <x:c r="U171" s="94" t="str">
        <x:v>模拟：Amazon Associates订单回传</x:v>
      </x:c>
    </x:row>
    <x:row r="172">
      <x:c r="A172" s="92" t="str">
        <x:v>AMZ-ORD-00171</x:v>
      </x:c>
      <x:c r="B172" s="94" t="str">
        <x:v>PROC-0172</x:v>
      </x:c>
      <x:c r="C172" s="108" t="n">
        <x:v>46056.614583333336</x:v>
      </x:c>
      <x:c r="D172" s="93" t="n">
        <x:v>46053</x:v>
      </x:c>
      <x:c r="E172" s="94" t="str">
        <x:v>Google Ads</x:v>
      </x:c>
      <x:c r="F172" s="94" t="str">
        <x:v>英国</x:v>
      </x:c>
      <x:c r="G172" s="94" t="str">
        <x:v>通用搜索</x:v>
      </x:c>
      <x:c r="H172" s="94" t="str">
        <x:v>SKU-0018</x:v>
      </x:c>
      <x:c r="I172" s="94" t="str">
        <x:v>家居生活</x:v>
      </x:c>
      <x:c r="J172" s="94" t="str">
        <x:v>收纳组合 H</x:v>
      </x:c>
      <x:c r="K172" s="97" t="n">
        <x:v>267.96</x:v>
      </x:c>
      <x:c r="L172" s="95" t="n">
        <x:v>1</x:v>
      </x:c>
      <x:c r="M172" s="97" t="n">
        <x:f>ROUND(K172*L172,2)</x:f>
        <x:v>267.96</x:v>
      </x:c>
      <x:c r="N172" s="109" t="n">
        <x:v>0.07</x:v>
      </x:c>
      <x:c r="O172" s="97" t="n">
        <x:f>ROUND(M172*N172,2)</x:f>
        <x:v>18.76</x:v>
      </x:c>
      <x:c r="P172" s="94" t="str">
        <x:v>已确认</x:v>
      </x:c>
      <x:c r="Q172" s="97" t="n">
        <x:f>IF(P172="已退款",M172,0)</x:f>
        <x:v>0</x:v>
      </x:c>
      <x:c r="R172" s="97" t="n">
        <x:f>IF(P172="已退款",O172,0)</x:f>
        <x:v>0</x:v>
      </x:c>
      <x:c r="S172" s="97" t="n">
        <x:f>O172-R172</x:f>
        <x:v>18.76</x:v>
      </x:c>
      <x:c r="T172" s="94" t="n">
        <x:v>3</x:v>
      </x:c>
      <x:c r="U172" s="94" t="str">
        <x:v>模拟：Amazon Associates订单回传</x:v>
      </x:c>
    </x:row>
    <x:row r="173">
      <x:c r="A173" s="92" t="str">
        <x:v>AMZ-ORD-00172</x:v>
      </x:c>
      <x:c r="B173" s="94" t="str">
        <x:v>PROC-0173</x:v>
      </x:c>
      <x:c r="C173" s="108" t="n">
        <x:v>46056.834027777775</x:v>
      </x:c>
      <x:c r="D173" s="93" t="n">
        <x:v>46054</x:v>
      </x:c>
      <x:c r="E173" s="94" t="str">
        <x:v>Microsoft Ads</x:v>
      </x:c>
      <x:c r="F173" s="94" t="str">
        <x:v>德国</x:v>
      </x:c>
      <x:c r="G173" s="94" t="str">
        <x:v>竞品搜索</x:v>
      </x:c>
      <x:c r="H173" s="94" t="str">
        <x:v>SKU-0039</x:v>
      </x:c>
      <x:c r="I173" s="94" t="str">
        <x:v>美妆个护</x:v>
      </x:c>
      <x:c r="J173" s="94" t="str">
        <x:v>按摩梳 I</x:v>
      </x:c>
      <x:c r="K173" s="97" t="n">
        <x:v>91.53</x:v>
      </x:c>
      <x:c r="L173" s="95" t="n">
        <x:v>1</x:v>
      </x:c>
      <x:c r="M173" s="97" t="n">
        <x:f>ROUND(K173*L173,2)</x:f>
        <x:v>91.53</x:v>
      </x:c>
      <x:c r="N173" s="109" t="n">
        <x:v>0.1</x:v>
      </x:c>
      <x:c r="O173" s="97" t="n">
        <x:f>ROUND(M173*N173,2)</x:f>
        <x:v>9.15</x:v>
      </x:c>
      <x:c r="P173" s="94" t="str">
        <x:v>已确认</x:v>
      </x:c>
      <x:c r="Q173" s="97" t="n">
        <x:f>IF(P173="已退款",M173,0)</x:f>
        <x:v>0</x:v>
      </x:c>
      <x:c r="R173" s="97" t="n">
        <x:f>IF(P173="已退款",O173,0)</x:f>
        <x:v>0</x:v>
      </x:c>
      <x:c r="S173" s="97" t="n">
        <x:f>O173-R173</x:f>
        <x:v>9.15</x:v>
      </x:c>
      <x:c r="T173" s="94" t="n">
        <x:v>2</x:v>
      </x:c>
      <x:c r="U173" s="94" t="str">
        <x:v>模拟：Amazon Associates订单回传</x:v>
      </x:c>
    </x:row>
    <x:row r="174">
      <x:c r="A174" s="92" t="str">
        <x:v>AMZ-ORD-00173</x:v>
      </x:c>
      <x:c r="B174" s="94" t="str">
        <x:v>PROC-0174</x:v>
      </x:c>
      <x:c r="C174" s="108" t="n">
        <x:v>46057.70277777778</x:v>
      </x:c>
      <x:c r="D174" s="93" t="n">
        <x:v>46054</x:v>
      </x:c>
      <x:c r="E174" s="94" t="str">
        <x:v>Google Ads</x:v>
      </x:c>
      <x:c r="F174" s="94" t="str">
        <x:v>英国</x:v>
      </x:c>
      <x:c r="G174" s="94" t="str">
        <x:v>竞品搜索</x:v>
      </x:c>
      <x:c r="H174" s="94" t="str">
        <x:v>SKU-0026</x:v>
      </x:c>
      <x:c r="I174" s="94" t="str">
        <x:v>运动健康</x:v>
      </x:c>
      <x:c r="J174" s="94" t="str">
        <x:v>骑行头盔 F</x:v>
      </x:c>
      <x:c r="K174" s="97" t="n">
        <x:v>174.53</x:v>
      </x:c>
      <x:c r="L174" s="95" t="n">
        <x:v>1</x:v>
      </x:c>
      <x:c r="M174" s="97" t="n">
        <x:f>ROUND(K174*L174,2)</x:f>
        <x:v>174.53</x:v>
      </x:c>
      <x:c r="N174" s="109" t="n">
        <x:v>0.08</x:v>
      </x:c>
      <x:c r="O174" s="97" t="n">
        <x:f>ROUND(M174*N174,2)</x:f>
        <x:v>13.96</x:v>
      </x:c>
      <x:c r="P174" s="94" t="str">
        <x:v>已确认</x:v>
      </x:c>
      <x:c r="Q174" s="97" t="n">
        <x:f>IF(P174="已退款",M174,0)</x:f>
        <x:v>0</x:v>
      </x:c>
      <x:c r="R174" s="97" t="n">
        <x:f>IF(P174="已退款",O174,0)</x:f>
        <x:v>0</x:v>
      </x:c>
      <x:c r="S174" s="97" t="n">
        <x:f>O174-R174</x:f>
        <x:v>13.96</x:v>
      </x:c>
      <x:c r="T174" s="94" t="n">
        <x:v>3</x:v>
      </x:c>
      <x:c r="U174" s="94" t="str">
        <x:v>模拟：Amazon Associates订单回传</x:v>
      </x:c>
    </x:row>
    <x:row r="175">
      <x:c r="A175" s="92" t="str">
        <x:v>AMZ-ORD-00174</x:v>
      </x:c>
      <x:c r="B175" s="94" t="str">
        <x:v>PROC-0175</x:v>
      </x:c>
      <x:c r="C175" s="108" t="n">
        <x:v>46058.55625</x:v>
      </x:c>
      <x:c r="D175" s="93" t="n">
        <x:v>46054</x:v>
      </x:c>
      <x:c r="E175" s="94" t="str">
        <x:v>Google Ads</x:v>
      </x:c>
      <x:c r="F175" s="94" t="str">
        <x:v>美国</x:v>
      </x:c>
      <x:c r="G175" s="94" t="str">
        <x:v>通用搜索</x:v>
      </x:c>
      <x:c r="H175" s="94" t="str">
        <x:v>SKU-0004</x:v>
      </x:c>
      <x:c r="I175" s="94" t="str">
        <x:v>电子产品</x:v>
      </x:c>
      <x:c r="J175" s="94" t="str">
        <x:v>机械键盘 D</x:v>
      </x:c>
      <x:c r="K175" s="97" t="n">
        <x:v>371.5</x:v>
      </x:c>
      <x:c r="L175" s="95" t="n">
        <x:v>1</x:v>
      </x:c>
      <x:c r="M175" s="97" t="n">
        <x:f>ROUND(K175*L175,2)</x:f>
        <x:v>371.5</x:v>
      </x:c>
      <x:c r="N175" s="109" t="n">
        <x:v>0.05</x:v>
      </x:c>
      <x:c r="O175" s="97" t="n">
        <x:f>ROUND(M175*N175,2)</x:f>
        <x:v>18.58</x:v>
      </x:c>
      <x:c r="P175" s="94" t="str">
        <x:v>已退款</x:v>
      </x:c>
      <x:c r="Q175" s="97" t="n">
        <x:f>IF(P175="已退款",M175,0)</x:f>
        <x:v>371.5</x:v>
      </x:c>
      <x:c r="R175" s="97" t="n">
        <x:f>IF(P175="已退款",O175,0)</x:f>
        <x:v>18.58</x:v>
      </x:c>
      <x:c r="S175" s="97" t="n">
        <x:f>O175-R175</x:f>
        <x:v>0</x:v>
      </x:c>
      <x:c r="T175" s="94" t="n">
        <x:v>4</x:v>
      </x:c>
      <x:c r="U175" s="94" t="str">
        <x:v>模拟：Amazon Associates订单回传</x:v>
      </x:c>
    </x:row>
    <x:row r="176">
      <x:c r="A176" s="92" t="str">
        <x:v>AMZ-ORD-00175</x:v>
      </x:c>
      <x:c r="B176" s="94" t="str">
        <x:v>PROC-0176</x:v>
      </x:c>
      <x:c r="C176" s="108" t="n">
        <x:v>46056.50902777778</x:v>
      </x:c>
      <x:c r="D176" s="93" t="n">
        <x:v>46054</x:v>
      </x:c>
      <x:c r="E176" s="94" t="str">
        <x:v>Google Ads</x:v>
      </x:c>
      <x:c r="F176" s="94" t="str">
        <x:v>美国</x:v>
      </x:c>
      <x:c r="G176" s="94" t="str">
        <x:v>通用搜索</x:v>
      </x:c>
      <x:c r="H176" s="94" t="str">
        <x:v>SKU-0026</x:v>
      </x:c>
      <x:c r="I176" s="94" t="str">
        <x:v>运动健康</x:v>
      </x:c>
      <x:c r="J176" s="94" t="str">
        <x:v>骑行头盔 F</x:v>
      </x:c>
      <x:c r="K176" s="97" t="n">
        <x:v>140</x:v>
      </x:c>
      <x:c r="L176" s="95" t="n">
        <x:v>1</x:v>
      </x:c>
      <x:c r="M176" s="97" t="n">
        <x:f>ROUND(K176*L176,2)</x:f>
        <x:v>140</x:v>
      </x:c>
      <x:c r="N176" s="109" t="n">
        <x:v>0.08</x:v>
      </x:c>
      <x:c r="O176" s="97" t="n">
        <x:f>ROUND(M176*N176,2)</x:f>
        <x:v>11.2</x:v>
      </x:c>
      <x:c r="P176" s="94" t="str">
        <x:v>已退款</x:v>
      </x:c>
      <x:c r="Q176" s="97" t="n">
        <x:f>IF(P176="已退款",M176,0)</x:f>
        <x:v>140</x:v>
      </x:c>
      <x:c r="R176" s="97" t="n">
        <x:f>IF(P176="已退款",O176,0)</x:f>
        <x:v>11.2</x:v>
      </x:c>
      <x:c r="S176" s="97" t="n">
        <x:f>O176-R176</x:f>
        <x:v>0</x:v>
      </x:c>
      <x:c r="T176" s="94" t="n">
        <x:v>2</x:v>
      </x:c>
      <x:c r="U176" s="94" t="str">
        <x:v>模拟：Amazon Associates订单回传</x:v>
      </x:c>
    </x:row>
    <x:row r="177">
      <x:c r="A177" s="92" t="str">
        <x:v>AMZ-ORD-00176</x:v>
      </x:c>
      <x:c r="B177" s="94" t="str">
        <x:v>PROC-0177</x:v>
      </x:c>
      <x:c r="C177" s="108" t="n">
        <x:v>46055.635416666664</x:v>
      </x:c>
      <x:c r="D177" s="93" t="n">
        <x:v>46054</x:v>
      </x:c>
      <x:c r="E177" s="94" t="str">
        <x:v>Google Ads</x:v>
      </x:c>
      <x:c r="F177" s="94" t="str">
        <x:v>德国</x:v>
      </x:c>
      <x:c r="G177" s="94" t="str">
        <x:v>通用搜索</x:v>
      </x:c>
      <x:c r="H177" s="94" t="str">
        <x:v>SKU-0031</x:v>
      </x:c>
      <x:c r="I177" s="94" t="str">
        <x:v>美妆个护</x:v>
      </x:c>
      <x:c r="J177" s="94" t="str">
        <x:v>洁面仪 A</x:v>
      </x:c>
      <x:c r="K177" s="97" t="n">
        <x:v>50.73</x:v>
      </x:c>
      <x:c r="L177" s="95" t="n">
        <x:v>1</x:v>
      </x:c>
      <x:c r="M177" s="97" t="n">
        <x:f>ROUND(K177*L177,2)</x:f>
        <x:v>50.73</x:v>
      </x:c>
      <x:c r="N177" s="109" t="n">
        <x:v>0.1</x:v>
      </x:c>
      <x:c r="O177" s="97" t="n">
        <x:f>ROUND(M177*N177,2)</x:f>
        <x:v>5.07</x:v>
      </x:c>
      <x:c r="P177" s="94" t="str">
        <x:v>已确认</x:v>
      </x:c>
      <x:c r="Q177" s="97" t="n">
        <x:f>IF(P177="已退款",M177,0)</x:f>
        <x:v>0</x:v>
      </x:c>
      <x:c r="R177" s="97" t="n">
        <x:f>IF(P177="已退款",O177,0)</x:f>
        <x:v>0</x:v>
      </x:c>
      <x:c r="S177" s="97" t="n">
        <x:f>O177-R177</x:f>
        <x:v>5.07</x:v>
      </x:c>
      <x:c r="T177" s="94" t="n">
        <x:v>1</x:v>
      </x:c>
      <x:c r="U177" s="94" t="str">
        <x:v>模拟：Amazon Associates订单回传</x:v>
      </x:c>
    </x:row>
    <x:row r="178">
      <x:c r="A178" s="92" t="str">
        <x:v>AMZ-ORD-00177</x:v>
      </x:c>
      <x:c r="B178" s="94" t="str">
        <x:v>PROC-0178</x:v>
      </x:c>
      <x:c r="C178" s="108" t="n">
        <x:v>46057.66527777778</x:v>
      </x:c>
      <x:c r="D178" s="93" t="n">
        <x:v>46055</x:v>
      </x:c>
      <x:c r="E178" s="94" t="str">
        <x:v>Microsoft Ads</x:v>
      </x:c>
      <x:c r="F178" s="94" t="str">
        <x:v>美国</x:v>
      </x:c>
      <x:c r="G178" s="94" t="str">
        <x:v>通用搜索</x:v>
      </x:c>
      <x:c r="H178" s="94" t="str">
        <x:v>SKU-0012</x:v>
      </x:c>
      <x:c r="I178" s="94" t="str">
        <x:v>家居生活</x:v>
      </x:c>
      <x:c r="J178" s="94" t="str">
        <x:v>咖啡机 B</x:v>
      </x:c>
      <x:c r="K178" s="97" t="n">
        <x:v>358.14</x:v>
      </x:c>
      <x:c r="L178" s="95" t="n">
        <x:v>1</x:v>
      </x:c>
      <x:c r="M178" s="97" t="n">
        <x:f>ROUND(K178*L178,2)</x:f>
        <x:v>358.14</x:v>
      </x:c>
      <x:c r="N178" s="109" t="n">
        <x:v>0.07</x:v>
      </x:c>
      <x:c r="O178" s="97" t="n">
        <x:f>ROUND(M178*N178,2)</x:f>
        <x:v>25.07</x:v>
      </x:c>
      <x:c r="P178" s="94" t="str">
        <x:v>已确认</x:v>
      </x:c>
      <x:c r="Q178" s="97" t="n">
        <x:f>IF(P178="已退款",M178,0)</x:f>
        <x:v>0</x:v>
      </x:c>
      <x:c r="R178" s="97" t="n">
        <x:f>IF(P178="已退款",O178,0)</x:f>
        <x:v>0</x:v>
      </x:c>
      <x:c r="S178" s="97" t="n">
        <x:f>O178-R178</x:f>
        <x:v>25.07</x:v>
      </x:c>
      <x:c r="T178" s="94" t="n">
        <x:v>2</x:v>
      </x:c>
      <x:c r="U178" s="94" t="str">
        <x:v>模拟：Amazon Associates订单回传</x:v>
      </x:c>
    </x:row>
    <x:row r="179">
      <x:c r="A179" s="92" t="str">
        <x:v>AMZ-ORD-00178</x:v>
      </x:c>
      <x:c r="B179" s="94" t="str">
        <x:v>PROC-0180</x:v>
      </x:c>
      <x:c r="C179" s="108" t="n">
        <x:v>46055.46875</x:v>
      </x:c>
      <x:c r="D179" s="93" t="n">
        <x:v>46055</x:v>
      </x:c>
      <x:c r="E179" s="94" t="str">
        <x:v>Google Ads</x:v>
      </x:c>
      <x:c r="F179" s="94" t="str">
        <x:v>美国</x:v>
      </x:c>
      <x:c r="G179" s="94" t="str">
        <x:v>通用搜索</x:v>
      </x:c>
      <x:c r="H179" s="94" t="str">
        <x:v>SKU-0028</x:v>
      </x:c>
      <x:c r="I179" s="94" t="str">
        <x:v>运动健康</x:v>
      </x:c>
      <x:c r="J179" s="94" t="str">
        <x:v>体脂秤 H</x:v>
      </x:c>
      <x:c r="K179" s="97" t="n">
        <x:v>98.03</x:v>
      </x:c>
      <x:c r="L179" s="95" t="n">
        <x:v>1</x:v>
      </x:c>
      <x:c r="M179" s="97" t="n">
        <x:f>ROUND(K179*L179,2)</x:f>
        <x:v>98.03</x:v>
      </x:c>
      <x:c r="N179" s="109" t="n">
        <x:v>0.08</x:v>
      </x:c>
      <x:c r="O179" s="97" t="n">
        <x:f>ROUND(M179*N179,2)</x:f>
        <x:v>7.84</x:v>
      </x:c>
      <x:c r="P179" s="94" t="str">
        <x:v>已退款</x:v>
      </x:c>
      <x:c r="Q179" s="97" t="n">
        <x:f>IF(P179="已退款",M179,0)</x:f>
        <x:v>98.03</x:v>
      </x:c>
      <x:c r="R179" s="97" t="n">
        <x:f>IF(P179="已退款",O179,0)</x:f>
        <x:v>7.84</x:v>
      </x:c>
      <x:c r="S179" s="97" t="n">
        <x:f>O179-R179</x:f>
        <x:v>0</x:v>
      </x:c>
      <x:c r="T179" s="94" t="n">
        <x:v>0</x:v>
      </x:c>
      <x:c r="U179" s="94" t="str">
        <x:v>模拟：Amazon Associates订单回传</x:v>
      </x:c>
    </x:row>
    <x:row r="180">
      <x:c r="A180" s="92" t="str">
        <x:v>AMZ-ORD-00179</x:v>
      </x:c>
      <x:c r="B180" s="94" t="str">
        <x:v>PROC-0181</x:v>
      </x:c>
      <x:c r="C180" s="108" t="n">
        <x:v>46058.37708333333</x:v>
      </x:c>
      <x:c r="D180" s="93" t="n">
        <x:v>46055</x:v>
      </x:c>
      <x:c r="E180" s="94" t="str">
        <x:v>Microsoft Ads</x:v>
      </x:c>
      <x:c r="F180" s="94" t="str">
        <x:v>美国</x:v>
      </x:c>
      <x:c r="G180" s="94" t="str">
        <x:v>购物广告</x:v>
      </x:c>
      <x:c r="H180" s="94" t="str">
        <x:v>SKU-0040</x:v>
      </x:c>
      <x:c r="I180" s="94" t="str">
        <x:v>美妆个护</x:v>
      </x:c>
      <x:c r="J180" s="94" t="str">
        <x:v>旅行护理套装 J</x:v>
      </x:c>
      <x:c r="K180" s="97" t="n">
        <x:v>138.24</x:v>
      </x:c>
      <x:c r="L180" s="95" t="n">
        <x:v>1</x:v>
      </x:c>
      <x:c r="M180" s="97" t="n">
        <x:f>ROUND(K180*L180,2)</x:f>
        <x:v>138.24</x:v>
      </x:c>
      <x:c r="N180" s="109" t="n">
        <x:v>0.1</x:v>
      </x:c>
      <x:c r="O180" s="97" t="n">
        <x:f>ROUND(M180*N180,2)</x:f>
        <x:v>13.82</x:v>
      </x:c>
      <x:c r="P180" s="94" t="str">
        <x:v>已确认</x:v>
      </x:c>
      <x:c r="Q180" s="97" t="n">
        <x:f>IF(P180="已退款",M180,0)</x:f>
        <x:v>0</x:v>
      </x:c>
      <x:c r="R180" s="97" t="n">
        <x:f>IF(P180="已退款",O180,0)</x:f>
        <x:v>0</x:v>
      </x:c>
      <x:c r="S180" s="97" t="n">
        <x:f>O180-R180</x:f>
        <x:v>13.82</x:v>
      </x:c>
      <x:c r="T180" s="94" t="n">
        <x:v>3</x:v>
      </x:c>
      <x:c r="U180" s="94" t="str">
        <x:v>模拟：Amazon Associates订单回传</x:v>
      </x:c>
    </x:row>
    <x:row r="181">
      <x:c r="A181" s="92" t="str">
        <x:v>AMZ-ORD-00180</x:v>
      </x:c>
      <x:c r="B181" s="94" t="str">
        <x:v>PROC-0182</x:v>
      </x:c>
      <x:c r="C181" s="108" t="n">
        <x:v>46057.888194444444</x:v>
      </x:c>
      <x:c r="D181" s="93" t="n">
        <x:v>46055</x:v>
      </x:c>
      <x:c r="E181" s="94" t="str">
        <x:v>Microsoft Ads</x:v>
      </x:c>
      <x:c r="F181" s="94" t="str">
        <x:v>英国</x:v>
      </x:c>
      <x:c r="G181" s="94" t="str">
        <x:v>品牌搜索</x:v>
      </x:c>
      <x:c r="H181" s="94" t="str">
        <x:v>SKU-0003</x:v>
      </x:c>
      <x:c r="I181" s="94" t="str">
        <x:v>电子产品</x:v>
      </x:c>
      <x:c r="J181" s="94" t="str">
        <x:v>智能家居中枢 C</x:v>
      </x:c>
      <x:c r="K181" s="97" t="n">
        <x:v>495.08</x:v>
      </x:c>
      <x:c r="L181" s="95" t="n">
        <x:v>1</x:v>
      </x:c>
      <x:c r="M181" s="97" t="n">
        <x:f>ROUND(K181*L181,2)</x:f>
        <x:v>495.08</x:v>
      </x:c>
      <x:c r="N181" s="109" t="n">
        <x:v>0.05</x:v>
      </x:c>
      <x:c r="O181" s="97" t="n">
        <x:f>ROUND(M181*N181,2)</x:f>
        <x:v>24.75</x:v>
      </x:c>
      <x:c r="P181" s="94" t="str">
        <x:v>已确认</x:v>
      </x:c>
      <x:c r="Q181" s="97" t="n">
        <x:f>IF(P181="已退款",M181,0)</x:f>
        <x:v>0</x:v>
      </x:c>
      <x:c r="R181" s="97" t="n">
        <x:f>IF(P181="已退款",O181,0)</x:f>
        <x:v>0</x:v>
      </x:c>
      <x:c r="S181" s="97" t="n">
        <x:f>O181-R181</x:f>
        <x:v>24.75</x:v>
      </x:c>
      <x:c r="T181" s="94" t="n">
        <x:v>2</x:v>
      </x:c>
      <x:c r="U181" s="94" t="str">
        <x:v>模拟：Amazon Associates订单回传</x:v>
      </x:c>
    </x:row>
    <x:row r="182">
      <x:c r="A182" s="92" t="str">
        <x:v>AMZ-ORD-00181</x:v>
      </x:c>
      <x:c r="B182" s="94" t="str">
        <x:v>PROC-0182</x:v>
      </x:c>
      <x:c r="C182" s="108" t="n">
        <x:v>46055.40416666667</x:v>
      </x:c>
      <x:c r="D182" s="93" t="n">
        <x:v>46055</x:v>
      </x:c>
      <x:c r="E182" s="94" t="str">
        <x:v>Microsoft Ads</x:v>
      </x:c>
      <x:c r="F182" s="94" t="str">
        <x:v>英国</x:v>
      </x:c>
      <x:c r="G182" s="94" t="str">
        <x:v>品牌搜索</x:v>
      </x:c>
      <x:c r="H182" s="94" t="str">
        <x:v>SKU-0017</x:v>
      </x:c>
      <x:c r="I182" s="94" t="str">
        <x:v>家居生活</x:v>
      </x:c>
      <x:c r="J182" s="94" t="str">
        <x:v>落地灯 G</x:v>
      </x:c>
      <x:c r="K182" s="97" t="n">
        <x:v>259.03</x:v>
      </x:c>
      <x:c r="L182" s="95" t="n">
        <x:v>1</x:v>
      </x:c>
      <x:c r="M182" s="97" t="n">
        <x:f>ROUND(K182*L182,2)</x:f>
        <x:v>259.03</x:v>
      </x:c>
      <x:c r="N182" s="109" t="n">
        <x:v>0.07</x:v>
      </x:c>
      <x:c r="O182" s="97" t="n">
        <x:f>ROUND(M182*N182,2)</x:f>
        <x:v>18.13</x:v>
      </x:c>
      <x:c r="P182" s="94" t="str">
        <x:v>已确认</x:v>
      </x:c>
      <x:c r="Q182" s="97" t="n">
        <x:f>IF(P182="已退款",M182,0)</x:f>
        <x:v>0</x:v>
      </x:c>
      <x:c r="R182" s="97" t="n">
        <x:f>IF(P182="已退款",O182,0)</x:f>
        <x:v>0</x:v>
      </x:c>
      <x:c r="S182" s="97" t="n">
        <x:f>O182-R182</x:f>
        <x:v>18.13</x:v>
      </x:c>
      <x:c r="T182" s="94" t="n">
        <x:v>0</x:v>
      </x:c>
      <x:c r="U182" s="94" t="str">
        <x:v>模拟：Amazon Associates订单回传</x:v>
      </x:c>
    </x:row>
    <x:row r="183">
      <x:c r="A183" s="92" t="str">
        <x:v>AMZ-ORD-00182</x:v>
      </x:c>
      <x:c r="B183" s="94" t="str">
        <x:v>PROC-0183</x:v>
      </x:c>
      <x:c r="C183" s="108" t="n">
        <x:v>46059.60486111111</x:v>
      </x:c>
      <x:c r="D183" s="93" t="n">
        <x:v>46055</x:v>
      </x:c>
      <x:c r="E183" s="94" t="str">
        <x:v>Google Ads</x:v>
      </x:c>
      <x:c r="F183" s="94" t="str">
        <x:v>英国</x:v>
      </x:c>
      <x:c r="G183" s="94" t="str">
        <x:v>购物广告</x:v>
      </x:c>
      <x:c r="H183" s="94" t="str">
        <x:v>SKU-0046</x:v>
      </x:c>
      <x:c r="I183" s="94" t="str">
        <x:v>办公学习</x:v>
      </x:c>
      <x:c r="J183" s="94" t="str">
        <x:v>高清摄像头 F</x:v>
      </x:c>
      <x:c r="K183" s="97" t="n">
        <x:v>148.76</x:v>
      </x:c>
      <x:c r="L183" s="95" t="n">
        <x:v>1</x:v>
      </x:c>
      <x:c r="M183" s="97" t="n">
        <x:f>ROUND(K183*L183,2)</x:f>
        <x:v>148.76</x:v>
      </x:c>
      <x:c r="N183" s="109" t="n">
        <x:v>0.07</x:v>
      </x:c>
      <x:c r="O183" s="97" t="n">
        <x:f>ROUND(M183*N183,2)</x:f>
        <x:v>10.41</x:v>
      </x:c>
      <x:c r="P183" s="94" t="str">
        <x:v>已确认</x:v>
      </x:c>
      <x:c r="Q183" s="97" t="n">
        <x:f>IF(P183="已退款",M183,0)</x:f>
        <x:v>0</x:v>
      </x:c>
      <x:c r="R183" s="97" t="n">
        <x:f>IF(P183="已退款",O183,0)</x:f>
        <x:v>0</x:v>
      </x:c>
      <x:c r="S183" s="97" t="n">
        <x:f>O183-R183</x:f>
        <x:v>10.41</x:v>
      </x:c>
      <x:c r="T183" s="94" t="n">
        <x:v>4</x:v>
      </x:c>
      <x:c r="U183" s="94" t="str">
        <x:v>模拟：Amazon Associates订单回传</x:v>
      </x:c>
    </x:row>
    <x:row r="184">
      <x:c r="A184" s="92" t="str">
        <x:v>AMZ-ORD-00183</x:v>
      </x:c>
      <x:c r="B184" s="94" t="str">
        <x:v>PROC-0185</x:v>
      </x:c>
      <x:c r="C184" s="108" t="n">
        <x:v>46057.45972222222</x:v>
      </x:c>
      <x:c r="D184" s="93" t="n">
        <x:v>46056</x:v>
      </x:c>
      <x:c r="E184" s="94" t="str">
        <x:v>Google Ads</x:v>
      </x:c>
      <x:c r="F184" s="94" t="str">
        <x:v>美国</x:v>
      </x:c>
      <x:c r="G184" s="94" t="str">
        <x:v>购物广告</x:v>
      </x:c>
      <x:c r="H184" s="94" t="str">
        <x:v>SKU-0023</x:v>
      </x:c>
      <x:c r="I184" s="94" t="str">
        <x:v>运动健康</x:v>
      </x:c>
      <x:c r="J184" s="94" t="str">
        <x:v>可调哑铃 C</x:v>
      </x:c>
      <x:c r="K184" s="97" t="n">
        <x:v>111.4</x:v>
      </x:c>
      <x:c r="L184" s="95" t="n">
        <x:v>2</x:v>
      </x:c>
      <x:c r="M184" s="97" t="n">
        <x:f>ROUND(K184*L184,2)</x:f>
        <x:v>222.8</x:v>
      </x:c>
      <x:c r="N184" s="109" t="n">
        <x:v>0.08</x:v>
      </x:c>
      <x:c r="O184" s="97" t="n">
        <x:f>ROUND(M184*N184,2)</x:f>
        <x:v>17.82</x:v>
      </x:c>
      <x:c r="P184" s="94" t="str">
        <x:v>已确认</x:v>
      </x:c>
      <x:c r="Q184" s="97" t="n">
        <x:f>IF(P184="已退款",M184,0)</x:f>
        <x:v>0</x:v>
      </x:c>
      <x:c r="R184" s="97" t="n">
        <x:f>IF(P184="已退款",O184,0)</x:f>
        <x:v>0</x:v>
      </x:c>
      <x:c r="S184" s="97" t="n">
        <x:f>O184-R184</x:f>
        <x:v>17.82</x:v>
      </x:c>
      <x:c r="T184" s="94" t="n">
        <x:v>1</x:v>
      </x:c>
      <x:c r="U184" s="94" t="str">
        <x:v>模拟：Amazon Associates订单回传</x:v>
      </x:c>
    </x:row>
    <x:row r="185">
      <x:c r="A185" s="92" t="str">
        <x:v>AMZ-ORD-00184</x:v>
      </x:c>
      <x:c r="B185" s="94" t="str">
        <x:v>PROC-0186</x:v>
      </x:c>
      <x:c r="C185" s="108" t="n">
        <x:v>46060.52777777778</x:v>
      </x:c>
      <x:c r="D185" s="93" t="n">
        <x:v>46056</x:v>
      </x:c>
      <x:c r="E185" s="94" t="str">
        <x:v>Google Ads</x:v>
      </x:c>
      <x:c r="F185" s="94" t="str">
        <x:v>德国</x:v>
      </x:c>
      <x:c r="G185" s="94" t="str">
        <x:v>购物广告</x:v>
      </x:c>
      <x:c r="H185" s="94" t="str">
        <x:v>SKU-0034</x:v>
      </x:c>
      <x:c r="I185" s="94" t="str">
        <x:v>美妆个护</x:v>
      </x:c>
      <x:c r="J185" s="94" t="str">
        <x:v>电动牙刷 D</x:v>
      </x:c>
      <x:c r="K185" s="97" t="n">
        <x:v>84.44</x:v>
      </x:c>
      <x:c r="L185" s="95" t="n">
        <x:v>1</x:v>
      </x:c>
      <x:c r="M185" s="97" t="n">
        <x:f>ROUND(K185*L185,2)</x:f>
        <x:v>84.44</x:v>
      </x:c>
      <x:c r="N185" s="109" t="n">
        <x:v>0.1</x:v>
      </x:c>
      <x:c r="O185" s="97" t="n">
        <x:f>ROUND(M185*N185,2)</x:f>
        <x:v>8.44</x:v>
      </x:c>
      <x:c r="P185" s="94" t="str">
        <x:v>已确认</x:v>
      </x:c>
      <x:c r="Q185" s="97" t="n">
        <x:f>IF(P185="已退款",M185,0)</x:f>
        <x:v>0</x:v>
      </x:c>
      <x:c r="R185" s="97" t="n">
        <x:f>IF(P185="已退款",O185,0)</x:f>
        <x:v>0</x:v>
      </x:c>
      <x:c r="S185" s="97" t="n">
        <x:f>O185-R185</x:f>
        <x:v>8.44</x:v>
      </x:c>
      <x:c r="T185" s="94" t="n">
        <x:v>4</x:v>
      </x:c>
      <x:c r="U185" s="94" t="str">
        <x:v>模拟：Amazon Associates订单回传</x:v>
      </x:c>
    </x:row>
    <x:row r="186">
      <x:c r="A186" s="92" t="str">
        <x:v>AMZ-ORD-00185</x:v>
      </x:c>
      <x:c r="B186" s="94" t="str">
        <x:v>PROC-0187</x:v>
      </x:c>
      <x:c r="C186" s="108" t="n">
        <x:v>46057.67916666667</x:v>
      </x:c>
      <x:c r="D186" s="93" t="n">
        <x:v>46056</x:v>
      </x:c>
      <x:c r="E186" s="94" t="str">
        <x:v>Google Ads</x:v>
      </x:c>
      <x:c r="F186" s="94" t="str">
        <x:v>美国</x:v>
      </x:c>
      <x:c r="G186" s="94" t="str">
        <x:v>购物广告</x:v>
      </x:c>
      <x:c r="H186" s="94" t="str">
        <x:v>SKU-0038</x:v>
      </x:c>
      <x:c r="I186" s="94" t="str">
        <x:v>美妆个护</x:v>
      </x:c>
      <x:c r="J186" s="94" t="str">
        <x:v>卷发棒 H</x:v>
      </x:c>
      <x:c r="K186" s="97" t="n">
        <x:v>76.76</x:v>
      </x:c>
      <x:c r="L186" s="95" t="n">
        <x:v>1</x:v>
      </x:c>
      <x:c r="M186" s="97" t="n">
        <x:f>ROUND(K186*L186,2)</x:f>
        <x:v>76.76</x:v>
      </x:c>
      <x:c r="N186" s="109" t="n">
        <x:v>0.1</x:v>
      </x:c>
      <x:c r="O186" s="97" t="n">
        <x:f>ROUND(M186*N186,2)</x:f>
        <x:v>7.68</x:v>
      </x:c>
      <x:c r="P186" s="94" t="str">
        <x:v>已确认</x:v>
      </x:c>
      <x:c r="Q186" s="97" t="n">
        <x:f>IF(P186="已退款",M186,0)</x:f>
        <x:v>0</x:v>
      </x:c>
      <x:c r="R186" s="97" t="n">
        <x:f>IF(P186="已退款",O186,0)</x:f>
        <x:v>0</x:v>
      </x:c>
      <x:c r="S186" s="97" t="n">
        <x:f>O186-R186</x:f>
        <x:v>7.68</x:v>
      </x:c>
      <x:c r="T186" s="94" t="n">
        <x:v>1</x:v>
      </x:c>
      <x:c r="U186" s="94" t="str">
        <x:v>模拟：Amazon Associates订单回传</x:v>
      </x:c>
    </x:row>
    <x:row r="187">
      <x:c r="A187" s="92" t="str">
        <x:v>AMZ-ORD-00186</x:v>
      </x:c>
      <x:c r="B187" s="94" t="str">
        <x:v>PROC-0188</x:v>
      </x:c>
      <x:c r="C187" s="108" t="n">
        <x:v>46058.441666666666</x:v>
      </x:c>
      <x:c r="D187" s="93" t="n">
        <x:v>46056</x:v>
      </x:c>
      <x:c r="E187" s="94" t="str">
        <x:v>Google Ads</x:v>
      </x:c>
      <x:c r="F187" s="94" t="str">
        <x:v>美国</x:v>
      </x:c>
      <x:c r="G187" s="94" t="str">
        <x:v>购物广告</x:v>
      </x:c>
      <x:c r="H187" s="94" t="str">
        <x:v>SKU-0030</x:v>
      </x:c>
      <x:c r="I187" s="94" t="str">
        <x:v>运动健康</x:v>
      </x:c>
      <x:c r="J187" s="94" t="str">
        <x:v>露营套装 J</x:v>
      </x:c>
      <x:c r="K187" s="97" t="n">
        <x:v>165.3</x:v>
      </x:c>
      <x:c r="L187" s="95" t="n">
        <x:v>1</x:v>
      </x:c>
      <x:c r="M187" s="97" t="n">
        <x:f>ROUND(K187*L187,2)</x:f>
        <x:v>165.3</x:v>
      </x:c>
      <x:c r="N187" s="109" t="n">
        <x:v>0.08</x:v>
      </x:c>
      <x:c r="O187" s="97" t="n">
        <x:f>ROUND(M187*N187,2)</x:f>
        <x:v>13.22</x:v>
      </x:c>
      <x:c r="P187" s="94" t="str">
        <x:v>已确认</x:v>
      </x:c>
      <x:c r="Q187" s="97" t="n">
        <x:f>IF(P187="已退款",M187,0)</x:f>
        <x:v>0</x:v>
      </x:c>
      <x:c r="R187" s="97" t="n">
        <x:f>IF(P187="已退款",O187,0)</x:f>
        <x:v>0</x:v>
      </x:c>
      <x:c r="S187" s="97" t="n">
        <x:f>O187-R187</x:f>
        <x:v>13.22</x:v>
      </x:c>
      <x:c r="T187" s="94" t="n">
        <x:v>2</x:v>
      </x:c>
      <x:c r="U187" s="94" t="str">
        <x:v>模拟：Amazon Associates订单回传</x:v>
      </x:c>
    </x:row>
    <x:row r="188">
      <x:c r="A188" s="92" t="str">
        <x:v>AMZ-ORD-00187</x:v>
      </x:c>
      <x:c r="B188" s="94" t="str">
        <x:v>PROC-0189</x:v>
      </x:c>
      <x:c r="C188" s="108" t="n">
        <x:v>46059.36875</x:v>
      </x:c>
      <x:c r="D188" s="93" t="n">
        <x:v>46057</x:v>
      </x:c>
      <x:c r="E188" s="94" t="str">
        <x:v>Microsoft Ads</x:v>
      </x:c>
      <x:c r="F188" s="94" t="str">
        <x:v>美国</x:v>
      </x:c>
      <x:c r="G188" s="94" t="str">
        <x:v>购物广告</x:v>
      </x:c>
      <x:c r="H188" s="94" t="str">
        <x:v>SKU-0030</x:v>
      </x:c>
      <x:c r="I188" s="94" t="str">
        <x:v>运动健康</x:v>
      </x:c>
      <x:c r="J188" s="94" t="str">
        <x:v>露营套装 J</x:v>
      </x:c>
      <x:c r="K188" s="97" t="n">
        <x:v>103.24</x:v>
      </x:c>
      <x:c r="L188" s="95" t="n">
        <x:v>1</x:v>
      </x:c>
      <x:c r="M188" s="97" t="n">
        <x:f>ROUND(K188*L188,2)</x:f>
        <x:v>103.24</x:v>
      </x:c>
      <x:c r="N188" s="109" t="n">
        <x:v>0.08</x:v>
      </x:c>
      <x:c r="O188" s="97" t="n">
        <x:f>ROUND(M188*N188,2)</x:f>
        <x:v>8.26</x:v>
      </x:c>
      <x:c r="P188" s="94" t="str">
        <x:v>已确认</x:v>
      </x:c>
      <x:c r="Q188" s="97" t="n">
        <x:f>IF(P188="已退款",M188,0)</x:f>
        <x:v>0</x:v>
      </x:c>
      <x:c r="R188" s="97" t="n">
        <x:f>IF(P188="已退款",O188,0)</x:f>
        <x:v>0</x:v>
      </x:c>
      <x:c r="S188" s="97" t="n">
        <x:f>O188-R188</x:f>
        <x:v>8.26</x:v>
      </x:c>
      <x:c r="T188" s="94" t="n">
        <x:v>2</x:v>
      </x:c>
      <x:c r="U188" s="94" t="str">
        <x:v>模拟：Amazon Associates订单回传</x:v>
      </x:c>
    </x:row>
    <x:row r="189">
      <x:c r="A189" s="92" t="str">
        <x:v>AMZ-ORD-00188</x:v>
      </x:c>
      <x:c r="B189" s="94" t="str">
        <x:v>PROC-0189</x:v>
      </x:c>
      <x:c r="C189" s="108" t="n">
        <x:v>46060.37847222222</x:v>
      </x:c>
      <x:c r="D189" s="93" t="n">
        <x:v>46057</x:v>
      </x:c>
      <x:c r="E189" s="94" t="str">
        <x:v>Microsoft Ads</x:v>
      </x:c>
      <x:c r="F189" s="94" t="str">
        <x:v>美国</x:v>
      </x:c>
      <x:c r="G189" s="94" t="str">
        <x:v>购物广告</x:v>
      </x:c>
      <x:c r="H189" s="94" t="str">
        <x:v>SKU-0037</x:v>
      </x:c>
      <x:c r="I189" s="94" t="str">
        <x:v>美妆个护</x:v>
      </x:c>
      <x:c r="J189" s="94" t="str">
        <x:v>美容仪 G</x:v>
      </x:c>
      <x:c r="K189" s="97" t="n">
        <x:v>40.15</x:v>
      </x:c>
      <x:c r="L189" s="95" t="n">
        <x:v>2</x:v>
      </x:c>
      <x:c r="M189" s="97" t="n">
        <x:f>ROUND(K189*L189,2)</x:f>
        <x:v>80.3</x:v>
      </x:c>
      <x:c r="N189" s="109" t="n">
        <x:v>0.1</x:v>
      </x:c>
      <x:c r="O189" s="97" t="n">
        <x:f>ROUND(M189*N189,2)</x:f>
        <x:v>8.03</x:v>
      </x:c>
      <x:c r="P189" s="94" t="str">
        <x:v>已确认</x:v>
      </x:c>
      <x:c r="Q189" s="97" t="n">
        <x:f>IF(P189="已退款",M189,0)</x:f>
        <x:v>0</x:v>
      </x:c>
      <x:c r="R189" s="97" t="n">
        <x:f>IF(P189="已退款",O189,0)</x:f>
        <x:v>0</x:v>
      </x:c>
      <x:c r="S189" s="97" t="n">
        <x:f>O189-R189</x:f>
        <x:v>8.03</x:v>
      </x:c>
      <x:c r="T189" s="94" t="n">
        <x:v>3</x:v>
      </x:c>
      <x:c r="U189" s="94" t="str">
        <x:v>模拟：Amazon Associates订单回传</x:v>
      </x:c>
    </x:row>
    <x:row r="190">
      <x:c r="A190" s="92" t="str">
        <x:v>AMZ-ORD-00189</x:v>
      </x:c>
      <x:c r="B190" s="94" t="str">
        <x:v>PROC-0190</x:v>
      </x:c>
      <x:c r="C190" s="108" t="n">
        <x:v>46058.86736111111</x:v>
      </x:c>
      <x:c r="D190" s="93" t="n">
        <x:v>46057</x:v>
      </x:c>
      <x:c r="E190" s="94" t="str">
        <x:v>Microsoft Ads</x:v>
      </x:c>
      <x:c r="F190" s="94" t="str">
        <x:v>美国</x:v>
      </x:c>
      <x:c r="G190" s="94" t="str">
        <x:v>购物广告</x:v>
      </x:c>
      <x:c r="H190" s="94" t="str">
        <x:v>SKU-0038</x:v>
      </x:c>
      <x:c r="I190" s="94" t="str">
        <x:v>美妆个护</x:v>
      </x:c>
      <x:c r="J190" s="94" t="str">
        <x:v>卷发棒 H</x:v>
      </x:c>
      <x:c r="K190" s="97" t="n">
        <x:v>73.48</x:v>
      </x:c>
      <x:c r="L190" s="95" t="n">
        <x:v>1</x:v>
      </x:c>
      <x:c r="M190" s="97" t="n">
        <x:f>ROUND(K190*L190,2)</x:f>
        <x:v>73.48</x:v>
      </x:c>
      <x:c r="N190" s="109" t="n">
        <x:v>0.1</x:v>
      </x:c>
      <x:c r="O190" s="97" t="n">
        <x:f>ROUND(M190*N190,2)</x:f>
        <x:v>7.35</x:v>
      </x:c>
      <x:c r="P190" s="94" t="str">
        <x:v>已确认</x:v>
      </x:c>
      <x:c r="Q190" s="97" t="n">
        <x:f>IF(P190="已退款",M190,0)</x:f>
        <x:v>0</x:v>
      </x:c>
      <x:c r="R190" s="97" t="n">
        <x:f>IF(P190="已退款",O190,0)</x:f>
        <x:v>0</x:v>
      </x:c>
      <x:c r="S190" s="97" t="n">
        <x:f>O190-R190</x:f>
        <x:v>7.35</x:v>
      </x:c>
      <x:c r="T190" s="94" t="n">
        <x:v>1</x:v>
      </x:c>
      <x:c r="U190" s="94" t="str">
        <x:v>模拟：Amazon Associates订单回传</x:v>
      </x:c>
    </x:row>
    <x:row r="191">
      <x:c r="A191" s="92" t="str">
        <x:v>AMZ-ORD-00190</x:v>
      </x:c>
      <x:c r="B191" s="94" t="str">
        <x:v>PROC-0191</x:v>
      </x:c>
      <x:c r="C191" s="108" t="n">
        <x:v>46057.35763888889</x:v>
      </x:c>
      <x:c r="D191" s="93" t="n">
        <x:v>46057</x:v>
      </x:c>
      <x:c r="E191" s="94" t="str">
        <x:v>Microsoft Ads</x:v>
      </x:c>
      <x:c r="F191" s="94" t="str">
        <x:v>日本</x:v>
      </x:c>
      <x:c r="G191" s="94" t="str">
        <x:v>通用搜索</x:v>
      </x:c>
      <x:c r="H191" s="94" t="str">
        <x:v>SKU-0028</x:v>
      </x:c>
      <x:c r="I191" s="94" t="str">
        <x:v>运动健康</x:v>
      </x:c>
      <x:c r="J191" s="94" t="str">
        <x:v>体脂秤 H</x:v>
      </x:c>
      <x:c r="K191" s="97" t="n">
        <x:v>216.21</x:v>
      </x:c>
      <x:c r="L191" s="95" t="n">
        <x:v>1</x:v>
      </x:c>
      <x:c r="M191" s="97" t="n">
        <x:f>ROUND(K191*L191,2)</x:f>
        <x:v>216.21</x:v>
      </x:c>
      <x:c r="N191" s="109" t="n">
        <x:v>0.08</x:v>
      </x:c>
      <x:c r="O191" s="97" t="n">
        <x:f>ROUND(M191*N191,2)</x:f>
        <x:v>17.3</x:v>
      </x:c>
      <x:c r="P191" s="94" t="str">
        <x:v>已确认</x:v>
      </x:c>
      <x:c r="Q191" s="97" t="n">
        <x:f>IF(P191="已退款",M191,0)</x:f>
        <x:v>0</x:v>
      </x:c>
      <x:c r="R191" s="97" t="n">
        <x:f>IF(P191="已退款",O191,0)</x:f>
        <x:v>0</x:v>
      </x:c>
      <x:c r="S191" s="97" t="n">
        <x:f>O191-R191</x:f>
        <x:v>17.3</x:v>
      </x:c>
      <x:c r="T191" s="94" t="n">
        <x:v>0</x:v>
      </x:c>
      <x:c r="U191" s="94" t="str">
        <x:v>模拟：Amazon Associates订单回传</x:v>
      </x:c>
    </x:row>
    <x:row r="192">
      <x:c r="A192" s="92" t="str">
        <x:v>AMZ-ORD-00191</x:v>
      </x:c>
      <x:c r="B192" s="94" t="str">
        <x:v>PROC-0192</x:v>
      </x:c>
      <x:c r="C192" s="108" t="n">
        <x:v>46057.38958333333</x:v>
      </x:c>
      <x:c r="D192" s="93" t="n">
        <x:v>46057</x:v>
      </x:c>
      <x:c r="E192" s="94" t="str">
        <x:v>Google Ads</x:v>
      </x:c>
      <x:c r="F192" s="94" t="str">
        <x:v>英国</x:v>
      </x:c>
      <x:c r="G192" s="94" t="str">
        <x:v>购物广告</x:v>
      </x:c>
      <x:c r="H192" s="94" t="str">
        <x:v>SKU-0002</x:v>
      </x:c>
      <x:c r="I192" s="94" t="str">
        <x:v>电子产品</x:v>
      </x:c>
      <x:c r="J192" s="94" t="str">
        <x:v>便携显示器 B</x:v>
      </x:c>
      <x:c r="K192" s="97" t="n">
        <x:v>426.46</x:v>
      </x:c>
      <x:c r="L192" s="95" t="n">
        <x:v>1</x:v>
      </x:c>
      <x:c r="M192" s="97" t="n">
        <x:f>ROUND(K192*L192,2)</x:f>
        <x:v>426.46</x:v>
      </x:c>
      <x:c r="N192" s="109" t="n">
        <x:v>0.05</x:v>
      </x:c>
      <x:c r="O192" s="97" t="n">
        <x:f>ROUND(M192*N192,2)</x:f>
        <x:v>21.32</x:v>
      </x:c>
      <x:c r="P192" s="94" t="str">
        <x:v>已确认</x:v>
      </x:c>
      <x:c r="Q192" s="97" t="n">
        <x:f>IF(P192="已退款",M192,0)</x:f>
        <x:v>0</x:v>
      </x:c>
      <x:c r="R192" s="97" t="n">
        <x:f>IF(P192="已退款",O192,0)</x:f>
        <x:v>0</x:v>
      </x:c>
      <x:c r="S192" s="97" t="n">
        <x:f>O192-R192</x:f>
        <x:v>21.32</x:v>
      </x:c>
      <x:c r="T192" s="94" t="n">
        <x:v>0</x:v>
      </x:c>
      <x:c r="U192" s="94" t="str">
        <x:v>模拟：Amazon Associates订单回传</x:v>
      </x:c>
    </x:row>
    <x:row r="193">
      <x:c r="A193" s="92" t="str">
        <x:v>AMZ-ORD-00192</x:v>
      </x:c>
      <x:c r="B193" s="94" t="str">
        <x:v>PROC-0193</x:v>
      </x:c>
      <x:c r="C193" s="108" t="n">
        <x:v>46059.56736111111</x:v>
      </x:c>
      <x:c r="D193" s="93" t="n">
        <x:v>46057</x:v>
      </x:c>
      <x:c r="E193" s="94" t="str">
        <x:v>Google Ads</x:v>
      </x:c>
      <x:c r="F193" s="94" t="str">
        <x:v>英国</x:v>
      </x:c>
      <x:c r="G193" s="94" t="str">
        <x:v>品牌搜索</x:v>
      </x:c>
      <x:c r="H193" s="94" t="str">
        <x:v>SKU-0040</x:v>
      </x:c>
      <x:c r="I193" s="94" t="str">
        <x:v>美妆个护</x:v>
      </x:c>
      <x:c r="J193" s="94" t="str">
        <x:v>旅行护理套装 J</x:v>
      </x:c>
      <x:c r="K193" s="97" t="n">
        <x:v>94.83</x:v>
      </x:c>
      <x:c r="L193" s="95" t="n">
        <x:v>1</x:v>
      </x:c>
      <x:c r="M193" s="97" t="n">
        <x:f>ROUND(K193*L193,2)</x:f>
        <x:v>94.83</x:v>
      </x:c>
      <x:c r="N193" s="109" t="n">
        <x:v>0.1</x:v>
      </x:c>
      <x:c r="O193" s="97" t="n">
        <x:f>ROUND(M193*N193,2)</x:f>
        <x:v>9.48</x:v>
      </x:c>
      <x:c r="P193" s="94" t="str">
        <x:v>已确认</x:v>
      </x:c>
      <x:c r="Q193" s="97" t="n">
        <x:f>IF(P193="已退款",M193,0)</x:f>
        <x:v>0</x:v>
      </x:c>
      <x:c r="R193" s="97" t="n">
        <x:f>IF(P193="已退款",O193,0)</x:f>
        <x:v>0</x:v>
      </x:c>
      <x:c r="S193" s="97" t="n">
        <x:f>O193-R193</x:f>
        <x:v>9.48</x:v>
      </x:c>
      <x:c r="T193" s="94" t="n">
        <x:v>2</x:v>
      </x:c>
      <x:c r="U193" s="94" t="str">
        <x:v>模拟：Amazon Associates订单回传</x:v>
      </x:c>
    </x:row>
    <x:row r="194">
      <x:c r="A194" s="92" t="str">
        <x:v>AMZ-ORD-00193</x:v>
      </x:c>
      <x:c r="B194" s="94" t="str">
        <x:v>PROC-0193</x:v>
      </x:c>
      <x:c r="C194" s="108" t="n">
        <x:v>46059.41458333333</x:v>
      </x:c>
      <x:c r="D194" s="93" t="n">
        <x:v>46057</x:v>
      </x:c>
      <x:c r="E194" s="94" t="str">
        <x:v>Google Ads</x:v>
      </x:c>
      <x:c r="F194" s="94" t="str">
        <x:v>英国</x:v>
      </x:c>
      <x:c r="G194" s="94" t="str">
        <x:v>品牌搜索</x:v>
      </x:c>
      <x:c r="H194" s="94" t="str">
        <x:v>SKU-0006</x:v>
      </x:c>
      <x:c r="I194" s="94" t="str">
        <x:v>电子产品</x:v>
      </x:c>
      <x:c r="J194" s="94" t="str">
        <x:v>迷你投影仪 F</x:v>
      </x:c>
      <x:c r="K194" s="97" t="n">
        <x:v>539.72</x:v>
      </x:c>
      <x:c r="L194" s="95" t="n">
        <x:v>2</x:v>
      </x:c>
      <x:c r="M194" s="97" t="n">
        <x:f>ROUND(K194*L194,2)</x:f>
        <x:v>1079.44</x:v>
      </x:c>
      <x:c r="N194" s="109" t="n">
        <x:v>0.05</x:v>
      </x:c>
      <x:c r="O194" s="97" t="n">
        <x:f>ROUND(M194*N194,2)</x:f>
        <x:v>53.97</x:v>
      </x:c>
      <x:c r="P194" s="94" t="str">
        <x:v>已确认</x:v>
      </x:c>
      <x:c r="Q194" s="97" t="n">
        <x:f>IF(P194="已退款",M194,0)</x:f>
        <x:v>0</x:v>
      </x:c>
      <x:c r="R194" s="97" t="n">
        <x:f>IF(P194="已退款",O194,0)</x:f>
        <x:v>0</x:v>
      </x:c>
      <x:c r="S194" s="97" t="n">
        <x:f>O194-R194</x:f>
        <x:v>53.97</x:v>
      </x:c>
      <x:c r="T194" s="94" t="n">
        <x:v>2</x:v>
      </x:c>
      <x:c r="U194" s="94" t="str">
        <x:v>模拟：Amazon Associates订单回传</x:v>
      </x:c>
    </x:row>
    <x:row r="195">
      <x:c r="A195" s="92" t="str">
        <x:v>AMZ-ORD-00194</x:v>
      </x:c>
      <x:c r="B195" s="94" t="str">
        <x:v>PROC-0194</x:v>
      </x:c>
      <x:c r="C195" s="108" t="n">
        <x:v>46058.41180555556</x:v>
      </x:c>
      <x:c r="D195" s="93" t="n">
        <x:v>46057</x:v>
      </x:c>
      <x:c r="E195" s="94" t="str">
        <x:v>Google Ads</x:v>
      </x:c>
      <x:c r="F195" s="94" t="str">
        <x:v>美国</x:v>
      </x:c>
      <x:c r="G195" s="94" t="str">
        <x:v>通用搜索</x:v>
      </x:c>
      <x:c r="H195" s="94" t="str">
        <x:v>SKU-0012</x:v>
      </x:c>
      <x:c r="I195" s="94" t="str">
        <x:v>家居生活</x:v>
      </x:c>
      <x:c r="J195" s="94" t="str">
        <x:v>咖啡机 B</x:v>
      </x:c>
      <x:c r="K195" s="97" t="n">
        <x:v>252.07</x:v>
      </x:c>
      <x:c r="L195" s="95" t="n">
        <x:v>1</x:v>
      </x:c>
      <x:c r="M195" s="97" t="n">
        <x:f>ROUND(K195*L195,2)</x:f>
        <x:v>252.07</x:v>
      </x:c>
      <x:c r="N195" s="109" t="n">
        <x:v>0.07</x:v>
      </x:c>
      <x:c r="O195" s="97" t="n">
        <x:f>ROUND(M195*N195,2)</x:f>
        <x:v>17.64</x:v>
      </x:c>
      <x:c r="P195" s="94" t="str">
        <x:v>已退款</x:v>
      </x:c>
      <x:c r="Q195" s="97" t="n">
        <x:f>IF(P195="已退款",M195,0)</x:f>
        <x:v>252.07</x:v>
      </x:c>
      <x:c r="R195" s="97" t="n">
        <x:f>IF(P195="已退款",O195,0)</x:f>
        <x:v>17.64</x:v>
      </x:c>
      <x:c r="S195" s="97" t="n">
        <x:f>O195-R195</x:f>
        <x:v>0</x:v>
      </x:c>
      <x:c r="T195" s="94" t="n">
        <x:v>1</x:v>
      </x:c>
      <x:c r="U195" s="94" t="str">
        <x:v>模拟：Amazon Associates订单回传</x:v>
      </x:c>
    </x:row>
    <x:row r="196">
      <x:c r="A196" s="92" t="str">
        <x:v>AMZ-ORD-00195</x:v>
      </x:c>
      <x:c r="B196" s="94" t="str">
        <x:v>PROC-0195</x:v>
      </x:c>
      <x:c r="C196" s="108" t="n">
        <x:v>46061.72222222222</x:v>
      </x:c>
      <x:c r="D196" s="93" t="n">
        <x:v>46058</x:v>
      </x:c>
      <x:c r="E196" s="94" t="str">
        <x:v>Google Ads</x:v>
      </x:c>
      <x:c r="F196" s="94" t="str">
        <x:v>日本</x:v>
      </x:c>
      <x:c r="G196" s="94" t="str">
        <x:v>购物广告</x:v>
      </x:c>
      <x:c r="H196" s="94" t="str">
        <x:v>SKU-0025</x:v>
      </x:c>
      <x:c r="I196" s="94" t="str">
        <x:v>运动健康</x:v>
      </x:c>
      <x:c r="J196" s="94" t="str">
        <x:v>跑步机配件 E</x:v>
      </x:c>
      <x:c r="K196" s="97" t="n">
        <x:v>244.33</x:v>
      </x:c>
      <x:c r="L196" s="95" t="n">
        <x:v>1</x:v>
      </x:c>
      <x:c r="M196" s="97" t="n">
        <x:f>ROUND(K196*L196,2)</x:f>
        <x:v>244.33</x:v>
      </x:c>
      <x:c r="N196" s="109" t="n">
        <x:v>0.08</x:v>
      </x:c>
      <x:c r="O196" s="97" t="n">
        <x:f>ROUND(M196*N196,2)</x:f>
        <x:v>19.55</x:v>
      </x:c>
      <x:c r="P196" s="94" t="str">
        <x:v>已确认</x:v>
      </x:c>
      <x:c r="Q196" s="97" t="n">
        <x:f>IF(P196="已退款",M196,0)</x:f>
        <x:v>0</x:v>
      </x:c>
      <x:c r="R196" s="97" t="n">
        <x:f>IF(P196="已退款",O196,0)</x:f>
        <x:v>0</x:v>
      </x:c>
      <x:c r="S196" s="97" t="n">
        <x:f>O196-R196</x:f>
        <x:v>19.55</x:v>
      </x:c>
      <x:c r="T196" s="94" t="n">
        <x:v>3</x:v>
      </x:c>
      <x:c r="U196" s="94" t="str">
        <x:v>模拟：Amazon Associates订单回传</x:v>
      </x:c>
    </x:row>
    <x:row r="197">
      <x:c r="A197" s="92" t="str">
        <x:v>AMZ-ORD-00196</x:v>
      </x:c>
      <x:c r="B197" s="94" t="str">
        <x:v>PROC-0196</x:v>
      </x:c>
      <x:c r="C197" s="108" t="n">
        <x:v>46058.9125</x:v>
      </x:c>
      <x:c r="D197" s="93" t="n">
        <x:v>46058</x:v>
      </x:c>
      <x:c r="E197" s="94" t="str">
        <x:v>Google Ads</x:v>
      </x:c>
      <x:c r="F197" s="94" t="str">
        <x:v>德国</x:v>
      </x:c>
      <x:c r="G197" s="94" t="str">
        <x:v>购物广告</x:v>
      </x:c>
      <x:c r="H197" s="94" t="str">
        <x:v>SKU-0003</x:v>
      </x:c>
      <x:c r="I197" s="94" t="str">
        <x:v>电子产品</x:v>
      </x:c>
      <x:c r="J197" s="94" t="str">
        <x:v>智能家居中枢 C</x:v>
      </x:c>
      <x:c r="K197" s="97" t="n">
        <x:v>395.59</x:v>
      </x:c>
      <x:c r="L197" s="95" t="n">
        <x:v>1</x:v>
      </x:c>
      <x:c r="M197" s="97" t="n">
        <x:f>ROUND(K197*L197,2)</x:f>
        <x:v>395.59</x:v>
      </x:c>
      <x:c r="N197" s="109" t="n">
        <x:v>0.05</x:v>
      </x:c>
      <x:c r="O197" s="97" t="n">
        <x:f>ROUND(M197*N197,2)</x:f>
        <x:v>19.78</x:v>
      </x:c>
      <x:c r="P197" s="94" t="str">
        <x:v>已确认</x:v>
      </x:c>
      <x:c r="Q197" s="97" t="n">
        <x:f>IF(P197="已退款",M197,0)</x:f>
        <x:v>0</x:v>
      </x:c>
      <x:c r="R197" s="97" t="n">
        <x:f>IF(P197="已退款",O197,0)</x:f>
        <x:v>0</x:v>
      </x:c>
      <x:c r="S197" s="97" t="n">
        <x:f>O197-R197</x:f>
        <x:v>19.78</x:v>
      </x:c>
      <x:c r="T197" s="94" t="n">
        <x:v>0</x:v>
      </x:c>
      <x:c r="U197" s="94" t="str">
        <x:v>模拟：Amazon Associates订单回传</x:v>
      </x:c>
    </x:row>
    <x:row r="198">
      <x:c r="A198" s="92" t="str">
        <x:v>AMZ-ORD-00197</x:v>
      </x:c>
      <x:c r="B198" s="94" t="str">
        <x:v>PROC-0196</x:v>
      </x:c>
      <x:c r="C198" s="108" t="n">
        <x:v>46058.67638888889</x:v>
      </x:c>
      <x:c r="D198" s="93" t="n">
        <x:v>46058</x:v>
      </x:c>
      <x:c r="E198" s="94" t="str">
        <x:v>Google Ads</x:v>
      </x:c>
      <x:c r="F198" s="94" t="str">
        <x:v>德国</x:v>
      </x:c>
      <x:c r="G198" s="94" t="str">
        <x:v>购物广告</x:v>
      </x:c>
      <x:c r="H198" s="94" t="str">
        <x:v>SKU-0006</x:v>
      </x:c>
      <x:c r="I198" s="94" t="str">
        <x:v>电子产品</x:v>
      </x:c>
      <x:c r="J198" s="94" t="str">
        <x:v>迷你投影仪 F</x:v>
      </x:c>
      <x:c r="K198" s="97" t="n">
        <x:v>596.42</x:v>
      </x:c>
      <x:c r="L198" s="95" t="n">
        <x:v>2</x:v>
      </x:c>
      <x:c r="M198" s="97" t="n">
        <x:f>ROUND(K198*L198,2)</x:f>
        <x:v>1192.84</x:v>
      </x:c>
      <x:c r="N198" s="109" t="n">
        <x:v>0.05</x:v>
      </x:c>
      <x:c r="O198" s="97" t="n">
        <x:f>ROUND(M198*N198,2)</x:f>
        <x:v>59.64</x:v>
      </x:c>
      <x:c r="P198" s="94" t="str">
        <x:v>已确认</x:v>
      </x:c>
      <x:c r="Q198" s="97" t="n">
        <x:f>IF(P198="已退款",M198,0)</x:f>
        <x:v>0</x:v>
      </x:c>
      <x:c r="R198" s="97" t="n">
        <x:f>IF(P198="已退款",O198,0)</x:f>
        <x:v>0</x:v>
      </x:c>
      <x:c r="S198" s="97" t="n">
        <x:f>O198-R198</x:f>
        <x:v>59.64</x:v>
      </x:c>
      <x:c r="T198" s="94" t="n">
        <x:v>0</x:v>
      </x:c>
      <x:c r="U198" s="94" t="str">
        <x:v>模拟：Amazon Associates订单回传</x:v>
      </x:c>
    </x:row>
    <x:row r="199">
      <x:c r="A199" s="92" t="str">
        <x:v>AMZ-ORD-00198</x:v>
      </x:c>
      <x:c r="B199" s="94" t="str">
        <x:v>PROC-0197</x:v>
      </x:c>
      <x:c r="C199" s="108" t="n">
        <x:v>46062.80347222222</x:v>
      </x:c>
      <x:c r="D199" s="93" t="n">
        <x:v>46058</x:v>
      </x:c>
      <x:c r="E199" s="94" t="str">
        <x:v>Google Ads</x:v>
      </x:c>
      <x:c r="F199" s="94" t="str">
        <x:v>美国</x:v>
      </x:c>
      <x:c r="G199" s="94" t="str">
        <x:v>通用搜索</x:v>
      </x:c>
      <x:c r="H199" s="94" t="str">
        <x:v>SKU-0039</x:v>
      </x:c>
      <x:c r="I199" s="94" t="str">
        <x:v>美妆个护</x:v>
      </x:c>
      <x:c r="J199" s="94" t="str">
        <x:v>按摩梳 I</x:v>
      </x:c>
      <x:c r="K199" s="97" t="n">
        <x:v>98.8</x:v>
      </x:c>
      <x:c r="L199" s="95" t="n">
        <x:v>1</x:v>
      </x:c>
      <x:c r="M199" s="97" t="n">
        <x:f>ROUND(K199*L199,2)</x:f>
        <x:v>98.8</x:v>
      </x:c>
      <x:c r="N199" s="109" t="n">
        <x:v>0.1</x:v>
      </x:c>
      <x:c r="O199" s="97" t="n">
        <x:f>ROUND(M199*N199,2)</x:f>
        <x:v>9.88</x:v>
      </x:c>
      <x:c r="P199" s="94" t="str">
        <x:v>已确认</x:v>
      </x:c>
      <x:c r="Q199" s="97" t="n">
        <x:f>IF(P199="已退款",M199,0)</x:f>
        <x:v>0</x:v>
      </x:c>
      <x:c r="R199" s="97" t="n">
        <x:f>IF(P199="已退款",O199,0)</x:f>
        <x:v>0</x:v>
      </x:c>
      <x:c r="S199" s="97" t="n">
        <x:f>O199-R199</x:f>
        <x:v>9.88</x:v>
      </x:c>
      <x:c r="T199" s="94" t="n">
        <x:v>4</x:v>
      </x:c>
      <x:c r="U199" s="94" t="str">
        <x:v>模拟：Amazon Associates订单回传</x:v>
      </x:c>
    </x:row>
    <x:row r="200">
      <x:c r="A200" s="92" t="str">
        <x:v>AMZ-ORD-00199</x:v>
      </x:c>
      <x:c r="B200" s="94" t="str">
        <x:v>PROC-0198</x:v>
      </x:c>
      <x:c r="C200" s="108" t="n">
        <x:v>46062.84375</x:v>
      </x:c>
      <x:c r="D200" s="93" t="n">
        <x:v>46058</x:v>
      </x:c>
      <x:c r="E200" s="94" t="str">
        <x:v>Google Ads</x:v>
      </x:c>
      <x:c r="F200" s="94" t="str">
        <x:v>德国</x:v>
      </x:c>
      <x:c r="G200" s="94" t="str">
        <x:v>通用搜索</x:v>
      </x:c>
      <x:c r="H200" s="94" t="str">
        <x:v>SKU-0001</x:v>
      </x:c>
      <x:c r="I200" s="94" t="str">
        <x:v>电子产品</x:v>
      </x:c>
      <x:c r="J200" s="94" t="str">
        <x:v>无线耳机 A</x:v>
      </x:c>
      <x:c r="K200" s="97" t="n">
        <x:v>571.92</x:v>
      </x:c>
      <x:c r="L200" s="95" t="n">
        <x:v>1</x:v>
      </x:c>
      <x:c r="M200" s="97" t="n">
        <x:f>ROUND(K200*L200,2)</x:f>
        <x:v>571.92</x:v>
      </x:c>
      <x:c r="N200" s="109" t="n">
        <x:v>0.05</x:v>
      </x:c>
      <x:c r="O200" s="97" t="n">
        <x:f>ROUND(M200*N200,2)</x:f>
        <x:v>28.6</x:v>
      </x:c>
      <x:c r="P200" s="94" t="str">
        <x:v>已确认</x:v>
      </x:c>
      <x:c r="Q200" s="97" t="n">
        <x:f>IF(P200="已退款",M200,0)</x:f>
        <x:v>0</x:v>
      </x:c>
      <x:c r="R200" s="97" t="n">
        <x:f>IF(P200="已退款",O200,0)</x:f>
        <x:v>0</x:v>
      </x:c>
      <x:c r="S200" s="97" t="n">
        <x:f>O200-R200</x:f>
        <x:v>28.6</x:v>
      </x:c>
      <x:c r="T200" s="94" t="n">
        <x:v>4</x:v>
      </x:c>
      <x:c r="U200" s="94" t="str">
        <x:v>模拟：Amazon Associates订单回传</x:v>
      </x:c>
    </x:row>
    <x:row r="201">
      <x:c r="A201" s="92" t="str">
        <x:v>AMZ-ORD-00200</x:v>
      </x:c>
      <x:c r="B201" s="94" t="str">
        <x:v>PROC-0199</x:v>
      </x:c>
      <x:c r="C201" s="108" t="n">
        <x:v>46060.42013888889</x:v>
      </x:c>
      <x:c r="D201" s="93" t="n">
        <x:v>46058</x:v>
      </x:c>
      <x:c r="E201" s="94" t="str">
        <x:v>Microsoft Ads</x:v>
      </x:c>
      <x:c r="F201" s="94" t="str">
        <x:v>美国</x:v>
      </x:c>
      <x:c r="G201" s="94" t="str">
        <x:v>购物广告</x:v>
      </x:c>
      <x:c r="H201" s="94" t="str">
        <x:v>SKU-0036</x:v>
      </x:c>
      <x:c r="I201" s="94" t="str">
        <x:v>美妆个护</x:v>
      </x:c>
      <x:c r="J201" s="94" t="str">
        <x:v>剃须刀 F</x:v>
      </x:c>
      <x:c r="K201" s="97" t="n">
        <x:v>153.83</x:v>
      </x:c>
      <x:c r="L201" s="95" t="n">
        <x:v>1</x:v>
      </x:c>
      <x:c r="M201" s="97" t="n">
        <x:f>ROUND(K201*L201,2)</x:f>
        <x:v>153.83</x:v>
      </x:c>
      <x:c r="N201" s="109" t="n">
        <x:v>0.1</x:v>
      </x:c>
      <x:c r="O201" s="97" t="n">
        <x:f>ROUND(M201*N201,2)</x:f>
        <x:v>15.38</x:v>
      </x:c>
      <x:c r="P201" s="94" t="str">
        <x:v>待确认</x:v>
      </x:c>
      <x:c r="Q201" s="97" t="n">
        <x:f>IF(P201="已退款",M201,0)</x:f>
        <x:v>0</x:v>
      </x:c>
      <x:c r="R201" s="97" t="n">
        <x:f>IF(P201="已退款",O201,0)</x:f>
        <x:v>0</x:v>
      </x:c>
      <x:c r="S201" s="97" t="n">
        <x:f>O201-R201</x:f>
        <x:v>15.38</x:v>
      </x:c>
      <x:c r="T201" s="94" t="n">
        <x:v>2</x:v>
      </x:c>
      <x:c r="U201" s="94" t="str">
        <x:v>模拟：Amazon Associates订单回传</x:v>
      </x:c>
    </x:row>
    <x:row r="202">
      <x:c r="A202" s="92" t="str">
        <x:v>AMZ-ORD-00201</x:v>
      </x:c>
      <x:c r="B202" s="94" t="str">
        <x:v>PROC-0200</x:v>
      </x:c>
      <x:c r="C202" s="108" t="n">
        <x:v>46060.87013888889</x:v>
      </x:c>
      <x:c r="D202" s="93" t="n">
        <x:v>46059</x:v>
      </x:c>
      <x:c r="E202" s="94" t="str">
        <x:v>Microsoft Ads</x:v>
      </x:c>
      <x:c r="F202" s="94" t="str">
        <x:v>日本</x:v>
      </x:c>
      <x:c r="G202" s="94" t="str">
        <x:v>购物广告</x:v>
      </x:c>
      <x:c r="H202" s="94" t="str">
        <x:v>SKU-0020</x:v>
      </x:c>
      <x:c r="I202" s="94" t="str">
        <x:v>家居生活</x:v>
      </x:c>
      <x:c r="J202" s="94" t="str">
        <x:v>智能门锁 J</x:v>
      </x:c>
      <x:c r="K202" s="97" t="n">
        <x:v>212.27</x:v>
      </x:c>
      <x:c r="L202" s="95" t="n">
        <x:v>1</x:v>
      </x:c>
      <x:c r="M202" s="97" t="n">
        <x:f>ROUND(K202*L202,2)</x:f>
        <x:v>212.27</x:v>
      </x:c>
      <x:c r="N202" s="109" t="n">
        <x:v>0.07</x:v>
      </x:c>
      <x:c r="O202" s="97" t="n">
        <x:f>ROUND(M202*N202,2)</x:f>
        <x:v>14.86</x:v>
      </x:c>
      <x:c r="P202" s="94" t="str">
        <x:v>已确认</x:v>
      </x:c>
      <x:c r="Q202" s="97" t="n">
        <x:f>IF(P202="已退款",M202,0)</x:f>
        <x:v>0</x:v>
      </x:c>
      <x:c r="R202" s="97" t="n">
        <x:f>IF(P202="已退款",O202,0)</x:f>
        <x:v>0</x:v>
      </x:c>
      <x:c r="S202" s="97" t="n">
        <x:f>O202-R202</x:f>
        <x:v>14.86</x:v>
      </x:c>
      <x:c r="T202" s="94" t="n">
        <x:v>1</x:v>
      </x:c>
      <x:c r="U202" s="94" t="str">
        <x:v>模拟：Amazon Associates订单回传</x:v>
      </x:c>
    </x:row>
    <x:row r="203">
      <x:c r="A203" s="92" t="str">
        <x:v>AMZ-ORD-00202</x:v>
      </x:c>
      <x:c r="B203" s="94" t="str">
        <x:v>PROC-0201</x:v>
      </x:c>
      <x:c r="C203" s="108" t="n">
        <x:v>46060.69930555556</x:v>
      </x:c>
      <x:c r="D203" s="93" t="n">
        <x:v>46059</x:v>
      </x:c>
      <x:c r="E203" s="94" t="str">
        <x:v>Microsoft Ads</x:v>
      </x:c>
      <x:c r="F203" s="94" t="str">
        <x:v>美国</x:v>
      </x:c>
      <x:c r="G203" s="94" t="str">
        <x:v>竞品搜索</x:v>
      </x:c>
      <x:c r="H203" s="94" t="str">
        <x:v>SKU-0015</x:v>
      </x:c>
      <x:c r="I203" s="94" t="str">
        <x:v>家居生活</x:v>
      </x:c>
      <x:c r="J203" s="94" t="str">
        <x:v>床品套装 E</x:v>
      </x:c>
      <x:c r="K203" s="97" t="n">
        <x:v>175.41</x:v>
      </x:c>
      <x:c r="L203" s="95" t="n">
        <x:v>3</x:v>
      </x:c>
      <x:c r="M203" s="97" t="n">
        <x:f>ROUND(K203*L203,2)</x:f>
        <x:v>526.23</x:v>
      </x:c>
      <x:c r="N203" s="109" t="n">
        <x:v>0.07</x:v>
      </x:c>
      <x:c r="O203" s="97" t="n">
        <x:f>ROUND(M203*N203,2)</x:f>
        <x:v>36.84</x:v>
      </x:c>
      <x:c r="P203" s="94" t="str">
        <x:v>已确认</x:v>
      </x:c>
      <x:c r="Q203" s="97" t="n">
        <x:f>IF(P203="已退款",M203,0)</x:f>
        <x:v>0</x:v>
      </x:c>
      <x:c r="R203" s="97" t="n">
        <x:f>IF(P203="已退款",O203,0)</x:f>
        <x:v>0</x:v>
      </x:c>
      <x:c r="S203" s="97" t="n">
        <x:f>O203-R203</x:f>
        <x:v>36.84</x:v>
      </x:c>
      <x:c r="T203" s="94" t="n">
        <x:v>1</x:v>
      </x:c>
      <x:c r="U203" s="94" t="str">
        <x:v>模拟：Amazon Associates订单回传</x:v>
      </x:c>
    </x:row>
    <x:row r="204">
      <x:c r="A204" s="92" t="str">
        <x:v>AMZ-ORD-00203</x:v>
      </x:c>
      <x:c r="B204" s="94" t="str">
        <x:v>PROC-0202</x:v>
      </x:c>
      <x:c r="C204" s="108" t="n">
        <x:v>46060.72152777778</x:v>
      </x:c>
      <x:c r="D204" s="93" t="n">
        <x:v>46059</x:v>
      </x:c>
      <x:c r="E204" s="94" t="str">
        <x:v>Microsoft Ads</x:v>
      </x:c>
      <x:c r="F204" s="94" t="str">
        <x:v>日本</x:v>
      </x:c>
      <x:c r="G204" s="94" t="str">
        <x:v>竞品搜索</x:v>
      </x:c>
      <x:c r="H204" s="94" t="str">
        <x:v>SKU-0032</x:v>
      </x:c>
      <x:c r="I204" s="94" t="str">
        <x:v>美妆个护</x:v>
      </x:c>
      <x:c r="J204" s="94" t="str">
        <x:v>吹风机 B</x:v>
      </x:c>
      <x:c r="K204" s="97" t="n">
        <x:v>159.63</x:v>
      </x:c>
      <x:c r="L204" s="95" t="n">
        <x:v>2</x:v>
      </x:c>
      <x:c r="M204" s="97" t="n">
        <x:f>ROUND(K204*L204,2)</x:f>
        <x:v>319.26</x:v>
      </x:c>
      <x:c r="N204" s="109" t="n">
        <x:v>0.1</x:v>
      </x:c>
      <x:c r="O204" s="97" t="n">
        <x:f>ROUND(M204*N204,2)</x:f>
        <x:v>31.93</x:v>
      </x:c>
      <x:c r="P204" s="94" t="str">
        <x:v>已确认</x:v>
      </x:c>
      <x:c r="Q204" s="97" t="n">
        <x:f>IF(P204="已退款",M204,0)</x:f>
        <x:v>0</x:v>
      </x:c>
      <x:c r="R204" s="97" t="n">
        <x:f>IF(P204="已退款",O204,0)</x:f>
        <x:v>0</x:v>
      </x:c>
      <x:c r="S204" s="97" t="n">
        <x:f>O204-R204</x:f>
        <x:v>31.93</x:v>
      </x:c>
      <x:c r="T204" s="94" t="n">
        <x:v>1</x:v>
      </x:c>
      <x:c r="U204" s="94" t="str">
        <x:v>模拟：Amazon Associates订单回传</x:v>
      </x:c>
    </x:row>
    <x:row r="205">
      <x:c r="A205" s="92" t="str">
        <x:v>AMZ-ORD-00204</x:v>
      </x:c>
      <x:c r="B205" s="94" t="str">
        <x:v>PROC-0203</x:v>
      </x:c>
      <x:c r="C205" s="108" t="n">
        <x:v>46062.75833333333</x:v>
      </x:c>
      <x:c r="D205" s="93" t="n">
        <x:v>46059</x:v>
      </x:c>
      <x:c r="E205" s="94" t="str">
        <x:v>Google Ads</x:v>
      </x:c>
      <x:c r="F205" s="94" t="str">
        <x:v>日本</x:v>
      </x:c>
      <x:c r="G205" s="94" t="str">
        <x:v>购物广告</x:v>
      </x:c>
      <x:c r="H205" s="94" t="str">
        <x:v>SKU-0024</x:v>
      </x:c>
      <x:c r="I205" s="94" t="str">
        <x:v>运动健康</x:v>
      </x:c>
      <x:c r="J205" s="94" t="str">
        <x:v>筋膜枪 D</x:v>
      </x:c>
      <x:c r="K205" s="97" t="n">
        <x:v>150.44</x:v>
      </x:c>
      <x:c r="L205" s="95" t="n">
        <x:v>1</x:v>
      </x:c>
      <x:c r="M205" s="97" t="n">
        <x:f>ROUND(K205*L205,2)</x:f>
        <x:v>150.44</x:v>
      </x:c>
      <x:c r="N205" s="109" t="n">
        <x:v>0.08</x:v>
      </x:c>
      <x:c r="O205" s="97" t="n">
        <x:f>ROUND(M205*N205,2)</x:f>
        <x:v>12.04</x:v>
      </x:c>
      <x:c r="P205" s="94" t="str">
        <x:v>已确认</x:v>
      </x:c>
      <x:c r="Q205" s="97" t="n">
        <x:f>IF(P205="已退款",M205,0)</x:f>
        <x:v>0</x:v>
      </x:c>
      <x:c r="R205" s="97" t="n">
        <x:f>IF(P205="已退款",O205,0)</x:f>
        <x:v>0</x:v>
      </x:c>
      <x:c r="S205" s="97" t="n">
        <x:f>O205-R205</x:f>
        <x:v>12.04</x:v>
      </x:c>
      <x:c r="T205" s="94" t="n">
        <x:v>3</x:v>
      </x:c>
      <x:c r="U205" s="94" t="str">
        <x:v>模拟：Amazon Associates订单回传</x:v>
      </x:c>
    </x:row>
    <x:row r="206">
      <x:c r="A206" s="92" t="str">
        <x:v>AMZ-ORD-00205</x:v>
      </x:c>
      <x:c r="B206" s="94" t="str">
        <x:v>PROC-0204</x:v>
      </x:c>
      <x:c r="C206" s="108" t="n">
        <x:v>46062.70416666667</x:v>
      </x:c>
      <x:c r="D206" s="93" t="n">
        <x:v>46059</x:v>
      </x:c>
      <x:c r="E206" s="94" t="str">
        <x:v>Google Ads</x:v>
      </x:c>
      <x:c r="F206" s="94" t="str">
        <x:v>美国</x:v>
      </x:c>
      <x:c r="G206" s="94" t="str">
        <x:v>通用搜索</x:v>
      </x:c>
      <x:c r="H206" s="94" t="str">
        <x:v>SKU-0024</x:v>
      </x:c>
      <x:c r="I206" s="94" t="str">
        <x:v>运动健康</x:v>
      </x:c>
      <x:c r="J206" s="94" t="str">
        <x:v>筋膜枪 D</x:v>
      </x:c>
      <x:c r="K206" s="97" t="n">
        <x:v>121.74</x:v>
      </x:c>
      <x:c r="L206" s="95" t="n">
        <x:v>1</x:v>
      </x:c>
      <x:c r="M206" s="97" t="n">
        <x:f>ROUND(K206*L206,2)</x:f>
        <x:v>121.74</x:v>
      </x:c>
      <x:c r="N206" s="109" t="n">
        <x:v>0.08</x:v>
      </x:c>
      <x:c r="O206" s="97" t="n">
        <x:f>ROUND(M206*N206,2)</x:f>
        <x:v>9.74</x:v>
      </x:c>
      <x:c r="P206" s="94" t="str">
        <x:v>已确认</x:v>
      </x:c>
      <x:c r="Q206" s="97" t="n">
        <x:f>IF(P206="已退款",M206,0)</x:f>
        <x:v>0</x:v>
      </x:c>
      <x:c r="R206" s="97" t="n">
        <x:f>IF(P206="已退款",O206,0)</x:f>
        <x:v>0</x:v>
      </x:c>
      <x:c r="S206" s="97" t="n">
        <x:f>O206-R206</x:f>
        <x:v>9.74</x:v>
      </x:c>
      <x:c r="T206" s="94" t="n">
        <x:v>3</x:v>
      </x:c>
      <x:c r="U206" s="94" t="str">
        <x:v>模拟：Amazon Associates订单回传</x:v>
      </x:c>
    </x:row>
    <x:row r="207">
      <x:c r="A207" s="92" t="str">
        <x:v>AMZ-ORD-00206</x:v>
      </x:c>
      <x:c r="B207" s="94" t="str">
        <x:v>PROC-0205</x:v>
      </x:c>
      <x:c r="C207" s="108" t="n">
        <x:v>46063.535416666666</x:v>
      </x:c>
      <x:c r="D207" s="93" t="n">
        <x:v>46059</x:v>
      </x:c>
      <x:c r="E207" s="94" t="str">
        <x:v>Google Ads</x:v>
      </x:c>
      <x:c r="F207" s="94" t="str">
        <x:v>美国</x:v>
      </x:c>
      <x:c r="G207" s="94" t="str">
        <x:v>购物广告</x:v>
      </x:c>
      <x:c r="H207" s="94" t="str">
        <x:v>SKU-0002</x:v>
      </x:c>
      <x:c r="I207" s="94" t="str">
        <x:v>电子产品</x:v>
      </x:c>
      <x:c r="J207" s="94" t="str">
        <x:v>便携显示器 B</x:v>
      </x:c>
      <x:c r="K207" s="97" t="n">
        <x:v>524.27</x:v>
      </x:c>
      <x:c r="L207" s="95" t="n">
        <x:v>2</x:v>
      </x:c>
      <x:c r="M207" s="97" t="n">
        <x:f>ROUND(K207*L207,2)</x:f>
        <x:v>1048.54</x:v>
      </x:c>
      <x:c r="N207" s="109" t="n">
        <x:v>0.05</x:v>
      </x:c>
      <x:c r="O207" s="97" t="n">
        <x:f>ROUND(M207*N207,2)</x:f>
        <x:v>52.43</x:v>
      </x:c>
      <x:c r="P207" s="94" t="str">
        <x:v>已确认</x:v>
      </x:c>
      <x:c r="Q207" s="97" t="n">
        <x:f>IF(P207="已退款",M207,0)</x:f>
        <x:v>0</x:v>
      </x:c>
      <x:c r="R207" s="97" t="n">
        <x:f>IF(P207="已退款",O207,0)</x:f>
        <x:v>0</x:v>
      </x:c>
      <x:c r="S207" s="97" t="n">
        <x:f>O207-R207</x:f>
        <x:v>52.43</x:v>
      </x:c>
      <x:c r="T207" s="94" t="n">
        <x:v>4</x:v>
      </x:c>
      <x:c r="U207" s="94" t="str">
        <x:v>模拟：Amazon Associates订单回传</x:v>
      </x:c>
    </x:row>
    <x:row r="208">
      <x:c r="A208" s="92" t="str">
        <x:v>AMZ-ORD-00207</x:v>
      </x:c>
      <x:c r="B208" s="94" t="str">
        <x:v>PROC-0206</x:v>
      </x:c>
      <x:c r="C208" s="108" t="n">
        <x:v>46060.35972222222</x:v>
      </x:c>
      <x:c r="D208" s="93" t="n">
        <x:v>46060</x:v>
      </x:c>
      <x:c r="E208" s="94" t="str">
        <x:v>Microsoft Ads</x:v>
      </x:c>
      <x:c r="F208" s="94" t="str">
        <x:v>德国</x:v>
      </x:c>
      <x:c r="G208" s="94" t="str">
        <x:v>购物广告</x:v>
      </x:c>
      <x:c r="H208" s="94" t="str">
        <x:v>SKU-0009</x:v>
      </x:c>
      <x:c r="I208" s="94" t="str">
        <x:v>电子产品</x:v>
      </x:c>
      <x:c r="J208" s="94" t="str">
        <x:v>电子阅读器 I</x:v>
      </x:c>
      <x:c r="K208" s="97" t="n">
        <x:v>329.37</x:v>
      </x:c>
      <x:c r="L208" s="95" t="n">
        <x:v>1</x:v>
      </x:c>
      <x:c r="M208" s="97" t="n">
        <x:f>ROUND(K208*L208,2)</x:f>
        <x:v>329.37</x:v>
      </x:c>
      <x:c r="N208" s="109" t="n">
        <x:v>0.05</x:v>
      </x:c>
      <x:c r="O208" s="97" t="n">
        <x:f>ROUND(M208*N208,2)</x:f>
        <x:v>16.47</x:v>
      </x:c>
      <x:c r="P208" s="94" t="str">
        <x:v>已确认</x:v>
      </x:c>
      <x:c r="Q208" s="97" t="n">
        <x:f>IF(P208="已退款",M208,0)</x:f>
        <x:v>0</x:v>
      </x:c>
      <x:c r="R208" s="97" t="n">
        <x:f>IF(P208="已退款",O208,0)</x:f>
        <x:v>0</x:v>
      </x:c>
      <x:c r="S208" s="97" t="n">
        <x:f>O208-R208</x:f>
        <x:v>16.47</x:v>
      </x:c>
      <x:c r="T208" s="94" t="n">
        <x:v>0</x:v>
      </x:c>
      <x:c r="U208" s="94" t="str">
        <x:v>模拟：Amazon Associates订单回传</x:v>
      </x:c>
    </x:row>
    <x:row r="209">
      <x:c r="A209" s="92" t="str">
        <x:v>AMZ-ORD-00208</x:v>
      </x:c>
      <x:c r="B209" s="94" t="str">
        <x:v>PROC-0206</x:v>
      </x:c>
      <x:c r="C209" s="108" t="n">
        <x:v>46064.52916666667</x:v>
      </x:c>
      <x:c r="D209" s="93" t="n">
        <x:v>46060</x:v>
      </x:c>
      <x:c r="E209" s="94" t="str">
        <x:v>Microsoft Ads</x:v>
      </x:c>
      <x:c r="F209" s="94" t="str">
        <x:v>德国</x:v>
      </x:c>
      <x:c r="G209" s="94" t="str">
        <x:v>购物广告</x:v>
      </x:c>
      <x:c r="H209" s="94" t="str">
        <x:v>SKU-0018</x:v>
      </x:c>
      <x:c r="I209" s="94" t="str">
        <x:v>家居生活</x:v>
      </x:c>
      <x:c r="J209" s="94" t="str">
        <x:v>收纳组合 H</x:v>
      </x:c>
      <x:c r="K209" s="97" t="n">
        <x:v>344.87</x:v>
      </x:c>
      <x:c r="L209" s="95" t="n">
        <x:v>1</x:v>
      </x:c>
      <x:c r="M209" s="97" t="n">
        <x:f>ROUND(K209*L209,2)</x:f>
        <x:v>344.87</x:v>
      </x:c>
      <x:c r="N209" s="109" t="n">
        <x:v>0.07</x:v>
      </x:c>
      <x:c r="O209" s="97" t="n">
        <x:f>ROUND(M209*N209,2)</x:f>
        <x:v>24.14</x:v>
      </x:c>
      <x:c r="P209" s="94" t="str">
        <x:v>已确认</x:v>
      </x:c>
      <x:c r="Q209" s="97" t="n">
        <x:f>IF(P209="已退款",M209,0)</x:f>
        <x:v>0</x:v>
      </x:c>
      <x:c r="R209" s="97" t="n">
        <x:f>IF(P209="已退款",O209,0)</x:f>
        <x:v>0</x:v>
      </x:c>
      <x:c r="S209" s="97" t="n">
        <x:f>O209-R209</x:f>
        <x:v>24.14</x:v>
      </x:c>
      <x:c r="T209" s="94" t="n">
        <x:v>4</x:v>
      </x:c>
      <x:c r="U209" s="94" t="str">
        <x:v>模拟：Amazon Associates订单回传</x:v>
      </x:c>
    </x:row>
    <x:row r="210">
      <x:c r="A210" s="92" t="str">
        <x:v>AMZ-ORD-00209</x:v>
      </x:c>
      <x:c r="B210" s="94" t="str">
        <x:v>PROC-0208</x:v>
      </x:c>
      <x:c r="C210" s="108" t="n">
        <x:v>46060.46805555555</x:v>
      </x:c>
      <x:c r="D210" s="93" t="n">
        <x:v>46060</x:v>
      </x:c>
      <x:c r="E210" s="94" t="str">
        <x:v>Google Ads</x:v>
      </x:c>
      <x:c r="F210" s="94" t="str">
        <x:v>德国</x:v>
      </x:c>
      <x:c r="G210" s="94" t="str">
        <x:v>通用搜索</x:v>
      </x:c>
      <x:c r="H210" s="94" t="str">
        <x:v>SKU-0045</x:v>
      </x:c>
      <x:c r="I210" s="94" t="str">
        <x:v>办公学习</x:v>
      </x:c>
      <x:c r="J210" s="94" t="str">
        <x:v>办公收纳 E</x:v>
      </x:c>
      <x:c r="K210" s="97" t="n">
        <x:v>208.02</x:v>
      </x:c>
      <x:c r="L210" s="95" t="n">
        <x:v>1</x:v>
      </x:c>
      <x:c r="M210" s="97" t="n">
        <x:f>ROUND(K210*L210,2)</x:f>
        <x:v>208.02</x:v>
      </x:c>
      <x:c r="N210" s="109" t="n">
        <x:v>0.07</x:v>
      </x:c>
      <x:c r="O210" s="97" t="n">
        <x:f>ROUND(M210*N210,2)</x:f>
        <x:v>14.56</x:v>
      </x:c>
      <x:c r="P210" s="94" t="str">
        <x:v>已确认</x:v>
      </x:c>
      <x:c r="Q210" s="97" t="n">
        <x:f>IF(P210="已退款",M210,0)</x:f>
        <x:v>0</x:v>
      </x:c>
      <x:c r="R210" s="97" t="n">
        <x:f>IF(P210="已退款",O210,0)</x:f>
        <x:v>0</x:v>
      </x:c>
      <x:c r="S210" s="97" t="n">
        <x:f>O210-R210</x:f>
        <x:v>14.56</x:v>
      </x:c>
      <x:c r="T210" s="94" t="n">
        <x:v>0</x:v>
      </x:c>
      <x:c r="U210" s="94" t="str">
        <x:v>模拟：Amazon Associates订单回传</x:v>
      </x:c>
    </x:row>
    <x:row r="211">
      <x:c r="A211" s="92" t="str">
        <x:v>AMZ-ORD-00210</x:v>
      </x:c>
      <x:c r="B211" s="94" t="str">
        <x:v>PROC-0210</x:v>
      </x:c>
      <x:c r="C211" s="108" t="n">
        <x:v>46062.373611111114</x:v>
      </x:c>
      <x:c r="D211" s="93" t="n">
        <x:v>46060</x:v>
      </x:c>
      <x:c r="E211" s="94" t="str">
        <x:v>Google Ads</x:v>
      </x:c>
      <x:c r="F211" s="94" t="str">
        <x:v>美国</x:v>
      </x:c>
      <x:c r="G211" s="94" t="str">
        <x:v>品牌搜索</x:v>
      </x:c>
      <x:c r="H211" s="94" t="str">
        <x:v>SKU-0016</x:v>
      </x:c>
      <x:c r="I211" s="94" t="str">
        <x:v>家居生活</x:v>
      </x:c>
      <x:c r="J211" s="94" t="str">
        <x:v>厨师机 F</x:v>
      </x:c>
      <x:c r="K211" s="97" t="n">
        <x:v>175.48</x:v>
      </x:c>
      <x:c r="L211" s="95" t="n">
        <x:v>1</x:v>
      </x:c>
      <x:c r="M211" s="97" t="n">
        <x:f>ROUND(K211*L211,2)</x:f>
        <x:v>175.48</x:v>
      </x:c>
      <x:c r="N211" s="109" t="n">
        <x:v>0.07</x:v>
      </x:c>
      <x:c r="O211" s="97" t="n">
        <x:f>ROUND(M211*N211,2)</x:f>
        <x:v>12.28</x:v>
      </x:c>
      <x:c r="P211" s="94" t="str">
        <x:v>已确认</x:v>
      </x:c>
      <x:c r="Q211" s="97" t="n">
        <x:f>IF(P211="已退款",M211,0)</x:f>
        <x:v>0</x:v>
      </x:c>
      <x:c r="R211" s="97" t="n">
        <x:f>IF(P211="已退款",O211,0)</x:f>
        <x:v>0</x:v>
      </x:c>
      <x:c r="S211" s="97" t="n">
        <x:f>O211-R211</x:f>
        <x:v>12.28</x:v>
      </x:c>
      <x:c r="T211" s="94" t="n">
        <x:v>2</x:v>
      </x:c>
      <x:c r="U211" s="94" t="str">
        <x:v>模拟：Amazon Associates订单回传</x:v>
      </x:c>
    </x:row>
    <x:row r="212">
      <x:c r="A212" s="92" t="str">
        <x:v>AMZ-ORD-00211</x:v>
      </x:c>
      <x:c r="B212" s="94" t="str">
        <x:v>PROC-0210</x:v>
      </x:c>
      <x:c r="C212" s="108" t="n">
        <x:v>46061.836805555555</x:v>
      </x:c>
      <x:c r="D212" s="93" t="n">
        <x:v>46060</x:v>
      </x:c>
      <x:c r="E212" s="94" t="str">
        <x:v>Google Ads</x:v>
      </x:c>
      <x:c r="F212" s="94" t="str">
        <x:v>美国</x:v>
      </x:c>
      <x:c r="G212" s="94" t="str">
        <x:v>品牌搜索</x:v>
      </x:c>
      <x:c r="H212" s="94" t="str">
        <x:v>SKU-0038</x:v>
      </x:c>
      <x:c r="I212" s="94" t="str">
        <x:v>美妆个护</x:v>
      </x:c>
      <x:c r="J212" s="94" t="str">
        <x:v>卷发棒 H</x:v>
      </x:c>
      <x:c r="K212" s="97" t="n">
        <x:v>107.85</x:v>
      </x:c>
      <x:c r="L212" s="95" t="n">
        <x:v>1</x:v>
      </x:c>
      <x:c r="M212" s="97" t="n">
        <x:f>ROUND(K212*L212,2)</x:f>
        <x:v>107.85</x:v>
      </x:c>
      <x:c r="N212" s="109" t="n">
        <x:v>0.1</x:v>
      </x:c>
      <x:c r="O212" s="97" t="n">
        <x:f>ROUND(M212*N212,2)</x:f>
        <x:v>10.79</x:v>
      </x:c>
      <x:c r="P212" s="94" t="str">
        <x:v>已确认</x:v>
      </x:c>
      <x:c r="Q212" s="97" t="n">
        <x:f>IF(P212="已退款",M212,0)</x:f>
        <x:v>0</x:v>
      </x:c>
      <x:c r="R212" s="97" t="n">
        <x:f>IF(P212="已退款",O212,0)</x:f>
        <x:v>0</x:v>
      </x:c>
      <x:c r="S212" s="97" t="n">
        <x:f>O212-R212</x:f>
        <x:v>10.79</x:v>
      </x:c>
      <x:c r="T212" s="94" t="n">
        <x:v>1</x:v>
      </x:c>
      <x:c r="U212" s="94" t="str">
        <x:v>模拟：Amazon Associates订单回传</x:v>
      </x:c>
    </x:row>
    <x:row r="213">
      <x:c r="A213" s="92" t="str">
        <x:v>AMZ-ORD-00212</x:v>
      </x:c>
      <x:c r="B213" s="94" t="str">
        <x:v>PROC-0212</x:v>
      </x:c>
      <x:c r="C213" s="108" t="n">
        <x:v>46061.438888888886</x:v>
      </x:c>
      <x:c r="D213" s="93" t="n">
        <x:v>46061</x:v>
      </x:c>
      <x:c r="E213" s="94" t="str">
        <x:v>Google Ads</x:v>
      </x:c>
      <x:c r="F213" s="94" t="str">
        <x:v>德国</x:v>
      </x:c>
      <x:c r="G213" s="94" t="str">
        <x:v>购物广告</x:v>
      </x:c>
      <x:c r="H213" s="94" t="str">
        <x:v>SKU-0038</x:v>
      </x:c>
      <x:c r="I213" s="94" t="str">
        <x:v>美妆个护</x:v>
      </x:c>
      <x:c r="J213" s="94" t="str">
        <x:v>卷发棒 H</x:v>
      </x:c>
      <x:c r="K213" s="97" t="n">
        <x:v>151.88</x:v>
      </x:c>
      <x:c r="L213" s="95" t="n">
        <x:v>1</x:v>
      </x:c>
      <x:c r="M213" s="97" t="n">
        <x:f>ROUND(K213*L213,2)</x:f>
        <x:v>151.88</x:v>
      </x:c>
      <x:c r="N213" s="109" t="n">
        <x:v>0.1</x:v>
      </x:c>
      <x:c r="O213" s="97" t="n">
        <x:f>ROUND(M213*N213,2)</x:f>
        <x:v>15.19</x:v>
      </x:c>
      <x:c r="P213" s="94" t="str">
        <x:v>已确认</x:v>
      </x:c>
      <x:c r="Q213" s="97" t="n">
        <x:f>IF(P213="已退款",M213,0)</x:f>
        <x:v>0</x:v>
      </x:c>
      <x:c r="R213" s="97" t="n">
        <x:f>IF(P213="已退款",O213,0)</x:f>
        <x:v>0</x:v>
      </x:c>
      <x:c r="S213" s="97" t="n">
        <x:f>O213-R213</x:f>
        <x:v>15.19</x:v>
      </x:c>
      <x:c r="T213" s="94" t="n">
        <x:v>0</x:v>
      </x:c>
      <x:c r="U213" s="94" t="str">
        <x:v>模拟：Amazon Associates订单回传</x:v>
      </x:c>
    </x:row>
    <x:row r="214">
      <x:c r="A214" s="92" t="str">
        <x:v>AMZ-ORD-00213</x:v>
      </x:c>
      <x:c r="B214" s="94" t="str">
        <x:v>PROC-0213</x:v>
      </x:c>
      <x:c r="C214" s="108" t="n">
        <x:v>46063.629166666666</x:v>
      </x:c>
      <x:c r="D214" s="93" t="n">
        <x:v>46061</x:v>
      </x:c>
      <x:c r="E214" s="94" t="str">
        <x:v>Google Ads</x:v>
      </x:c>
      <x:c r="F214" s="94" t="str">
        <x:v>英国</x:v>
      </x:c>
      <x:c r="G214" s="94" t="str">
        <x:v>通用搜索</x:v>
      </x:c>
      <x:c r="H214" s="94" t="str">
        <x:v>SKU-0021</x:v>
      </x:c>
      <x:c r="I214" s="94" t="str">
        <x:v>运动健康</x:v>
      </x:c>
      <x:c r="J214" s="94" t="str">
        <x:v>智能手表 A</x:v>
      </x:c>
      <x:c r="K214" s="97" t="n">
        <x:v>147.55</x:v>
      </x:c>
      <x:c r="L214" s="95" t="n">
        <x:v>1</x:v>
      </x:c>
      <x:c r="M214" s="97" t="n">
        <x:f>ROUND(K214*L214,2)</x:f>
        <x:v>147.55</x:v>
      </x:c>
      <x:c r="N214" s="109" t="n">
        <x:v>0.08</x:v>
      </x:c>
      <x:c r="O214" s="97" t="n">
        <x:f>ROUND(M214*N214,2)</x:f>
        <x:v>11.8</x:v>
      </x:c>
      <x:c r="P214" s="94" t="str">
        <x:v>已确认</x:v>
      </x:c>
      <x:c r="Q214" s="97" t="n">
        <x:f>IF(P214="已退款",M214,0)</x:f>
        <x:v>0</x:v>
      </x:c>
      <x:c r="R214" s="97" t="n">
        <x:f>IF(P214="已退款",O214,0)</x:f>
        <x:v>0</x:v>
      </x:c>
      <x:c r="S214" s="97" t="n">
        <x:f>O214-R214</x:f>
        <x:v>11.8</x:v>
      </x:c>
      <x:c r="T214" s="94" t="n">
        <x:v>2</x:v>
      </x:c>
      <x:c r="U214" s="94" t="str">
        <x:v>模拟：Amazon Associates订单回传</x:v>
      </x:c>
    </x:row>
    <x:row r="215">
      <x:c r="A215" s="92" t="str">
        <x:v>AMZ-ORD-00214</x:v>
      </x:c>
      <x:c r="B215" s="94" t="str">
        <x:v>PROC-0214</x:v>
      </x:c>
      <x:c r="C215" s="108" t="n">
        <x:v>46061.402083333334</x:v>
      </x:c>
      <x:c r="D215" s="93" t="n">
        <x:v>46061</x:v>
      </x:c>
      <x:c r="E215" s="94" t="str">
        <x:v>Google Ads</x:v>
      </x:c>
      <x:c r="F215" s="94" t="str">
        <x:v>美国</x:v>
      </x:c>
      <x:c r="G215" s="94" t="str">
        <x:v>通用搜索</x:v>
      </x:c>
      <x:c r="H215" s="94" t="str">
        <x:v>SKU-0013</x:v>
      </x:c>
      <x:c r="I215" s="94" t="str">
        <x:v>家居生活</x:v>
      </x:c>
      <x:c r="J215" s="94" t="str">
        <x:v>人体工学椅 C</x:v>
      </x:c>
      <x:c r="K215" s="97" t="n">
        <x:v>332.45</x:v>
      </x:c>
      <x:c r="L215" s="95" t="n">
        <x:v>1</x:v>
      </x:c>
      <x:c r="M215" s="97" t="n">
        <x:f>ROUND(K215*L215,2)</x:f>
        <x:v>332.45</x:v>
      </x:c>
      <x:c r="N215" s="109" t="n">
        <x:v>0.07</x:v>
      </x:c>
      <x:c r="O215" s="97" t="n">
        <x:f>ROUND(M215*N215,2)</x:f>
        <x:v>23.27</x:v>
      </x:c>
      <x:c r="P215" s="94" t="str">
        <x:v>已确认</x:v>
      </x:c>
      <x:c r="Q215" s="97" t="n">
        <x:f>IF(P215="已退款",M215,0)</x:f>
        <x:v>0</x:v>
      </x:c>
      <x:c r="R215" s="97" t="n">
        <x:f>IF(P215="已退款",O215,0)</x:f>
        <x:v>0</x:v>
      </x:c>
      <x:c r="S215" s="97" t="n">
        <x:f>O215-R215</x:f>
        <x:v>23.27</x:v>
      </x:c>
      <x:c r="T215" s="94" t="n">
        <x:v>0</x:v>
      </x:c>
      <x:c r="U215" s="94" t="str">
        <x:v>模拟：Amazon Associates订单回传</x:v>
      </x:c>
    </x:row>
    <x:row r="216">
      <x:c r="A216" s="92" t="str">
        <x:v>AMZ-ORD-00215</x:v>
      </x:c>
      <x:c r="B216" s="94" t="str">
        <x:v>PROC-0215</x:v>
      </x:c>
      <x:c r="C216" s="108" t="n">
        <x:v>46063.85972222222</x:v>
      </x:c>
      <x:c r="D216" s="93" t="n">
        <x:v>46061</x:v>
      </x:c>
      <x:c r="E216" s="94" t="str">
        <x:v>Microsoft Ads</x:v>
      </x:c>
      <x:c r="F216" s="94" t="str">
        <x:v>英国</x:v>
      </x:c>
      <x:c r="G216" s="94" t="str">
        <x:v>通用搜索</x:v>
      </x:c>
      <x:c r="H216" s="94" t="str">
        <x:v>SKU-0013</x:v>
      </x:c>
      <x:c r="I216" s="94" t="str">
        <x:v>家居生活</x:v>
      </x:c>
      <x:c r="J216" s="94" t="str">
        <x:v>人体工学椅 C</x:v>
      </x:c>
      <x:c r="K216" s="97" t="n">
        <x:v>282.42</x:v>
      </x:c>
      <x:c r="L216" s="95" t="n">
        <x:v>2</x:v>
      </x:c>
      <x:c r="M216" s="97" t="n">
        <x:f>ROUND(K216*L216,2)</x:f>
        <x:v>564.84</x:v>
      </x:c>
      <x:c r="N216" s="109" t="n">
        <x:v>0.07</x:v>
      </x:c>
      <x:c r="O216" s="97" t="n">
        <x:f>ROUND(M216*N216,2)</x:f>
        <x:v>39.54</x:v>
      </x:c>
      <x:c r="P216" s="94" t="str">
        <x:v>已确认</x:v>
      </x:c>
      <x:c r="Q216" s="97" t="n">
        <x:f>IF(P216="已退款",M216,0)</x:f>
        <x:v>0</x:v>
      </x:c>
      <x:c r="R216" s="97" t="n">
        <x:f>IF(P216="已退款",O216,0)</x:f>
        <x:v>0</x:v>
      </x:c>
      <x:c r="S216" s="97" t="n">
        <x:f>O216-R216</x:f>
        <x:v>39.54</x:v>
      </x:c>
      <x:c r="T216" s="94" t="n">
        <x:v>2</x:v>
      </x:c>
      <x:c r="U216" s="94" t="str">
        <x:v>模拟：Amazon Associates订单回传</x:v>
      </x:c>
    </x:row>
    <x:row r="217">
      <x:c r="A217" s="92" t="str">
        <x:v>AMZ-ORD-00216</x:v>
      </x:c>
      <x:c r="B217" s="94" t="str">
        <x:v>PROC-0216</x:v>
      </x:c>
      <x:c r="C217" s="108" t="n">
        <x:v>46064.80347222222</x:v>
      </x:c>
      <x:c r="D217" s="93" t="n">
        <x:v>46061</x:v>
      </x:c>
      <x:c r="E217" s="94" t="str">
        <x:v>Microsoft Ads</x:v>
      </x:c>
      <x:c r="F217" s="94" t="str">
        <x:v>美国</x:v>
      </x:c>
      <x:c r="G217" s="94" t="str">
        <x:v>竞品搜索</x:v>
      </x:c>
      <x:c r="H217" s="94" t="str">
        <x:v>SKU-0049</x:v>
      </x:c>
      <x:c r="I217" s="94" t="str">
        <x:v>办公学习</x:v>
      </x:c>
      <x:c r="J217" s="94" t="str">
        <x:v>移动白板 I</x:v>
      </x:c>
      <x:c r="K217" s="97" t="n">
        <x:v>110.96</x:v>
      </x:c>
      <x:c r="L217" s="95" t="n">
        <x:v>1</x:v>
      </x:c>
      <x:c r="M217" s="97" t="n">
        <x:f>ROUND(K217*L217,2)</x:f>
        <x:v>110.96</x:v>
      </x:c>
      <x:c r="N217" s="109" t="n">
        <x:v>0.07</x:v>
      </x:c>
      <x:c r="O217" s="97" t="n">
        <x:f>ROUND(M217*N217,2)</x:f>
        <x:v>7.77</x:v>
      </x:c>
      <x:c r="P217" s="94" t="str">
        <x:v>已确认</x:v>
      </x:c>
      <x:c r="Q217" s="97" t="n">
        <x:f>IF(P217="已退款",M217,0)</x:f>
        <x:v>0</x:v>
      </x:c>
      <x:c r="R217" s="97" t="n">
        <x:f>IF(P217="已退款",O217,0)</x:f>
        <x:v>0</x:v>
      </x:c>
      <x:c r="S217" s="97" t="n">
        <x:f>O217-R217</x:f>
        <x:v>7.77</x:v>
      </x:c>
      <x:c r="T217" s="94" t="n">
        <x:v>3</x:v>
      </x:c>
      <x:c r="U217" s="94" t="str">
        <x:v>模拟：Amazon Associates订单回传</x:v>
      </x:c>
    </x:row>
    <x:row r="218">
      <x:c r="A218" s="92" t="str">
        <x:v>AMZ-ORD-00217</x:v>
      </x:c>
      <x:c r="B218" s="94" t="str">
        <x:v>PROC-0217</x:v>
      </x:c>
      <x:c r="C218" s="108" t="n">
        <x:v>46064.79305555556</x:v>
      </x:c>
      <x:c r="D218" s="93" t="n">
        <x:v>46062</x:v>
      </x:c>
      <x:c r="E218" s="94" t="str">
        <x:v>Microsoft Ads</x:v>
      </x:c>
      <x:c r="F218" s="94" t="str">
        <x:v>日本</x:v>
      </x:c>
      <x:c r="G218" s="94" t="str">
        <x:v>品牌搜索</x:v>
      </x:c>
      <x:c r="H218" s="94" t="str">
        <x:v>SKU-0020</x:v>
      </x:c>
      <x:c r="I218" s="94" t="str">
        <x:v>家居生活</x:v>
      </x:c>
      <x:c r="J218" s="94" t="str">
        <x:v>智能门锁 J</x:v>
      </x:c>
      <x:c r="K218" s="97" t="n">
        <x:v>252.16</x:v>
      </x:c>
      <x:c r="L218" s="95" t="n">
        <x:v>1</x:v>
      </x:c>
      <x:c r="M218" s="97" t="n">
        <x:f>ROUND(K218*L218,2)</x:f>
        <x:v>252.16</x:v>
      </x:c>
      <x:c r="N218" s="109" t="n">
        <x:v>0.07</x:v>
      </x:c>
      <x:c r="O218" s="97" t="n">
        <x:f>ROUND(M218*N218,2)</x:f>
        <x:v>17.65</x:v>
      </x:c>
      <x:c r="P218" s="94" t="str">
        <x:v>已确认</x:v>
      </x:c>
      <x:c r="Q218" s="97" t="n">
        <x:f>IF(P218="已退款",M218,0)</x:f>
        <x:v>0</x:v>
      </x:c>
      <x:c r="R218" s="97" t="n">
        <x:f>IF(P218="已退款",O218,0)</x:f>
        <x:v>0</x:v>
      </x:c>
      <x:c r="S218" s="97" t="n">
        <x:f>O218-R218</x:f>
        <x:v>17.65</x:v>
      </x:c>
      <x:c r="T218" s="94" t="n">
        <x:v>2</x:v>
      </x:c>
      <x:c r="U218" s="94" t="str">
        <x:v>模拟：Amazon Associates订单回传</x:v>
      </x:c>
    </x:row>
    <x:row r="219">
      <x:c r="A219" s="92" t="str">
        <x:v>AMZ-ORD-00218</x:v>
      </x:c>
      <x:c r="B219" s="94" t="str">
        <x:v>PROC-0217</x:v>
      </x:c>
      <x:c r="C219" s="108" t="n">
        <x:v>46066.615277777775</x:v>
      </x:c>
      <x:c r="D219" s="93" t="n">
        <x:v>46062</x:v>
      </x:c>
      <x:c r="E219" s="94" t="str">
        <x:v>Microsoft Ads</x:v>
      </x:c>
      <x:c r="F219" s="94" t="str">
        <x:v>日本</x:v>
      </x:c>
      <x:c r="G219" s="94" t="str">
        <x:v>品牌搜索</x:v>
      </x:c>
      <x:c r="H219" s="94" t="str">
        <x:v>SKU-0042</x:v>
      </x:c>
      <x:c r="I219" s="94" t="str">
        <x:v>办公学习</x:v>
      </x:c>
      <x:c r="J219" s="94" t="str">
        <x:v>护眼台灯 B</x:v>
      </x:c>
      <x:c r="K219" s="97" t="n">
        <x:v>170.27</x:v>
      </x:c>
      <x:c r="L219" s="95" t="n">
        <x:v>1</x:v>
      </x:c>
      <x:c r="M219" s="97" t="n">
        <x:f>ROUND(K219*L219,2)</x:f>
        <x:v>170.27</x:v>
      </x:c>
      <x:c r="N219" s="109" t="n">
        <x:v>0.07</x:v>
      </x:c>
      <x:c r="O219" s="97" t="n">
        <x:f>ROUND(M219*N219,2)</x:f>
        <x:v>11.92</x:v>
      </x:c>
      <x:c r="P219" s="94" t="str">
        <x:v>已确认</x:v>
      </x:c>
      <x:c r="Q219" s="97" t="n">
        <x:f>IF(P219="已退款",M219,0)</x:f>
        <x:v>0</x:v>
      </x:c>
      <x:c r="R219" s="97" t="n">
        <x:f>IF(P219="已退款",O219,0)</x:f>
        <x:v>0</x:v>
      </x:c>
      <x:c r="S219" s="97" t="n">
        <x:f>O219-R219</x:f>
        <x:v>11.92</x:v>
      </x:c>
      <x:c r="T219" s="94" t="n">
        <x:v>4</x:v>
      </x:c>
      <x:c r="U219" s="94" t="str">
        <x:v>模拟：Amazon Associates订单回传</x:v>
      </x:c>
    </x:row>
    <x:row r="220">
      <x:c r="A220" s="92" t="str">
        <x:v>AMZ-ORD-00219</x:v>
      </x:c>
      <x:c r="B220" s="94" t="str">
        <x:v>PROC-0218</x:v>
      </x:c>
      <x:c r="C220" s="108" t="n">
        <x:v>46066.71666666667</x:v>
      </x:c>
      <x:c r="D220" s="93" t="n">
        <x:v>46062</x:v>
      </x:c>
      <x:c r="E220" s="94" t="str">
        <x:v>Google Ads</x:v>
      </x:c>
      <x:c r="F220" s="94" t="str">
        <x:v>英国</x:v>
      </x:c>
      <x:c r="G220" s="94" t="str">
        <x:v>品牌搜索</x:v>
      </x:c>
      <x:c r="H220" s="94" t="str">
        <x:v>SKU-0027</x:v>
      </x:c>
      <x:c r="I220" s="94" t="str">
        <x:v>运动健康</x:v>
      </x:c>
      <x:c r="J220" s="94" t="str">
        <x:v>户外背包 G</x:v>
      </x:c>
      <x:c r="K220" s="97" t="n">
        <x:v>90.52</x:v>
      </x:c>
      <x:c r="L220" s="95" t="n">
        <x:v>1</x:v>
      </x:c>
      <x:c r="M220" s="97" t="n">
        <x:f>ROUND(K220*L220,2)</x:f>
        <x:v>90.52</x:v>
      </x:c>
      <x:c r="N220" s="109" t="n">
        <x:v>0.08</x:v>
      </x:c>
      <x:c r="O220" s="97" t="n">
        <x:f>ROUND(M220*N220,2)</x:f>
        <x:v>7.24</x:v>
      </x:c>
      <x:c r="P220" s="94" t="str">
        <x:v>已退款</x:v>
      </x:c>
      <x:c r="Q220" s="97" t="n">
        <x:f>IF(P220="已退款",M220,0)</x:f>
        <x:v>90.52</x:v>
      </x:c>
      <x:c r="R220" s="97" t="n">
        <x:f>IF(P220="已退款",O220,0)</x:f>
        <x:v>7.24</x:v>
      </x:c>
      <x:c r="S220" s="97" t="n">
        <x:f>O220-R220</x:f>
        <x:v>0</x:v>
      </x:c>
      <x:c r="T220" s="94" t="n">
        <x:v>4</x:v>
      </x:c>
      <x:c r="U220" s="94" t="str">
        <x:v>模拟：Amazon Associates订单回传</x:v>
      </x:c>
    </x:row>
    <x:row r="221">
      <x:c r="A221" s="92" t="str">
        <x:v>AMZ-ORD-00220</x:v>
      </x:c>
      <x:c r="B221" s="94" t="str">
        <x:v>PROC-0219</x:v>
      </x:c>
      <x:c r="C221" s="108" t="n">
        <x:v>46065.89097222222</x:v>
      </x:c>
      <x:c r="D221" s="93" t="n">
        <x:v>46062</x:v>
      </x:c>
      <x:c r="E221" s="94" t="str">
        <x:v>Google Ads</x:v>
      </x:c>
      <x:c r="F221" s="94" t="str">
        <x:v>美国</x:v>
      </x:c>
      <x:c r="G221" s="94" t="str">
        <x:v>购物广告</x:v>
      </x:c>
      <x:c r="H221" s="94" t="str">
        <x:v>SKU-0012</x:v>
      </x:c>
      <x:c r="I221" s="94" t="str">
        <x:v>家居生活</x:v>
      </x:c>
      <x:c r="J221" s="94" t="str">
        <x:v>咖啡机 B</x:v>
      </x:c>
      <x:c r="K221" s="97" t="n">
        <x:v>134.81</x:v>
      </x:c>
      <x:c r="L221" s="95" t="n">
        <x:v>3</x:v>
      </x:c>
      <x:c r="M221" s="97" t="n">
        <x:f>ROUND(K221*L221,2)</x:f>
        <x:v>404.43</x:v>
      </x:c>
      <x:c r="N221" s="109" t="n">
        <x:v>0.07</x:v>
      </x:c>
      <x:c r="O221" s="97" t="n">
        <x:f>ROUND(M221*N221,2)</x:f>
        <x:v>28.31</x:v>
      </x:c>
      <x:c r="P221" s="94" t="str">
        <x:v>已确认</x:v>
      </x:c>
      <x:c r="Q221" s="97" t="n">
        <x:f>IF(P221="已退款",M221,0)</x:f>
        <x:v>0</x:v>
      </x:c>
      <x:c r="R221" s="97" t="n">
        <x:f>IF(P221="已退款",O221,0)</x:f>
        <x:v>0</x:v>
      </x:c>
      <x:c r="S221" s="97" t="n">
        <x:f>O221-R221</x:f>
        <x:v>28.31</x:v>
      </x:c>
      <x:c r="T221" s="94" t="n">
        <x:v>3</x:v>
      </x:c>
      <x:c r="U221" s="94" t="str">
        <x:v>模拟：Amazon Associates订单回传</x:v>
      </x:c>
    </x:row>
    <x:row r="222">
      <x:c r="A222" s="92" t="str">
        <x:v>AMZ-ORD-00221</x:v>
      </x:c>
      <x:c r="B222" s="94" t="str">
        <x:v>PROC-0220</x:v>
      </x:c>
      <x:c r="C222" s="108" t="n">
        <x:v>46066.69930555556</x:v>
      </x:c>
      <x:c r="D222" s="93" t="n">
        <x:v>46062</x:v>
      </x:c>
      <x:c r="E222" s="94" t="str">
        <x:v>Google Ads</x:v>
      </x:c>
      <x:c r="F222" s="94" t="str">
        <x:v>美国</x:v>
      </x:c>
      <x:c r="G222" s="94" t="str">
        <x:v>品牌搜索</x:v>
      </x:c>
      <x:c r="H222" s="94" t="str">
        <x:v>SKU-0012</x:v>
      </x:c>
      <x:c r="I222" s="94" t="str">
        <x:v>家居生活</x:v>
      </x:c>
      <x:c r="J222" s="94" t="str">
        <x:v>咖啡机 B</x:v>
      </x:c>
      <x:c r="K222" s="97" t="n">
        <x:v>206.26</x:v>
      </x:c>
      <x:c r="L222" s="95" t="n">
        <x:v>1</x:v>
      </x:c>
      <x:c r="M222" s="97" t="n">
        <x:f>ROUND(K222*L222,2)</x:f>
        <x:v>206.26</x:v>
      </x:c>
      <x:c r="N222" s="109" t="n">
        <x:v>0.07</x:v>
      </x:c>
      <x:c r="O222" s="97" t="n">
        <x:f>ROUND(M222*N222,2)</x:f>
        <x:v>14.44</x:v>
      </x:c>
      <x:c r="P222" s="94" t="str">
        <x:v>已确认</x:v>
      </x:c>
      <x:c r="Q222" s="97" t="n">
        <x:f>IF(P222="已退款",M222,0)</x:f>
        <x:v>0</x:v>
      </x:c>
      <x:c r="R222" s="97" t="n">
        <x:f>IF(P222="已退款",O222,0)</x:f>
        <x:v>0</x:v>
      </x:c>
      <x:c r="S222" s="97" t="n">
        <x:f>O222-R222</x:f>
        <x:v>14.44</x:v>
      </x:c>
      <x:c r="T222" s="94" t="n">
        <x:v>4</x:v>
      </x:c>
      <x:c r="U222" s="94" t="str">
        <x:v>模拟：Amazon Associates订单回传</x:v>
      </x:c>
    </x:row>
    <x:row r="223">
      <x:c r="A223" s="92" t="str">
        <x:v>AMZ-ORD-00222</x:v>
      </x:c>
      <x:c r="B223" s="94" t="str">
        <x:v>PROC-0221</x:v>
      </x:c>
      <x:c r="C223" s="108" t="n">
        <x:v>46062.44305555556</x:v>
      </x:c>
      <x:c r="D223" s="93" t="n">
        <x:v>46062</x:v>
      </x:c>
      <x:c r="E223" s="94" t="str">
        <x:v>Google Ads</x:v>
      </x:c>
      <x:c r="F223" s="94" t="str">
        <x:v>德国</x:v>
      </x:c>
      <x:c r="G223" s="94" t="str">
        <x:v>竞品搜索</x:v>
      </x:c>
      <x:c r="H223" s="94" t="str">
        <x:v>SKU-0006</x:v>
      </x:c>
      <x:c r="I223" s="94" t="str">
        <x:v>电子产品</x:v>
      </x:c>
      <x:c r="J223" s="94" t="str">
        <x:v>迷你投影仪 F</x:v>
      </x:c>
      <x:c r="K223" s="97" t="n">
        <x:v>569.72</x:v>
      </x:c>
      <x:c r="L223" s="95" t="n">
        <x:v>1</x:v>
      </x:c>
      <x:c r="M223" s="97" t="n">
        <x:f>ROUND(K223*L223,2)</x:f>
        <x:v>569.72</x:v>
      </x:c>
      <x:c r="N223" s="109" t="n">
        <x:v>0.05</x:v>
      </x:c>
      <x:c r="O223" s="97" t="n">
        <x:f>ROUND(M223*N223,2)</x:f>
        <x:v>28.49</x:v>
      </x:c>
      <x:c r="P223" s="94" t="str">
        <x:v>已确认</x:v>
      </x:c>
      <x:c r="Q223" s="97" t="n">
        <x:f>IF(P223="已退款",M223,0)</x:f>
        <x:v>0</x:v>
      </x:c>
      <x:c r="R223" s="97" t="n">
        <x:f>IF(P223="已退款",O223,0)</x:f>
        <x:v>0</x:v>
      </x:c>
      <x:c r="S223" s="97" t="n">
        <x:f>O223-R223</x:f>
        <x:v>28.49</x:v>
      </x:c>
      <x:c r="T223" s="94" t="n">
        <x:v>0</x:v>
      </x:c>
      <x:c r="U223" s="94" t="str">
        <x:v>模拟：Amazon Associates订单回传</x:v>
      </x:c>
    </x:row>
    <x:row r="224">
      <x:c r="A224" s="92" t="str">
        <x:v>AMZ-ORD-00223</x:v>
      </x:c>
      <x:c r="B224" s="94" t="str">
        <x:v>PROC-0222</x:v>
      </x:c>
      <x:c r="C224" s="108" t="n">
        <x:v>46064.396527777775</x:v>
      </x:c>
      <x:c r="D224" s="93" t="n">
        <x:v>46063</x:v>
      </x:c>
      <x:c r="E224" s="94" t="str">
        <x:v>Google Ads</x:v>
      </x:c>
      <x:c r="F224" s="94" t="str">
        <x:v>英国</x:v>
      </x:c>
      <x:c r="G224" s="94" t="str">
        <x:v>通用搜索</x:v>
      </x:c>
      <x:c r="H224" s="94" t="str">
        <x:v>SKU-0022</x:v>
      </x:c>
      <x:c r="I224" s="94" t="str">
        <x:v>运动健康</x:v>
      </x:c>
      <x:c r="J224" s="94" t="str">
        <x:v>瑜伽套装 B</x:v>
      </x:c>
      <x:c r="K224" s="97" t="n">
        <x:v>173.52</x:v>
      </x:c>
      <x:c r="L224" s="95" t="n">
        <x:v>1</x:v>
      </x:c>
      <x:c r="M224" s="97" t="n">
        <x:f>ROUND(K224*L224,2)</x:f>
        <x:v>173.52</x:v>
      </x:c>
      <x:c r="N224" s="109" t="n">
        <x:v>0.08</x:v>
      </x:c>
      <x:c r="O224" s="97" t="n">
        <x:f>ROUND(M224*N224,2)</x:f>
        <x:v>13.88</x:v>
      </x:c>
      <x:c r="P224" s="94" t="str">
        <x:v>已确认</x:v>
      </x:c>
      <x:c r="Q224" s="97" t="n">
        <x:f>IF(P224="已退款",M224,0)</x:f>
        <x:v>0</x:v>
      </x:c>
      <x:c r="R224" s="97" t="n">
        <x:f>IF(P224="已退款",O224,0)</x:f>
        <x:v>0</x:v>
      </x:c>
      <x:c r="S224" s="97" t="n">
        <x:f>O224-R224</x:f>
        <x:v>13.88</x:v>
      </x:c>
      <x:c r="T224" s="94" t="n">
        <x:v>1</x:v>
      </x:c>
      <x:c r="U224" s="94" t="str">
        <x:v>模拟：Amazon Associates订单回传</x:v>
      </x:c>
    </x:row>
    <x:row r="225">
      <x:c r="A225" s="92" t="str">
        <x:v>AMZ-ORD-00224</x:v>
      </x:c>
      <x:c r="B225" s="94" t="str">
        <x:v>PROC-0223</x:v>
      </x:c>
      <x:c r="C225" s="108" t="n">
        <x:v>46064.47361111111</x:v>
      </x:c>
      <x:c r="D225" s="93" t="n">
        <x:v>46063</x:v>
      </x:c>
      <x:c r="E225" s="94" t="str">
        <x:v>Microsoft Ads</x:v>
      </x:c>
      <x:c r="F225" s="94" t="str">
        <x:v>美国</x:v>
      </x:c>
      <x:c r="G225" s="94" t="str">
        <x:v>购物广告</x:v>
      </x:c>
      <x:c r="H225" s="94" t="str">
        <x:v>SKU-0044</x:v>
      </x:c>
      <x:c r="I225" s="94" t="str">
        <x:v>办公学习</x:v>
      </x:c>
      <x:c r="J225" s="94" t="str">
        <x:v>数字笔记本 D</x:v>
      </x:c>
      <x:c r="K225" s="97" t="n">
        <x:v>183.89</x:v>
      </x:c>
      <x:c r="L225" s="95" t="n">
        <x:v>3</x:v>
      </x:c>
      <x:c r="M225" s="97" t="n">
        <x:f>ROUND(K225*L225,2)</x:f>
        <x:v>551.67</x:v>
      </x:c>
      <x:c r="N225" s="109" t="n">
        <x:v>0.07</x:v>
      </x:c>
      <x:c r="O225" s="97" t="n">
        <x:f>ROUND(M225*N225,2)</x:f>
        <x:v>38.62</x:v>
      </x:c>
      <x:c r="P225" s="94" t="str">
        <x:v>已确认</x:v>
      </x:c>
      <x:c r="Q225" s="97" t="n">
        <x:f>IF(P225="已退款",M225,0)</x:f>
        <x:v>0</x:v>
      </x:c>
      <x:c r="R225" s="97" t="n">
        <x:f>IF(P225="已退款",O225,0)</x:f>
        <x:v>0</x:v>
      </x:c>
      <x:c r="S225" s="97" t="n">
        <x:f>O225-R225</x:f>
        <x:v>38.62</x:v>
      </x:c>
      <x:c r="T225" s="94" t="n">
        <x:v>1</x:v>
      </x:c>
      <x:c r="U225" s="94" t="str">
        <x:v>模拟：Amazon Associates订单回传</x:v>
      </x:c>
    </x:row>
    <x:row r="226">
      <x:c r="A226" s="92" t="str">
        <x:v>AMZ-ORD-00225</x:v>
      </x:c>
      <x:c r="B226" s="94" t="str">
        <x:v>PROC-0224</x:v>
      </x:c>
      <x:c r="C226" s="108" t="n">
        <x:v>46063.42986111111</x:v>
      </x:c>
      <x:c r="D226" s="93" t="n">
        <x:v>46063</x:v>
      </x:c>
      <x:c r="E226" s="94" t="str">
        <x:v>Google Ads</x:v>
      </x:c>
      <x:c r="F226" s="94" t="str">
        <x:v>美国</x:v>
      </x:c>
      <x:c r="G226" s="94" t="str">
        <x:v>购物广告</x:v>
      </x:c>
      <x:c r="H226" s="94" t="str">
        <x:v>SKU-0007</x:v>
      </x:c>
      <x:c r="I226" s="94" t="str">
        <x:v>电子产品</x:v>
      </x:c>
      <x:c r="J226" s="94" t="str">
        <x:v>运动相机 G</x:v>
      </x:c>
      <x:c r="K226" s="97" t="n">
        <x:v>451.83</x:v>
      </x:c>
      <x:c r="L226" s="95" t="n">
        <x:v>1</x:v>
      </x:c>
      <x:c r="M226" s="97" t="n">
        <x:f>ROUND(K226*L226,2)</x:f>
        <x:v>451.83</x:v>
      </x:c>
      <x:c r="N226" s="109" t="n">
        <x:v>0.05</x:v>
      </x:c>
      <x:c r="O226" s="97" t="n">
        <x:f>ROUND(M226*N226,2)</x:f>
        <x:v>22.59</x:v>
      </x:c>
      <x:c r="P226" s="94" t="str">
        <x:v>已确认</x:v>
      </x:c>
      <x:c r="Q226" s="97" t="n">
        <x:f>IF(P226="已退款",M226,0)</x:f>
        <x:v>0</x:v>
      </x:c>
      <x:c r="R226" s="97" t="n">
        <x:f>IF(P226="已退款",O226,0)</x:f>
        <x:v>0</x:v>
      </x:c>
      <x:c r="S226" s="97" t="n">
        <x:f>O226-R226</x:f>
        <x:v>22.59</x:v>
      </x:c>
      <x:c r="T226" s="94" t="n">
        <x:v>0</x:v>
      </x:c>
      <x:c r="U226" s="94" t="str">
        <x:v>模拟：Amazon Associates订单回传</x:v>
      </x:c>
    </x:row>
    <x:row r="227">
      <x:c r="A227" s="92" t="str">
        <x:v>AMZ-ORD-00226</x:v>
      </x:c>
      <x:c r="B227" s="94" t="str">
        <x:v>PROC-0225</x:v>
      </x:c>
      <x:c r="C227" s="108" t="n">
        <x:v>46064.37847222222</x:v>
      </x:c>
      <x:c r="D227" s="93" t="n">
        <x:v>46063</x:v>
      </x:c>
      <x:c r="E227" s="94" t="str">
        <x:v>Microsoft Ads</x:v>
      </x:c>
      <x:c r="F227" s="94" t="str">
        <x:v>美国</x:v>
      </x:c>
      <x:c r="G227" s="94" t="str">
        <x:v>品牌搜索</x:v>
      </x:c>
      <x:c r="H227" s="94" t="str">
        <x:v>SKU-0029</x:v>
      </x:c>
      <x:c r="I227" s="94" t="str">
        <x:v>运动健康</x:v>
      </x:c>
      <x:c r="J227" s="94" t="str">
        <x:v>运动耳机 I</x:v>
      </x:c>
      <x:c r="K227" s="97" t="n">
        <x:v>169.26</x:v>
      </x:c>
      <x:c r="L227" s="95" t="n">
        <x:v>1</x:v>
      </x:c>
      <x:c r="M227" s="97" t="n">
        <x:f>ROUND(K227*L227,2)</x:f>
        <x:v>169.26</x:v>
      </x:c>
      <x:c r="N227" s="109" t="n">
        <x:v>0.08</x:v>
      </x:c>
      <x:c r="O227" s="97" t="n">
        <x:f>ROUND(M227*N227,2)</x:f>
        <x:v>13.54</x:v>
      </x:c>
      <x:c r="P227" s="94" t="str">
        <x:v>已确认</x:v>
      </x:c>
      <x:c r="Q227" s="97" t="n">
        <x:f>IF(P227="已退款",M227,0)</x:f>
        <x:v>0</x:v>
      </x:c>
      <x:c r="R227" s="97" t="n">
        <x:f>IF(P227="已退款",O227,0)</x:f>
        <x:v>0</x:v>
      </x:c>
      <x:c r="S227" s="97" t="n">
        <x:f>O227-R227</x:f>
        <x:v>13.54</x:v>
      </x:c>
      <x:c r="T227" s="94" t="n">
        <x:v>1</x:v>
      </x:c>
      <x:c r="U227" s="94" t="str">
        <x:v>模拟：Amazon Associates订单回传</x:v>
      </x:c>
    </x:row>
    <x:row r="228">
      <x:c r="A228" s="92" t="str">
        <x:v>AMZ-ORD-00227</x:v>
      </x:c>
      <x:c r="B228" s="94" t="str">
        <x:v>PROC-0225</x:v>
      </x:c>
      <x:c r="C228" s="108" t="n">
        <x:v>46064.8</x:v>
      </x:c>
      <x:c r="D228" s="93" t="n">
        <x:v>46063</x:v>
      </x:c>
      <x:c r="E228" s="94" t="str">
        <x:v>Microsoft Ads</x:v>
      </x:c>
      <x:c r="F228" s="94" t="str">
        <x:v>美国</x:v>
      </x:c>
      <x:c r="G228" s="94" t="str">
        <x:v>品牌搜索</x:v>
      </x:c>
      <x:c r="H228" s="94" t="str">
        <x:v>SKU-0045</x:v>
      </x:c>
      <x:c r="I228" s="94" t="str">
        <x:v>办公学习</x:v>
      </x:c>
      <x:c r="J228" s="94" t="str">
        <x:v>办公收纳 E</x:v>
      </x:c>
      <x:c r="K228" s="97" t="n">
        <x:v>206.33</x:v>
      </x:c>
      <x:c r="L228" s="95" t="n">
        <x:v>2</x:v>
      </x:c>
      <x:c r="M228" s="97" t="n">
        <x:f>ROUND(K228*L228,2)</x:f>
        <x:v>412.66</x:v>
      </x:c>
      <x:c r="N228" s="109" t="n">
        <x:v>0.07</x:v>
      </x:c>
      <x:c r="O228" s="97" t="n">
        <x:f>ROUND(M228*N228,2)</x:f>
        <x:v>28.89</x:v>
      </x:c>
      <x:c r="P228" s="94" t="str">
        <x:v>已确认</x:v>
      </x:c>
      <x:c r="Q228" s="97" t="n">
        <x:f>IF(P228="已退款",M228,0)</x:f>
        <x:v>0</x:v>
      </x:c>
      <x:c r="R228" s="97" t="n">
        <x:f>IF(P228="已退款",O228,0)</x:f>
        <x:v>0</x:v>
      </x:c>
      <x:c r="S228" s="97" t="n">
        <x:f>O228-R228</x:f>
        <x:v>28.89</x:v>
      </x:c>
      <x:c r="T228" s="94" t="n">
        <x:v>1</x:v>
      </x:c>
      <x:c r="U228" s="94" t="str">
        <x:v>模拟：Amazon Associates订单回传</x:v>
      </x:c>
    </x:row>
    <x:row r="229">
      <x:c r="A229" s="92" t="str">
        <x:v>AMZ-ORD-00228</x:v>
      </x:c>
      <x:c r="B229" s="94" t="str">
        <x:v>PROC-0226</x:v>
      </x:c>
      <x:c r="C229" s="108" t="n">
        <x:v>46066.72986111111</x:v>
      </x:c>
      <x:c r="D229" s="93" t="n">
        <x:v>46063</x:v>
      </x:c>
      <x:c r="E229" s="94" t="str">
        <x:v>Google Ads</x:v>
      </x:c>
      <x:c r="F229" s="94" t="str">
        <x:v>英国</x:v>
      </x:c>
      <x:c r="G229" s="94" t="str">
        <x:v>购物广告</x:v>
      </x:c>
      <x:c r="H229" s="94" t="str">
        <x:v>SKU-0002</x:v>
      </x:c>
      <x:c r="I229" s="94" t="str">
        <x:v>电子产品</x:v>
      </x:c>
      <x:c r="J229" s="94" t="str">
        <x:v>便携显示器 B</x:v>
      </x:c>
      <x:c r="K229" s="97" t="n">
        <x:v>302.18</x:v>
      </x:c>
      <x:c r="L229" s="95" t="n">
        <x:v>1</x:v>
      </x:c>
      <x:c r="M229" s="97" t="n">
        <x:f>ROUND(K229*L229,2)</x:f>
        <x:v>302.18</x:v>
      </x:c>
      <x:c r="N229" s="109" t="n">
        <x:v>0.05</x:v>
      </x:c>
      <x:c r="O229" s="97" t="n">
        <x:f>ROUND(M229*N229,2)</x:f>
        <x:v>15.11</x:v>
      </x:c>
      <x:c r="P229" s="94" t="str">
        <x:v>已确认</x:v>
      </x:c>
      <x:c r="Q229" s="97" t="n">
        <x:f>IF(P229="已退款",M229,0)</x:f>
        <x:v>0</x:v>
      </x:c>
      <x:c r="R229" s="97" t="n">
        <x:f>IF(P229="已退款",O229,0)</x:f>
        <x:v>0</x:v>
      </x:c>
      <x:c r="S229" s="97" t="n">
        <x:f>O229-R229</x:f>
        <x:v>15.11</x:v>
      </x:c>
      <x:c r="T229" s="94" t="n">
        <x:v>3</x:v>
      </x:c>
      <x:c r="U229" s="94" t="str">
        <x:v>模拟：Amazon Associates订单回传</x:v>
      </x:c>
    </x:row>
    <x:row r="230">
      <x:c r="A230" s="92" t="str">
        <x:v>AMZ-ORD-00229</x:v>
      </x:c>
      <x:c r="B230" s="94" t="str">
        <x:v>PROC-0227</x:v>
      </x:c>
      <x:c r="C230" s="108" t="n">
        <x:v>46065.57638888889</x:v>
      </x:c>
      <x:c r="D230" s="93" t="n">
        <x:v>46063</x:v>
      </x:c>
      <x:c r="E230" s="94" t="str">
        <x:v>Microsoft Ads</x:v>
      </x:c>
      <x:c r="F230" s="94" t="str">
        <x:v>德国</x:v>
      </x:c>
      <x:c r="G230" s="94" t="str">
        <x:v>竞品搜索</x:v>
      </x:c>
      <x:c r="H230" s="94" t="str">
        <x:v>SKU-0034</x:v>
      </x:c>
      <x:c r="I230" s="94" t="str">
        <x:v>美妆个护</x:v>
      </x:c>
      <x:c r="J230" s="94" t="str">
        <x:v>电动牙刷 D</x:v>
      </x:c>
      <x:c r="K230" s="97" t="n">
        <x:v>113.33</x:v>
      </x:c>
      <x:c r="L230" s="95" t="n">
        <x:v>1</x:v>
      </x:c>
      <x:c r="M230" s="97" t="n">
        <x:f>ROUND(K230*L230,2)</x:f>
        <x:v>113.33</x:v>
      </x:c>
      <x:c r="N230" s="109" t="n">
        <x:v>0.1</x:v>
      </x:c>
      <x:c r="O230" s="97" t="n">
        <x:f>ROUND(M230*N230,2)</x:f>
        <x:v>11.33</x:v>
      </x:c>
      <x:c r="P230" s="94" t="str">
        <x:v>已确认</x:v>
      </x:c>
      <x:c r="Q230" s="97" t="n">
        <x:f>IF(P230="已退款",M230,0)</x:f>
        <x:v>0</x:v>
      </x:c>
      <x:c r="R230" s="97" t="n">
        <x:f>IF(P230="已退款",O230,0)</x:f>
        <x:v>0</x:v>
      </x:c>
      <x:c r="S230" s="97" t="n">
        <x:f>O230-R230</x:f>
        <x:v>11.33</x:v>
      </x:c>
      <x:c r="T230" s="94" t="n">
        <x:v>2</x:v>
      </x:c>
      <x:c r="U230" s="94" t="str">
        <x:v>模拟：Amazon Associates订单回传</x:v>
      </x:c>
    </x:row>
    <x:row r="231">
      <x:c r="A231" s="92" t="str">
        <x:v>AMZ-ORD-00230</x:v>
      </x:c>
      <x:c r="B231" s="94" t="str">
        <x:v>PROC-0228</x:v>
      </x:c>
      <x:c r="C231" s="108" t="n">
        <x:v>46067.74652777778</x:v>
      </x:c>
      <x:c r="D231" s="93" t="n">
        <x:v>46064</x:v>
      </x:c>
      <x:c r="E231" s="94" t="str">
        <x:v>Microsoft Ads</x:v>
      </x:c>
      <x:c r="F231" s="94" t="str">
        <x:v>美国</x:v>
      </x:c>
      <x:c r="G231" s="94" t="str">
        <x:v>通用搜索</x:v>
      </x:c>
      <x:c r="H231" s="94" t="str">
        <x:v>SKU-0021</x:v>
      </x:c>
      <x:c r="I231" s="94" t="str">
        <x:v>运动健康</x:v>
      </x:c>
      <x:c r="J231" s="94" t="str">
        <x:v>智能手表 A</x:v>
      </x:c>
      <x:c r="K231" s="97" t="n">
        <x:v>96.19</x:v>
      </x:c>
      <x:c r="L231" s="95" t="n">
        <x:v>2</x:v>
      </x:c>
      <x:c r="M231" s="97" t="n">
        <x:f>ROUND(K231*L231,2)</x:f>
        <x:v>192.38</x:v>
      </x:c>
      <x:c r="N231" s="109" t="n">
        <x:v>0.08</x:v>
      </x:c>
      <x:c r="O231" s="97" t="n">
        <x:f>ROUND(M231*N231,2)</x:f>
        <x:v>15.39</x:v>
      </x:c>
      <x:c r="P231" s="94" t="str">
        <x:v>已确认</x:v>
      </x:c>
      <x:c r="Q231" s="97" t="n">
        <x:f>IF(P231="已退款",M231,0)</x:f>
        <x:v>0</x:v>
      </x:c>
      <x:c r="R231" s="97" t="n">
        <x:f>IF(P231="已退款",O231,0)</x:f>
        <x:v>0</x:v>
      </x:c>
      <x:c r="S231" s="97" t="n">
        <x:f>O231-R231</x:f>
        <x:v>15.39</x:v>
      </x:c>
      <x:c r="T231" s="94" t="n">
        <x:v>3</x:v>
      </x:c>
      <x:c r="U231" s="94" t="str">
        <x:v>模拟：Amazon Associates订单回传</x:v>
      </x:c>
    </x:row>
    <x:row r="232">
      <x:c r="A232" s="92" t="str">
        <x:v>AMZ-ORD-00231</x:v>
      </x:c>
      <x:c r="B232" s="94" t="str">
        <x:v>PROC-0229</x:v>
      </x:c>
      <x:c r="C232" s="108" t="n">
        <x:v>46067.57638888889</x:v>
      </x:c>
      <x:c r="D232" s="93" t="n">
        <x:v>46064</x:v>
      </x:c>
      <x:c r="E232" s="94" t="str">
        <x:v>Microsoft Ads</x:v>
      </x:c>
      <x:c r="F232" s="94" t="str">
        <x:v>英国</x:v>
      </x:c>
      <x:c r="G232" s="94" t="str">
        <x:v>购物广告</x:v>
      </x:c>
      <x:c r="H232" s="94" t="str">
        <x:v>SKU-0006</x:v>
      </x:c>
      <x:c r="I232" s="94" t="str">
        <x:v>电子产品</x:v>
      </x:c>
      <x:c r="J232" s="94" t="str">
        <x:v>迷你投影仪 F</x:v>
      </x:c>
      <x:c r="K232" s="97" t="n">
        <x:v>310.37</x:v>
      </x:c>
      <x:c r="L232" s="95" t="n">
        <x:v>1</x:v>
      </x:c>
      <x:c r="M232" s="97" t="n">
        <x:f>ROUND(K232*L232,2)</x:f>
        <x:v>310.37</x:v>
      </x:c>
      <x:c r="N232" s="109" t="n">
        <x:v>0.05</x:v>
      </x:c>
      <x:c r="O232" s="97" t="n">
        <x:f>ROUND(M232*N232,2)</x:f>
        <x:v>15.52</x:v>
      </x:c>
      <x:c r="P232" s="94" t="str">
        <x:v>已确认</x:v>
      </x:c>
      <x:c r="Q232" s="97" t="n">
        <x:f>IF(P232="已退款",M232,0)</x:f>
        <x:v>0</x:v>
      </x:c>
      <x:c r="R232" s="97" t="n">
        <x:f>IF(P232="已退款",O232,0)</x:f>
        <x:v>0</x:v>
      </x:c>
      <x:c r="S232" s="97" t="n">
        <x:f>O232-R232</x:f>
        <x:v>15.52</x:v>
      </x:c>
      <x:c r="T232" s="94" t="n">
        <x:v>3</x:v>
      </x:c>
      <x:c r="U232" s="94" t="str">
        <x:v>模拟：Amazon Associates订单回传</x:v>
      </x:c>
    </x:row>
    <x:row r="233">
      <x:c r="A233" s="92" t="str">
        <x:v>AMZ-ORD-00232</x:v>
      </x:c>
      <x:c r="B233" s="94" t="str">
        <x:v>PROC-0230</x:v>
      </x:c>
      <x:c r="C233" s="108" t="n">
        <x:v>46067.56458333333</x:v>
      </x:c>
      <x:c r="D233" s="93" t="n">
        <x:v>46064</x:v>
      </x:c>
      <x:c r="E233" s="94" t="str">
        <x:v>Google Ads</x:v>
      </x:c>
      <x:c r="F233" s="94" t="str">
        <x:v>美国</x:v>
      </x:c>
      <x:c r="G233" s="94" t="str">
        <x:v>竞品搜索</x:v>
      </x:c>
      <x:c r="H233" s="94" t="str">
        <x:v>SKU-0032</x:v>
      </x:c>
      <x:c r="I233" s="94" t="str">
        <x:v>美妆个护</x:v>
      </x:c>
      <x:c r="J233" s="94" t="str">
        <x:v>吹风机 B</x:v>
      </x:c>
      <x:c r="K233" s="97" t="n">
        <x:v>36.79</x:v>
      </x:c>
      <x:c r="L233" s="95" t="n">
        <x:v>1</x:v>
      </x:c>
      <x:c r="M233" s="97" t="n">
        <x:f>ROUND(K233*L233,2)</x:f>
        <x:v>36.79</x:v>
      </x:c>
      <x:c r="N233" s="109" t="n">
        <x:v>0.1</x:v>
      </x:c>
      <x:c r="O233" s="97" t="n">
        <x:f>ROUND(M233*N233,2)</x:f>
        <x:v>3.68</x:v>
      </x:c>
      <x:c r="P233" s="94" t="str">
        <x:v>已确认</x:v>
      </x:c>
      <x:c r="Q233" s="97" t="n">
        <x:f>IF(P233="已退款",M233,0)</x:f>
        <x:v>0</x:v>
      </x:c>
      <x:c r="R233" s="97" t="n">
        <x:f>IF(P233="已退款",O233,0)</x:f>
        <x:v>0</x:v>
      </x:c>
      <x:c r="S233" s="97" t="n">
        <x:f>O233-R233</x:f>
        <x:v>3.68</x:v>
      </x:c>
      <x:c r="T233" s="94" t="n">
        <x:v>3</x:v>
      </x:c>
      <x:c r="U233" s="94" t="str">
        <x:v>模拟：Amazon Associates订单回传</x:v>
      </x:c>
    </x:row>
    <x:row r="234">
      <x:c r="A234" s="92" t="str">
        <x:v>AMZ-ORD-00233</x:v>
      </x:c>
      <x:c r="B234" s="94" t="str">
        <x:v>PROC-0232</x:v>
      </x:c>
      <x:c r="C234" s="108" t="n">
        <x:v>46067.425</x:v>
      </x:c>
      <x:c r="D234" s="93" t="n">
        <x:v>46064</x:v>
      </x:c>
      <x:c r="E234" s="94" t="str">
        <x:v>Google Ads</x:v>
      </x:c>
      <x:c r="F234" s="94" t="str">
        <x:v>美国</x:v>
      </x:c>
      <x:c r="G234" s="94" t="str">
        <x:v>通用搜索</x:v>
      </x:c>
      <x:c r="H234" s="94" t="str">
        <x:v>SKU-0001</x:v>
      </x:c>
      <x:c r="I234" s="94" t="str">
        <x:v>电子产品</x:v>
      </x:c>
      <x:c r="J234" s="94" t="str">
        <x:v>无线耳机 A</x:v>
      </x:c>
      <x:c r="K234" s="97" t="n">
        <x:v>293.76</x:v>
      </x:c>
      <x:c r="L234" s="95" t="n">
        <x:v>1</x:v>
      </x:c>
      <x:c r="M234" s="97" t="n">
        <x:f>ROUND(K234*L234,2)</x:f>
        <x:v>293.76</x:v>
      </x:c>
      <x:c r="N234" s="109" t="n">
        <x:v>0.05</x:v>
      </x:c>
      <x:c r="O234" s="97" t="n">
        <x:f>ROUND(M234*N234,2)</x:f>
        <x:v>14.69</x:v>
      </x:c>
      <x:c r="P234" s="94" t="str">
        <x:v>已确认</x:v>
      </x:c>
      <x:c r="Q234" s="97" t="n">
        <x:f>IF(P234="已退款",M234,0)</x:f>
        <x:v>0</x:v>
      </x:c>
      <x:c r="R234" s="97" t="n">
        <x:f>IF(P234="已退款",O234,0)</x:f>
        <x:v>0</x:v>
      </x:c>
      <x:c r="S234" s="97" t="n">
        <x:f>O234-R234</x:f>
        <x:v>14.69</x:v>
      </x:c>
      <x:c r="T234" s="94" t="n">
        <x:v>3</x:v>
      </x:c>
      <x:c r="U234" s="94" t="str">
        <x:v>模拟：Amazon Associates订单回传</x:v>
      </x:c>
    </x:row>
    <x:row r="235">
      <x:c r="A235" s="92" t="str">
        <x:v>AMZ-ORD-00234</x:v>
      </x:c>
      <x:c r="B235" s="94" t="str">
        <x:v>PROC-0233</x:v>
      </x:c>
      <x:c r="C235" s="108" t="n">
        <x:v>46067.34375</x:v>
      </x:c>
      <x:c r="D235" s="93" t="n">
        <x:v>46064</x:v>
      </x:c>
      <x:c r="E235" s="94" t="str">
        <x:v>Microsoft Ads</x:v>
      </x:c>
      <x:c r="F235" s="94" t="str">
        <x:v>英国</x:v>
      </x:c>
      <x:c r="G235" s="94" t="str">
        <x:v>品牌搜索</x:v>
      </x:c>
      <x:c r="H235" s="94" t="str">
        <x:v>SKU-0040</x:v>
      </x:c>
      <x:c r="I235" s="94" t="str">
        <x:v>美妆个护</x:v>
      </x:c>
      <x:c r="J235" s="94" t="str">
        <x:v>旅行护理套装 J</x:v>
      </x:c>
      <x:c r="K235" s="97" t="n">
        <x:v>115.52</x:v>
      </x:c>
      <x:c r="L235" s="95" t="n">
        <x:v>1</x:v>
      </x:c>
      <x:c r="M235" s="97" t="n">
        <x:f>ROUND(K235*L235,2)</x:f>
        <x:v>115.52</x:v>
      </x:c>
      <x:c r="N235" s="109" t="n">
        <x:v>0.1</x:v>
      </x:c>
      <x:c r="O235" s="97" t="n">
        <x:f>ROUND(M235*N235,2)</x:f>
        <x:v>11.55</x:v>
      </x:c>
      <x:c r="P235" s="94" t="str">
        <x:v>已确认</x:v>
      </x:c>
      <x:c r="Q235" s="97" t="n">
        <x:f>IF(P235="已退款",M235,0)</x:f>
        <x:v>0</x:v>
      </x:c>
      <x:c r="R235" s="97" t="n">
        <x:f>IF(P235="已退款",O235,0)</x:f>
        <x:v>0</x:v>
      </x:c>
      <x:c r="S235" s="97" t="n">
        <x:f>O235-R235</x:f>
        <x:v>11.55</x:v>
      </x:c>
      <x:c r="T235" s="94" t="n">
        <x:v>3</x:v>
      </x:c>
      <x:c r="U235" s="94" t="str">
        <x:v>模拟：Amazon Associates订单回传</x:v>
      </x:c>
    </x:row>
    <x:row r="236">
      <x:c r="A236" s="92" t="str">
        <x:v>AMZ-ORD-00235</x:v>
      </x:c>
      <x:c r="B236" s="94" t="str">
        <x:v>PROC-0233</x:v>
      </x:c>
      <x:c r="C236" s="108" t="n">
        <x:v>46067.425</x:v>
      </x:c>
      <x:c r="D236" s="93" t="n">
        <x:v>46064</x:v>
      </x:c>
      <x:c r="E236" s="94" t="str">
        <x:v>Microsoft Ads</x:v>
      </x:c>
      <x:c r="F236" s="94" t="str">
        <x:v>英国</x:v>
      </x:c>
      <x:c r="G236" s="94" t="str">
        <x:v>品牌搜索</x:v>
      </x:c>
      <x:c r="H236" s="94" t="str">
        <x:v>SKU-0029</x:v>
      </x:c>
      <x:c r="I236" s="94" t="str">
        <x:v>运动健康</x:v>
      </x:c>
      <x:c r="J236" s="94" t="str">
        <x:v>运动耳机 I</x:v>
      </x:c>
      <x:c r="K236" s="97" t="n">
        <x:v>156.13</x:v>
      </x:c>
      <x:c r="L236" s="95" t="n">
        <x:v>1</x:v>
      </x:c>
      <x:c r="M236" s="97" t="n">
        <x:f>ROUND(K236*L236,2)</x:f>
        <x:v>156.13</x:v>
      </x:c>
      <x:c r="N236" s="109" t="n">
        <x:v>0.08</x:v>
      </x:c>
      <x:c r="O236" s="97" t="n">
        <x:f>ROUND(M236*N236,2)</x:f>
        <x:v>12.49</x:v>
      </x:c>
      <x:c r="P236" s="94" t="str">
        <x:v>已确认</x:v>
      </x:c>
      <x:c r="Q236" s="97" t="n">
        <x:f>IF(P236="已退款",M236,0)</x:f>
        <x:v>0</x:v>
      </x:c>
      <x:c r="R236" s="97" t="n">
        <x:f>IF(P236="已退款",O236,0)</x:f>
        <x:v>0</x:v>
      </x:c>
      <x:c r="S236" s="97" t="n">
        <x:f>O236-R236</x:f>
        <x:v>12.49</x:v>
      </x:c>
      <x:c r="T236" s="94" t="n">
        <x:v>3</x:v>
      </x:c>
      <x:c r="U236" s="94" t="str">
        <x:v>模拟：Amazon Associates订单回传</x:v>
      </x:c>
    </x:row>
    <x:row r="237">
      <x:c r="A237" s="92" t="str">
        <x:v>AMZ-ORD-00236</x:v>
      </x:c>
      <x:c r="B237" s="94" t="str">
        <x:v>PROC-0234</x:v>
      </x:c>
      <x:c r="C237" s="108" t="n">
        <x:v>46068.50208333333</x:v>
      </x:c>
      <x:c r="D237" s="93" t="n">
        <x:v>46065</x:v>
      </x:c>
      <x:c r="E237" s="94" t="str">
        <x:v>Google Ads</x:v>
      </x:c>
      <x:c r="F237" s="94" t="str">
        <x:v>英国</x:v>
      </x:c>
      <x:c r="G237" s="94" t="str">
        <x:v>购物广告</x:v>
      </x:c>
      <x:c r="H237" s="94" t="str">
        <x:v>SKU-0018</x:v>
      </x:c>
      <x:c r="I237" s="94" t="str">
        <x:v>家居生活</x:v>
      </x:c>
      <x:c r="J237" s="94" t="str">
        <x:v>收纳组合 H</x:v>
      </x:c>
      <x:c r="K237" s="97" t="n">
        <x:v>347.95</x:v>
      </x:c>
      <x:c r="L237" s="95" t="n">
        <x:v>1</x:v>
      </x:c>
      <x:c r="M237" s="97" t="n">
        <x:f>ROUND(K237*L237,2)</x:f>
        <x:v>347.95</x:v>
      </x:c>
      <x:c r="N237" s="109" t="n">
        <x:v>0.07</x:v>
      </x:c>
      <x:c r="O237" s="97" t="n">
        <x:f>ROUND(M237*N237,2)</x:f>
        <x:v>24.36</x:v>
      </x:c>
      <x:c r="P237" s="94" t="str">
        <x:v>已确认</x:v>
      </x:c>
      <x:c r="Q237" s="97" t="n">
        <x:f>IF(P237="已退款",M237,0)</x:f>
        <x:v>0</x:v>
      </x:c>
      <x:c r="R237" s="97" t="n">
        <x:f>IF(P237="已退款",O237,0)</x:f>
        <x:v>0</x:v>
      </x:c>
      <x:c r="S237" s="97" t="n">
        <x:f>O237-R237</x:f>
        <x:v>24.36</x:v>
      </x:c>
      <x:c r="T237" s="94" t="n">
        <x:v>3</x:v>
      </x:c>
      <x:c r="U237" s="94" t="str">
        <x:v>模拟：Amazon Associates订单回传</x:v>
      </x:c>
    </x:row>
    <x:row r="238">
      <x:c r="A238" s="92" t="str">
        <x:v>AMZ-ORD-00237</x:v>
      </x:c>
      <x:c r="B238" s="94" t="str">
        <x:v>PROC-0235</x:v>
      </x:c>
      <x:c r="C238" s="108" t="n">
        <x:v>46065.58611111111</x:v>
      </x:c>
      <x:c r="D238" s="93" t="n">
        <x:v>46065</x:v>
      </x:c>
      <x:c r="E238" s="94" t="str">
        <x:v>Google Ads</x:v>
      </x:c>
      <x:c r="F238" s="94" t="str">
        <x:v>美国</x:v>
      </x:c>
      <x:c r="G238" s="94" t="str">
        <x:v>购物广告</x:v>
      </x:c>
      <x:c r="H238" s="94" t="str">
        <x:v>SKU-0013</x:v>
      </x:c>
      <x:c r="I238" s="94" t="str">
        <x:v>家居生活</x:v>
      </x:c>
      <x:c r="J238" s="94" t="str">
        <x:v>人体工学椅 C</x:v>
      </x:c>
      <x:c r="K238" s="97" t="n">
        <x:v>229.28</x:v>
      </x:c>
      <x:c r="L238" s="95" t="n">
        <x:v>2</x:v>
      </x:c>
      <x:c r="M238" s="97" t="n">
        <x:f>ROUND(K238*L238,2)</x:f>
        <x:v>458.56</x:v>
      </x:c>
      <x:c r="N238" s="109" t="n">
        <x:v>0.07</x:v>
      </x:c>
      <x:c r="O238" s="97" t="n">
        <x:f>ROUND(M238*N238,2)</x:f>
        <x:v>32.1</x:v>
      </x:c>
      <x:c r="P238" s="94" t="str">
        <x:v>已确认</x:v>
      </x:c>
      <x:c r="Q238" s="97" t="n">
        <x:f>IF(P238="已退款",M238,0)</x:f>
        <x:v>0</x:v>
      </x:c>
      <x:c r="R238" s="97" t="n">
        <x:f>IF(P238="已退款",O238,0)</x:f>
        <x:v>0</x:v>
      </x:c>
      <x:c r="S238" s="97" t="n">
        <x:f>O238-R238</x:f>
        <x:v>32.1</x:v>
      </x:c>
      <x:c r="T238" s="94" t="n">
        <x:v>0</x:v>
      </x:c>
      <x:c r="U238" s="94" t="str">
        <x:v>模拟：Amazon Associates订单回传</x:v>
      </x:c>
    </x:row>
    <x:row r="239">
      <x:c r="A239" s="92" t="str">
        <x:v>AMZ-ORD-00238</x:v>
      </x:c>
      <x:c r="B239" s="94" t="str">
        <x:v>PROC-0236</x:v>
      </x:c>
      <x:c r="C239" s="108" t="n">
        <x:v>46068.86944444444</x:v>
      </x:c>
      <x:c r="D239" s="93" t="n">
        <x:v>46065</x:v>
      </x:c>
      <x:c r="E239" s="94" t="str">
        <x:v>Google Ads</x:v>
      </x:c>
      <x:c r="F239" s="94" t="str">
        <x:v>德国</x:v>
      </x:c>
      <x:c r="G239" s="94" t="str">
        <x:v>品牌搜索</x:v>
      </x:c>
      <x:c r="H239" s="94" t="str">
        <x:v>SKU-0039</x:v>
      </x:c>
      <x:c r="I239" s="94" t="str">
        <x:v>美妆个护</x:v>
      </x:c>
      <x:c r="J239" s="94" t="str">
        <x:v>按摩梳 I</x:v>
      </x:c>
      <x:c r="K239" s="97" t="n">
        <x:v>128.95</x:v>
      </x:c>
      <x:c r="L239" s="95" t="n">
        <x:v>1</x:v>
      </x:c>
      <x:c r="M239" s="97" t="n">
        <x:f>ROUND(K239*L239,2)</x:f>
        <x:v>128.95</x:v>
      </x:c>
      <x:c r="N239" s="109" t="n">
        <x:v>0.1</x:v>
      </x:c>
      <x:c r="O239" s="97" t="n">
        <x:f>ROUND(M239*N239,2)</x:f>
        <x:v>12.9</x:v>
      </x:c>
      <x:c r="P239" s="94" t="str">
        <x:v>已确认</x:v>
      </x:c>
      <x:c r="Q239" s="97" t="n">
        <x:f>IF(P239="已退款",M239,0)</x:f>
        <x:v>0</x:v>
      </x:c>
      <x:c r="R239" s="97" t="n">
        <x:f>IF(P239="已退款",O239,0)</x:f>
        <x:v>0</x:v>
      </x:c>
      <x:c r="S239" s="97" t="n">
        <x:f>O239-R239</x:f>
        <x:v>12.9</x:v>
      </x:c>
      <x:c r="T239" s="94" t="n">
        <x:v>3</x:v>
      </x:c>
      <x:c r="U239" s="94" t="str">
        <x:v>模拟：Amazon Associates订单回传</x:v>
      </x:c>
    </x:row>
    <x:row r="240">
      <x:c r="A240" s="92" t="str">
        <x:v>AMZ-ORD-00239</x:v>
      </x:c>
      <x:c r="B240" s="94" t="str">
        <x:v>PROC-0236</x:v>
      </x:c>
      <x:c r="C240" s="108" t="n">
        <x:v>46066.34027777778</x:v>
      </x:c>
      <x:c r="D240" s="93" t="n">
        <x:v>46065</x:v>
      </x:c>
      <x:c r="E240" s="94" t="str">
        <x:v>Google Ads</x:v>
      </x:c>
      <x:c r="F240" s="94" t="str">
        <x:v>德国</x:v>
      </x:c>
      <x:c r="G240" s="94" t="str">
        <x:v>品牌搜索</x:v>
      </x:c>
      <x:c r="H240" s="94" t="str">
        <x:v>SKU-0035</x:v>
      </x:c>
      <x:c r="I240" s="94" t="str">
        <x:v>美妆个护</x:v>
      </x:c>
      <x:c r="J240" s="94" t="str">
        <x:v>香氛礼盒 E</x:v>
      </x:c>
      <x:c r="K240" s="97" t="n">
        <x:v>133.56</x:v>
      </x:c>
      <x:c r="L240" s="95" t="n">
        <x:v>1</x:v>
      </x:c>
      <x:c r="M240" s="97" t="n">
        <x:f>ROUND(K240*L240,2)</x:f>
        <x:v>133.56</x:v>
      </x:c>
      <x:c r="N240" s="109" t="n">
        <x:v>0.1</x:v>
      </x:c>
      <x:c r="O240" s="97" t="n">
        <x:f>ROUND(M240*N240,2)</x:f>
        <x:v>13.36</x:v>
      </x:c>
      <x:c r="P240" s="94" t="str">
        <x:v>已确认</x:v>
      </x:c>
      <x:c r="Q240" s="97" t="n">
        <x:f>IF(P240="已退款",M240,0)</x:f>
        <x:v>0</x:v>
      </x:c>
      <x:c r="R240" s="97" t="n">
        <x:f>IF(P240="已退款",O240,0)</x:f>
        <x:v>0</x:v>
      </x:c>
      <x:c r="S240" s="97" t="n">
        <x:f>O240-R240</x:f>
        <x:v>13.36</x:v>
      </x:c>
      <x:c r="T240" s="94" t="n">
        <x:v>1</x:v>
      </x:c>
      <x:c r="U240" s="94" t="str">
        <x:v>模拟：Amazon Associates订单回传</x:v>
      </x:c>
    </x:row>
    <x:row r="241">
      <x:c r="A241" s="92" t="str">
        <x:v>AMZ-ORD-00240</x:v>
      </x:c>
      <x:c r="B241" s="94" t="str">
        <x:v>PROC-0238</x:v>
      </x:c>
      <x:c r="C241" s="108" t="n">
        <x:v>46066.75763888889</x:v>
      </x:c>
      <x:c r="D241" s="93" t="n">
        <x:v>46065</x:v>
      </x:c>
      <x:c r="E241" s="94" t="str">
        <x:v>Google Ads</x:v>
      </x:c>
      <x:c r="F241" s="94" t="str">
        <x:v>德国</x:v>
      </x:c>
      <x:c r="G241" s="94" t="str">
        <x:v>购物广告</x:v>
      </x:c>
      <x:c r="H241" s="94" t="str">
        <x:v>SKU-0044</x:v>
      </x:c>
      <x:c r="I241" s="94" t="str">
        <x:v>办公学习</x:v>
      </x:c>
      <x:c r="J241" s="94" t="str">
        <x:v>数字笔记本 D</x:v>
      </x:c>
      <x:c r="K241" s="97" t="n">
        <x:v>100.88</x:v>
      </x:c>
      <x:c r="L241" s="95" t="n">
        <x:v>2</x:v>
      </x:c>
      <x:c r="M241" s="97" t="n">
        <x:f>ROUND(K241*L241,2)</x:f>
        <x:v>201.76</x:v>
      </x:c>
      <x:c r="N241" s="109" t="n">
        <x:v>0.07</x:v>
      </x:c>
      <x:c r="O241" s="97" t="n">
        <x:f>ROUND(M241*N241,2)</x:f>
        <x:v>14.12</x:v>
      </x:c>
      <x:c r="P241" s="94" t="str">
        <x:v>待确认</x:v>
      </x:c>
      <x:c r="Q241" s="97" t="n">
        <x:f>IF(P241="已退款",M241,0)</x:f>
        <x:v>0</x:v>
      </x:c>
      <x:c r="R241" s="97" t="n">
        <x:f>IF(P241="已退款",O241,0)</x:f>
        <x:v>0</x:v>
      </x:c>
      <x:c r="S241" s="97" t="n">
        <x:f>O241-R241</x:f>
        <x:v>14.12</x:v>
      </x:c>
      <x:c r="T241" s="94" t="n">
        <x:v>1</x:v>
      </x:c>
      <x:c r="U241" s="94" t="str">
        <x:v>模拟：Amazon Associates订单回传</x:v>
      </x:c>
    </x:row>
    <x:row r="242">
      <x:c r="A242" s="92" t="str">
        <x:v>AMZ-ORD-00241</x:v>
      </x:c>
      <x:c r="B242" s="94" t="str">
        <x:v>PROC-0238</x:v>
      </x:c>
      <x:c r="C242" s="108" t="n">
        <x:v>46067.48263888889</x:v>
      </x:c>
      <x:c r="D242" s="93" t="n">
        <x:v>46065</x:v>
      </x:c>
      <x:c r="E242" s="94" t="str">
        <x:v>Google Ads</x:v>
      </x:c>
      <x:c r="F242" s="94" t="str">
        <x:v>德国</x:v>
      </x:c>
      <x:c r="G242" s="94" t="str">
        <x:v>购物广告</x:v>
      </x:c>
      <x:c r="H242" s="94" t="str">
        <x:v>SKU-0007</x:v>
      </x:c>
      <x:c r="I242" s="94" t="str">
        <x:v>电子产品</x:v>
      </x:c>
      <x:c r="J242" s="94" t="str">
        <x:v>运动相机 G</x:v>
      </x:c>
      <x:c r="K242" s="97" t="n">
        <x:v>673.48</x:v>
      </x:c>
      <x:c r="L242" s="95" t="n">
        <x:v>1</x:v>
      </x:c>
      <x:c r="M242" s="97" t="n">
        <x:f>ROUND(K242*L242,2)</x:f>
        <x:v>673.48</x:v>
      </x:c>
      <x:c r="N242" s="109" t="n">
        <x:v>0.05</x:v>
      </x:c>
      <x:c r="O242" s="97" t="n">
        <x:f>ROUND(M242*N242,2)</x:f>
        <x:v>33.67</x:v>
      </x:c>
      <x:c r="P242" s="94" t="str">
        <x:v>已确认</x:v>
      </x:c>
      <x:c r="Q242" s="97" t="n">
        <x:f>IF(P242="已退款",M242,0)</x:f>
        <x:v>0</x:v>
      </x:c>
      <x:c r="R242" s="97" t="n">
        <x:f>IF(P242="已退款",O242,0)</x:f>
        <x:v>0</x:v>
      </x:c>
      <x:c r="S242" s="97" t="n">
        <x:f>O242-R242</x:f>
        <x:v>33.67</x:v>
      </x:c>
      <x:c r="T242" s="94" t="n">
        <x:v>2</x:v>
      </x:c>
      <x:c r="U242" s="94" t="str">
        <x:v>模拟：Amazon Associates订单回传</x:v>
      </x:c>
    </x:row>
    <x:row r="243">
      <x:c r="A243" s="92" t="str">
        <x:v>AMZ-ORD-00242</x:v>
      </x:c>
      <x:c r="B243" s="94" t="str">
        <x:v>PROC-0239</x:v>
      </x:c>
      <x:c r="C243" s="108" t="n">
        <x:v>46069.36875</x:v>
      </x:c>
      <x:c r="D243" s="93" t="n">
        <x:v>46066</x:v>
      </x:c>
      <x:c r="E243" s="94" t="str">
        <x:v>Google Ads</x:v>
      </x:c>
      <x:c r="F243" s="94" t="str">
        <x:v>英国</x:v>
      </x:c>
      <x:c r="G243" s="94" t="str">
        <x:v>通用搜索</x:v>
      </x:c>
      <x:c r="H243" s="94" t="str">
        <x:v>SKU-0048</x:v>
      </x:c>
      <x:c r="I243" s="94" t="str">
        <x:v>办公学习</x:v>
      </x:c>
      <x:c r="J243" s="94" t="str">
        <x:v>阅读支架 H</x:v>
      </x:c>
      <x:c r="K243" s="97" t="n">
        <x:v>256.08</x:v>
      </x:c>
      <x:c r="L243" s="95" t="n">
        <x:v>1</x:v>
      </x:c>
      <x:c r="M243" s="97" t="n">
        <x:f>ROUND(K243*L243,2)</x:f>
        <x:v>256.08</x:v>
      </x:c>
      <x:c r="N243" s="109" t="n">
        <x:v>0.07</x:v>
      </x:c>
      <x:c r="O243" s="97" t="n">
        <x:f>ROUND(M243*N243,2)</x:f>
        <x:v>17.93</x:v>
      </x:c>
      <x:c r="P243" s="94" t="str">
        <x:v>已确认</x:v>
      </x:c>
      <x:c r="Q243" s="97" t="n">
        <x:f>IF(P243="已退款",M243,0)</x:f>
        <x:v>0</x:v>
      </x:c>
      <x:c r="R243" s="97" t="n">
        <x:f>IF(P243="已退款",O243,0)</x:f>
        <x:v>0</x:v>
      </x:c>
      <x:c r="S243" s="97" t="n">
        <x:f>O243-R243</x:f>
        <x:v>17.93</x:v>
      </x:c>
      <x:c r="T243" s="94" t="n">
        <x:v>3</x:v>
      </x:c>
      <x:c r="U243" s="94" t="str">
        <x:v>模拟：Amazon Associates订单回传</x:v>
      </x:c>
    </x:row>
    <x:row r="244">
      <x:c r="A244" s="92" t="str">
        <x:v>AMZ-ORD-00243</x:v>
      </x:c>
      <x:c r="B244" s="94" t="str">
        <x:v>PROC-0240</x:v>
      </x:c>
      <x:c r="C244" s="108" t="n">
        <x:v>46069.87777777778</x:v>
      </x:c>
      <x:c r="D244" s="93" t="n">
        <x:v>46066</x:v>
      </x:c>
      <x:c r="E244" s="94" t="str">
        <x:v>Google Ads</x:v>
      </x:c>
      <x:c r="F244" s="94" t="str">
        <x:v>美国</x:v>
      </x:c>
      <x:c r="G244" s="94" t="str">
        <x:v>购物广告</x:v>
      </x:c>
      <x:c r="H244" s="94" t="str">
        <x:v>SKU-0024</x:v>
      </x:c>
      <x:c r="I244" s="94" t="str">
        <x:v>运动健康</x:v>
      </x:c>
      <x:c r="J244" s="94" t="str">
        <x:v>筋膜枪 D</x:v>
      </x:c>
      <x:c r="K244" s="97" t="n">
        <x:v>216.45</x:v>
      </x:c>
      <x:c r="L244" s="95" t="n">
        <x:v>1</x:v>
      </x:c>
      <x:c r="M244" s="97" t="n">
        <x:f>ROUND(K244*L244,2)</x:f>
        <x:v>216.45</x:v>
      </x:c>
      <x:c r="N244" s="109" t="n">
        <x:v>0.08</x:v>
      </x:c>
      <x:c r="O244" s="97" t="n">
        <x:f>ROUND(M244*N244,2)</x:f>
        <x:v>17.32</x:v>
      </x:c>
      <x:c r="P244" s="94" t="str">
        <x:v>已确认</x:v>
      </x:c>
      <x:c r="Q244" s="97" t="n">
        <x:f>IF(P244="已退款",M244,0)</x:f>
        <x:v>0</x:v>
      </x:c>
      <x:c r="R244" s="97" t="n">
        <x:f>IF(P244="已退款",O244,0)</x:f>
        <x:v>0</x:v>
      </x:c>
      <x:c r="S244" s="97" t="n">
        <x:f>O244-R244</x:f>
        <x:v>17.32</x:v>
      </x:c>
      <x:c r="T244" s="94" t="n">
        <x:v>3</x:v>
      </x:c>
      <x:c r="U244" s="94" t="str">
        <x:v>模拟：Amazon Associates订单回传</x:v>
      </x:c>
    </x:row>
    <x:row r="245">
      <x:c r="A245" s="92" t="str">
        <x:v>AMZ-ORD-00244</x:v>
      </x:c>
      <x:c r="B245" s="94" t="str">
        <x:v>PROC-0240</x:v>
      </x:c>
      <x:c r="C245" s="108" t="n">
        <x:v>46070.72361111111</x:v>
      </x:c>
      <x:c r="D245" s="93" t="n">
        <x:v>46066</x:v>
      </x:c>
      <x:c r="E245" s="94" t="str">
        <x:v>Google Ads</x:v>
      </x:c>
      <x:c r="F245" s="94" t="str">
        <x:v>美国</x:v>
      </x:c>
      <x:c r="G245" s="94" t="str">
        <x:v>购物广告</x:v>
      </x:c>
      <x:c r="H245" s="94" t="str">
        <x:v>SKU-0032</x:v>
      </x:c>
      <x:c r="I245" s="94" t="str">
        <x:v>美妆个护</x:v>
      </x:c>
      <x:c r="J245" s="94" t="str">
        <x:v>吹风机 B</x:v>
      </x:c>
      <x:c r="K245" s="97" t="n">
        <x:v>117.89</x:v>
      </x:c>
      <x:c r="L245" s="95" t="n">
        <x:v>2</x:v>
      </x:c>
      <x:c r="M245" s="97" t="n">
        <x:f>ROUND(K245*L245,2)</x:f>
        <x:v>235.78</x:v>
      </x:c>
      <x:c r="N245" s="109" t="n">
        <x:v>0.1</x:v>
      </x:c>
      <x:c r="O245" s="97" t="n">
        <x:f>ROUND(M245*N245,2)</x:f>
        <x:v>23.58</x:v>
      </x:c>
      <x:c r="P245" s="94" t="str">
        <x:v>待确认</x:v>
      </x:c>
      <x:c r="Q245" s="97" t="n">
        <x:f>IF(P245="已退款",M245,0)</x:f>
        <x:v>0</x:v>
      </x:c>
      <x:c r="R245" s="97" t="n">
        <x:f>IF(P245="已退款",O245,0)</x:f>
        <x:v>0</x:v>
      </x:c>
      <x:c r="S245" s="97" t="n">
        <x:f>O245-R245</x:f>
        <x:v>23.58</x:v>
      </x:c>
      <x:c r="T245" s="94" t="n">
        <x:v>4</x:v>
      </x:c>
      <x:c r="U245" s="94" t="str">
        <x:v>模拟：Amazon Associates订单回传</x:v>
      </x:c>
    </x:row>
    <x:row r="246">
      <x:c r="A246" s="92" t="str">
        <x:v>AMZ-ORD-00245</x:v>
      </x:c>
      <x:c r="B246" s="94" t="str">
        <x:v>PROC-0241</x:v>
      </x:c>
      <x:c r="C246" s="108" t="n">
        <x:v>46070.44652777778</x:v>
      </x:c>
      <x:c r="D246" s="93" t="n">
        <x:v>46066</x:v>
      </x:c>
      <x:c r="E246" s="94" t="str">
        <x:v>Google Ads</x:v>
      </x:c>
      <x:c r="F246" s="94" t="str">
        <x:v>美国</x:v>
      </x:c>
      <x:c r="G246" s="94" t="str">
        <x:v>购物广告</x:v>
      </x:c>
      <x:c r="H246" s="94" t="str">
        <x:v>SKU-0005</x:v>
      </x:c>
      <x:c r="I246" s="94" t="str">
        <x:v>电子产品</x:v>
      </x:c>
      <x:c r="J246" s="94" t="str">
        <x:v>降噪耳机 E</x:v>
      </x:c>
      <x:c r="K246" s="97" t="n">
        <x:v>301.4</x:v>
      </x:c>
      <x:c r="L246" s="95" t="n">
        <x:v>1</x:v>
      </x:c>
      <x:c r="M246" s="97" t="n">
        <x:f>ROUND(K246*L246,2)</x:f>
        <x:v>301.4</x:v>
      </x:c>
      <x:c r="N246" s="109" t="n">
        <x:v>0.05</x:v>
      </x:c>
      <x:c r="O246" s="97" t="n">
        <x:f>ROUND(M246*N246,2)</x:f>
        <x:v>15.07</x:v>
      </x:c>
      <x:c r="P246" s="94" t="str">
        <x:v>已确认</x:v>
      </x:c>
      <x:c r="Q246" s="97" t="n">
        <x:f>IF(P246="已退款",M246,0)</x:f>
        <x:v>0</x:v>
      </x:c>
      <x:c r="R246" s="97" t="n">
        <x:f>IF(P246="已退款",O246,0)</x:f>
        <x:v>0</x:v>
      </x:c>
      <x:c r="S246" s="97" t="n">
        <x:f>O246-R246</x:f>
        <x:v>15.07</x:v>
      </x:c>
      <x:c r="T246" s="94" t="n">
        <x:v>4</x:v>
      </x:c>
      <x:c r="U246" s="94" t="str">
        <x:v>模拟：Amazon Associates订单回传</x:v>
      </x:c>
    </x:row>
    <x:row r="247">
      <x:c r="A247" s="92" t="str">
        <x:v>AMZ-ORD-00246</x:v>
      </x:c>
      <x:c r="B247" s="94" t="str">
        <x:v>PROC-0242</x:v>
      </x:c>
      <x:c r="C247" s="108" t="n">
        <x:v>46066.61111111111</x:v>
      </x:c>
      <x:c r="D247" s="93" t="n">
        <x:v>46066</x:v>
      </x:c>
      <x:c r="E247" s="94" t="str">
        <x:v>Microsoft Ads</x:v>
      </x:c>
      <x:c r="F247" s="94" t="str">
        <x:v>美国</x:v>
      </x:c>
      <x:c r="G247" s="94" t="str">
        <x:v>购物广告</x:v>
      </x:c>
      <x:c r="H247" s="94" t="str">
        <x:v>SKU-0042</x:v>
      </x:c>
      <x:c r="I247" s="94" t="str">
        <x:v>办公学习</x:v>
      </x:c>
      <x:c r="J247" s="94" t="str">
        <x:v>护眼台灯 B</x:v>
      </x:c>
      <x:c r="K247" s="97" t="n">
        <x:v>102.96</x:v>
      </x:c>
      <x:c r="L247" s="95" t="n">
        <x:v>3</x:v>
      </x:c>
      <x:c r="M247" s="97" t="n">
        <x:f>ROUND(K247*L247,2)</x:f>
        <x:v>308.88</x:v>
      </x:c>
      <x:c r="N247" s="109" t="n">
        <x:v>0.07</x:v>
      </x:c>
      <x:c r="O247" s="97" t="n">
        <x:f>ROUND(M247*N247,2)</x:f>
        <x:v>21.62</x:v>
      </x:c>
      <x:c r="P247" s="94" t="str">
        <x:v>已确认</x:v>
      </x:c>
      <x:c r="Q247" s="97" t="n">
        <x:f>IF(P247="已退款",M247,0)</x:f>
        <x:v>0</x:v>
      </x:c>
      <x:c r="R247" s="97" t="n">
        <x:f>IF(P247="已退款",O247,0)</x:f>
        <x:v>0</x:v>
      </x:c>
      <x:c r="S247" s="97" t="n">
        <x:f>O247-R247</x:f>
        <x:v>21.62</x:v>
      </x:c>
      <x:c r="T247" s="94" t="n">
        <x:v>0</x:v>
      </x:c>
      <x:c r="U247" s="94" t="str">
        <x:v>模拟：Amazon Associates订单回传</x:v>
      </x:c>
    </x:row>
    <x:row r="248">
      <x:c r="A248" s="92" t="str">
        <x:v>AMZ-ORD-00247</x:v>
      </x:c>
      <x:c r="B248" s="94" t="str">
        <x:v>PROC-0243</x:v>
      </x:c>
      <x:c r="C248" s="108" t="n">
        <x:v>46068.72708333333</x:v>
      </x:c>
      <x:c r="D248" s="93" t="n">
        <x:v>46066</x:v>
      </x:c>
      <x:c r="E248" s="94" t="str">
        <x:v>Google Ads</x:v>
      </x:c>
      <x:c r="F248" s="94" t="str">
        <x:v>美国</x:v>
      </x:c>
      <x:c r="G248" s="94" t="str">
        <x:v>竞品搜索</x:v>
      </x:c>
      <x:c r="H248" s="94" t="str">
        <x:v>SKU-0037</x:v>
      </x:c>
      <x:c r="I248" s="94" t="str">
        <x:v>美妆个护</x:v>
      </x:c>
      <x:c r="J248" s="94" t="str">
        <x:v>美容仪 G</x:v>
      </x:c>
      <x:c r="K248" s="97" t="n">
        <x:v>81.83</x:v>
      </x:c>
      <x:c r="L248" s="95" t="n">
        <x:v>1</x:v>
      </x:c>
      <x:c r="M248" s="97" t="n">
        <x:f>ROUND(K248*L248,2)</x:f>
        <x:v>81.83</x:v>
      </x:c>
      <x:c r="N248" s="109" t="n">
        <x:v>0.1</x:v>
      </x:c>
      <x:c r="O248" s="97" t="n">
        <x:f>ROUND(M248*N248,2)</x:f>
        <x:v>8.18</x:v>
      </x:c>
      <x:c r="P248" s="94" t="str">
        <x:v>已确认</x:v>
      </x:c>
      <x:c r="Q248" s="97" t="n">
        <x:f>IF(P248="已退款",M248,0)</x:f>
        <x:v>0</x:v>
      </x:c>
      <x:c r="R248" s="97" t="n">
        <x:f>IF(P248="已退款",O248,0)</x:f>
        <x:v>0</x:v>
      </x:c>
      <x:c r="S248" s="97" t="n">
        <x:f>O248-R248</x:f>
        <x:v>8.18</x:v>
      </x:c>
      <x:c r="T248" s="94" t="n">
        <x:v>2</x:v>
      </x:c>
      <x:c r="U248" s="94" t="str">
        <x:v>模拟：Amazon Associates订单回传</x:v>
      </x:c>
    </x:row>
    <x:row r="249">
      <x:c r="A249" s="92" t="str">
        <x:v>AMZ-ORD-00248</x:v>
      </x:c>
      <x:c r="B249" s="94" t="str">
        <x:v>PROC-0244</x:v>
      </x:c>
      <x:c r="C249" s="108" t="n">
        <x:v>46067.56458333333</x:v>
      </x:c>
      <x:c r="D249" s="93" t="n">
        <x:v>46066</x:v>
      </x:c>
      <x:c r="E249" s="94" t="str">
        <x:v>Microsoft Ads</x:v>
      </x:c>
      <x:c r="F249" s="94" t="str">
        <x:v>英国</x:v>
      </x:c>
      <x:c r="G249" s="94" t="str">
        <x:v>通用搜索</x:v>
      </x:c>
      <x:c r="H249" s="94" t="str">
        <x:v>SKU-0042</x:v>
      </x:c>
      <x:c r="I249" s="94" t="str">
        <x:v>办公学习</x:v>
      </x:c>
      <x:c r="J249" s="94" t="str">
        <x:v>护眼台灯 B</x:v>
      </x:c>
      <x:c r="K249" s="97" t="n">
        <x:v>176.76</x:v>
      </x:c>
      <x:c r="L249" s="95" t="n">
        <x:v>1</x:v>
      </x:c>
      <x:c r="M249" s="97" t="n">
        <x:f>ROUND(K249*L249,2)</x:f>
        <x:v>176.76</x:v>
      </x:c>
      <x:c r="N249" s="109" t="n">
        <x:v>0.07</x:v>
      </x:c>
      <x:c r="O249" s="97" t="n">
        <x:f>ROUND(M249*N249,2)</x:f>
        <x:v>12.37</x:v>
      </x:c>
      <x:c r="P249" s="94" t="str">
        <x:v>已确认</x:v>
      </x:c>
      <x:c r="Q249" s="97" t="n">
        <x:f>IF(P249="已退款",M249,0)</x:f>
        <x:v>0</x:v>
      </x:c>
      <x:c r="R249" s="97" t="n">
        <x:f>IF(P249="已退款",O249,0)</x:f>
        <x:v>0</x:v>
      </x:c>
      <x:c r="S249" s="97" t="n">
        <x:f>O249-R249</x:f>
        <x:v>12.37</x:v>
      </x:c>
      <x:c r="T249" s="94" t="n">
        <x:v>1</x:v>
      </x:c>
      <x:c r="U249" s="94" t="str">
        <x:v>模拟：Amazon Associates订单回传</x:v>
      </x:c>
    </x:row>
    <x:row r="250">
      <x:c r="A250" s="92" t="str">
        <x:v>AMZ-ORD-00249</x:v>
      </x:c>
      <x:c r="B250" s="94" t="str">
        <x:v>PROC-0245</x:v>
      </x:c>
      <x:c r="C250" s="108" t="n">
        <x:v>46071.70347222222</x:v>
      </x:c>
      <x:c r="D250" s="93" t="n">
        <x:v>46067</x:v>
      </x:c>
      <x:c r="E250" s="94" t="str">
        <x:v>Google Ads</x:v>
      </x:c>
      <x:c r="F250" s="94" t="str">
        <x:v>英国</x:v>
      </x:c>
      <x:c r="G250" s="94" t="str">
        <x:v>通用搜索</x:v>
      </x:c>
      <x:c r="H250" s="94" t="str">
        <x:v>SKU-0028</x:v>
      </x:c>
      <x:c r="I250" s="94" t="str">
        <x:v>运动健康</x:v>
      </x:c>
      <x:c r="J250" s="94" t="str">
        <x:v>体脂秤 H</x:v>
      </x:c>
      <x:c r="K250" s="97" t="n">
        <x:v>147.16</x:v>
      </x:c>
      <x:c r="L250" s="95" t="n">
        <x:v>2</x:v>
      </x:c>
      <x:c r="M250" s="97" t="n">
        <x:f>ROUND(K250*L250,2)</x:f>
        <x:v>294.32</x:v>
      </x:c>
      <x:c r="N250" s="109" t="n">
        <x:v>0.08</x:v>
      </x:c>
      <x:c r="O250" s="97" t="n">
        <x:f>ROUND(M250*N250,2)</x:f>
        <x:v>23.55</x:v>
      </x:c>
      <x:c r="P250" s="94" t="str">
        <x:v>已确认</x:v>
      </x:c>
      <x:c r="Q250" s="97" t="n">
        <x:f>IF(P250="已退款",M250,0)</x:f>
        <x:v>0</x:v>
      </x:c>
      <x:c r="R250" s="97" t="n">
        <x:f>IF(P250="已退款",O250,0)</x:f>
        <x:v>0</x:v>
      </x:c>
      <x:c r="S250" s="97" t="n">
        <x:f>O250-R250</x:f>
        <x:v>23.55</x:v>
      </x:c>
      <x:c r="T250" s="94" t="n">
        <x:v>4</x:v>
      </x:c>
      <x:c r="U250" s="94" t="str">
        <x:v>模拟：Amazon Associates订单回传</x:v>
      </x:c>
    </x:row>
    <x:row r="251">
      <x:c r="A251" s="92" t="str">
        <x:v>AMZ-ORD-00250</x:v>
      </x:c>
      <x:c r="B251" s="94" t="str">
        <x:v>PROC-0246</x:v>
      </x:c>
      <x:c r="C251" s="108" t="n">
        <x:v>46069.41388888889</x:v>
      </x:c>
      <x:c r="D251" s="93" t="n">
        <x:v>46067</x:v>
      </x:c>
      <x:c r="E251" s="94" t="str">
        <x:v>Google Ads</x:v>
      </x:c>
      <x:c r="F251" s="94" t="str">
        <x:v>美国</x:v>
      </x:c>
      <x:c r="G251" s="94" t="str">
        <x:v>品牌搜索</x:v>
      </x:c>
      <x:c r="H251" s="94" t="str">
        <x:v>SKU-0021</x:v>
      </x:c>
      <x:c r="I251" s="94" t="str">
        <x:v>运动健康</x:v>
      </x:c>
      <x:c r="J251" s="94" t="str">
        <x:v>智能手表 A</x:v>
      </x:c>
      <x:c r="K251" s="97" t="n">
        <x:v>215.51</x:v>
      </x:c>
      <x:c r="L251" s="95" t="n">
        <x:v>1</x:v>
      </x:c>
      <x:c r="M251" s="97" t="n">
        <x:f>ROUND(K251*L251,2)</x:f>
        <x:v>215.51</x:v>
      </x:c>
      <x:c r="N251" s="109" t="n">
        <x:v>0.08</x:v>
      </x:c>
      <x:c r="O251" s="97" t="n">
        <x:f>ROUND(M251*N251,2)</x:f>
        <x:v>17.24</x:v>
      </x:c>
      <x:c r="P251" s="94" t="str">
        <x:v>已确认</x:v>
      </x:c>
      <x:c r="Q251" s="97" t="n">
        <x:f>IF(P251="已退款",M251,0)</x:f>
        <x:v>0</x:v>
      </x:c>
      <x:c r="R251" s="97" t="n">
        <x:f>IF(P251="已退款",O251,0)</x:f>
        <x:v>0</x:v>
      </x:c>
      <x:c r="S251" s="97" t="n">
        <x:f>O251-R251</x:f>
        <x:v>17.24</x:v>
      </x:c>
      <x:c r="T251" s="94" t="n">
        <x:v>2</x:v>
      </x:c>
      <x:c r="U251" s="94" t="str">
        <x:v>模拟：Amazon Associates订单回传</x:v>
      </x:c>
    </x:row>
    <x:row r="252">
      <x:c r="A252" s="92" t="str">
        <x:v>AMZ-ORD-00251</x:v>
      </x:c>
      <x:c r="B252" s="94" t="str">
        <x:v>PROC-0246</x:v>
      </x:c>
      <x:c r="C252" s="108" t="n">
        <x:v>46071.520833333336</x:v>
      </x:c>
      <x:c r="D252" s="93" t="n">
        <x:v>46067</x:v>
      </x:c>
      <x:c r="E252" s="94" t="str">
        <x:v>Google Ads</x:v>
      </x:c>
      <x:c r="F252" s="94" t="str">
        <x:v>美国</x:v>
      </x:c>
      <x:c r="G252" s="94" t="str">
        <x:v>品牌搜索</x:v>
      </x:c>
      <x:c r="H252" s="94" t="str">
        <x:v>SKU-0026</x:v>
      </x:c>
      <x:c r="I252" s="94" t="str">
        <x:v>运动健康</x:v>
      </x:c>
      <x:c r="J252" s="94" t="str">
        <x:v>骑行头盔 F</x:v>
      </x:c>
      <x:c r="K252" s="97" t="n">
        <x:v>102.37</x:v>
      </x:c>
      <x:c r="L252" s="95" t="n">
        <x:v>1</x:v>
      </x:c>
      <x:c r="M252" s="97" t="n">
        <x:f>ROUND(K252*L252,2)</x:f>
        <x:v>102.37</x:v>
      </x:c>
      <x:c r="N252" s="109" t="n">
        <x:v>0.08</x:v>
      </x:c>
      <x:c r="O252" s="97" t="n">
        <x:f>ROUND(M252*N252,2)</x:f>
        <x:v>8.19</x:v>
      </x:c>
      <x:c r="P252" s="94" t="str">
        <x:v>已确认</x:v>
      </x:c>
      <x:c r="Q252" s="97" t="n">
        <x:f>IF(P252="已退款",M252,0)</x:f>
        <x:v>0</x:v>
      </x:c>
      <x:c r="R252" s="97" t="n">
        <x:f>IF(P252="已退款",O252,0)</x:f>
        <x:v>0</x:v>
      </x:c>
      <x:c r="S252" s="97" t="n">
        <x:f>O252-R252</x:f>
        <x:v>8.19</x:v>
      </x:c>
      <x:c r="T252" s="94" t="n">
        <x:v>4</x:v>
      </x:c>
      <x:c r="U252" s="94" t="str">
        <x:v>模拟：Amazon Associates订单回传</x:v>
      </x:c>
    </x:row>
    <x:row r="253">
      <x:c r="A253" s="92" t="str">
        <x:v>AMZ-ORD-00252</x:v>
      </x:c>
      <x:c r="B253" s="94" t="str">
        <x:v>PROC-0247</x:v>
      </x:c>
      <x:c r="C253" s="108" t="n">
        <x:v>46068.5</x:v>
      </x:c>
      <x:c r="D253" s="93" t="n">
        <x:v>46067</x:v>
      </x:c>
      <x:c r="E253" s="94" t="str">
        <x:v>Microsoft Ads</x:v>
      </x:c>
      <x:c r="F253" s="94" t="str">
        <x:v>美国</x:v>
      </x:c>
      <x:c r="G253" s="94" t="str">
        <x:v>品牌搜索</x:v>
      </x:c>
      <x:c r="H253" s="94" t="str">
        <x:v>SKU-0017</x:v>
      </x:c>
      <x:c r="I253" s="94" t="str">
        <x:v>家居生活</x:v>
      </x:c>
      <x:c r="J253" s="94" t="str">
        <x:v>落地灯 G</x:v>
      </x:c>
      <x:c r="K253" s="97" t="n">
        <x:v>240.54</x:v>
      </x:c>
      <x:c r="L253" s="95" t="n">
        <x:v>1</x:v>
      </x:c>
      <x:c r="M253" s="97" t="n">
        <x:f>ROUND(K253*L253,2)</x:f>
        <x:v>240.54</x:v>
      </x:c>
      <x:c r="N253" s="109" t="n">
        <x:v>0.07</x:v>
      </x:c>
      <x:c r="O253" s="97" t="n">
        <x:f>ROUND(M253*N253,2)</x:f>
        <x:v>16.84</x:v>
      </x:c>
      <x:c r="P253" s="94" t="str">
        <x:v>已确认</x:v>
      </x:c>
      <x:c r="Q253" s="97" t="n">
        <x:f>IF(P253="已退款",M253,0)</x:f>
        <x:v>0</x:v>
      </x:c>
      <x:c r="R253" s="97" t="n">
        <x:f>IF(P253="已退款",O253,0)</x:f>
        <x:v>0</x:v>
      </x:c>
      <x:c r="S253" s="97" t="n">
        <x:f>O253-R253</x:f>
        <x:v>16.84</x:v>
      </x:c>
      <x:c r="T253" s="94" t="n">
        <x:v>1</x:v>
      </x:c>
      <x:c r="U253" s="94" t="str">
        <x:v>模拟：Amazon Associates订单回传</x:v>
      </x:c>
    </x:row>
    <x:row r="254">
      <x:c r="A254" s="92" t="str">
        <x:v>AMZ-ORD-00253</x:v>
      </x:c>
      <x:c r="B254" s="94" t="str">
        <x:v>PROC-0247</x:v>
      </x:c>
      <x:c r="C254" s="108" t="n">
        <x:v>46067.634722222225</x:v>
      </x:c>
      <x:c r="D254" s="93" t="n">
        <x:v>46067</x:v>
      </x:c>
      <x:c r="E254" s="94" t="str">
        <x:v>Microsoft Ads</x:v>
      </x:c>
      <x:c r="F254" s="94" t="str">
        <x:v>美国</x:v>
      </x:c>
      <x:c r="G254" s="94" t="str">
        <x:v>品牌搜索</x:v>
      </x:c>
      <x:c r="H254" s="94" t="str">
        <x:v>SKU-0015</x:v>
      </x:c>
      <x:c r="I254" s="94" t="str">
        <x:v>家居生活</x:v>
      </x:c>
      <x:c r="J254" s="94" t="str">
        <x:v>床品套装 E</x:v>
      </x:c>
      <x:c r="K254" s="97" t="n">
        <x:v>242.43</x:v>
      </x:c>
      <x:c r="L254" s="95" t="n">
        <x:v>1</x:v>
      </x:c>
      <x:c r="M254" s="97" t="n">
        <x:f>ROUND(K254*L254,2)</x:f>
        <x:v>242.43</x:v>
      </x:c>
      <x:c r="N254" s="109" t="n">
        <x:v>0.07</x:v>
      </x:c>
      <x:c r="O254" s="97" t="n">
        <x:f>ROUND(M254*N254,2)</x:f>
        <x:v>16.97</x:v>
      </x:c>
      <x:c r="P254" s="94" t="str">
        <x:v>已确认</x:v>
      </x:c>
      <x:c r="Q254" s="97" t="n">
        <x:f>IF(P254="已退款",M254,0)</x:f>
        <x:v>0</x:v>
      </x:c>
      <x:c r="R254" s="97" t="n">
        <x:f>IF(P254="已退款",O254,0)</x:f>
        <x:v>0</x:v>
      </x:c>
      <x:c r="S254" s="97" t="n">
        <x:f>O254-R254</x:f>
        <x:v>16.97</x:v>
      </x:c>
      <x:c r="T254" s="94" t="n">
        <x:v>0</x:v>
      </x:c>
      <x:c r="U254" s="94" t="str">
        <x:v>模拟：Amazon Associates订单回传</x:v>
      </x:c>
    </x:row>
    <x:row r="255">
      <x:c r="A255" s="92" t="str">
        <x:v>AMZ-ORD-00254</x:v>
      </x:c>
      <x:c r="B255" s="94" t="str">
        <x:v>PROC-0248</x:v>
      </x:c>
      <x:c r="C255" s="108" t="n">
        <x:v>46070.34305555555</x:v>
      </x:c>
      <x:c r="D255" s="93" t="n">
        <x:v>46067</x:v>
      </x:c>
      <x:c r="E255" s="94" t="str">
        <x:v>Google Ads</x:v>
      </x:c>
      <x:c r="F255" s="94" t="str">
        <x:v>德国</x:v>
      </x:c>
      <x:c r="G255" s="94" t="str">
        <x:v>通用搜索</x:v>
      </x:c>
      <x:c r="H255" s="94" t="str">
        <x:v>SKU-0018</x:v>
      </x:c>
      <x:c r="I255" s="94" t="str">
        <x:v>家居生活</x:v>
      </x:c>
      <x:c r="J255" s="94" t="str">
        <x:v>收纳组合 H</x:v>
      </x:c>
      <x:c r="K255" s="97" t="n">
        <x:v>347.42</x:v>
      </x:c>
      <x:c r="L255" s="95" t="n">
        <x:v>1</x:v>
      </x:c>
      <x:c r="M255" s="97" t="n">
        <x:f>ROUND(K255*L255,2)</x:f>
        <x:v>347.42</x:v>
      </x:c>
      <x:c r="N255" s="109" t="n">
        <x:v>0.07</x:v>
      </x:c>
      <x:c r="O255" s="97" t="n">
        <x:f>ROUND(M255*N255,2)</x:f>
        <x:v>24.32</x:v>
      </x:c>
      <x:c r="P255" s="94" t="str">
        <x:v>已确认</x:v>
      </x:c>
      <x:c r="Q255" s="97" t="n">
        <x:f>IF(P255="已退款",M255,0)</x:f>
        <x:v>0</x:v>
      </x:c>
      <x:c r="R255" s="97" t="n">
        <x:f>IF(P255="已退款",O255,0)</x:f>
        <x:v>0</x:v>
      </x:c>
      <x:c r="S255" s="97" t="n">
        <x:f>O255-R255</x:f>
        <x:v>24.32</x:v>
      </x:c>
      <x:c r="T255" s="94" t="n">
        <x:v>3</x:v>
      </x:c>
      <x:c r="U255" s="94" t="str">
        <x:v>模拟：Amazon Associates订单回传</x:v>
      </x:c>
    </x:row>
    <x:row r="256">
      <x:c r="A256" s="92" t="str">
        <x:v>AMZ-ORD-00255</x:v>
      </x:c>
      <x:c r="B256" s="94" t="str">
        <x:v>PROC-0249</x:v>
      </x:c>
      <x:c r="C256" s="108" t="n">
        <x:v>46067.61597222222</x:v>
      </x:c>
      <x:c r="D256" s="93" t="n">
        <x:v>46067</x:v>
      </x:c>
      <x:c r="E256" s="94" t="str">
        <x:v>Microsoft Ads</x:v>
      </x:c>
      <x:c r="F256" s="94" t="str">
        <x:v>德国</x:v>
      </x:c>
      <x:c r="G256" s="94" t="str">
        <x:v>品牌搜索</x:v>
      </x:c>
      <x:c r="H256" s="94" t="str">
        <x:v>SKU-0002</x:v>
      </x:c>
      <x:c r="I256" s="94" t="str">
        <x:v>电子产品</x:v>
      </x:c>
      <x:c r="J256" s="94" t="str">
        <x:v>便携显示器 B</x:v>
      </x:c>
      <x:c r="K256" s="97" t="n">
        <x:v>327.82</x:v>
      </x:c>
      <x:c r="L256" s="95" t="n">
        <x:v>1</x:v>
      </x:c>
      <x:c r="M256" s="97" t="n">
        <x:f>ROUND(K256*L256,2)</x:f>
        <x:v>327.82</x:v>
      </x:c>
      <x:c r="N256" s="109" t="n">
        <x:v>0.05</x:v>
      </x:c>
      <x:c r="O256" s="97" t="n">
        <x:f>ROUND(M256*N256,2)</x:f>
        <x:v>16.39</x:v>
      </x:c>
      <x:c r="P256" s="94" t="str">
        <x:v>已确认</x:v>
      </x:c>
      <x:c r="Q256" s="97" t="n">
        <x:f>IF(P256="已退款",M256,0)</x:f>
        <x:v>0</x:v>
      </x:c>
      <x:c r="R256" s="97" t="n">
        <x:f>IF(P256="已退款",O256,0)</x:f>
        <x:v>0</x:v>
      </x:c>
      <x:c r="S256" s="97" t="n">
        <x:f>O256-R256</x:f>
        <x:v>16.39</x:v>
      </x:c>
      <x:c r="T256" s="94" t="n">
        <x:v>0</x:v>
      </x:c>
      <x:c r="U256" s="94" t="str">
        <x:v>模拟：Amazon Associates订单回传</x:v>
      </x:c>
    </x:row>
    <x:row r="257">
      <x:c r="A257" s="92" t="str">
        <x:v>AMZ-ORD-00256</x:v>
      </x:c>
      <x:c r="B257" s="94" t="str">
        <x:v>PROC-0249</x:v>
      </x:c>
      <x:c r="C257" s="108" t="n">
        <x:v>46068.342361111114</x:v>
      </x:c>
      <x:c r="D257" s="93" t="n">
        <x:v>46067</x:v>
      </x:c>
      <x:c r="E257" s="94" t="str">
        <x:v>Microsoft Ads</x:v>
      </x:c>
      <x:c r="F257" s="94" t="str">
        <x:v>德国</x:v>
      </x:c>
      <x:c r="G257" s="94" t="str">
        <x:v>品牌搜索</x:v>
      </x:c>
      <x:c r="H257" s="94" t="str">
        <x:v>SKU-0005</x:v>
      </x:c>
      <x:c r="I257" s="94" t="str">
        <x:v>电子产品</x:v>
      </x:c>
      <x:c r="J257" s="94" t="str">
        <x:v>降噪耳机 E</x:v>
      </x:c>
      <x:c r="K257" s="97" t="n">
        <x:v>234.02</x:v>
      </x:c>
      <x:c r="L257" s="95" t="n">
        <x:v>1</x:v>
      </x:c>
      <x:c r="M257" s="97" t="n">
        <x:f>ROUND(K257*L257,2)</x:f>
        <x:v>234.02</x:v>
      </x:c>
      <x:c r="N257" s="109" t="n">
        <x:v>0.05</x:v>
      </x:c>
      <x:c r="O257" s="97" t="n">
        <x:f>ROUND(M257*N257,2)</x:f>
        <x:v>11.7</x:v>
      </x:c>
      <x:c r="P257" s="94" t="str">
        <x:v>已确认</x:v>
      </x:c>
      <x:c r="Q257" s="97" t="n">
        <x:f>IF(P257="已退款",M257,0)</x:f>
        <x:v>0</x:v>
      </x:c>
      <x:c r="R257" s="97" t="n">
        <x:f>IF(P257="已退款",O257,0)</x:f>
        <x:v>0</x:v>
      </x:c>
      <x:c r="S257" s="97" t="n">
        <x:f>O257-R257</x:f>
        <x:v>11.7</x:v>
      </x:c>
      <x:c r="T257" s="94" t="n">
        <x:v>1</x:v>
      </x:c>
      <x:c r="U257" s="94" t="str">
        <x:v>模拟：Amazon Associates订单回传</x:v>
      </x:c>
    </x:row>
    <x:row r="258">
      <x:c r="A258" s="92" t="str">
        <x:v>AMZ-ORD-00257</x:v>
      </x:c>
      <x:c r="B258" s="94" t="str">
        <x:v>PROC-0250</x:v>
      </x:c>
      <x:c r="C258" s="108" t="n">
        <x:v>46069.720138888886</x:v>
      </x:c>
      <x:c r="D258" s="93" t="n">
        <x:v>46068</x:v>
      </x:c>
      <x:c r="E258" s="94" t="str">
        <x:v>Google Ads</x:v>
      </x:c>
      <x:c r="F258" s="94" t="str">
        <x:v>美国</x:v>
      </x:c>
      <x:c r="G258" s="94" t="str">
        <x:v>购物广告</x:v>
      </x:c>
      <x:c r="H258" s="94" t="str">
        <x:v>SKU-0003</x:v>
      </x:c>
      <x:c r="I258" s="94" t="str">
        <x:v>电子产品</x:v>
      </x:c>
      <x:c r="J258" s="94" t="str">
        <x:v>智能家居中枢 C</x:v>
      </x:c>
      <x:c r="K258" s="97" t="n">
        <x:v>342.02</x:v>
      </x:c>
      <x:c r="L258" s="95" t="n">
        <x:v>1</x:v>
      </x:c>
      <x:c r="M258" s="97" t="n">
        <x:f>ROUND(K258*L258,2)</x:f>
        <x:v>342.02</x:v>
      </x:c>
      <x:c r="N258" s="109" t="n">
        <x:v>0.05</x:v>
      </x:c>
      <x:c r="O258" s="97" t="n">
        <x:f>ROUND(M258*N258,2)</x:f>
        <x:v>17.1</x:v>
      </x:c>
      <x:c r="P258" s="94" t="str">
        <x:v>已确认</x:v>
      </x:c>
      <x:c r="Q258" s="97" t="n">
        <x:f>IF(P258="已退款",M258,0)</x:f>
        <x:v>0</x:v>
      </x:c>
      <x:c r="R258" s="97" t="n">
        <x:f>IF(P258="已退款",O258,0)</x:f>
        <x:v>0</x:v>
      </x:c>
      <x:c r="S258" s="97" t="n">
        <x:f>O258-R258</x:f>
        <x:v>17.1</x:v>
      </x:c>
      <x:c r="T258" s="94" t="n">
        <x:v>1</x:v>
      </x:c>
      <x:c r="U258" s="94" t="str">
        <x:v>模拟：Amazon Associates订单回传</x:v>
      </x:c>
    </x:row>
    <x:row r="259">
      <x:c r="A259" s="92" t="str">
        <x:v>AMZ-ORD-00258</x:v>
      </x:c>
      <x:c r="B259" s="94" t="str">
        <x:v>PROC-0251</x:v>
      </x:c>
      <x:c r="C259" s="108" t="n">
        <x:v>46069.873611111114</x:v>
      </x:c>
      <x:c r="D259" s="93" t="n">
        <x:v>46068</x:v>
      </x:c>
      <x:c r="E259" s="94" t="str">
        <x:v>Google Ads</x:v>
      </x:c>
      <x:c r="F259" s="94" t="str">
        <x:v>日本</x:v>
      </x:c>
      <x:c r="G259" s="94" t="str">
        <x:v>通用搜索</x:v>
      </x:c>
      <x:c r="H259" s="94" t="str">
        <x:v>SKU-0001</x:v>
      </x:c>
      <x:c r="I259" s="94" t="str">
        <x:v>电子产品</x:v>
      </x:c>
      <x:c r="J259" s="94" t="str">
        <x:v>无线耳机 A</x:v>
      </x:c>
      <x:c r="K259" s="97" t="n">
        <x:v>588.55</x:v>
      </x:c>
      <x:c r="L259" s="95" t="n">
        <x:v>1</x:v>
      </x:c>
      <x:c r="M259" s="97" t="n">
        <x:f>ROUND(K259*L259,2)</x:f>
        <x:v>588.55</x:v>
      </x:c>
      <x:c r="N259" s="109" t="n">
        <x:v>0.05</x:v>
      </x:c>
      <x:c r="O259" s="97" t="n">
        <x:f>ROUND(M259*N259,2)</x:f>
        <x:v>29.43</x:v>
      </x:c>
      <x:c r="P259" s="94" t="str">
        <x:v>已确认</x:v>
      </x:c>
      <x:c r="Q259" s="97" t="n">
        <x:f>IF(P259="已退款",M259,0)</x:f>
        <x:v>0</x:v>
      </x:c>
      <x:c r="R259" s="97" t="n">
        <x:f>IF(P259="已退款",O259,0)</x:f>
        <x:v>0</x:v>
      </x:c>
      <x:c r="S259" s="97" t="n">
        <x:f>O259-R259</x:f>
        <x:v>29.43</x:v>
      </x:c>
      <x:c r="T259" s="94" t="n">
        <x:v>1</x:v>
      </x:c>
      <x:c r="U259" s="94" t="str">
        <x:v>模拟：Amazon Associates订单回传</x:v>
      </x:c>
    </x:row>
    <x:row r="260">
      <x:c r="A260" s="92" t="str">
        <x:v>AMZ-ORD-00259</x:v>
      </x:c>
      <x:c r="B260" s="94" t="str">
        <x:v>PROC-0252</x:v>
      </x:c>
      <x:c r="C260" s="108" t="n">
        <x:v>46069.76180555556</x:v>
      </x:c>
      <x:c r="D260" s="93" t="n">
        <x:v>46068</x:v>
      </x:c>
      <x:c r="E260" s="94" t="str">
        <x:v>Google Ads</x:v>
      </x:c>
      <x:c r="F260" s="94" t="str">
        <x:v>英国</x:v>
      </x:c>
      <x:c r="G260" s="94" t="str">
        <x:v>通用搜索</x:v>
      </x:c>
      <x:c r="H260" s="94" t="str">
        <x:v>SKU-0005</x:v>
      </x:c>
      <x:c r="I260" s="94" t="str">
        <x:v>电子产品</x:v>
      </x:c>
      <x:c r="J260" s="94" t="str">
        <x:v>降噪耳机 E</x:v>
      </x:c>
      <x:c r="K260" s="97" t="n">
        <x:v>552.61</x:v>
      </x:c>
      <x:c r="L260" s="95" t="n">
        <x:v>1</x:v>
      </x:c>
      <x:c r="M260" s="97" t="n">
        <x:f>ROUND(K260*L260,2)</x:f>
        <x:v>552.61</x:v>
      </x:c>
      <x:c r="N260" s="109" t="n">
        <x:v>0.05</x:v>
      </x:c>
      <x:c r="O260" s="97" t="n">
        <x:f>ROUND(M260*N260,2)</x:f>
        <x:v>27.63</x:v>
      </x:c>
      <x:c r="P260" s="94" t="str">
        <x:v>已确认</x:v>
      </x:c>
      <x:c r="Q260" s="97" t="n">
        <x:f>IF(P260="已退款",M260,0)</x:f>
        <x:v>0</x:v>
      </x:c>
      <x:c r="R260" s="97" t="n">
        <x:f>IF(P260="已退款",O260,0)</x:f>
        <x:v>0</x:v>
      </x:c>
      <x:c r="S260" s="97" t="n">
        <x:f>O260-R260</x:f>
        <x:v>27.63</x:v>
      </x:c>
      <x:c r="T260" s="94" t="n">
        <x:v>1</x:v>
      </x:c>
      <x:c r="U260" s="94" t="str">
        <x:v>模拟：Amazon Associates订单回传</x:v>
      </x:c>
    </x:row>
    <x:row r="261">
      <x:c r="A261" s="92" t="str">
        <x:v>AMZ-ORD-00260</x:v>
      </x:c>
      <x:c r="B261" s="94" t="str">
        <x:v>PROC-0253</x:v>
      </x:c>
      <x:c r="C261" s="108" t="n">
        <x:v>46071.47708333333</x:v>
      </x:c>
      <x:c r="D261" s="93" t="n">
        <x:v>46068</x:v>
      </x:c>
      <x:c r="E261" s="94" t="str">
        <x:v>Google Ads</x:v>
      </x:c>
      <x:c r="F261" s="94" t="str">
        <x:v>德国</x:v>
      </x:c>
      <x:c r="G261" s="94" t="str">
        <x:v>通用搜索</x:v>
      </x:c>
      <x:c r="H261" s="94" t="str">
        <x:v>SKU-0006</x:v>
      </x:c>
      <x:c r="I261" s="94" t="str">
        <x:v>电子产品</x:v>
      </x:c>
      <x:c r="J261" s="94" t="str">
        <x:v>迷你投影仪 F</x:v>
      </x:c>
      <x:c r="K261" s="97" t="n">
        <x:v>584.12</x:v>
      </x:c>
      <x:c r="L261" s="95" t="n">
        <x:v>1</x:v>
      </x:c>
      <x:c r="M261" s="97" t="n">
        <x:f>ROUND(K261*L261,2)</x:f>
        <x:v>584.12</x:v>
      </x:c>
      <x:c r="N261" s="109" t="n">
        <x:v>0.05</x:v>
      </x:c>
      <x:c r="O261" s="97" t="n">
        <x:f>ROUND(M261*N261,2)</x:f>
        <x:v>29.21</x:v>
      </x:c>
      <x:c r="P261" s="94" t="str">
        <x:v>已确认</x:v>
      </x:c>
      <x:c r="Q261" s="97" t="n">
        <x:f>IF(P261="已退款",M261,0)</x:f>
        <x:v>0</x:v>
      </x:c>
      <x:c r="R261" s="97" t="n">
        <x:f>IF(P261="已退款",O261,0)</x:f>
        <x:v>0</x:v>
      </x:c>
      <x:c r="S261" s="97" t="n">
        <x:f>O261-R261</x:f>
        <x:v>29.21</x:v>
      </x:c>
      <x:c r="T261" s="94" t="n">
        <x:v>3</x:v>
      </x:c>
      <x:c r="U261" s="94" t="str">
        <x:v>模拟：Amazon Associates订单回传</x:v>
      </x:c>
    </x:row>
    <x:row r="262">
      <x:c r="A262" s="92" t="str">
        <x:v>AMZ-ORD-00261</x:v>
      </x:c>
      <x:c r="B262" s="94" t="str">
        <x:v>PROC-0254</x:v>
      </x:c>
      <x:c r="C262" s="108" t="n">
        <x:v>46069.77013888889</x:v>
      </x:c>
      <x:c r="D262" s="93" t="n">
        <x:v>46068</x:v>
      </x:c>
      <x:c r="E262" s="94" t="str">
        <x:v>Microsoft Ads</x:v>
      </x:c>
      <x:c r="F262" s="94" t="str">
        <x:v>日本</x:v>
      </x:c>
      <x:c r="G262" s="94" t="str">
        <x:v>通用搜索</x:v>
      </x:c>
      <x:c r="H262" s="94" t="str">
        <x:v>SKU-0018</x:v>
      </x:c>
      <x:c r="I262" s="94" t="str">
        <x:v>家居生活</x:v>
      </x:c>
      <x:c r="J262" s="94" t="str">
        <x:v>收纳组合 H</x:v>
      </x:c>
      <x:c r="K262" s="97" t="n">
        <x:v>132.09</x:v>
      </x:c>
      <x:c r="L262" s="95" t="n">
        <x:v>1</x:v>
      </x:c>
      <x:c r="M262" s="97" t="n">
        <x:f>ROUND(K262*L262,2)</x:f>
        <x:v>132.09</x:v>
      </x:c>
      <x:c r="N262" s="109" t="n">
        <x:v>0.07</x:v>
      </x:c>
      <x:c r="O262" s="97" t="n">
        <x:f>ROUND(M262*N262,2)</x:f>
        <x:v>9.25</x:v>
      </x:c>
      <x:c r="P262" s="94" t="str">
        <x:v>已确认</x:v>
      </x:c>
      <x:c r="Q262" s="97" t="n">
        <x:f>IF(P262="已退款",M262,0)</x:f>
        <x:v>0</x:v>
      </x:c>
      <x:c r="R262" s="97" t="n">
        <x:f>IF(P262="已退款",O262,0)</x:f>
        <x:v>0</x:v>
      </x:c>
      <x:c r="S262" s="97" t="n">
        <x:f>O262-R262</x:f>
        <x:v>9.25</x:v>
      </x:c>
      <x:c r="T262" s="94" t="n">
        <x:v>1</x:v>
      </x:c>
      <x:c r="U262" s="94" t="str">
        <x:v>模拟：Amazon Associates订单回传</x:v>
      </x:c>
    </x:row>
    <x:row r="263">
      <x:c r="A263" s="92" t="str">
        <x:v>AMZ-ORD-00262</x:v>
      </x:c>
      <x:c r="B263" s="94" t="str">
        <x:v>PROC-0256</x:v>
      </x:c>
      <x:c r="C263" s="108" t="n">
        <x:v>46072.47222222222</x:v>
      </x:c>
      <x:c r="D263" s="93" t="n">
        <x:v>46069</x:v>
      </x:c>
      <x:c r="E263" s="94" t="str">
        <x:v>Microsoft Ads</x:v>
      </x:c>
      <x:c r="F263" s="94" t="str">
        <x:v>美国</x:v>
      </x:c>
      <x:c r="G263" s="94" t="str">
        <x:v>购物广告</x:v>
      </x:c>
      <x:c r="H263" s="94" t="str">
        <x:v>SKU-0011</x:v>
      </x:c>
      <x:c r="I263" s="94" t="str">
        <x:v>家居生活</x:v>
      </x:c>
      <x:c r="J263" s="94" t="str">
        <x:v>空气净化器 A</x:v>
      </x:c>
      <x:c r="K263" s="97" t="n">
        <x:v>262.61</x:v>
      </x:c>
      <x:c r="L263" s="95" t="n">
        <x:v>1</x:v>
      </x:c>
      <x:c r="M263" s="97" t="n">
        <x:f>ROUND(K263*L263,2)</x:f>
        <x:v>262.61</x:v>
      </x:c>
      <x:c r="N263" s="109" t="n">
        <x:v>0.07</x:v>
      </x:c>
      <x:c r="O263" s="97" t="n">
        <x:f>ROUND(M263*N263,2)</x:f>
        <x:v>18.38</x:v>
      </x:c>
      <x:c r="P263" s="94" t="str">
        <x:v>已确认</x:v>
      </x:c>
      <x:c r="Q263" s="97" t="n">
        <x:f>IF(P263="已退款",M263,0)</x:f>
        <x:v>0</x:v>
      </x:c>
      <x:c r="R263" s="97" t="n">
        <x:f>IF(P263="已退款",O263,0)</x:f>
        <x:v>0</x:v>
      </x:c>
      <x:c r="S263" s="97" t="n">
        <x:f>O263-R263</x:f>
        <x:v>18.38</x:v>
      </x:c>
      <x:c r="T263" s="94" t="n">
        <x:v>3</x:v>
      </x:c>
      <x:c r="U263" s="94" t="str">
        <x:v>模拟：Amazon Associates订单回传</x:v>
      </x:c>
    </x:row>
    <x:row r="264">
      <x:c r="A264" s="92" t="str">
        <x:v>AMZ-ORD-00263</x:v>
      </x:c>
      <x:c r="B264" s="94" t="str">
        <x:v>PROC-0257</x:v>
      </x:c>
      <x:c r="C264" s="108" t="n">
        <x:v>46073.78611111111</x:v>
      </x:c>
      <x:c r="D264" s="93" t="n">
        <x:v>46069</x:v>
      </x:c>
      <x:c r="E264" s="94" t="str">
        <x:v>Google Ads</x:v>
      </x:c>
      <x:c r="F264" s="94" t="str">
        <x:v>英国</x:v>
      </x:c>
      <x:c r="G264" s="94" t="str">
        <x:v>品牌搜索</x:v>
      </x:c>
      <x:c r="H264" s="94" t="str">
        <x:v>SKU-0028</x:v>
      </x:c>
      <x:c r="I264" s="94" t="str">
        <x:v>运动健康</x:v>
      </x:c>
      <x:c r="J264" s="94" t="str">
        <x:v>体脂秤 H</x:v>
      </x:c>
      <x:c r="K264" s="97" t="n">
        <x:v>136.41</x:v>
      </x:c>
      <x:c r="L264" s="95" t="n">
        <x:v>1</x:v>
      </x:c>
      <x:c r="M264" s="97" t="n">
        <x:f>ROUND(K264*L264,2)</x:f>
        <x:v>136.41</x:v>
      </x:c>
      <x:c r="N264" s="109" t="n">
        <x:v>0.08</x:v>
      </x:c>
      <x:c r="O264" s="97" t="n">
        <x:f>ROUND(M264*N264,2)</x:f>
        <x:v>10.91</x:v>
      </x:c>
      <x:c r="P264" s="94" t="str">
        <x:v>已确认</x:v>
      </x:c>
      <x:c r="Q264" s="97" t="n">
        <x:f>IF(P264="已退款",M264,0)</x:f>
        <x:v>0</x:v>
      </x:c>
      <x:c r="R264" s="97" t="n">
        <x:f>IF(P264="已退款",O264,0)</x:f>
        <x:v>0</x:v>
      </x:c>
      <x:c r="S264" s="97" t="n">
        <x:f>O264-R264</x:f>
        <x:v>10.91</x:v>
      </x:c>
      <x:c r="T264" s="94" t="n">
        <x:v>4</x:v>
      </x:c>
      <x:c r="U264" s="94" t="str">
        <x:v>模拟：Amazon Associates订单回传</x:v>
      </x:c>
    </x:row>
    <x:row r="265">
      <x:c r="A265" s="92" t="str">
        <x:v>AMZ-ORD-00264</x:v>
      </x:c>
      <x:c r="B265" s="94" t="str">
        <x:v>PROC-0258</x:v>
      </x:c>
      <x:c r="C265" s="108" t="n">
        <x:v>46073.90347222222</x:v>
      </x:c>
      <x:c r="D265" s="93" t="n">
        <x:v>46069</x:v>
      </x:c>
      <x:c r="E265" s="94" t="str">
        <x:v>Microsoft Ads</x:v>
      </x:c>
      <x:c r="F265" s="94" t="str">
        <x:v>德国</x:v>
      </x:c>
      <x:c r="G265" s="94" t="str">
        <x:v>通用搜索</x:v>
      </x:c>
      <x:c r="H265" s="94" t="str">
        <x:v>SKU-0020</x:v>
      </x:c>
      <x:c r="I265" s="94" t="str">
        <x:v>家居生活</x:v>
      </x:c>
      <x:c r="J265" s="94" t="str">
        <x:v>智能门锁 J</x:v>
      </x:c>
      <x:c r="K265" s="97" t="n">
        <x:v>131.78</x:v>
      </x:c>
      <x:c r="L265" s="95" t="n">
        <x:v>1</x:v>
      </x:c>
      <x:c r="M265" s="97" t="n">
        <x:f>ROUND(K265*L265,2)</x:f>
        <x:v>131.78</x:v>
      </x:c>
      <x:c r="N265" s="109" t="n">
        <x:v>0.07</x:v>
      </x:c>
      <x:c r="O265" s="97" t="n">
        <x:f>ROUND(M265*N265,2)</x:f>
        <x:v>9.22</x:v>
      </x:c>
      <x:c r="P265" s="94" t="str">
        <x:v>已确认</x:v>
      </x:c>
      <x:c r="Q265" s="97" t="n">
        <x:f>IF(P265="已退款",M265,0)</x:f>
        <x:v>0</x:v>
      </x:c>
      <x:c r="R265" s="97" t="n">
        <x:f>IF(P265="已退款",O265,0)</x:f>
        <x:v>0</x:v>
      </x:c>
      <x:c r="S265" s="97" t="n">
        <x:f>O265-R265</x:f>
        <x:v>9.22</x:v>
      </x:c>
      <x:c r="T265" s="94" t="n">
        <x:v>4</x:v>
      </x:c>
      <x:c r="U265" s="94" t="str">
        <x:v>模拟：Amazon Associates订单回传</x:v>
      </x:c>
    </x:row>
    <x:row r="266">
      <x:c r="A266" s="92" t="str">
        <x:v>AMZ-ORD-00265</x:v>
      </x:c>
      <x:c r="B266" s="94" t="str">
        <x:v>PROC-0259</x:v>
      </x:c>
      <x:c r="C266" s="108" t="n">
        <x:v>46070.36597222222</x:v>
      </x:c>
      <x:c r="D266" s="93" t="n">
        <x:v>46069</x:v>
      </x:c>
      <x:c r="E266" s="94" t="str">
        <x:v>Google Ads</x:v>
      </x:c>
      <x:c r="F266" s="94" t="str">
        <x:v>日本</x:v>
      </x:c>
      <x:c r="G266" s="94" t="str">
        <x:v>通用搜索</x:v>
      </x:c>
      <x:c r="H266" s="94" t="str">
        <x:v>SKU-0049</x:v>
      </x:c>
      <x:c r="I266" s="94" t="str">
        <x:v>办公学习</x:v>
      </x:c>
      <x:c r="J266" s="94" t="str">
        <x:v>移动白板 I</x:v>
      </x:c>
      <x:c r="K266" s="97" t="n">
        <x:v>108.46</x:v>
      </x:c>
      <x:c r="L266" s="95" t="n">
        <x:v>1</x:v>
      </x:c>
      <x:c r="M266" s="97" t="n">
        <x:f>ROUND(K266*L266,2)</x:f>
        <x:v>108.46</x:v>
      </x:c>
      <x:c r="N266" s="109" t="n">
        <x:v>0.07</x:v>
      </x:c>
      <x:c r="O266" s="97" t="n">
        <x:f>ROUND(M266*N266,2)</x:f>
        <x:v>7.59</x:v>
      </x:c>
      <x:c r="P266" s="94" t="str">
        <x:v>已确认</x:v>
      </x:c>
      <x:c r="Q266" s="97" t="n">
        <x:f>IF(P266="已退款",M266,0)</x:f>
        <x:v>0</x:v>
      </x:c>
      <x:c r="R266" s="97" t="n">
        <x:f>IF(P266="已退款",O266,0)</x:f>
        <x:v>0</x:v>
      </x:c>
      <x:c r="S266" s="97" t="n">
        <x:f>O266-R266</x:f>
        <x:v>7.59</x:v>
      </x:c>
      <x:c r="T266" s="94" t="n">
        <x:v>1</x:v>
      </x:c>
      <x:c r="U266" s="94" t="str">
        <x:v>模拟：Amazon Associates订单回传</x:v>
      </x:c>
    </x:row>
    <x:row r="267">
      <x:c r="A267" s="92" t="str">
        <x:v>AMZ-ORD-00266</x:v>
      </x:c>
      <x:c r="B267" s="94" t="str">
        <x:v>PROC-0260</x:v>
      </x:c>
      <x:c r="C267" s="108" t="n">
        <x:v>46069.84930555556</x:v>
      </x:c>
      <x:c r="D267" s="93" t="n">
        <x:v>46069</x:v>
      </x:c>
      <x:c r="E267" s="94" t="str">
        <x:v>Microsoft Ads</x:v>
      </x:c>
      <x:c r="F267" s="94" t="str">
        <x:v>德国</x:v>
      </x:c>
      <x:c r="G267" s="94" t="str">
        <x:v>购物广告</x:v>
      </x:c>
      <x:c r="H267" s="94" t="str">
        <x:v>SKU-0022</x:v>
      </x:c>
      <x:c r="I267" s="94" t="str">
        <x:v>运动健康</x:v>
      </x:c>
      <x:c r="J267" s="94" t="str">
        <x:v>瑜伽套装 B</x:v>
      </x:c>
      <x:c r="K267" s="97" t="n">
        <x:v>84.18</x:v>
      </x:c>
      <x:c r="L267" s="95" t="n">
        <x:v>1</x:v>
      </x:c>
      <x:c r="M267" s="97" t="n">
        <x:f>ROUND(K267*L267,2)</x:f>
        <x:v>84.18</x:v>
      </x:c>
      <x:c r="N267" s="109" t="n">
        <x:v>0.08</x:v>
      </x:c>
      <x:c r="O267" s="97" t="n">
        <x:f>ROUND(M267*N267,2)</x:f>
        <x:v>6.73</x:v>
      </x:c>
      <x:c r="P267" s="94" t="str">
        <x:v>已确认</x:v>
      </x:c>
      <x:c r="Q267" s="97" t="n">
        <x:f>IF(P267="已退款",M267,0)</x:f>
        <x:v>0</x:v>
      </x:c>
      <x:c r="R267" s="97" t="n">
        <x:f>IF(P267="已退款",O267,0)</x:f>
        <x:v>0</x:v>
      </x:c>
      <x:c r="S267" s="97" t="n">
        <x:f>O267-R267</x:f>
        <x:v>6.73</x:v>
      </x:c>
      <x:c r="T267" s="94" t="n">
        <x:v>0</x:v>
      </x:c>
      <x:c r="U267" s="94" t="str">
        <x:v>模拟：Amazon Associates订单回传</x:v>
      </x:c>
    </x:row>
    <x:row r="268">
      <x:c r="A268" s="92" t="str">
        <x:v>AMZ-ORD-00267</x:v>
      </x:c>
      <x:c r="B268" s="94" t="str">
        <x:v>PROC-0261</x:v>
      </x:c>
      <x:c r="C268" s="108" t="n">
        <x:v>46072.376388888886</x:v>
      </x:c>
      <x:c r="D268" s="93" t="n">
        <x:v>46070</x:v>
      </x:c>
      <x:c r="E268" s="94" t="str">
        <x:v>Google Ads</x:v>
      </x:c>
      <x:c r="F268" s="94" t="str">
        <x:v>美国</x:v>
      </x:c>
      <x:c r="G268" s="94" t="str">
        <x:v>品牌搜索</x:v>
      </x:c>
      <x:c r="H268" s="94" t="str">
        <x:v>SKU-0001</x:v>
      </x:c>
      <x:c r="I268" s="94" t="str">
        <x:v>电子产品</x:v>
      </x:c>
      <x:c r="J268" s="94" t="str">
        <x:v>无线耳机 A</x:v>
      </x:c>
      <x:c r="K268" s="97" t="n">
        <x:v>758.33</x:v>
      </x:c>
      <x:c r="L268" s="95" t="n">
        <x:v>1</x:v>
      </x:c>
      <x:c r="M268" s="97" t="n">
        <x:f>ROUND(K268*L268,2)</x:f>
        <x:v>758.33</x:v>
      </x:c>
      <x:c r="N268" s="109" t="n">
        <x:v>0.05</x:v>
      </x:c>
      <x:c r="O268" s="97" t="n">
        <x:f>ROUND(M268*N268,2)</x:f>
        <x:v>37.92</x:v>
      </x:c>
      <x:c r="P268" s="94" t="str">
        <x:v>已确认</x:v>
      </x:c>
      <x:c r="Q268" s="97" t="n">
        <x:f>IF(P268="已退款",M268,0)</x:f>
        <x:v>0</x:v>
      </x:c>
      <x:c r="R268" s="97" t="n">
        <x:f>IF(P268="已退款",O268,0)</x:f>
        <x:v>0</x:v>
      </x:c>
      <x:c r="S268" s="97" t="n">
        <x:f>O268-R268</x:f>
        <x:v>37.92</x:v>
      </x:c>
      <x:c r="T268" s="94" t="n">
        <x:v>2</x:v>
      </x:c>
      <x:c r="U268" s="94" t="str">
        <x:v>模拟：Amazon Associates订单回传</x:v>
      </x:c>
    </x:row>
    <x:row r="269">
      <x:c r="A269" s="92" t="str">
        <x:v>AMZ-ORD-00268</x:v>
      </x:c>
      <x:c r="B269" s="94" t="str">
        <x:v>PROC-0262</x:v>
      </x:c>
      <x:c r="C269" s="108" t="n">
        <x:v>46073.75277777778</x:v>
      </x:c>
      <x:c r="D269" s="93" t="n">
        <x:v>46070</x:v>
      </x:c>
      <x:c r="E269" s="94" t="str">
        <x:v>Google Ads</x:v>
      </x:c>
      <x:c r="F269" s="94" t="str">
        <x:v>德国</x:v>
      </x:c>
      <x:c r="G269" s="94" t="str">
        <x:v>品牌搜索</x:v>
      </x:c>
      <x:c r="H269" s="94" t="str">
        <x:v>SKU-0009</x:v>
      </x:c>
      <x:c r="I269" s="94" t="str">
        <x:v>电子产品</x:v>
      </x:c>
      <x:c r="J269" s="94" t="str">
        <x:v>电子阅读器 I</x:v>
      </x:c>
      <x:c r="K269" s="97" t="n">
        <x:v>683.44</x:v>
      </x:c>
      <x:c r="L269" s="95" t="n">
        <x:v>1</x:v>
      </x:c>
      <x:c r="M269" s="97" t="n">
        <x:f>ROUND(K269*L269,2)</x:f>
        <x:v>683.44</x:v>
      </x:c>
      <x:c r="N269" s="109" t="n">
        <x:v>0.05</x:v>
      </x:c>
      <x:c r="O269" s="97" t="n">
        <x:f>ROUND(M269*N269,2)</x:f>
        <x:v>34.17</x:v>
      </x:c>
      <x:c r="P269" s="94" t="str">
        <x:v>已确认</x:v>
      </x:c>
      <x:c r="Q269" s="97" t="n">
        <x:f>IF(P269="已退款",M269,0)</x:f>
        <x:v>0</x:v>
      </x:c>
      <x:c r="R269" s="97" t="n">
        <x:f>IF(P269="已退款",O269,0)</x:f>
        <x:v>0</x:v>
      </x:c>
      <x:c r="S269" s="97" t="n">
        <x:f>O269-R269</x:f>
        <x:v>34.17</x:v>
      </x:c>
      <x:c r="T269" s="94" t="n">
        <x:v>3</x:v>
      </x:c>
      <x:c r="U269" s="94" t="str">
        <x:v>模拟：Amazon Associates订单回传</x:v>
      </x:c>
    </x:row>
    <x:row r="270">
      <x:c r="A270" s="92" t="str">
        <x:v>AMZ-ORD-00269</x:v>
      </x:c>
      <x:c r="B270" s="94" t="str">
        <x:v>PROC-0263</x:v>
      </x:c>
      <x:c r="C270" s="108" t="n">
        <x:v>46073.90833333333</x:v>
      </x:c>
      <x:c r="D270" s="93" t="n">
        <x:v>46070</x:v>
      </x:c>
      <x:c r="E270" s="94" t="str">
        <x:v>Microsoft Ads</x:v>
      </x:c>
      <x:c r="F270" s="94" t="str">
        <x:v>日本</x:v>
      </x:c>
      <x:c r="G270" s="94" t="str">
        <x:v>通用搜索</x:v>
      </x:c>
      <x:c r="H270" s="94" t="str">
        <x:v>SKU-0040</x:v>
      </x:c>
      <x:c r="I270" s="94" t="str">
        <x:v>美妆个护</x:v>
      </x:c>
      <x:c r="J270" s="94" t="str">
        <x:v>旅行护理套装 J</x:v>
      </x:c>
      <x:c r="K270" s="97" t="n">
        <x:v>126.14</x:v>
      </x:c>
      <x:c r="L270" s="95" t="n">
        <x:v>1</x:v>
      </x:c>
      <x:c r="M270" s="97" t="n">
        <x:f>ROUND(K270*L270,2)</x:f>
        <x:v>126.14</x:v>
      </x:c>
      <x:c r="N270" s="109" t="n">
        <x:v>0.1</x:v>
      </x:c>
      <x:c r="O270" s="97" t="n">
        <x:f>ROUND(M270*N270,2)</x:f>
        <x:v>12.61</x:v>
      </x:c>
      <x:c r="P270" s="94" t="str">
        <x:v>已确认</x:v>
      </x:c>
      <x:c r="Q270" s="97" t="n">
        <x:f>IF(P270="已退款",M270,0)</x:f>
        <x:v>0</x:v>
      </x:c>
      <x:c r="R270" s="97" t="n">
        <x:f>IF(P270="已退款",O270,0)</x:f>
        <x:v>0</x:v>
      </x:c>
      <x:c r="S270" s="97" t="n">
        <x:f>O270-R270</x:f>
        <x:v>12.61</x:v>
      </x:c>
      <x:c r="T270" s="94" t="n">
        <x:v>3</x:v>
      </x:c>
      <x:c r="U270" s="94" t="str">
        <x:v>模拟：Amazon Associates订单回传</x:v>
      </x:c>
    </x:row>
    <x:row r="271">
      <x:c r="A271" s="92" t="str">
        <x:v>AMZ-ORD-00270</x:v>
      </x:c>
      <x:c r="B271" s="94" t="str">
        <x:v>PROC-0264</x:v>
      </x:c>
      <x:c r="C271" s="108" t="n">
        <x:v>46070.65833333333</x:v>
      </x:c>
      <x:c r="D271" s="93" t="n">
        <x:v>46070</x:v>
      </x:c>
      <x:c r="E271" s="94" t="str">
        <x:v>Google Ads</x:v>
      </x:c>
      <x:c r="F271" s="94" t="str">
        <x:v>英国</x:v>
      </x:c>
      <x:c r="G271" s="94" t="str">
        <x:v>通用搜索</x:v>
      </x:c>
      <x:c r="H271" s="94" t="str">
        <x:v>SKU-0022</x:v>
      </x:c>
      <x:c r="I271" s="94" t="str">
        <x:v>运动健康</x:v>
      </x:c>
      <x:c r="J271" s="94" t="str">
        <x:v>瑜伽套装 B</x:v>
      </x:c>
      <x:c r="K271" s="97" t="n">
        <x:v>172.58</x:v>
      </x:c>
      <x:c r="L271" s="95" t="n">
        <x:v>1</x:v>
      </x:c>
      <x:c r="M271" s="97" t="n">
        <x:f>ROUND(K271*L271,2)</x:f>
        <x:v>172.58</x:v>
      </x:c>
      <x:c r="N271" s="109" t="n">
        <x:v>0.08</x:v>
      </x:c>
      <x:c r="O271" s="97" t="n">
        <x:f>ROUND(M271*N271,2)</x:f>
        <x:v>13.81</x:v>
      </x:c>
      <x:c r="P271" s="94" t="str">
        <x:v>已确认</x:v>
      </x:c>
      <x:c r="Q271" s="97" t="n">
        <x:f>IF(P271="已退款",M271,0)</x:f>
        <x:v>0</x:v>
      </x:c>
      <x:c r="R271" s="97" t="n">
        <x:f>IF(P271="已退款",O271,0)</x:f>
        <x:v>0</x:v>
      </x:c>
      <x:c r="S271" s="97" t="n">
        <x:f>O271-R271</x:f>
        <x:v>13.81</x:v>
      </x:c>
      <x:c r="T271" s="94" t="n">
        <x:v>0</x:v>
      </x:c>
      <x:c r="U271" s="94" t="str">
        <x:v>模拟：Amazon Associates订单回传</x:v>
      </x:c>
    </x:row>
    <x:row r="272">
      <x:c r="A272" s="92" t="str">
        <x:v>AMZ-ORD-00271</x:v>
      </x:c>
      <x:c r="B272" s="94" t="str">
        <x:v>PROC-0265</x:v>
      </x:c>
      <x:c r="C272" s="108" t="n">
        <x:v>46071.8</x:v>
      </x:c>
      <x:c r="D272" s="93" t="n">
        <x:v>46070</x:v>
      </x:c>
      <x:c r="E272" s="94" t="str">
        <x:v>Microsoft Ads</x:v>
      </x:c>
      <x:c r="F272" s="94" t="str">
        <x:v>英国</x:v>
      </x:c>
      <x:c r="G272" s="94" t="str">
        <x:v>通用搜索</x:v>
      </x:c>
      <x:c r="H272" s="94" t="str">
        <x:v>SKU-0043</x:v>
      </x:c>
      <x:c r="I272" s="94" t="str">
        <x:v>办公学习</x:v>
      </x:c>
      <x:c r="J272" s="94" t="str">
        <x:v>会议麦克风 C</x:v>
      </x:c>
      <x:c r="K272" s="97" t="n">
        <x:v>111.61</x:v>
      </x:c>
      <x:c r="L272" s="95" t="n">
        <x:v>3</x:v>
      </x:c>
      <x:c r="M272" s="97" t="n">
        <x:f>ROUND(K272*L272,2)</x:f>
        <x:v>334.83</x:v>
      </x:c>
      <x:c r="N272" s="109" t="n">
        <x:v>0.07</x:v>
      </x:c>
      <x:c r="O272" s="97" t="n">
        <x:f>ROUND(M272*N272,2)</x:f>
        <x:v>23.44</x:v>
      </x:c>
      <x:c r="P272" s="94" t="str">
        <x:v>已确认</x:v>
      </x:c>
      <x:c r="Q272" s="97" t="n">
        <x:f>IF(P272="已退款",M272,0)</x:f>
        <x:v>0</x:v>
      </x:c>
      <x:c r="R272" s="97" t="n">
        <x:f>IF(P272="已退款",O272,0)</x:f>
        <x:v>0</x:v>
      </x:c>
      <x:c r="S272" s="97" t="n">
        <x:f>O272-R272</x:f>
        <x:v>23.44</x:v>
      </x:c>
      <x:c r="T272" s="94" t="n">
        <x:v>1</x:v>
      </x:c>
      <x:c r="U272" s="94" t="str">
        <x:v>模拟：Amazon Associates订单回传</x:v>
      </x:c>
    </x:row>
    <x:row r="273">
      <x:c r="A273" s="92" t="str">
        <x:v>AMZ-ORD-00272</x:v>
      </x:c>
      <x:c r="B273" s="94" t="str">
        <x:v>PROC-0266</x:v>
      </x:c>
      <x:c r="C273" s="108" t="n">
        <x:v>46073.626388888886</x:v>
      </x:c>
      <x:c r="D273" s="93" t="n">
        <x:v>46070</x:v>
      </x:c>
      <x:c r="E273" s="94" t="str">
        <x:v>Microsoft Ads</x:v>
      </x:c>
      <x:c r="F273" s="94" t="str">
        <x:v>德国</x:v>
      </x:c>
      <x:c r="G273" s="94" t="str">
        <x:v>购物广告</x:v>
      </x:c>
      <x:c r="H273" s="94" t="str">
        <x:v>SKU-0001</x:v>
      </x:c>
      <x:c r="I273" s="94" t="str">
        <x:v>电子产品</x:v>
      </x:c>
      <x:c r="J273" s="94" t="str">
        <x:v>无线耳机 A</x:v>
      </x:c>
      <x:c r="K273" s="97" t="n">
        <x:v>656.72</x:v>
      </x:c>
      <x:c r="L273" s="95" t="n">
        <x:v>1</x:v>
      </x:c>
      <x:c r="M273" s="97" t="n">
        <x:f>ROUND(K273*L273,2)</x:f>
        <x:v>656.72</x:v>
      </x:c>
      <x:c r="N273" s="109" t="n">
        <x:v>0.05</x:v>
      </x:c>
      <x:c r="O273" s="97" t="n">
        <x:f>ROUND(M273*N273,2)</x:f>
        <x:v>32.84</x:v>
      </x:c>
      <x:c r="P273" s="94" t="str">
        <x:v>已确认</x:v>
      </x:c>
      <x:c r="Q273" s="97" t="n">
        <x:f>IF(P273="已退款",M273,0)</x:f>
        <x:v>0</x:v>
      </x:c>
      <x:c r="R273" s="97" t="n">
        <x:f>IF(P273="已退款",O273,0)</x:f>
        <x:v>0</x:v>
      </x:c>
      <x:c r="S273" s="97" t="n">
        <x:f>O273-R273</x:f>
        <x:v>32.84</x:v>
      </x:c>
      <x:c r="T273" s="94" t="n">
        <x:v>3</x:v>
      </x:c>
      <x:c r="U273" s="94" t="str">
        <x:v>模拟：Amazon Associates订单回传</x:v>
      </x:c>
    </x:row>
    <x:row r="274">
      <x:c r="A274" s="92" t="str">
        <x:v>AMZ-ORD-00273</x:v>
      </x:c>
      <x:c r="B274" s="94" t="str">
        <x:v>PROC-0268</x:v>
      </x:c>
      <x:c r="C274" s="108" t="n">
        <x:v>46073.64027777778</x:v>
      </x:c>
      <x:c r="D274" s="93" t="n">
        <x:v>46071</x:v>
      </x:c>
      <x:c r="E274" s="94" t="str">
        <x:v>Microsoft Ads</x:v>
      </x:c>
      <x:c r="F274" s="94" t="str">
        <x:v>美国</x:v>
      </x:c>
      <x:c r="G274" s="94" t="str">
        <x:v>品牌搜索</x:v>
      </x:c>
      <x:c r="H274" s="94" t="str">
        <x:v>SKU-0015</x:v>
      </x:c>
      <x:c r="I274" s="94" t="str">
        <x:v>家居生活</x:v>
      </x:c>
      <x:c r="J274" s="94" t="str">
        <x:v>床品套装 E</x:v>
      </x:c>
      <x:c r="K274" s="97" t="n">
        <x:v>94.75</x:v>
      </x:c>
      <x:c r="L274" s="95" t="n">
        <x:v>1</x:v>
      </x:c>
      <x:c r="M274" s="97" t="n">
        <x:f>ROUND(K274*L274,2)</x:f>
        <x:v>94.75</x:v>
      </x:c>
      <x:c r="N274" s="109" t="n">
        <x:v>0.07</x:v>
      </x:c>
      <x:c r="O274" s="97" t="n">
        <x:f>ROUND(M274*N274,2)</x:f>
        <x:v>6.63</x:v>
      </x:c>
      <x:c r="P274" s="94" t="str">
        <x:v>已退款</x:v>
      </x:c>
      <x:c r="Q274" s="97" t="n">
        <x:f>IF(P274="已退款",M274,0)</x:f>
        <x:v>94.75</x:v>
      </x:c>
      <x:c r="R274" s="97" t="n">
        <x:f>IF(P274="已退款",O274,0)</x:f>
        <x:v>6.63</x:v>
      </x:c>
      <x:c r="S274" s="97" t="n">
        <x:f>O274-R274</x:f>
        <x:v>0</x:v>
      </x:c>
      <x:c r="T274" s="94" t="n">
        <x:v>2</x:v>
      </x:c>
      <x:c r="U274" s="94" t="str">
        <x:v>模拟：Amazon Associates订单回传</x:v>
      </x:c>
    </x:row>
    <x:row r="275">
      <x:c r="A275" s="92" t="str">
        <x:v>AMZ-ORD-00274</x:v>
      </x:c>
      <x:c r="B275" s="94" t="str">
        <x:v>PROC-0269</x:v>
      </x:c>
      <x:c r="C275" s="108" t="n">
        <x:v>46073.88611111111</x:v>
      </x:c>
      <x:c r="D275" s="93" t="n">
        <x:v>46071</x:v>
      </x:c>
      <x:c r="E275" s="94" t="str">
        <x:v>Google Ads</x:v>
      </x:c>
      <x:c r="F275" s="94" t="str">
        <x:v>美国</x:v>
      </x:c>
      <x:c r="G275" s="94" t="str">
        <x:v>通用搜索</x:v>
      </x:c>
      <x:c r="H275" s="94" t="str">
        <x:v>SKU-0022</x:v>
      </x:c>
      <x:c r="I275" s="94" t="str">
        <x:v>运动健康</x:v>
      </x:c>
      <x:c r="J275" s="94" t="str">
        <x:v>瑜伽套装 B</x:v>
      </x:c>
      <x:c r="K275" s="97" t="n">
        <x:v>125.78</x:v>
      </x:c>
      <x:c r="L275" s="95" t="n">
        <x:v>1</x:v>
      </x:c>
      <x:c r="M275" s="97" t="n">
        <x:f>ROUND(K275*L275,2)</x:f>
        <x:v>125.78</x:v>
      </x:c>
      <x:c r="N275" s="109" t="n">
        <x:v>0.08</x:v>
      </x:c>
      <x:c r="O275" s="97" t="n">
        <x:f>ROUND(M275*N275,2)</x:f>
        <x:v>10.06</x:v>
      </x:c>
      <x:c r="P275" s="94" t="str">
        <x:v>已确认</x:v>
      </x:c>
      <x:c r="Q275" s="97" t="n">
        <x:f>IF(P275="已退款",M275,0)</x:f>
        <x:v>0</x:v>
      </x:c>
      <x:c r="R275" s="97" t="n">
        <x:f>IF(P275="已退款",O275,0)</x:f>
        <x:v>0</x:v>
      </x:c>
      <x:c r="S275" s="97" t="n">
        <x:f>O275-R275</x:f>
        <x:v>10.06</x:v>
      </x:c>
      <x:c r="T275" s="94" t="n">
        <x:v>2</x:v>
      </x:c>
      <x:c r="U275" s="94" t="str">
        <x:v>模拟：Amazon Associates订单回传</x:v>
      </x:c>
    </x:row>
    <x:row r="276">
      <x:c r="A276" s="92" t="str">
        <x:v>AMZ-ORD-00275</x:v>
      </x:c>
      <x:c r="B276" s="94" t="str">
        <x:v>PROC-0270</x:v>
      </x:c>
      <x:c r="C276" s="108" t="n">
        <x:v>46073.6125</x:v>
      </x:c>
      <x:c r="D276" s="93" t="n">
        <x:v>46071</x:v>
      </x:c>
      <x:c r="E276" s="94" t="str">
        <x:v>Google Ads</x:v>
      </x:c>
      <x:c r="F276" s="94" t="str">
        <x:v>德国</x:v>
      </x:c>
      <x:c r="G276" s="94" t="str">
        <x:v>购物广告</x:v>
      </x:c>
      <x:c r="H276" s="94" t="str">
        <x:v>SKU-0018</x:v>
      </x:c>
      <x:c r="I276" s="94" t="str">
        <x:v>家居生活</x:v>
      </x:c>
      <x:c r="J276" s="94" t="str">
        <x:v>收纳组合 H</x:v>
      </x:c>
      <x:c r="K276" s="97" t="n">
        <x:v>330.4</x:v>
      </x:c>
      <x:c r="L276" s="95" t="n">
        <x:v>2</x:v>
      </x:c>
      <x:c r="M276" s="97" t="n">
        <x:f>ROUND(K276*L276,2)</x:f>
        <x:v>660.8</x:v>
      </x:c>
      <x:c r="N276" s="109" t="n">
        <x:v>0.07</x:v>
      </x:c>
      <x:c r="O276" s="97" t="n">
        <x:f>ROUND(M276*N276,2)</x:f>
        <x:v>46.26</x:v>
      </x:c>
      <x:c r="P276" s="94" t="str">
        <x:v>已确认</x:v>
      </x:c>
      <x:c r="Q276" s="97" t="n">
        <x:f>IF(P276="已退款",M276,0)</x:f>
        <x:v>0</x:v>
      </x:c>
      <x:c r="R276" s="97" t="n">
        <x:f>IF(P276="已退款",O276,0)</x:f>
        <x:v>0</x:v>
      </x:c>
      <x:c r="S276" s="97" t="n">
        <x:f>O276-R276</x:f>
        <x:v>46.26</x:v>
      </x:c>
      <x:c r="T276" s="94" t="n">
        <x:v>2</x:v>
      </x:c>
      <x:c r="U276" s="94" t="str">
        <x:v>模拟：Amazon Associates订单回传</x:v>
      </x:c>
    </x:row>
    <x:row r="277">
      <x:c r="A277" s="92" t="str">
        <x:v>AMZ-ORD-00276</x:v>
      </x:c>
      <x:c r="B277" s="94" t="str">
        <x:v>PROC-0271</x:v>
      </x:c>
      <x:c r="C277" s="108" t="n">
        <x:v>46074.42152777778</x:v>
      </x:c>
      <x:c r="D277" s="93" t="n">
        <x:v>46071</x:v>
      </x:c>
      <x:c r="E277" s="94" t="str">
        <x:v>Google Ads</x:v>
      </x:c>
      <x:c r="F277" s="94" t="str">
        <x:v>美国</x:v>
      </x:c>
      <x:c r="G277" s="94" t="str">
        <x:v>品牌搜索</x:v>
      </x:c>
      <x:c r="H277" s="94" t="str">
        <x:v>SKU-0014</x:v>
      </x:c>
      <x:c r="I277" s="94" t="str">
        <x:v>家居生活</x:v>
      </x:c>
      <x:c r="J277" s="94" t="str">
        <x:v>扫地机器人 D</x:v>
      </x:c>
      <x:c r="K277" s="97" t="n">
        <x:v>277.3</x:v>
      </x:c>
      <x:c r="L277" s="95" t="n">
        <x:v>1</x:v>
      </x:c>
      <x:c r="M277" s="97" t="n">
        <x:f>ROUND(K277*L277,2)</x:f>
        <x:v>277.3</x:v>
      </x:c>
      <x:c r="N277" s="109" t="n">
        <x:v>0.07</x:v>
      </x:c>
      <x:c r="O277" s="97" t="n">
        <x:f>ROUND(M277*N277,2)</x:f>
        <x:v>19.41</x:v>
      </x:c>
      <x:c r="P277" s="94" t="str">
        <x:v>已确认</x:v>
      </x:c>
      <x:c r="Q277" s="97" t="n">
        <x:f>IF(P277="已退款",M277,0)</x:f>
        <x:v>0</x:v>
      </x:c>
      <x:c r="R277" s="97" t="n">
        <x:f>IF(P277="已退款",O277,0)</x:f>
        <x:v>0</x:v>
      </x:c>
      <x:c r="S277" s="97" t="n">
        <x:f>O277-R277</x:f>
        <x:v>19.41</x:v>
      </x:c>
      <x:c r="T277" s="94" t="n">
        <x:v>3</x:v>
      </x:c>
      <x:c r="U277" s="94" t="str">
        <x:v>模拟：Amazon Associates订单回传</x:v>
      </x:c>
    </x:row>
    <x:row r="278">
      <x:c r="A278" s="92" t="str">
        <x:v>AMZ-ORD-00277</x:v>
      </x:c>
      <x:c r="B278" s="94" t="str">
        <x:v>PROC-0271</x:v>
      </x:c>
      <x:c r="C278" s="108" t="n">
        <x:v>46074.41388888889</x:v>
      </x:c>
      <x:c r="D278" s="93" t="n">
        <x:v>46071</x:v>
      </x:c>
      <x:c r="E278" s="94" t="str">
        <x:v>Google Ads</x:v>
      </x:c>
      <x:c r="F278" s="94" t="str">
        <x:v>美国</x:v>
      </x:c>
      <x:c r="G278" s="94" t="str">
        <x:v>品牌搜索</x:v>
      </x:c>
      <x:c r="H278" s="94" t="str">
        <x:v>SKU-0020</x:v>
      </x:c>
      <x:c r="I278" s="94" t="str">
        <x:v>家居生活</x:v>
      </x:c>
      <x:c r="J278" s="94" t="str">
        <x:v>智能门锁 J</x:v>
      </x:c>
      <x:c r="K278" s="97" t="n">
        <x:v>172.06</x:v>
      </x:c>
      <x:c r="L278" s="95" t="n">
        <x:v>1</x:v>
      </x:c>
      <x:c r="M278" s="97" t="n">
        <x:f>ROUND(K278*L278,2)</x:f>
        <x:v>172.06</x:v>
      </x:c>
      <x:c r="N278" s="109" t="n">
        <x:v>0.07</x:v>
      </x:c>
      <x:c r="O278" s="97" t="n">
        <x:f>ROUND(M278*N278,2)</x:f>
        <x:v>12.04</x:v>
      </x:c>
      <x:c r="P278" s="94" t="str">
        <x:v>已确认</x:v>
      </x:c>
      <x:c r="Q278" s="97" t="n">
        <x:f>IF(P278="已退款",M278,0)</x:f>
        <x:v>0</x:v>
      </x:c>
      <x:c r="R278" s="97" t="n">
        <x:f>IF(P278="已退款",O278,0)</x:f>
        <x:v>0</x:v>
      </x:c>
      <x:c r="S278" s="97" t="n">
        <x:f>O278-R278</x:f>
        <x:v>12.04</x:v>
      </x:c>
      <x:c r="T278" s="94" t="n">
        <x:v>3</x:v>
      </x:c>
      <x:c r="U278" s="94" t="str">
        <x:v>模拟：Amazon Associates订单回传</x:v>
      </x:c>
    </x:row>
    <x:row r="279">
      <x:c r="A279" s="92" t="str">
        <x:v>AMZ-ORD-00278</x:v>
      </x:c>
      <x:c r="B279" s="94" t="str">
        <x:v>PROC-0272</x:v>
      </x:c>
      <x:c r="C279" s="108" t="n">
        <x:v>46076.67847222222</x:v>
      </x:c>
      <x:c r="D279" s="93" t="n">
        <x:v>46072</x:v>
      </x:c>
      <x:c r="E279" s="94" t="str">
        <x:v>Google Ads</x:v>
      </x:c>
      <x:c r="F279" s="94" t="str">
        <x:v>美国</x:v>
      </x:c>
      <x:c r="G279" s="94" t="str">
        <x:v>购物广告</x:v>
      </x:c>
      <x:c r="H279" s="94" t="str">
        <x:v>SKU-0025</x:v>
      </x:c>
      <x:c r="I279" s="94" t="str">
        <x:v>运动健康</x:v>
      </x:c>
      <x:c r="J279" s="94" t="str">
        <x:v>跑步机配件 E</x:v>
      </x:c>
      <x:c r="K279" s="97" t="n">
        <x:v>135.06</x:v>
      </x:c>
      <x:c r="L279" s="95" t="n">
        <x:v>1</x:v>
      </x:c>
      <x:c r="M279" s="97" t="n">
        <x:f>ROUND(K279*L279,2)</x:f>
        <x:v>135.06</x:v>
      </x:c>
      <x:c r="N279" s="109" t="n">
        <x:v>0.08</x:v>
      </x:c>
      <x:c r="O279" s="97" t="n">
        <x:f>ROUND(M279*N279,2)</x:f>
        <x:v>10.8</x:v>
      </x:c>
      <x:c r="P279" s="94" t="str">
        <x:v>已确认</x:v>
      </x:c>
      <x:c r="Q279" s="97" t="n">
        <x:f>IF(P279="已退款",M279,0)</x:f>
        <x:v>0</x:v>
      </x:c>
      <x:c r="R279" s="97" t="n">
        <x:f>IF(P279="已退款",O279,0)</x:f>
        <x:v>0</x:v>
      </x:c>
      <x:c r="S279" s="97" t="n">
        <x:f>O279-R279</x:f>
        <x:v>10.8</x:v>
      </x:c>
      <x:c r="T279" s="94" t="n">
        <x:v>4</x:v>
      </x:c>
      <x:c r="U279" s="94" t="str">
        <x:v>模拟：Amazon Associates订单回传</x:v>
      </x:c>
    </x:row>
    <x:row r="280">
      <x:c r="A280" s="92" t="str">
        <x:v>AMZ-ORD-00279</x:v>
      </x:c>
      <x:c r="B280" s="94" t="str">
        <x:v>PROC-0272</x:v>
      </x:c>
      <x:c r="C280" s="108" t="n">
        <x:v>46076.70972222222</x:v>
      </x:c>
      <x:c r="D280" s="93" t="n">
        <x:v>46072</x:v>
      </x:c>
      <x:c r="E280" s="94" t="str">
        <x:v>Google Ads</x:v>
      </x:c>
      <x:c r="F280" s="94" t="str">
        <x:v>美国</x:v>
      </x:c>
      <x:c r="G280" s="94" t="str">
        <x:v>购物广告</x:v>
      </x:c>
      <x:c r="H280" s="94" t="str">
        <x:v>SKU-0010</x:v>
      </x:c>
      <x:c r="I280" s="94" t="str">
        <x:v>电子产品</x:v>
      </x:c>
      <x:c r="J280" s="94" t="str">
        <x:v>多口扩展坞 J</x:v>
      </x:c>
      <x:c r="K280" s="97" t="n">
        <x:v>475.71</x:v>
      </x:c>
      <x:c r="L280" s="95" t="n">
        <x:v>1</x:v>
      </x:c>
      <x:c r="M280" s="97" t="n">
        <x:f>ROUND(K280*L280,2)</x:f>
        <x:v>475.71</x:v>
      </x:c>
      <x:c r="N280" s="109" t="n">
        <x:v>0.05</x:v>
      </x:c>
      <x:c r="O280" s="97" t="n">
        <x:f>ROUND(M280*N280,2)</x:f>
        <x:v>23.79</x:v>
      </x:c>
      <x:c r="P280" s="94" t="str">
        <x:v>已确认</x:v>
      </x:c>
      <x:c r="Q280" s="97" t="n">
        <x:f>IF(P280="已退款",M280,0)</x:f>
        <x:v>0</x:v>
      </x:c>
      <x:c r="R280" s="97" t="n">
        <x:f>IF(P280="已退款",O280,0)</x:f>
        <x:v>0</x:v>
      </x:c>
      <x:c r="S280" s="97" t="n">
        <x:f>O280-R280</x:f>
        <x:v>23.79</x:v>
      </x:c>
      <x:c r="T280" s="94" t="n">
        <x:v>4</x:v>
      </x:c>
      <x:c r="U280" s="94" t="str">
        <x:v>模拟：Amazon Associates订单回传</x:v>
      </x:c>
    </x:row>
    <x:row r="281">
      <x:c r="A281" s="92" t="str">
        <x:v>AMZ-ORD-00280</x:v>
      </x:c>
      <x:c r="B281" s="94" t="str">
        <x:v>PROC-0273</x:v>
      </x:c>
      <x:c r="C281" s="108" t="n">
        <x:v>46076.90625</x:v>
      </x:c>
      <x:c r="D281" s="93" t="n">
        <x:v>46072</x:v>
      </x:c>
      <x:c r="E281" s="94" t="str">
        <x:v>Microsoft Ads</x:v>
      </x:c>
      <x:c r="F281" s="94" t="str">
        <x:v>德国</x:v>
      </x:c>
      <x:c r="G281" s="94" t="str">
        <x:v>购物广告</x:v>
      </x:c>
      <x:c r="H281" s="94" t="str">
        <x:v>SKU-0039</x:v>
      </x:c>
      <x:c r="I281" s="94" t="str">
        <x:v>美妆个护</x:v>
      </x:c>
      <x:c r="J281" s="94" t="str">
        <x:v>按摩梳 I</x:v>
      </x:c>
      <x:c r="K281" s="97" t="n">
        <x:v>59.18</x:v>
      </x:c>
      <x:c r="L281" s="95" t="n">
        <x:v>1</x:v>
      </x:c>
      <x:c r="M281" s="97" t="n">
        <x:f>ROUND(K281*L281,2)</x:f>
        <x:v>59.18</x:v>
      </x:c>
      <x:c r="N281" s="109" t="n">
        <x:v>0.1</x:v>
      </x:c>
      <x:c r="O281" s="97" t="n">
        <x:f>ROUND(M281*N281,2)</x:f>
        <x:v>5.92</x:v>
      </x:c>
      <x:c r="P281" s="94" t="str">
        <x:v>待确认</x:v>
      </x:c>
      <x:c r="Q281" s="97" t="n">
        <x:f>IF(P281="已退款",M281,0)</x:f>
        <x:v>0</x:v>
      </x:c>
      <x:c r="R281" s="97" t="n">
        <x:f>IF(P281="已退款",O281,0)</x:f>
        <x:v>0</x:v>
      </x:c>
      <x:c r="S281" s="97" t="n">
        <x:f>O281-R281</x:f>
        <x:v>5.92</x:v>
      </x:c>
      <x:c r="T281" s="94" t="n">
        <x:v>4</x:v>
      </x:c>
      <x:c r="U281" s="94" t="str">
        <x:v>模拟：Amazon Associates订单回传</x:v>
      </x:c>
    </x:row>
    <x:row r="282">
      <x:c r="A282" s="92" t="str">
        <x:v>AMZ-ORD-00281</x:v>
      </x:c>
      <x:c r="B282" s="94" t="str">
        <x:v>PROC-0275</x:v>
      </x:c>
      <x:c r="C282" s="108" t="n">
        <x:v>46075.69305555556</x:v>
      </x:c>
      <x:c r="D282" s="93" t="n">
        <x:v>46072</x:v>
      </x:c>
      <x:c r="E282" s="94" t="str">
        <x:v>Microsoft Ads</x:v>
      </x:c>
      <x:c r="F282" s="94" t="str">
        <x:v>日本</x:v>
      </x:c>
      <x:c r="G282" s="94" t="str">
        <x:v>购物广告</x:v>
      </x:c>
      <x:c r="H282" s="94" t="str">
        <x:v>SKU-0039</x:v>
      </x:c>
      <x:c r="I282" s="94" t="str">
        <x:v>美妆个护</x:v>
      </x:c>
      <x:c r="J282" s="94" t="str">
        <x:v>按摩梳 I</x:v>
      </x:c>
      <x:c r="K282" s="97" t="n">
        <x:v>52.18</x:v>
      </x:c>
      <x:c r="L282" s="95" t="n">
        <x:v>2</x:v>
      </x:c>
      <x:c r="M282" s="97" t="n">
        <x:f>ROUND(K282*L282,2)</x:f>
        <x:v>104.36</x:v>
      </x:c>
      <x:c r="N282" s="109" t="n">
        <x:v>0.1</x:v>
      </x:c>
      <x:c r="O282" s="97" t="n">
        <x:f>ROUND(M282*N282,2)</x:f>
        <x:v>10.44</x:v>
      </x:c>
      <x:c r="P282" s="94" t="str">
        <x:v>已确认</x:v>
      </x:c>
      <x:c r="Q282" s="97" t="n">
        <x:f>IF(P282="已退款",M282,0)</x:f>
        <x:v>0</x:v>
      </x:c>
      <x:c r="R282" s="97" t="n">
        <x:f>IF(P282="已退款",O282,0)</x:f>
        <x:v>0</x:v>
      </x:c>
      <x:c r="S282" s="97" t="n">
        <x:f>O282-R282</x:f>
        <x:v>10.44</x:v>
      </x:c>
      <x:c r="T282" s="94" t="n">
        <x:v>3</x:v>
      </x:c>
      <x:c r="U282" s="94" t="str">
        <x:v>模拟：Amazon Associates订单回传</x:v>
      </x:c>
    </x:row>
    <x:row r="283">
      <x:c r="A283" s="92" t="str">
        <x:v>AMZ-ORD-00282</x:v>
      </x:c>
      <x:c r="B283" s="94" t="str">
        <x:v>PROC-0276</x:v>
      </x:c>
      <x:c r="C283" s="108" t="n">
        <x:v>46074.5875</x:v>
      </x:c>
      <x:c r="D283" s="93" t="n">
        <x:v>46072</x:v>
      </x:c>
      <x:c r="E283" s="94" t="str">
        <x:v>Google Ads</x:v>
      </x:c>
      <x:c r="F283" s="94" t="str">
        <x:v>德国</x:v>
      </x:c>
      <x:c r="G283" s="94" t="str">
        <x:v>品牌搜索</x:v>
      </x:c>
      <x:c r="H283" s="94" t="str">
        <x:v>SKU-0015</x:v>
      </x:c>
      <x:c r="I283" s="94" t="str">
        <x:v>家居生活</x:v>
      </x:c>
      <x:c r="J283" s="94" t="str">
        <x:v>床品套装 E</x:v>
      </x:c>
      <x:c r="K283" s="97" t="n">
        <x:v>97.49</x:v>
      </x:c>
      <x:c r="L283" s="95" t="n">
        <x:v>1</x:v>
      </x:c>
      <x:c r="M283" s="97" t="n">
        <x:f>ROUND(K283*L283,2)</x:f>
        <x:v>97.49</x:v>
      </x:c>
      <x:c r="N283" s="109" t="n">
        <x:v>0.07</x:v>
      </x:c>
      <x:c r="O283" s="97" t="n">
        <x:f>ROUND(M283*N283,2)</x:f>
        <x:v>6.82</x:v>
      </x:c>
      <x:c r="P283" s="94" t="str">
        <x:v>已确认</x:v>
      </x:c>
      <x:c r="Q283" s="97" t="n">
        <x:f>IF(P283="已退款",M283,0)</x:f>
        <x:v>0</x:v>
      </x:c>
      <x:c r="R283" s="97" t="n">
        <x:f>IF(P283="已退款",O283,0)</x:f>
        <x:v>0</x:v>
      </x:c>
      <x:c r="S283" s="97" t="n">
        <x:f>O283-R283</x:f>
        <x:v>6.82</x:v>
      </x:c>
      <x:c r="T283" s="94" t="n">
        <x:v>2</x:v>
      </x:c>
      <x:c r="U283" s="94" t="str">
        <x:v>模拟：Amazon Associates订单回传</x:v>
      </x:c>
    </x:row>
    <x:row r="284">
      <x:c r="A284" s="92" t="str">
        <x:v>AMZ-ORD-00283</x:v>
      </x:c>
      <x:c r="B284" s="94" t="str">
        <x:v>PROC-0278</x:v>
      </x:c>
      <x:c r="C284" s="108" t="n">
        <x:v>46077.68541666667</x:v>
      </x:c>
      <x:c r="D284" s="93" t="n">
        <x:v>46073</x:v>
      </x:c>
      <x:c r="E284" s="94" t="str">
        <x:v>Google Ads</x:v>
      </x:c>
      <x:c r="F284" s="94" t="str">
        <x:v>德国</x:v>
      </x:c>
      <x:c r="G284" s="94" t="str">
        <x:v>购物广告</x:v>
      </x:c>
      <x:c r="H284" s="94" t="str">
        <x:v>SKU-0049</x:v>
      </x:c>
      <x:c r="I284" s="94" t="str">
        <x:v>办公学习</x:v>
      </x:c>
      <x:c r="J284" s="94" t="str">
        <x:v>移动白板 I</x:v>
      </x:c>
      <x:c r="K284" s="97" t="n">
        <x:v>138.22</x:v>
      </x:c>
      <x:c r="L284" s="95" t="n">
        <x:v>1</x:v>
      </x:c>
      <x:c r="M284" s="97" t="n">
        <x:f>ROUND(K284*L284,2)</x:f>
        <x:v>138.22</x:v>
      </x:c>
      <x:c r="N284" s="109" t="n">
        <x:v>0.07</x:v>
      </x:c>
      <x:c r="O284" s="97" t="n">
        <x:f>ROUND(M284*N284,2)</x:f>
        <x:v>9.68</x:v>
      </x:c>
      <x:c r="P284" s="94" t="str">
        <x:v>已确认</x:v>
      </x:c>
      <x:c r="Q284" s="97" t="n">
        <x:f>IF(P284="已退款",M284,0)</x:f>
        <x:v>0</x:v>
      </x:c>
      <x:c r="R284" s="97" t="n">
        <x:f>IF(P284="已退款",O284,0)</x:f>
        <x:v>0</x:v>
      </x:c>
      <x:c r="S284" s="97" t="n">
        <x:f>O284-R284</x:f>
        <x:v>9.68</x:v>
      </x:c>
      <x:c r="T284" s="94" t="n">
        <x:v>4</x:v>
      </x:c>
      <x:c r="U284" s="94" t="str">
        <x:v>模拟：Amazon Associates订单回传</x:v>
      </x:c>
    </x:row>
    <x:row r="285">
      <x:c r="A285" s="92" t="str">
        <x:v>AMZ-ORD-00284</x:v>
      </x:c>
      <x:c r="B285" s="94" t="str">
        <x:v>PROC-0279</x:v>
      </x:c>
      <x:c r="C285" s="108" t="n">
        <x:v>46073.68263888889</x:v>
      </x:c>
      <x:c r="D285" s="93" t="n">
        <x:v>46073</x:v>
      </x:c>
      <x:c r="E285" s="94" t="str">
        <x:v>Microsoft Ads</x:v>
      </x:c>
      <x:c r="F285" s="94" t="str">
        <x:v>美国</x:v>
      </x:c>
      <x:c r="G285" s="94" t="str">
        <x:v>购物广告</x:v>
      </x:c>
      <x:c r="H285" s="94" t="str">
        <x:v>SKU-0028</x:v>
      </x:c>
      <x:c r="I285" s="94" t="str">
        <x:v>运动健康</x:v>
      </x:c>
      <x:c r="J285" s="94" t="str">
        <x:v>体脂秤 H</x:v>
      </x:c>
      <x:c r="K285" s="97" t="n">
        <x:v>263.6</x:v>
      </x:c>
      <x:c r="L285" s="95" t="n">
        <x:v>1</x:v>
      </x:c>
      <x:c r="M285" s="97" t="n">
        <x:f>ROUND(K285*L285,2)</x:f>
        <x:v>263.6</x:v>
      </x:c>
      <x:c r="N285" s="109" t="n">
        <x:v>0.08</x:v>
      </x:c>
      <x:c r="O285" s="97" t="n">
        <x:f>ROUND(M285*N285,2)</x:f>
        <x:v>21.09</x:v>
      </x:c>
      <x:c r="P285" s="94" t="str">
        <x:v>已确认</x:v>
      </x:c>
      <x:c r="Q285" s="97" t="n">
        <x:f>IF(P285="已退款",M285,0)</x:f>
        <x:v>0</x:v>
      </x:c>
      <x:c r="R285" s="97" t="n">
        <x:f>IF(P285="已退款",O285,0)</x:f>
        <x:v>0</x:v>
      </x:c>
      <x:c r="S285" s="97" t="n">
        <x:f>O285-R285</x:f>
        <x:v>21.09</x:v>
      </x:c>
      <x:c r="T285" s="94" t="n">
        <x:v>0</x:v>
      </x:c>
      <x:c r="U285" s="94" t="str">
        <x:v>模拟：Amazon Associates订单回传</x:v>
      </x:c>
    </x:row>
    <x:row r="286">
      <x:c r="A286" s="92" t="str">
        <x:v>AMZ-ORD-00285</x:v>
      </x:c>
      <x:c r="B286" s="94" t="str">
        <x:v>PROC-0280</x:v>
      </x:c>
      <x:c r="C286" s="108" t="n">
        <x:v>46073.84444444445</x:v>
      </x:c>
      <x:c r="D286" s="93" t="n">
        <x:v>46073</x:v>
      </x:c>
      <x:c r="E286" s="94" t="str">
        <x:v>Google Ads</x:v>
      </x:c>
      <x:c r="F286" s="94" t="str">
        <x:v>美国</x:v>
      </x:c>
      <x:c r="G286" s="94" t="str">
        <x:v>购物广告</x:v>
      </x:c>
      <x:c r="H286" s="94" t="str">
        <x:v>SKU-0018</x:v>
      </x:c>
      <x:c r="I286" s="94" t="str">
        <x:v>家居生活</x:v>
      </x:c>
      <x:c r="J286" s="94" t="str">
        <x:v>收纳组合 H</x:v>
      </x:c>
      <x:c r="K286" s="97" t="n">
        <x:v>343.07</x:v>
      </x:c>
      <x:c r="L286" s="95" t="n">
        <x:v>2</x:v>
      </x:c>
      <x:c r="M286" s="97" t="n">
        <x:f>ROUND(K286*L286,2)</x:f>
        <x:v>686.14</x:v>
      </x:c>
      <x:c r="N286" s="109" t="n">
        <x:v>0.07</x:v>
      </x:c>
      <x:c r="O286" s="97" t="n">
        <x:f>ROUND(M286*N286,2)</x:f>
        <x:v>48.03</x:v>
      </x:c>
      <x:c r="P286" s="94" t="str">
        <x:v>已确认</x:v>
      </x:c>
      <x:c r="Q286" s="97" t="n">
        <x:f>IF(P286="已退款",M286,0)</x:f>
        <x:v>0</x:v>
      </x:c>
      <x:c r="R286" s="97" t="n">
        <x:f>IF(P286="已退款",O286,0)</x:f>
        <x:v>0</x:v>
      </x:c>
      <x:c r="S286" s="97" t="n">
        <x:f>O286-R286</x:f>
        <x:v>48.03</x:v>
      </x:c>
      <x:c r="T286" s="94" t="n">
        <x:v>0</x:v>
      </x:c>
      <x:c r="U286" s="94" t="str">
        <x:v>模拟：Amazon Associates订单回传</x:v>
      </x:c>
    </x:row>
    <x:row r="287">
      <x:c r="A287" s="92" t="str">
        <x:v>AMZ-ORD-00286</x:v>
      </x:c>
      <x:c r="B287" s="94" t="str">
        <x:v>PROC-0281</x:v>
      </x:c>
      <x:c r="C287" s="108" t="n">
        <x:v>46077.42222222222</x:v>
      </x:c>
      <x:c r="D287" s="93" t="n">
        <x:v>46073</x:v>
      </x:c>
      <x:c r="E287" s="94" t="str">
        <x:v>Google Ads</x:v>
      </x:c>
      <x:c r="F287" s="94" t="str">
        <x:v>美国</x:v>
      </x:c>
      <x:c r="G287" s="94" t="str">
        <x:v>通用搜索</x:v>
      </x:c>
      <x:c r="H287" s="94" t="str">
        <x:v>SKU-0005</x:v>
      </x:c>
      <x:c r="I287" s="94" t="str">
        <x:v>电子产品</x:v>
      </x:c>
      <x:c r="J287" s="94" t="str">
        <x:v>降噪耳机 E</x:v>
      </x:c>
      <x:c r="K287" s="97" t="n">
        <x:v>668.72</x:v>
      </x:c>
      <x:c r="L287" s="95" t="n">
        <x:v>1</x:v>
      </x:c>
      <x:c r="M287" s="97" t="n">
        <x:f>ROUND(K287*L287,2)</x:f>
        <x:v>668.72</x:v>
      </x:c>
      <x:c r="N287" s="109" t="n">
        <x:v>0.05</x:v>
      </x:c>
      <x:c r="O287" s="97" t="n">
        <x:f>ROUND(M287*N287,2)</x:f>
        <x:v>33.44</x:v>
      </x:c>
      <x:c r="P287" s="94" t="str">
        <x:v>已确认</x:v>
      </x:c>
      <x:c r="Q287" s="97" t="n">
        <x:f>IF(P287="已退款",M287,0)</x:f>
        <x:v>0</x:v>
      </x:c>
      <x:c r="R287" s="97" t="n">
        <x:f>IF(P287="已退款",O287,0)</x:f>
        <x:v>0</x:v>
      </x:c>
      <x:c r="S287" s="97" t="n">
        <x:f>O287-R287</x:f>
        <x:v>33.44</x:v>
      </x:c>
      <x:c r="T287" s="94" t="n">
        <x:v>4</x:v>
      </x:c>
      <x:c r="U287" s="94" t="str">
        <x:v>模拟：Amazon Associates订单回传</x:v>
      </x:c>
    </x:row>
    <x:row r="288">
      <x:c r="A288" s="92" t="str">
        <x:v>AMZ-ORD-00287</x:v>
      </x:c>
      <x:c r="B288" s="94" t="str">
        <x:v>PROC-0282</x:v>
      </x:c>
      <x:c r="C288" s="108" t="n">
        <x:v>46073.43125</x:v>
      </x:c>
      <x:c r="D288" s="93" t="n">
        <x:v>46073</x:v>
      </x:c>
      <x:c r="E288" s="94" t="str">
        <x:v>Google Ads</x:v>
      </x:c>
      <x:c r="F288" s="94" t="str">
        <x:v>英国</x:v>
      </x:c>
      <x:c r="G288" s="94" t="str">
        <x:v>购物广告</x:v>
      </x:c>
      <x:c r="H288" s="94" t="str">
        <x:v>SKU-0047</x:v>
      </x:c>
      <x:c r="I288" s="94" t="str">
        <x:v>办公学习</x:v>
      </x:c>
      <x:c r="J288" s="94" t="str">
        <x:v>标签打印机 G</x:v>
      </x:c>
      <x:c r="K288" s="97" t="n">
        <x:v>182.76</x:v>
      </x:c>
      <x:c r="L288" s="95" t="n">
        <x:v>1</x:v>
      </x:c>
      <x:c r="M288" s="97" t="n">
        <x:f>ROUND(K288*L288,2)</x:f>
        <x:v>182.76</x:v>
      </x:c>
      <x:c r="N288" s="109" t="n">
        <x:v>0.07</x:v>
      </x:c>
      <x:c r="O288" s="97" t="n">
        <x:f>ROUND(M288*N288,2)</x:f>
        <x:v>12.79</x:v>
      </x:c>
      <x:c r="P288" s="94" t="str">
        <x:v>已确认</x:v>
      </x:c>
      <x:c r="Q288" s="97" t="n">
        <x:f>IF(P288="已退款",M288,0)</x:f>
        <x:v>0</x:v>
      </x:c>
      <x:c r="R288" s="97" t="n">
        <x:f>IF(P288="已退款",O288,0)</x:f>
        <x:v>0</x:v>
      </x:c>
      <x:c r="S288" s="97" t="n">
        <x:f>O288-R288</x:f>
        <x:v>12.79</x:v>
      </x:c>
      <x:c r="T288" s="94" t="n">
        <x:v>0</x:v>
      </x:c>
      <x:c r="U288" s="94" t="str">
        <x:v>模拟：Amazon Associates订单回传</x:v>
      </x:c>
    </x:row>
    <x:row r="289">
      <x:c r="A289" s="92" t="str">
        <x:v>AMZ-ORD-00288</x:v>
      </x:c>
      <x:c r="B289" s="94" t="str">
        <x:v>PROC-0283</x:v>
      </x:c>
      <x:c r="C289" s="108" t="n">
        <x:v>46078.36944444444</x:v>
      </x:c>
      <x:c r="D289" s="93" t="n">
        <x:v>46074</x:v>
      </x:c>
      <x:c r="E289" s="94" t="str">
        <x:v>Google Ads</x:v>
      </x:c>
      <x:c r="F289" s="94" t="str">
        <x:v>美国</x:v>
      </x:c>
      <x:c r="G289" s="94" t="str">
        <x:v>购物广告</x:v>
      </x:c>
      <x:c r="H289" s="94" t="str">
        <x:v>SKU-0009</x:v>
      </x:c>
      <x:c r="I289" s="94" t="str">
        <x:v>电子产品</x:v>
      </x:c>
      <x:c r="J289" s="94" t="str">
        <x:v>电子阅读器 I</x:v>
      </x:c>
      <x:c r="K289" s="97" t="n">
        <x:v>258.91</x:v>
      </x:c>
      <x:c r="L289" s="95" t="n">
        <x:v>1</x:v>
      </x:c>
      <x:c r="M289" s="97" t="n">
        <x:f>ROUND(K289*L289,2)</x:f>
        <x:v>258.91</x:v>
      </x:c>
      <x:c r="N289" s="109" t="n">
        <x:v>0.05</x:v>
      </x:c>
      <x:c r="O289" s="97" t="n">
        <x:f>ROUND(M289*N289,2)</x:f>
        <x:v>12.95</x:v>
      </x:c>
      <x:c r="P289" s="94" t="str">
        <x:v>待确认</x:v>
      </x:c>
      <x:c r="Q289" s="97" t="n">
        <x:f>IF(P289="已退款",M289,0)</x:f>
        <x:v>0</x:v>
      </x:c>
      <x:c r="R289" s="97" t="n">
        <x:f>IF(P289="已退款",O289,0)</x:f>
        <x:v>0</x:v>
      </x:c>
      <x:c r="S289" s="97" t="n">
        <x:f>O289-R289</x:f>
        <x:v>12.95</x:v>
      </x:c>
      <x:c r="T289" s="94" t="n">
        <x:v>4</x:v>
      </x:c>
      <x:c r="U289" s="94" t="str">
        <x:v>模拟：Amazon Associates订单回传</x:v>
      </x:c>
    </x:row>
    <x:row r="290">
      <x:c r="A290" s="92" t="str">
        <x:v>AMZ-ORD-00289</x:v>
      </x:c>
      <x:c r="B290" s="94" t="str">
        <x:v>PROC-0284</x:v>
      </x:c>
      <x:c r="C290" s="108" t="n">
        <x:v>46078.57152777778</x:v>
      </x:c>
      <x:c r="D290" s="93" t="n">
        <x:v>46074</x:v>
      </x:c>
      <x:c r="E290" s="94" t="str">
        <x:v>Google Ads</x:v>
      </x:c>
      <x:c r="F290" s="94" t="str">
        <x:v>德国</x:v>
      </x:c>
      <x:c r="G290" s="94" t="str">
        <x:v>通用搜索</x:v>
      </x:c>
      <x:c r="H290" s="94" t="str">
        <x:v>SKU-0002</x:v>
      </x:c>
      <x:c r="I290" s="94" t="str">
        <x:v>电子产品</x:v>
      </x:c>
      <x:c r="J290" s="94" t="str">
        <x:v>便携显示器 B</x:v>
      </x:c>
      <x:c r="K290" s="97" t="n">
        <x:v>685.95</x:v>
      </x:c>
      <x:c r="L290" s="95" t="n">
        <x:v>1</x:v>
      </x:c>
      <x:c r="M290" s="97" t="n">
        <x:f>ROUND(K290*L290,2)</x:f>
        <x:v>685.95</x:v>
      </x:c>
      <x:c r="N290" s="109" t="n">
        <x:v>0.05</x:v>
      </x:c>
      <x:c r="O290" s="97" t="n">
        <x:f>ROUND(M290*N290,2)</x:f>
        <x:v>34.3</x:v>
      </x:c>
      <x:c r="P290" s="94" t="str">
        <x:v>已确认</x:v>
      </x:c>
      <x:c r="Q290" s="97" t="n">
        <x:f>IF(P290="已退款",M290,0)</x:f>
        <x:v>0</x:v>
      </x:c>
      <x:c r="R290" s="97" t="n">
        <x:f>IF(P290="已退款",O290,0)</x:f>
        <x:v>0</x:v>
      </x:c>
      <x:c r="S290" s="97" t="n">
        <x:f>O290-R290</x:f>
        <x:v>34.3</x:v>
      </x:c>
      <x:c r="T290" s="94" t="n">
        <x:v>4</x:v>
      </x:c>
      <x:c r="U290" s="94" t="str">
        <x:v>模拟：Amazon Associates订单回传</x:v>
      </x:c>
    </x:row>
    <x:row r="291">
      <x:c r="A291" s="92" t="str">
        <x:v>AMZ-ORD-00290</x:v>
      </x:c>
      <x:c r="B291" s="94" t="str">
        <x:v>PROC-0285</x:v>
      </x:c>
      <x:c r="C291" s="108" t="n">
        <x:v>46075.48541666667</x:v>
      </x:c>
      <x:c r="D291" s="93" t="n">
        <x:v>46074</x:v>
      </x:c>
      <x:c r="E291" s="94" t="str">
        <x:v>Microsoft Ads</x:v>
      </x:c>
      <x:c r="F291" s="94" t="str">
        <x:v>德国</x:v>
      </x:c>
      <x:c r="G291" s="94" t="str">
        <x:v>通用搜索</x:v>
      </x:c>
      <x:c r="H291" s="94" t="str">
        <x:v>SKU-0013</x:v>
      </x:c>
      <x:c r="I291" s="94" t="str">
        <x:v>家居生活</x:v>
      </x:c>
      <x:c r="J291" s="94" t="str">
        <x:v>人体工学椅 C</x:v>
      </x:c>
      <x:c r="K291" s="97" t="n">
        <x:v>99.02</x:v>
      </x:c>
      <x:c r="L291" s="95" t="n">
        <x:v>1</x:v>
      </x:c>
      <x:c r="M291" s="97" t="n">
        <x:f>ROUND(K291*L291,2)</x:f>
        <x:v>99.02</x:v>
      </x:c>
      <x:c r="N291" s="109" t="n">
        <x:v>0.07</x:v>
      </x:c>
      <x:c r="O291" s="97" t="n">
        <x:f>ROUND(M291*N291,2)</x:f>
        <x:v>6.93</x:v>
      </x:c>
      <x:c r="P291" s="94" t="str">
        <x:v>已确认</x:v>
      </x:c>
      <x:c r="Q291" s="97" t="n">
        <x:f>IF(P291="已退款",M291,0)</x:f>
        <x:v>0</x:v>
      </x:c>
      <x:c r="R291" s="97" t="n">
        <x:f>IF(P291="已退款",O291,0)</x:f>
        <x:v>0</x:v>
      </x:c>
      <x:c r="S291" s="97" t="n">
        <x:f>O291-R291</x:f>
        <x:v>6.93</x:v>
      </x:c>
      <x:c r="T291" s="94" t="n">
        <x:v>1</x:v>
      </x:c>
      <x:c r="U291" s="94" t="str">
        <x:v>模拟：Amazon Associates订单回传</x:v>
      </x:c>
    </x:row>
    <x:row r="292">
      <x:c r="A292" s="92" t="str">
        <x:v>AMZ-ORD-00291</x:v>
      </x:c>
      <x:c r="B292" s="94" t="str">
        <x:v>PROC-0286</x:v>
      </x:c>
      <x:c r="C292" s="108" t="n">
        <x:v>46078.76458333333</x:v>
      </x:c>
      <x:c r="D292" s="93" t="n">
        <x:v>46074</x:v>
      </x:c>
      <x:c r="E292" s="94" t="str">
        <x:v>Google Ads</x:v>
      </x:c>
      <x:c r="F292" s="94" t="str">
        <x:v>英国</x:v>
      </x:c>
      <x:c r="G292" s="94" t="str">
        <x:v>竞品搜索</x:v>
      </x:c>
      <x:c r="H292" s="94" t="str">
        <x:v>SKU-0045</x:v>
      </x:c>
      <x:c r="I292" s="94" t="str">
        <x:v>办公学习</x:v>
      </x:c>
      <x:c r="J292" s="94" t="str">
        <x:v>办公收纳 E</x:v>
      </x:c>
      <x:c r="K292" s="97" t="n">
        <x:v>248.05</x:v>
      </x:c>
      <x:c r="L292" s="95" t="n">
        <x:v>1</x:v>
      </x:c>
      <x:c r="M292" s="97" t="n">
        <x:f>ROUND(K292*L292,2)</x:f>
        <x:v>248.05</x:v>
      </x:c>
      <x:c r="N292" s="109" t="n">
        <x:v>0.07</x:v>
      </x:c>
      <x:c r="O292" s="97" t="n">
        <x:f>ROUND(M292*N292,2)</x:f>
        <x:v>17.36</x:v>
      </x:c>
      <x:c r="P292" s="94" t="str">
        <x:v>已确认</x:v>
      </x:c>
      <x:c r="Q292" s="97" t="n">
        <x:f>IF(P292="已退款",M292,0)</x:f>
        <x:v>0</x:v>
      </x:c>
      <x:c r="R292" s="97" t="n">
        <x:f>IF(P292="已退款",O292,0)</x:f>
        <x:v>0</x:v>
      </x:c>
      <x:c r="S292" s="97" t="n">
        <x:f>O292-R292</x:f>
        <x:v>17.36</x:v>
      </x:c>
      <x:c r="T292" s="94" t="n">
        <x:v>4</x:v>
      </x:c>
      <x:c r="U292" s="94" t="str">
        <x:v>模拟：Amazon Associates订单回传</x:v>
      </x:c>
    </x:row>
    <x:row r="293">
      <x:c r="A293" s="92" t="str">
        <x:v>AMZ-ORD-00292</x:v>
      </x:c>
      <x:c r="B293" s="94" t="str">
        <x:v>PROC-0287</x:v>
      </x:c>
      <x:c r="C293" s="108" t="n">
        <x:v>46078.62222222222</x:v>
      </x:c>
      <x:c r="D293" s="93" t="n">
        <x:v>46074</x:v>
      </x:c>
      <x:c r="E293" s="94" t="str">
        <x:v>Google Ads</x:v>
      </x:c>
      <x:c r="F293" s="94" t="str">
        <x:v>德国</x:v>
      </x:c>
      <x:c r="G293" s="94" t="str">
        <x:v>购物广告</x:v>
      </x:c>
      <x:c r="H293" s="94" t="str">
        <x:v>SKU-0048</x:v>
      </x:c>
      <x:c r="I293" s="94" t="str">
        <x:v>办公学习</x:v>
      </x:c>
      <x:c r="J293" s="94" t="str">
        <x:v>阅读支架 H</x:v>
      </x:c>
      <x:c r="K293" s="97" t="n">
        <x:v>258.87</x:v>
      </x:c>
      <x:c r="L293" s="95" t="n">
        <x:v>1</x:v>
      </x:c>
      <x:c r="M293" s="97" t="n">
        <x:f>ROUND(K293*L293,2)</x:f>
        <x:v>258.87</x:v>
      </x:c>
      <x:c r="N293" s="109" t="n">
        <x:v>0.07</x:v>
      </x:c>
      <x:c r="O293" s="97" t="n">
        <x:f>ROUND(M293*N293,2)</x:f>
        <x:v>18.12</x:v>
      </x:c>
      <x:c r="P293" s="94" t="str">
        <x:v>已确认</x:v>
      </x:c>
      <x:c r="Q293" s="97" t="n">
        <x:f>IF(P293="已退款",M293,0)</x:f>
        <x:v>0</x:v>
      </x:c>
      <x:c r="R293" s="97" t="n">
        <x:f>IF(P293="已退款",O293,0)</x:f>
        <x:v>0</x:v>
      </x:c>
      <x:c r="S293" s="97" t="n">
        <x:f>O293-R293</x:f>
        <x:v>18.12</x:v>
      </x:c>
      <x:c r="T293" s="94" t="n">
        <x:v>4</x:v>
      </x:c>
      <x:c r="U293" s="94" t="str">
        <x:v>模拟：Amazon Associates订单回传</x:v>
      </x:c>
    </x:row>
    <x:row r="294">
      <x:c r="A294" s="92" t="str">
        <x:v>AMZ-ORD-00293</x:v>
      </x:c>
      <x:c r="B294" s="94" t="str">
        <x:v>PROC-0288</x:v>
      </x:c>
      <x:c r="C294" s="108" t="n">
        <x:v>46077.347916666666</x:v>
      </x:c>
      <x:c r="D294" s="93" t="n">
        <x:v>46074</x:v>
      </x:c>
      <x:c r="E294" s="94" t="str">
        <x:v>Google Ads</x:v>
      </x:c>
      <x:c r="F294" s="94" t="str">
        <x:v>美国</x:v>
      </x:c>
      <x:c r="G294" s="94" t="str">
        <x:v>品牌搜索</x:v>
      </x:c>
      <x:c r="H294" s="94" t="str">
        <x:v>SKU-0016</x:v>
      </x:c>
      <x:c r="I294" s="94" t="str">
        <x:v>家居生活</x:v>
      </x:c>
      <x:c r="J294" s="94" t="str">
        <x:v>厨师机 F</x:v>
      </x:c>
      <x:c r="K294" s="97" t="n">
        <x:v>201.92</x:v>
      </x:c>
      <x:c r="L294" s="95" t="n">
        <x:v>1</x:v>
      </x:c>
      <x:c r="M294" s="97" t="n">
        <x:f>ROUND(K294*L294,2)</x:f>
        <x:v>201.92</x:v>
      </x:c>
      <x:c r="N294" s="109" t="n">
        <x:v>0.07</x:v>
      </x:c>
      <x:c r="O294" s="97" t="n">
        <x:f>ROUND(M294*N294,2)</x:f>
        <x:v>14.13</x:v>
      </x:c>
      <x:c r="P294" s="94" t="str">
        <x:v>已确认</x:v>
      </x:c>
      <x:c r="Q294" s="97" t="n">
        <x:f>IF(P294="已退款",M294,0)</x:f>
        <x:v>0</x:v>
      </x:c>
      <x:c r="R294" s="97" t="n">
        <x:f>IF(P294="已退款",O294,0)</x:f>
        <x:v>0</x:v>
      </x:c>
      <x:c r="S294" s="97" t="n">
        <x:f>O294-R294</x:f>
        <x:v>14.13</x:v>
      </x:c>
      <x:c r="T294" s="94" t="n">
        <x:v>3</x:v>
      </x:c>
      <x:c r="U294" s="94" t="str">
        <x:v>模拟：Amazon Associates订单回传</x:v>
      </x:c>
    </x:row>
    <x:row r="295">
      <x:c r="A295" s="92" t="str">
        <x:v>AMZ-ORD-00294</x:v>
      </x:c>
      <x:c r="B295" s="94" t="str">
        <x:v>PROC-0289</x:v>
      </x:c>
      <x:c r="C295" s="108" t="n">
        <x:v>46075.42083333333</x:v>
      </x:c>
      <x:c r="D295" s="93" t="n">
        <x:v>46075</x:v>
      </x:c>
      <x:c r="E295" s="94" t="str">
        <x:v>Google Ads</x:v>
      </x:c>
      <x:c r="F295" s="94" t="str">
        <x:v>日本</x:v>
      </x:c>
      <x:c r="G295" s="94" t="str">
        <x:v>通用搜索</x:v>
      </x:c>
      <x:c r="H295" s="94" t="str">
        <x:v>SKU-0013</x:v>
      </x:c>
      <x:c r="I295" s="94" t="str">
        <x:v>家居生活</x:v>
      </x:c>
      <x:c r="J295" s="94" t="str">
        <x:v>人体工学椅 C</x:v>
      </x:c>
      <x:c r="K295" s="97" t="n">
        <x:v>165.35</x:v>
      </x:c>
      <x:c r="L295" s="95" t="n">
        <x:v>1</x:v>
      </x:c>
      <x:c r="M295" s="97" t="n">
        <x:f>ROUND(K295*L295,2)</x:f>
        <x:v>165.35</x:v>
      </x:c>
      <x:c r="N295" s="109" t="n">
        <x:v>0.07</x:v>
      </x:c>
      <x:c r="O295" s="97" t="n">
        <x:f>ROUND(M295*N295,2)</x:f>
        <x:v>11.57</x:v>
      </x:c>
      <x:c r="P295" s="94" t="str">
        <x:v>已确认</x:v>
      </x:c>
      <x:c r="Q295" s="97" t="n">
        <x:f>IF(P295="已退款",M295,0)</x:f>
        <x:v>0</x:v>
      </x:c>
      <x:c r="R295" s="97" t="n">
        <x:f>IF(P295="已退款",O295,0)</x:f>
        <x:v>0</x:v>
      </x:c>
      <x:c r="S295" s="97" t="n">
        <x:f>O295-R295</x:f>
        <x:v>11.57</x:v>
      </x:c>
      <x:c r="T295" s="94" t="n">
        <x:v>0</x:v>
      </x:c>
      <x:c r="U295" s="94" t="str">
        <x:v>模拟：Amazon Associates订单回传</x:v>
      </x:c>
    </x:row>
    <x:row r="296">
      <x:c r="A296" s="92" t="str">
        <x:v>AMZ-ORD-00295</x:v>
      </x:c>
      <x:c r="B296" s="94" t="str">
        <x:v>PROC-0290</x:v>
      </x:c>
      <x:c r="C296" s="108" t="n">
        <x:v>46076.35902777778</x:v>
      </x:c>
      <x:c r="D296" s="93" t="n">
        <x:v>46075</x:v>
      </x:c>
      <x:c r="E296" s="94" t="str">
        <x:v>Google Ads</x:v>
      </x:c>
      <x:c r="F296" s="94" t="str">
        <x:v>美国</x:v>
      </x:c>
      <x:c r="G296" s="94" t="str">
        <x:v>购物广告</x:v>
      </x:c>
      <x:c r="H296" s="94" t="str">
        <x:v>SKU-0024</x:v>
      </x:c>
      <x:c r="I296" s="94" t="str">
        <x:v>运动健康</x:v>
      </x:c>
      <x:c r="J296" s="94" t="str">
        <x:v>筋膜枪 D</x:v>
      </x:c>
      <x:c r="K296" s="97" t="n">
        <x:v>240.26</x:v>
      </x:c>
      <x:c r="L296" s="95" t="n">
        <x:v>1</x:v>
      </x:c>
      <x:c r="M296" s="97" t="n">
        <x:f>ROUND(K296*L296,2)</x:f>
        <x:v>240.26</x:v>
      </x:c>
      <x:c r="N296" s="109" t="n">
        <x:v>0.08</x:v>
      </x:c>
      <x:c r="O296" s="97" t="n">
        <x:f>ROUND(M296*N296,2)</x:f>
        <x:v>19.22</x:v>
      </x:c>
      <x:c r="P296" s="94" t="str">
        <x:v>已确认</x:v>
      </x:c>
      <x:c r="Q296" s="97" t="n">
        <x:f>IF(P296="已退款",M296,0)</x:f>
        <x:v>0</x:v>
      </x:c>
      <x:c r="R296" s="97" t="n">
        <x:f>IF(P296="已退款",O296,0)</x:f>
        <x:v>0</x:v>
      </x:c>
      <x:c r="S296" s="97" t="n">
        <x:f>O296-R296</x:f>
        <x:v>19.22</x:v>
      </x:c>
      <x:c r="T296" s="94" t="n">
        <x:v>1</x:v>
      </x:c>
      <x:c r="U296" s="94" t="str">
        <x:v>模拟：Amazon Associates订单回传</x:v>
      </x:c>
    </x:row>
    <x:row r="297">
      <x:c r="A297" s="92" t="str">
        <x:v>AMZ-ORD-00296</x:v>
      </x:c>
      <x:c r="B297" s="94" t="str">
        <x:v>PROC-0291</x:v>
      </x:c>
      <x:c r="C297" s="108" t="n">
        <x:v>46075.58541666667</x:v>
      </x:c>
      <x:c r="D297" s="93" t="n">
        <x:v>46075</x:v>
      </x:c>
      <x:c r="E297" s="94" t="str">
        <x:v>Google Ads</x:v>
      </x:c>
      <x:c r="F297" s="94" t="str">
        <x:v>英国</x:v>
      </x:c>
      <x:c r="G297" s="94" t="str">
        <x:v>品牌搜索</x:v>
      </x:c>
      <x:c r="H297" s="94" t="str">
        <x:v>SKU-0028</x:v>
      </x:c>
      <x:c r="I297" s="94" t="str">
        <x:v>运动健康</x:v>
      </x:c>
      <x:c r="J297" s="94" t="str">
        <x:v>体脂秤 H</x:v>
      </x:c>
      <x:c r="K297" s="97" t="n">
        <x:v>222.39</x:v>
      </x:c>
      <x:c r="L297" s="95" t="n">
        <x:v>1</x:v>
      </x:c>
      <x:c r="M297" s="97" t="n">
        <x:f>ROUND(K297*L297,2)</x:f>
        <x:v>222.39</x:v>
      </x:c>
      <x:c r="N297" s="109" t="n">
        <x:v>0.08</x:v>
      </x:c>
      <x:c r="O297" s="97" t="n">
        <x:f>ROUND(M297*N297,2)</x:f>
        <x:v>17.79</x:v>
      </x:c>
      <x:c r="P297" s="94" t="str">
        <x:v>已确认</x:v>
      </x:c>
      <x:c r="Q297" s="97" t="n">
        <x:f>IF(P297="已退款",M297,0)</x:f>
        <x:v>0</x:v>
      </x:c>
      <x:c r="R297" s="97" t="n">
        <x:f>IF(P297="已退款",O297,0)</x:f>
        <x:v>0</x:v>
      </x:c>
      <x:c r="S297" s="97" t="n">
        <x:f>O297-R297</x:f>
        <x:v>17.79</x:v>
      </x:c>
      <x:c r="T297" s="94" t="n">
        <x:v>0</x:v>
      </x:c>
      <x:c r="U297" s="94" t="str">
        <x:v>模拟：Amazon Associates订单回传</x:v>
      </x:c>
    </x:row>
    <x:row r="298">
      <x:c r="A298" s="92" t="str">
        <x:v>AMZ-ORD-00297</x:v>
      </x:c>
      <x:c r="B298" s="94" t="str">
        <x:v>PROC-0291</x:v>
      </x:c>
      <x:c r="C298" s="108" t="n">
        <x:v>46075.75486111111</x:v>
      </x:c>
      <x:c r="D298" s="93" t="n">
        <x:v>46075</x:v>
      </x:c>
      <x:c r="E298" s="94" t="str">
        <x:v>Google Ads</x:v>
      </x:c>
      <x:c r="F298" s="94" t="str">
        <x:v>英国</x:v>
      </x:c>
      <x:c r="G298" s="94" t="str">
        <x:v>品牌搜索</x:v>
      </x:c>
      <x:c r="H298" s="94" t="str">
        <x:v>SKU-0022</x:v>
      </x:c>
      <x:c r="I298" s="94" t="str">
        <x:v>运动健康</x:v>
      </x:c>
      <x:c r="J298" s="94" t="str">
        <x:v>瑜伽套装 B</x:v>
      </x:c>
      <x:c r="K298" s="97" t="n">
        <x:v>132.2</x:v>
      </x:c>
      <x:c r="L298" s="95" t="n">
        <x:v>1</x:v>
      </x:c>
      <x:c r="M298" s="97" t="n">
        <x:f>ROUND(K298*L298,2)</x:f>
        <x:v>132.2</x:v>
      </x:c>
      <x:c r="N298" s="109" t="n">
        <x:v>0.08</x:v>
      </x:c>
      <x:c r="O298" s="97" t="n">
        <x:f>ROUND(M298*N298,2)</x:f>
        <x:v>10.58</x:v>
      </x:c>
      <x:c r="P298" s="94" t="str">
        <x:v>已确认</x:v>
      </x:c>
      <x:c r="Q298" s="97" t="n">
        <x:f>IF(P298="已退款",M298,0)</x:f>
        <x:v>0</x:v>
      </x:c>
      <x:c r="R298" s="97" t="n">
        <x:f>IF(P298="已退款",O298,0)</x:f>
        <x:v>0</x:v>
      </x:c>
      <x:c r="S298" s="97" t="n">
        <x:f>O298-R298</x:f>
        <x:v>10.58</x:v>
      </x:c>
      <x:c r="T298" s="94" t="n">
        <x:v>0</x:v>
      </x:c>
      <x:c r="U298" s="94" t="str">
        <x:v>模拟：Amazon Associates订单回传</x:v>
      </x:c>
    </x:row>
    <x:row r="299">
      <x:c r="A299" s="92" t="str">
        <x:v>AMZ-ORD-00298</x:v>
      </x:c>
      <x:c r="B299" s="94" t="str">
        <x:v>PROC-0292</x:v>
      </x:c>
      <x:c r="C299" s="108" t="n">
        <x:v>46077.58472222222</x:v>
      </x:c>
      <x:c r="D299" s="93" t="n">
        <x:v>46075</x:v>
      </x:c>
      <x:c r="E299" s="94" t="str">
        <x:v>Microsoft Ads</x:v>
      </x:c>
      <x:c r="F299" s="94" t="str">
        <x:v>德国</x:v>
      </x:c>
      <x:c r="G299" s="94" t="str">
        <x:v>购物广告</x:v>
      </x:c>
      <x:c r="H299" s="94" t="str">
        <x:v>SKU-0011</x:v>
      </x:c>
      <x:c r="I299" s="94" t="str">
        <x:v>家居生活</x:v>
      </x:c>
      <x:c r="J299" s="94" t="str">
        <x:v>空气净化器 A</x:v>
      </x:c>
      <x:c r="K299" s="97" t="n">
        <x:v>343.42</x:v>
      </x:c>
      <x:c r="L299" s="95" t="n">
        <x:v>1</x:v>
      </x:c>
      <x:c r="M299" s="97" t="n">
        <x:f>ROUND(K299*L299,2)</x:f>
        <x:v>343.42</x:v>
      </x:c>
      <x:c r="N299" s="109" t="n">
        <x:v>0.07</x:v>
      </x:c>
      <x:c r="O299" s="97" t="n">
        <x:f>ROUND(M299*N299,2)</x:f>
        <x:v>24.04</x:v>
      </x:c>
      <x:c r="P299" s="94" t="str">
        <x:v>已确认</x:v>
      </x:c>
      <x:c r="Q299" s="97" t="n">
        <x:f>IF(P299="已退款",M299,0)</x:f>
        <x:v>0</x:v>
      </x:c>
      <x:c r="R299" s="97" t="n">
        <x:f>IF(P299="已退款",O299,0)</x:f>
        <x:v>0</x:v>
      </x:c>
      <x:c r="S299" s="97" t="n">
        <x:f>O299-R299</x:f>
        <x:v>24.04</x:v>
      </x:c>
      <x:c r="T299" s="94" t="n">
        <x:v>2</x:v>
      </x:c>
      <x:c r="U299" s="94" t="str">
        <x:v>模拟：Amazon Associates订单回传</x:v>
      </x:c>
    </x:row>
    <x:row r="300">
      <x:c r="A300" s="92" t="str">
        <x:v>AMZ-ORD-00299</x:v>
      </x:c>
      <x:c r="B300" s="94" t="str">
        <x:v>PROC-0293</x:v>
      </x:c>
      <x:c r="C300" s="108" t="n">
        <x:v>46079.53402777778</x:v>
      </x:c>
      <x:c r="D300" s="93" t="n">
        <x:v>46075</x:v>
      </x:c>
      <x:c r="E300" s="94" t="str">
        <x:v>Microsoft Ads</x:v>
      </x:c>
      <x:c r="F300" s="94" t="str">
        <x:v>美国</x:v>
      </x:c>
      <x:c r="G300" s="94" t="str">
        <x:v>购物广告</x:v>
      </x:c>
      <x:c r="H300" s="94" t="str">
        <x:v>SKU-0003</x:v>
      </x:c>
      <x:c r="I300" s="94" t="str">
        <x:v>电子产品</x:v>
      </x:c>
      <x:c r="J300" s="94" t="str">
        <x:v>智能家居中枢 C</x:v>
      </x:c>
      <x:c r="K300" s="97" t="n">
        <x:v>760.62</x:v>
      </x:c>
      <x:c r="L300" s="95" t="n">
        <x:v>1</x:v>
      </x:c>
      <x:c r="M300" s="97" t="n">
        <x:f>ROUND(K300*L300,2)</x:f>
        <x:v>760.62</x:v>
      </x:c>
      <x:c r="N300" s="109" t="n">
        <x:v>0.05</x:v>
      </x:c>
      <x:c r="O300" s="97" t="n">
        <x:f>ROUND(M300*N300,2)</x:f>
        <x:v>38.03</x:v>
      </x:c>
      <x:c r="P300" s="94" t="str">
        <x:v>已退款</x:v>
      </x:c>
      <x:c r="Q300" s="97" t="n">
        <x:f>IF(P300="已退款",M300,0)</x:f>
        <x:v>760.62</x:v>
      </x:c>
      <x:c r="R300" s="97" t="n">
        <x:f>IF(P300="已退款",O300,0)</x:f>
        <x:v>38.03</x:v>
      </x:c>
      <x:c r="S300" s="97" t="n">
        <x:f>O300-R300</x:f>
        <x:v>0</x:v>
      </x:c>
      <x:c r="T300" s="94" t="n">
        <x:v>4</x:v>
      </x:c>
      <x:c r="U300" s="94" t="str">
        <x:v>模拟：Amazon Associates订单回传</x:v>
      </x:c>
    </x:row>
    <x:row r="301">
      <x:c r="A301" s="92" t="str">
        <x:v>AMZ-ORD-00300</x:v>
      </x:c>
      <x:c r="B301" s="94" t="str">
        <x:v>PROC-0293</x:v>
      </x:c>
      <x:c r="C301" s="108" t="n">
        <x:v>46077.73402777778</x:v>
      </x:c>
      <x:c r="D301" s="93" t="n">
        <x:v>46075</x:v>
      </x:c>
      <x:c r="E301" s="94" t="str">
        <x:v>Microsoft Ads</x:v>
      </x:c>
      <x:c r="F301" s="94" t="str">
        <x:v>美国</x:v>
      </x:c>
      <x:c r="G301" s="94" t="str">
        <x:v>购物广告</x:v>
      </x:c>
      <x:c r="H301" s="94" t="str">
        <x:v>SKU-0011</x:v>
      </x:c>
      <x:c r="I301" s="94" t="str">
        <x:v>家居生活</x:v>
      </x:c>
      <x:c r="J301" s="94" t="str">
        <x:v>空气净化器 A</x:v>
      </x:c>
      <x:c r="K301" s="97" t="n">
        <x:v>140.96</x:v>
      </x:c>
      <x:c r="L301" s="95" t="n">
        <x:v>1</x:v>
      </x:c>
      <x:c r="M301" s="97" t="n">
        <x:f>ROUND(K301*L301,2)</x:f>
        <x:v>140.96</x:v>
      </x:c>
      <x:c r="N301" s="109" t="n">
        <x:v>0.07</x:v>
      </x:c>
      <x:c r="O301" s="97" t="n">
        <x:f>ROUND(M301*N301,2)</x:f>
        <x:v>9.87</x:v>
      </x:c>
      <x:c r="P301" s="94" t="str">
        <x:v>已确认</x:v>
      </x:c>
      <x:c r="Q301" s="97" t="n">
        <x:f>IF(P301="已退款",M301,0)</x:f>
        <x:v>0</x:v>
      </x:c>
      <x:c r="R301" s="97" t="n">
        <x:f>IF(P301="已退款",O301,0)</x:f>
        <x:v>0</x:v>
      </x:c>
      <x:c r="S301" s="97" t="n">
        <x:f>O301-R301</x:f>
        <x:v>9.87</x:v>
      </x:c>
      <x:c r="T301" s="94" t="n">
        <x:v>2</x:v>
      </x:c>
      <x:c r="U301" s="94" t="str">
        <x:v>模拟：Amazon Associates订单回传</x:v>
      </x:c>
    </x:row>
    <x:row r="302">
      <x:c r="A302" s="92" t="str">
        <x:v>AMZ-ORD-00301</x:v>
      </x:c>
      <x:c r="B302" s="94" t="str">
        <x:v>PROC-0294</x:v>
      </x:c>
      <x:c r="C302" s="108" t="n">
        <x:v>46076.34722222222</x:v>
      </x:c>
      <x:c r="D302" s="93" t="n">
        <x:v>46076</x:v>
      </x:c>
      <x:c r="E302" s="94" t="str">
        <x:v>Google Ads</x:v>
      </x:c>
      <x:c r="F302" s="94" t="str">
        <x:v>日本</x:v>
      </x:c>
      <x:c r="G302" s="94" t="str">
        <x:v>购物广告</x:v>
      </x:c>
      <x:c r="H302" s="94" t="str">
        <x:v>SKU-0003</x:v>
      </x:c>
      <x:c r="I302" s="94" t="str">
        <x:v>电子产品</x:v>
      </x:c>
      <x:c r="J302" s="94" t="str">
        <x:v>智能家居中枢 C</x:v>
      </x:c>
      <x:c r="K302" s="97" t="n">
        <x:v>309.15</x:v>
      </x:c>
      <x:c r="L302" s="95" t="n">
        <x:v>2</x:v>
      </x:c>
      <x:c r="M302" s="97" t="n">
        <x:f>ROUND(K302*L302,2)</x:f>
        <x:v>618.3</x:v>
      </x:c>
      <x:c r="N302" s="109" t="n">
        <x:v>0.05</x:v>
      </x:c>
      <x:c r="O302" s="97" t="n">
        <x:f>ROUND(M302*N302,2)</x:f>
        <x:v>30.92</x:v>
      </x:c>
      <x:c r="P302" s="94" t="str">
        <x:v>已确认</x:v>
      </x:c>
      <x:c r="Q302" s="97" t="n">
        <x:f>IF(P302="已退款",M302,0)</x:f>
        <x:v>0</x:v>
      </x:c>
      <x:c r="R302" s="97" t="n">
        <x:f>IF(P302="已退款",O302,0)</x:f>
        <x:v>0</x:v>
      </x:c>
      <x:c r="S302" s="97" t="n">
        <x:f>O302-R302</x:f>
        <x:v>30.92</x:v>
      </x:c>
      <x:c r="T302" s="94" t="n">
        <x:v>0</x:v>
      </x:c>
      <x:c r="U302" s="94" t="str">
        <x:v>模拟：Amazon Associates订单回传</x:v>
      </x:c>
    </x:row>
    <x:row r="303">
      <x:c r="A303" s="92" t="str">
        <x:v>AMZ-ORD-00302</x:v>
      </x:c>
      <x:c r="B303" s="94" t="str">
        <x:v>PROC-0295</x:v>
      </x:c>
      <x:c r="C303" s="108" t="n">
        <x:v>46080.711805555555</x:v>
      </x:c>
      <x:c r="D303" s="93" t="n">
        <x:v>46076</x:v>
      </x:c>
      <x:c r="E303" s="94" t="str">
        <x:v>Microsoft Ads</x:v>
      </x:c>
      <x:c r="F303" s="94" t="str">
        <x:v>日本</x:v>
      </x:c>
      <x:c r="G303" s="94" t="str">
        <x:v>通用搜索</x:v>
      </x:c>
      <x:c r="H303" s="94" t="str">
        <x:v>SKU-0004</x:v>
      </x:c>
      <x:c r="I303" s="94" t="str">
        <x:v>电子产品</x:v>
      </x:c>
      <x:c r="J303" s="94" t="str">
        <x:v>机械键盘 D</x:v>
      </x:c>
      <x:c r="K303" s="97" t="n">
        <x:v>416.81</x:v>
      </x:c>
      <x:c r="L303" s="95" t="n">
        <x:v>1</x:v>
      </x:c>
      <x:c r="M303" s="97" t="n">
        <x:f>ROUND(K303*L303,2)</x:f>
        <x:v>416.81</x:v>
      </x:c>
      <x:c r="N303" s="109" t="n">
        <x:v>0.05</x:v>
      </x:c>
      <x:c r="O303" s="97" t="n">
        <x:f>ROUND(M303*N303,2)</x:f>
        <x:v>20.84</x:v>
      </x:c>
      <x:c r="P303" s="94" t="str">
        <x:v>已确认</x:v>
      </x:c>
      <x:c r="Q303" s="97" t="n">
        <x:f>IF(P303="已退款",M303,0)</x:f>
        <x:v>0</x:v>
      </x:c>
      <x:c r="R303" s="97" t="n">
        <x:f>IF(P303="已退款",O303,0)</x:f>
        <x:v>0</x:v>
      </x:c>
      <x:c r="S303" s="97" t="n">
        <x:f>O303-R303</x:f>
        <x:v>20.84</x:v>
      </x:c>
      <x:c r="T303" s="94" t="n">
        <x:v>4</x:v>
      </x:c>
      <x:c r="U303" s="94" t="str">
        <x:v>模拟：Amazon Associates订单回传</x:v>
      </x:c>
    </x:row>
    <x:row r="304">
      <x:c r="A304" s="92" t="str">
        <x:v>AMZ-ORD-00303</x:v>
      </x:c>
      <x:c r="B304" s="94" t="str">
        <x:v>PROC-0297</x:v>
      </x:c>
      <x:c r="C304" s="108" t="n">
        <x:v>46077.51944444444</x:v>
      </x:c>
      <x:c r="D304" s="93" t="n">
        <x:v>46076</x:v>
      </x:c>
      <x:c r="E304" s="94" t="str">
        <x:v>Google Ads</x:v>
      </x:c>
      <x:c r="F304" s="94" t="str">
        <x:v>英国</x:v>
      </x:c>
      <x:c r="G304" s="94" t="str">
        <x:v>品牌搜索</x:v>
      </x:c>
      <x:c r="H304" s="94" t="str">
        <x:v>SKU-0011</x:v>
      </x:c>
      <x:c r="I304" s="94" t="str">
        <x:v>家居生活</x:v>
      </x:c>
      <x:c r="J304" s="94" t="str">
        <x:v>空气净化器 A</x:v>
      </x:c>
      <x:c r="K304" s="97" t="n">
        <x:v>137.61</x:v>
      </x:c>
      <x:c r="L304" s="95" t="n">
        <x:v>1</x:v>
      </x:c>
      <x:c r="M304" s="97" t="n">
        <x:f>ROUND(K304*L304,2)</x:f>
        <x:v>137.61</x:v>
      </x:c>
      <x:c r="N304" s="109" t="n">
        <x:v>0.07</x:v>
      </x:c>
      <x:c r="O304" s="97" t="n">
        <x:f>ROUND(M304*N304,2)</x:f>
        <x:v>9.63</x:v>
      </x:c>
      <x:c r="P304" s="94" t="str">
        <x:v>已确认</x:v>
      </x:c>
      <x:c r="Q304" s="97" t="n">
        <x:f>IF(P304="已退款",M304,0)</x:f>
        <x:v>0</x:v>
      </x:c>
      <x:c r="R304" s="97" t="n">
        <x:f>IF(P304="已退款",O304,0)</x:f>
        <x:v>0</x:v>
      </x:c>
      <x:c r="S304" s="97" t="n">
        <x:f>O304-R304</x:f>
        <x:v>9.63</x:v>
      </x:c>
      <x:c r="T304" s="94" t="n">
        <x:v>1</x:v>
      </x:c>
      <x:c r="U304" s="94" t="str">
        <x:v>模拟：Amazon Associates订单回传</x:v>
      </x:c>
    </x:row>
    <x:row r="305">
      <x:c r="A305" s="92" t="str">
        <x:v>AMZ-ORD-00304</x:v>
      </x:c>
      <x:c r="B305" s="94" t="str">
        <x:v>PROC-0297</x:v>
      </x:c>
      <x:c r="C305" s="108" t="n">
        <x:v>46079.87013888889</x:v>
      </x:c>
      <x:c r="D305" s="93" t="n">
        <x:v>46076</x:v>
      </x:c>
      <x:c r="E305" s="94" t="str">
        <x:v>Google Ads</x:v>
      </x:c>
      <x:c r="F305" s="94" t="str">
        <x:v>英国</x:v>
      </x:c>
      <x:c r="G305" s="94" t="str">
        <x:v>品牌搜索</x:v>
      </x:c>
      <x:c r="H305" s="94" t="str">
        <x:v>SKU-0031</x:v>
      </x:c>
      <x:c r="I305" s="94" t="str">
        <x:v>美妆个护</x:v>
      </x:c>
      <x:c r="J305" s="94" t="str">
        <x:v>洁面仪 A</x:v>
      </x:c>
      <x:c r="K305" s="97" t="n">
        <x:v>40.71</x:v>
      </x:c>
      <x:c r="L305" s="95" t="n">
        <x:v>1</x:v>
      </x:c>
      <x:c r="M305" s="97" t="n">
        <x:f>ROUND(K305*L305,2)</x:f>
        <x:v>40.71</x:v>
      </x:c>
      <x:c r="N305" s="109" t="n">
        <x:v>0.1</x:v>
      </x:c>
      <x:c r="O305" s="97" t="n">
        <x:f>ROUND(M305*N305,2)</x:f>
        <x:v>4.07</x:v>
      </x:c>
      <x:c r="P305" s="94" t="str">
        <x:v>已确认</x:v>
      </x:c>
      <x:c r="Q305" s="97" t="n">
        <x:f>IF(P305="已退款",M305,0)</x:f>
        <x:v>0</x:v>
      </x:c>
      <x:c r="R305" s="97" t="n">
        <x:f>IF(P305="已退款",O305,0)</x:f>
        <x:v>0</x:v>
      </x:c>
      <x:c r="S305" s="97" t="n">
        <x:f>O305-R305</x:f>
        <x:v>4.07</x:v>
      </x:c>
      <x:c r="T305" s="94" t="n">
        <x:v>3</x:v>
      </x:c>
      <x:c r="U305" s="94" t="str">
        <x:v>模拟：Amazon Associates订单回传</x:v>
      </x:c>
    </x:row>
    <x:row r="306">
      <x:c r="A306" s="92" t="str">
        <x:v>AMZ-ORD-00305</x:v>
      </x:c>
      <x:c r="B306" s="94" t="str">
        <x:v>PROC-0298</x:v>
      </x:c>
      <x:c r="C306" s="108" t="n">
        <x:v>46076.37430555555</x:v>
      </x:c>
      <x:c r="D306" s="93" t="n">
        <x:v>46076</x:v>
      </x:c>
      <x:c r="E306" s="94" t="str">
        <x:v>Microsoft Ads</x:v>
      </x:c>
      <x:c r="F306" s="94" t="str">
        <x:v>美国</x:v>
      </x:c>
      <x:c r="G306" s="94" t="str">
        <x:v>通用搜索</x:v>
      </x:c>
      <x:c r="H306" s="94" t="str">
        <x:v>SKU-0045</x:v>
      </x:c>
      <x:c r="I306" s="94" t="str">
        <x:v>办公学习</x:v>
      </x:c>
      <x:c r="J306" s="94" t="str">
        <x:v>办公收纳 E</x:v>
      </x:c>
      <x:c r="K306" s="97" t="n">
        <x:v>200.38</x:v>
      </x:c>
      <x:c r="L306" s="95" t="n">
        <x:v>1</x:v>
      </x:c>
      <x:c r="M306" s="97" t="n">
        <x:f>ROUND(K306*L306,2)</x:f>
        <x:v>200.38</x:v>
      </x:c>
      <x:c r="N306" s="109" t="n">
        <x:v>0.07</x:v>
      </x:c>
      <x:c r="O306" s="97" t="n">
        <x:f>ROUND(M306*N306,2)</x:f>
        <x:v>14.03</x:v>
      </x:c>
      <x:c r="P306" s="94" t="str">
        <x:v>已确认</x:v>
      </x:c>
      <x:c r="Q306" s="97" t="n">
        <x:f>IF(P306="已退款",M306,0)</x:f>
        <x:v>0</x:v>
      </x:c>
      <x:c r="R306" s="97" t="n">
        <x:f>IF(P306="已退款",O306,0)</x:f>
        <x:v>0</x:v>
      </x:c>
      <x:c r="S306" s="97" t="n">
        <x:f>O306-R306</x:f>
        <x:v>14.03</x:v>
      </x:c>
      <x:c r="T306" s="94" t="n">
        <x:v>0</x:v>
      </x:c>
      <x:c r="U306" s="94" t="str">
        <x:v>模拟：Amazon Associates订单回传</x:v>
      </x:c>
    </x:row>
    <x:row r="307">
      <x:c r="A307" s="92" t="str">
        <x:v>AMZ-ORD-00306</x:v>
      </x:c>
      <x:c r="B307" s="94" t="str">
        <x:v>PROC-0299</x:v>
      </x:c>
      <x:c r="C307" s="108" t="n">
        <x:v>46077.356944444444</x:v>
      </x:c>
      <x:c r="D307" s="93" t="n">
        <x:v>46076</x:v>
      </x:c>
      <x:c r="E307" s="94" t="str">
        <x:v>Google Ads</x:v>
      </x:c>
      <x:c r="F307" s="94" t="str">
        <x:v>英国</x:v>
      </x:c>
      <x:c r="G307" s="94" t="str">
        <x:v>购物广告</x:v>
      </x:c>
      <x:c r="H307" s="94" t="str">
        <x:v>SKU-0024</x:v>
      </x:c>
      <x:c r="I307" s="94" t="str">
        <x:v>运动健康</x:v>
      </x:c>
      <x:c r="J307" s="94" t="str">
        <x:v>筋膜枪 D</x:v>
      </x:c>
      <x:c r="K307" s="97" t="n">
        <x:v>188.16</x:v>
      </x:c>
      <x:c r="L307" s="95" t="n">
        <x:v>2</x:v>
      </x:c>
      <x:c r="M307" s="97" t="n">
        <x:f>ROUND(K307*L307,2)</x:f>
        <x:v>376.32</x:v>
      </x:c>
      <x:c r="N307" s="109" t="n">
        <x:v>0.08</x:v>
      </x:c>
      <x:c r="O307" s="97" t="n">
        <x:f>ROUND(M307*N307,2)</x:f>
        <x:v>30.11</x:v>
      </x:c>
      <x:c r="P307" s="94" t="str">
        <x:v>已确认</x:v>
      </x:c>
      <x:c r="Q307" s="97" t="n">
        <x:f>IF(P307="已退款",M307,0)</x:f>
        <x:v>0</x:v>
      </x:c>
      <x:c r="R307" s="97" t="n">
        <x:f>IF(P307="已退款",O307,0)</x:f>
        <x:v>0</x:v>
      </x:c>
      <x:c r="S307" s="97" t="n">
        <x:f>O307-R307</x:f>
        <x:v>30.11</x:v>
      </x:c>
      <x:c r="T307" s="94" t="n">
        <x:v>1</x:v>
      </x:c>
      <x:c r="U307" s="94" t="str">
        <x:v>模拟：Amazon Associates订单回传</x:v>
      </x:c>
    </x:row>
    <x:row r="308">
      <x:c r="A308" s="92" t="str">
        <x:v>AMZ-ORD-00307</x:v>
      </x:c>
      <x:c r="B308" s="94" t="str">
        <x:v>PROC-0300</x:v>
      </x:c>
      <x:c r="C308" s="108" t="n">
        <x:v>46081.40902777778</x:v>
      </x:c>
      <x:c r="D308" s="93" t="n">
        <x:v>46077</x:v>
      </x:c>
      <x:c r="E308" s="94" t="str">
        <x:v>Microsoft Ads</x:v>
      </x:c>
      <x:c r="F308" s="94" t="str">
        <x:v>英国</x:v>
      </x:c>
      <x:c r="G308" s="94" t="str">
        <x:v>通用搜索</x:v>
      </x:c>
      <x:c r="H308" s="94" t="str">
        <x:v>SKU-0032</x:v>
      </x:c>
      <x:c r="I308" s="94" t="str">
        <x:v>美妆个护</x:v>
      </x:c>
      <x:c r="J308" s="94" t="str">
        <x:v>吹风机 B</x:v>
      </x:c>
      <x:c r="K308" s="97" t="n">
        <x:v>136.21</x:v>
      </x:c>
      <x:c r="L308" s="95" t="n">
        <x:v>1</x:v>
      </x:c>
      <x:c r="M308" s="97" t="n">
        <x:f>ROUND(K308*L308,2)</x:f>
        <x:v>136.21</x:v>
      </x:c>
      <x:c r="N308" s="109" t="n">
        <x:v>0.1</x:v>
      </x:c>
      <x:c r="O308" s="97" t="n">
        <x:f>ROUND(M308*N308,2)</x:f>
        <x:v>13.62</x:v>
      </x:c>
      <x:c r="P308" s="94" t="str">
        <x:v>已确认</x:v>
      </x:c>
      <x:c r="Q308" s="97" t="n">
        <x:f>IF(P308="已退款",M308,0)</x:f>
        <x:v>0</x:v>
      </x:c>
      <x:c r="R308" s="97" t="n">
        <x:f>IF(P308="已退款",O308,0)</x:f>
        <x:v>0</x:v>
      </x:c>
      <x:c r="S308" s="97" t="n">
        <x:f>O308-R308</x:f>
        <x:v>13.62</x:v>
      </x:c>
      <x:c r="T308" s="94" t="n">
        <x:v>4</x:v>
      </x:c>
      <x:c r="U308" s="94" t="str">
        <x:v>模拟：Amazon Associates订单回传</x:v>
      </x:c>
    </x:row>
    <x:row r="309">
      <x:c r="A309" s="92" t="str">
        <x:v>AMZ-ORD-00308</x:v>
      </x:c>
      <x:c r="B309" s="94" t="str">
        <x:v>PROC-0301</x:v>
      </x:c>
      <x:c r="C309" s="108" t="n">
        <x:v>46079.33472222222</x:v>
      </x:c>
      <x:c r="D309" s="93" t="n">
        <x:v>46077</x:v>
      </x:c>
      <x:c r="E309" s="94" t="str">
        <x:v>Google Ads</x:v>
      </x:c>
      <x:c r="F309" s="94" t="str">
        <x:v>美国</x:v>
      </x:c>
      <x:c r="G309" s="94" t="str">
        <x:v>品牌搜索</x:v>
      </x:c>
      <x:c r="H309" s="94" t="str">
        <x:v>SKU-0004</x:v>
      </x:c>
      <x:c r="I309" s="94" t="str">
        <x:v>电子产品</x:v>
      </x:c>
      <x:c r="J309" s="94" t="str">
        <x:v>机械键盘 D</x:v>
      </x:c>
      <x:c r="K309" s="97" t="n">
        <x:v>411.95</x:v>
      </x:c>
      <x:c r="L309" s="95" t="n">
        <x:v>1</x:v>
      </x:c>
      <x:c r="M309" s="97" t="n">
        <x:f>ROUND(K309*L309,2)</x:f>
        <x:v>411.95</x:v>
      </x:c>
      <x:c r="N309" s="109" t="n">
        <x:v>0.05</x:v>
      </x:c>
      <x:c r="O309" s="97" t="n">
        <x:f>ROUND(M309*N309,2)</x:f>
        <x:v>20.6</x:v>
      </x:c>
      <x:c r="P309" s="94" t="str">
        <x:v>已确认</x:v>
      </x:c>
      <x:c r="Q309" s="97" t="n">
        <x:f>IF(P309="已退款",M309,0)</x:f>
        <x:v>0</x:v>
      </x:c>
      <x:c r="R309" s="97" t="n">
        <x:f>IF(P309="已退款",O309,0)</x:f>
        <x:v>0</x:v>
      </x:c>
      <x:c r="S309" s="97" t="n">
        <x:f>O309-R309</x:f>
        <x:v>20.6</x:v>
      </x:c>
      <x:c r="T309" s="94" t="n">
        <x:v>2</x:v>
      </x:c>
      <x:c r="U309" s="94" t="str">
        <x:v>模拟：Amazon Associates订单回传</x:v>
      </x:c>
    </x:row>
    <x:row r="310">
      <x:c r="A310" s="92" t="str">
        <x:v>AMZ-ORD-00309</x:v>
      </x:c>
      <x:c r="B310" s="94" t="str">
        <x:v>PROC-0301</x:v>
      </x:c>
      <x:c r="C310" s="108" t="n">
        <x:v>46079.81180555555</x:v>
      </x:c>
      <x:c r="D310" s="93" t="n">
        <x:v>46077</x:v>
      </x:c>
      <x:c r="E310" s="94" t="str">
        <x:v>Google Ads</x:v>
      </x:c>
      <x:c r="F310" s="94" t="str">
        <x:v>美国</x:v>
      </x:c>
      <x:c r="G310" s="94" t="str">
        <x:v>品牌搜索</x:v>
      </x:c>
      <x:c r="H310" s="94" t="str">
        <x:v>SKU-0034</x:v>
      </x:c>
      <x:c r="I310" s="94" t="str">
        <x:v>美妆个护</x:v>
      </x:c>
      <x:c r="J310" s="94" t="str">
        <x:v>电动牙刷 D</x:v>
      </x:c>
      <x:c r="K310" s="97" t="n">
        <x:v>120.86</x:v>
      </x:c>
      <x:c r="L310" s="95" t="n">
        <x:v>1</x:v>
      </x:c>
      <x:c r="M310" s="97" t="n">
        <x:f>ROUND(K310*L310,2)</x:f>
        <x:v>120.86</x:v>
      </x:c>
      <x:c r="N310" s="109" t="n">
        <x:v>0.1</x:v>
      </x:c>
      <x:c r="O310" s="97" t="n">
        <x:f>ROUND(M310*N310,2)</x:f>
        <x:v>12.09</x:v>
      </x:c>
      <x:c r="P310" s="94" t="str">
        <x:v>已确认</x:v>
      </x:c>
      <x:c r="Q310" s="97" t="n">
        <x:f>IF(P310="已退款",M310,0)</x:f>
        <x:v>0</x:v>
      </x:c>
      <x:c r="R310" s="97" t="n">
        <x:f>IF(P310="已退款",O310,0)</x:f>
        <x:v>0</x:v>
      </x:c>
      <x:c r="S310" s="97" t="n">
        <x:f>O310-R310</x:f>
        <x:v>12.09</x:v>
      </x:c>
      <x:c r="T310" s="94" t="n">
        <x:v>2</x:v>
      </x:c>
      <x:c r="U310" s="94" t="str">
        <x:v>模拟：Amazon Associates订单回传</x:v>
      </x:c>
    </x:row>
    <x:row r="311">
      <x:c r="A311" s="92" t="str">
        <x:v>AMZ-ORD-00310</x:v>
      </x:c>
      <x:c r="B311" s="94" t="str">
        <x:v>PROC-0302</x:v>
      </x:c>
      <x:c r="C311" s="108" t="n">
        <x:v>46078.52361111111</x:v>
      </x:c>
      <x:c r="D311" s="93" t="n">
        <x:v>46077</x:v>
      </x:c>
      <x:c r="E311" s="94" t="str">
        <x:v>Google Ads</x:v>
      </x:c>
      <x:c r="F311" s="94" t="str">
        <x:v>德国</x:v>
      </x:c>
      <x:c r="G311" s="94" t="str">
        <x:v>通用搜索</x:v>
      </x:c>
      <x:c r="H311" s="94" t="str">
        <x:v>SKU-0018</x:v>
      </x:c>
      <x:c r="I311" s="94" t="str">
        <x:v>家居生活</x:v>
      </x:c>
      <x:c r="J311" s="94" t="str">
        <x:v>收纳组合 H</x:v>
      </x:c>
      <x:c r="K311" s="97" t="n">
        <x:v>92.68</x:v>
      </x:c>
      <x:c r="L311" s="95" t="n">
        <x:v>1</x:v>
      </x:c>
      <x:c r="M311" s="97" t="n">
        <x:f>ROUND(K311*L311,2)</x:f>
        <x:v>92.68</x:v>
      </x:c>
      <x:c r="N311" s="109" t="n">
        <x:v>0.07</x:v>
      </x:c>
      <x:c r="O311" s="97" t="n">
        <x:f>ROUND(M311*N311,2)</x:f>
        <x:v>6.49</x:v>
      </x:c>
      <x:c r="P311" s="94" t="str">
        <x:v>已退款</x:v>
      </x:c>
      <x:c r="Q311" s="97" t="n">
        <x:f>IF(P311="已退款",M311,0)</x:f>
        <x:v>92.68</x:v>
      </x:c>
      <x:c r="R311" s="97" t="n">
        <x:f>IF(P311="已退款",O311,0)</x:f>
        <x:v>6.49</x:v>
      </x:c>
      <x:c r="S311" s="97" t="n">
        <x:f>O311-R311</x:f>
        <x:v>0</x:v>
      </x:c>
      <x:c r="T311" s="94" t="n">
        <x:v>1</x:v>
      </x:c>
      <x:c r="U311" s="94" t="str">
        <x:v>模拟：Amazon Associates订单回传</x:v>
      </x:c>
    </x:row>
    <x:row r="312">
      <x:c r="A312" s="92" t="str">
        <x:v>AMZ-ORD-00311</x:v>
      </x:c>
      <x:c r="B312" s="94" t="str">
        <x:v>PROC-0303</x:v>
      </x:c>
      <x:c r="C312" s="108" t="n">
        <x:v>46078.34375</x:v>
      </x:c>
      <x:c r="D312" s="93" t="n">
        <x:v>46077</x:v>
      </x:c>
      <x:c r="E312" s="94" t="str">
        <x:v>Google Ads</x:v>
      </x:c>
      <x:c r="F312" s="94" t="str">
        <x:v>德国</x:v>
      </x:c>
      <x:c r="G312" s="94" t="str">
        <x:v>购物广告</x:v>
      </x:c>
      <x:c r="H312" s="94" t="str">
        <x:v>SKU-0015</x:v>
      </x:c>
      <x:c r="I312" s="94" t="str">
        <x:v>家居生活</x:v>
      </x:c>
      <x:c r="J312" s="94" t="str">
        <x:v>床品套装 E</x:v>
      </x:c>
      <x:c r="K312" s="97" t="n">
        <x:v>316.31</x:v>
      </x:c>
      <x:c r="L312" s="95" t="n">
        <x:v>1</x:v>
      </x:c>
      <x:c r="M312" s="97" t="n">
        <x:f>ROUND(K312*L312,2)</x:f>
        <x:v>316.31</x:v>
      </x:c>
      <x:c r="N312" s="109" t="n">
        <x:v>0.07</x:v>
      </x:c>
      <x:c r="O312" s="97" t="n">
        <x:f>ROUND(M312*N312,2)</x:f>
        <x:v>22.14</x:v>
      </x:c>
      <x:c r="P312" s="94" t="str">
        <x:v>已确认</x:v>
      </x:c>
      <x:c r="Q312" s="97" t="n">
        <x:f>IF(P312="已退款",M312,0)</x:f>
        <x:v>0</x:v>
      </x:c>
      <x:c r="R312" s="97" t="n">
        <x:f>IF(P312="已退款",O312,0)</x:f>
        <x:v>0</x:v>
      </x:c>
      <x:c r="S312" s="97" t="n">
        <x:f>O312-R312</x:f>
        <x:v>22.14</x:v>
      </x:c>
      <x:c r="T312" s="94" t="n">
        <x:v>1</x:v>
      </x:c>
      <x:c r="U312" s="94" t="str">
        <x:v>模拟：Amazon Associates订单回传</x:v>
      </x:c>
    </x:row>
    <x:row r="313">
      <x:c r="A313" s="92" t="str">
        <x:v>AMZ-ORD-00312</x:v>
      </x:c>
      <x:c r="B313" s="94" t="str">
        <x:v>PROC-0304</x:v>
      </x:c>
      <x:c r="C313" s="108" t="n">
        <x:v>46080.60208333333</x:v>
      </x:c>
      <x:c r="D313" s="93" t="n">
        <x:v>46077</x:v>
      </x:c>
      <x:c r="E313" s="94" t="str">
        <x:v>Microsoft Ads</x:v>
      </x:c>
      <x:c r="F313" s="94" t="str">
        <x:v>英国</x:v>
      </x:c>
      <x:c r="G313" s="94" t="str">
        <x:v>品牌搜索</x:v>
      </x:c>
      <x:c r="H313" s="94" t="str">
        <x:v>SKU-0012</x:v>
      </x:c>
      <x:c r="I313" s="94" t="str">
        <x:v>家居生活</x:v>
      </x:c>
      <x:c r="J313" s="94" t="str">
        <x:v>咖啡机 B</x:v>
      </x:c>
      <x:c r="K313" s="97" t="n">
        <x:v>265.66</x:v>
      </x:c>
      <x:c r="L313" s="95" t="n">
        <x:v>1</x:v>
      </x:c>
      <x:c r="M313" s="97" t="n">
        <x:f>ROUND(K313*L313,2)</x:f>
        <x:v>265.66</x:v>
      </x:c>
      <x:c r="N313" s="109" t="n">
        <x:v>0.07</x:v>
      </x:c>
      <x:c r="O313" s="97" t="n">
        <x:f>ROUND(M313*N313,2)</x:f>
        <x:v>18.6</x:v>
      </x:c>
      <x:c r="P313" s="94" t="str">
        <x:v>已确认</x:v>
      </x:c>
      <x:c r="Q313" s="97" t="n">
        <x:f>IF(P313="已退款",M313,0)</x:f>
        <x:v>0</x:v>
      </x:c>
      <x:c r="R313" s="97" t="n">
        <x:f>IF(P313="已退款",O313,0)</x:f>
        <x:v>0</x:v>
      </x:c>
      <x:c r="S313" s="97" t="n">
        <x:f>O313-R313</x:f>
        <x:v>18.6</x:v>
      </x:c>
      <x:c r="T313" s="94" t="n">
        <x:v>3</x:v>
      </x:c>
      <x:c r="U313" s="94" t="str">
        <x:v>模拟：Amazon Associates订单回传</x:v>
      </x:c>
    </x:row>
    <x:row r="314">
      <x:c r="A314" s="92" t="str">
        <x:v>AMZ-ORD-00313</x:v>
      </x:c>
      <x:c r="B314" s="94" t="str">
        <x:v>PROC-0304</x:v>
      </x:c>
      <x:c r="C314" s="108" t="n">
        <x:v>46080.80486111111</x:v>
      </x:c>
      <x:c r="D314" s="93" t="n">
        <x:v>46077</x:v>
      </x:c>
      <x:c r="E314" s="94" t="str">
        <x:v>Microsoft Ads</x:v>
      </x:c>
      <x:c r="F314" s="94" t="str">
        <x:v>英国</x:v>
      </x:c>
      <x:c r="G314" s="94" t="str">
        <x:v>品牌搜索</x:v>
      </x:c>
      <x:c r="H314" s="94" t="str">
        <x:v>SKU-0010</x:v>
      </x:c>
      <x:c r="I314" s="94" t="str">
        <x:v>电子产品</x:v>
      </x:c>
      <x:c r="J314" s="94" t="str">
        <x:v>多口扩展坞 J</x:v>
      </x:c>
      <x:c r="K314" s="97" t="n">
        <x:v>392.25</x:v>
      </x:c>
      <x:c r="L314" s="95" t="n">
        <x:v>1</x:v>
      </x:c>
      <x:c r="M314" s="97" t="n">
        <x:f>ROUND(K314*L314,2)</x:f>
        <x:v>392.25</x:v>
      </x:c>
      <x:c r="N314" s="109" t="n">
        <x:v>0.05</x:v>
      </x:c>
      <x:c r="O314" s="97" t="n">
        <x:f>ROUND(M314*N314,2)</x:f>
        <x:v>19.61</x:v>
      </x:c>
      <x:c r="P314" s="94" t="str">
        <x:v>已确认</x:v>
      </x:c>
      <x:c r="Q314" s="97" t="n">
        <x:f>IF(P314="已退款",M314,0)</x:f>
        <x:v>0</x:v>
      </x:c>
      <x:c r="R314" s="97" t="n">
        <x:f>IF(P314="已退款",O314,0)</x:f>
        <x:v>0</x:v>
      </x:c>
      <x:c r="S314" s="97" t="n">
        <x:f>O314-R314</x:f>
        <x:v>19.61</x:v>
      </x:c>
      <x:c r="T314" s="94" t="n">
        <x:v>3</x:v>
      </x:c>
      <x:c r="U314" s="94" t="str">
        <x:v>模拟：Amazon Associates订单回传</x:v>
      </x:c>
    </x:row>
    <x:row r="315">
      <x:c r="A315" s="92" t="str">
        <x:v>AMZ-ORD-00314</x:v>
      </x:c>
      <x:c r="B315" s="94" t="str">
        <x:v>PROC-0305</x:v>
      </x:c>
      <x:c r="C315" s="108" t="n">
        <x:v>46079.47152777778</x:v>
      </x:c>
      <x:c r="D315" s="93" t="n">
        <x:v>46078</x:v>
      </x:c>
      <x:c r="E315" s="94" t="str">
        <x:v>Microsoft Ads</x:v>
      </x:c>
      <x:c r="F315" s="94" t="str">
        <x:v>美国</x:v>
      </x:c>
      <x:c r="G315" s="94" t="str">
        <x:v>品牌搜索</x:v>
      </x:c>
      <x:c r="H315" s="94" t="str">
        <x:v>SKU-0003</x:v>
      </x:c>
      <x:c r="I315" s="94" t="str">
        <x:v>电子产品</x:v>
      </x:c>
      <x:c r="J315" s="94" t="str">
        <x:v>智能家居中枢 C</x:v>
      </x:c>
      <x:c r="K315" s="97" t="n">
        <x:v>508.67</x:v>
      </x:c>
      <x:c r="L315" s="95" t="n">
        <x:v>2</x:v>
      </x:c>
      <x:c r="M315" s="97" t="n">
        <x:f>ROUND(K315*L315,2)</x:f>
        <x:v>1017.34</x:v>
      </x:c>
      <x:c r="N315" s="109" t="n">
        <x:v>0.05</x:v>
      </x:c>
      <x:c r="O315" s="97" t="n">
        <x:f>ROUND(M315*N315,2)</x:f>
        <x:v>50.87</x:v>
      </x:c>
      <x:c r="P315" s="94" t="str">
        <x:v>已确认</x:v>
      </x:c>
      <x:c r="Q315" s="97" t="n">
        <x:f>IF(P315="已退款",M315,0)</x:f>
        <x:v>0</x:v>
      </x:c>
      <x:c r="R315" s="97" t="n">
        <x:f>IF(P315="已退款",O315,0)</x:f>
        <x:v>0</x:v>
      </x:c>
      <x:c r="S315" s="97" t="n">
        <x:f>O315-R315</x:f>
        <x:v>50.87</x:v>
      </x:c>
      <x:c r="T315" s="94" t="n">
        <x:v>1</x:v>
      </x:c>
      <x:c r="U315" s="94" t="str">
        <x:v>模拟：Amazon Associates订单回传</x:v>
      </x:c>
    </x:row>
    <x:row r="316">
      <x:c r="A316" s="92" t="str">
        <x:v>AMZ-ORD-00315</x:v>
      </x:c>
      <x:c r="B316" s="94" t="str">
        <x:v>PROC-0305</x:v>
      </x:c>
      <x:c r="C316" s="108" t="n">
        <x:v>46078.72152777778</x:v>
      </x:c>
      <x:c r="D316" s="93" t="n">
        <x:v>46078</x:v>
      </x:c>
      <x:c r="E316" s="94" t="str">
        <x:v>Microsoft Ads</x:v>
      </x:c>
      <x:c r="F316" s="94" t="str">
        <x:v>美国</x:v>
      </x:c>
      <x:c r="G316" s="94" t="str">
        <x:v>品牌搜索</x:v>
      </x:c>
      <x:c r="H316" s="94" t="str">
        <x:v>SKU-0010</x:v>
      </x:c>
      <x:c r="I316" s="94" t="str">
        <x:v>电子产品</x:v>
      </x:c>
      <x:c r="J316" s="94" t="str">
        <x:v>多口扩展坞 J</x:v>
      </x:c>
      <x:c r="K316" s="97" t="n">
        <x:v>354.35</x:v>
      </x:c>
      <x:c r="L316" s="95" t="n">
        <x:v>1</x:v>
      </x:c>
      <x:c r="M316" s="97" t="n">
        <x:f>ROUND(K316*L316,2)</x:f>
        <x:v>354.35</x:v>
      </x:c>
      <x:c r="N316" s="109" t="n">
        <x:v>0.05</x:v>
      </x:c>
      <x:c r="O316" s="97" t="n">
        <x:f>ROUND(M316*N316,2)</x:f>
        <x:v>17.72</x:v>
      </x:c>
      <x:c r="P316" s="94" t="str">
        <x:v>已确认</x:v>
      </x:c>
      <x:c r="Q316" s="97" t="n">
        <x:f>IF(P316="已退款",M316,0)</x:f>
        <x:v>0</x:v>
      </x:c>
      <x:c r="R316" s="97" t="n">
        <x:f>IF(P316="已退款",O316,0)</x:f>
        <x:v>0</x:v>
      </x:c>
      <x:c r="S316" s="97" t="n">
        <x:f>O316-R316</x:f>
        <x:v>17.72</x:v>
      </x:c>
      <x:c r="T316" s="94" t="n">
        <x:v>0</x:v>
      </x:c>
      <x:c r="U316" s="94" t="str">
        <x:v>模拟：Amazon Associates订单回传</x:v>
      </x:c>
    </x:row>
    <x:row r="317">
      <x:c r="A317" s="92" t="str">
        <x:v>AMZ-ORD-00316</x:v>
      </x:c>
      <x:c r="B317" s="94" t="str">
        <x:v>PROC-0306</x:v>
      </x:c>
      <x:c r="C317" s="108" t="n">
        <x:v>46082.854166666664</x:v>
      </x:c>
      <x:c r="D317" s="93" t="n">
        <x:v>46078</x:v>
      </x:c>
      <x:c r="E317" s="94" t="str">
        <x:v>Microsoft Ads</x:v>
      </x:c>
      <x:c r="F317" s="94" t="str">
        <x:v>美国</x:v>
      </x:c>
      <x:c r="G317" s="94" t="str">
        <x:v>通用搜索</x:v>
      </x:c>
      <x:c r="H317" s="94" t="str">
        <x:v>SKU-0010</x:v>
      </x:c>
      <x:c r="I317" s="94" t="str">
        <x:v>电子产品</x:v>
      </x:c>
      <x:c r="J317" s="94" t="str">
        <x:v>多口扩展坞 J</x:v>
      </x:c>
      <x:c r="K317" s="97" t="n">
        <x:v>286.2</x:v>
      </x:c>
      <x:c r="L317" s="95" t="n">
        <x:v>1</x:v>
      </x:c>
      <x:c r="M317" s="97" t="n">
        <x:f>ROUND(K317*L317,2)</x:f>
        <x:v>286.2</x:v>
      </x:c>
      <x:c r="N317" s="109" t="n">
        <x:v>0.05</x:v>
      </x:c>
      <x:c r="O317" s="97" t="n">
        <x:f>ROUND(M317*N317,2)</x:f>
        <x:v>14.31</x:v>
      </x:c>
      <x:c r="P317" s="94" t="str">
        <x:v>已确认</x:v>
      </x:c>
      <x:c r="Q317" s="97" t="n">
        <x:f>IF(P317="已退款",M317,0)</x:f>
        <x:v>0</x:v>
      </x:c>
      <x:c r="R317" s="97" t="n">
        <x:f>IF(P317="已退款",O317,0)</x:f>
        <x:v>0</x:v>
      </x:c>
      <x:c r="S317" s="97" t="n">
        <x:f>O317-R317</x:f>
        <x:v>14.31</x:v>
      </x:c>
      <x:c r="T317" s="94" t="n">
        <x:v>4</x:v>
      </x:c>
      <x:c r="U317" s="94" t="str">
        <x:v>模拟：Amazon Associates订单回传</x:v>
      </x:c>
    </x:row>
    <x:row r="318">
      <x:c r="A318" s="92" t="str">
        <x:v>AMZ-ORD-00317</x:v>
      </x:c>
      <x:c r="B318" s="94" t="str">
        <x:v>PROC-0308</x:v>
      </x:c>
      <x:c r="C318" s="108" t="n">
        <x:v>46080.708333333336</x:v>
      </x:c>
      <x:c r="D318" s="93" t="n">
        <x:v>46078</x:v>
      </x:c>
      <x:c r="E318" s="94" t="str">
        <x:v>Google Ads</x:v>
      </x:c>
      <x:c r="F318" s="94" t="str">
        <x:v>美国</x:v>
      </x:c>
      <x:c r="G318" s="94" t="str">
        <x:v>品牌搜索</x:v>
      </x:c>
      <x:c r="H318" s="94" t="str">
        <x:v>SKU-0023</x:v>
      </x:c>
      <x:c r="I318" s="94" t="str">
        <x:v>运动健康</x:v>
      </x:c>
      <x:c r="J318" s="94" t="str">
        <x:v>可调哑铃 C</x:v>
      </x:c>
      <x:c r="K318" s="97" t="n">
        <x:v>204.74</x:v>
      </x:c>
      <x:c r="L318" s="95" t="n">
        <x:v>1</x:v>
      </x:c>
      <x:c r="M318" s="97" t="n">
        <x:f>ROUND(K318*L318,2)</x:f>
        <x:v>204.74</x:v>
      </x:c>
      <x:c r="N318" s="109" t="n">
        <x:v>0.08</x:v>
      </x:c>
      <x:c r="O318" s="97" t="n">
        <x:f>ROUND(M318*N318,2)</x:f>
        <x:v>16.38</x:v>
      </x:c>
      <x:c r="P318" s="94" t="str">
        <x:v>已确认</x:v>
      </x:c>
      <x:c r="Q318" s="97" t="n">
        <x:f>IF(P318="已退款",M318,0)</x:f>
        <x:v>0</x:v>
      </x:c>
      <x:c r="R318" s="97" t="n">
        <x:f>IF(P318="已退款",O318,0)</x:f>
        <x:v>0</x:v>
      </x:c>
      <x:c r="S318" s="97" t="n">
        <x:f>O318-R318</x:f>
        <x:v>16.38</x:v>
      </x:c>
      <x:c r="T318" s="94" t="n">
        <x:v>2</x:v>
      </x:c>
      <x:c r="U318" s="94" t="str">
        <x:v>模拟：Amazon Associates订单回传</x:v>
      </x:c>
    </x:row>
    <x:row r="319">
      <x:c r="A319" s="92" t="str">
        <x:v>AMZ-ORD-00318</x:v>
      </x:c>
      <x:c r="B319" s="94" t="str">
        <x:v>PROC-0308</x:v>
      </x:c>
      <x:c r="C319" s="108" t="n">
        <x:v>46082.56458333333</x:v>
      </x:c>
      <x:c r="D319" s="93" t="n">
        <x:v>46078</x:v>
      </x:c>
      <x:c r="E319" s="94" t="str">
        <x:v>Google Ads</x:v>
      </x:c>
      <x:c r="F319" s="94" t="str">
        <x:v>美国</x:v>
      </x:c>
      <x:c r="G319" s="94" t="str">
        <x:v>品牌搜索</x:v>
      </x:c>
      <x:c r="H319" s="94" t="str">
        <x:v>SKU-0029</x:v>
      </x:c>
      <x:c r="I319" s="94" t="str">
        <x:v>运动健康</x:v>
      </x:c>
      <x:c r="J319" s="94" t="str">
        <x:v>运动耳机 I</x:v>
      </x:c>
      <x:c r="K319" s="97" t="n">
        <x:v>197.98</x:v>
      </x:c>
      <x:c r="L319" s="95" t="n">
        <x:v>2</x:v>
      </x:c>
      <x:c r="M319" s="97" t="n">
        <x:f>ROUND(K319*L319,2)</x:f>
        <x:v>395.96</x:v>
      </x:c>
      <x:c r="N319" s="109" t="n">
        <x:v>0.08</x:v>
      </x:c>
      <x:c r="O319" s="97" t="n">
        <x:f>ROUND(M319*N319,2)</x:f>
        <x:v>31.68</x:v>
      </x:c>
      <x:c r="P319" s="94" t="str">
        <x:v>已确认</x:v>
      </x:c>
      <x:c r="Q319" s="97" t="n">
        <x:f>IF(P319="已退款",M319,0)</x:f>
        <x:v>0</x:v>
      </x:c>
      <x:c r="R319" s="97" t="n">
        <x:f>IF(P319="已退款",O319,0)</x:f>
        <x:v>0</x:v>
      </x:c>
      <x:c r="S319" s="97" t="n">
        <x:f>O319-R319</x:f>
        <x:v>31.68</x:v>
      </x:c>
      <x:c r="T319" s="94" t="n">
        <x:v>4</x:v>
      </x:c>
      <x:c r="U319" s="94" t="str">
        <x:v>模拟：Amazon Associates订单回传</x:v>
      </x:c>
    </x:row>
    <x:row r="320">
      <x:c r="A320" s="92" t="str">
        <x:v>AMZ-ORD-00319</x:v>
      </x:c>
      <x:c r="B320" s="94" t="str">
        <x:v>PROC-0309</x:v>
      </x:c>
      <x:c r="C320" s="108" t="n">
        <x:v>46078.67152777778</x:v>
      </x:c>
      <x:c r="D320" s="93" t="n">
        <x:v>46078</x:v>
      </x:c>
      <x:c r="E320" s="94" t="str">
        <x:v>Microsoft Ads</x:v>
      </x:c>
      <x:c r="F320" s="94" t="str">
        <x:v>德国</x:v>
      </x:c>
      <x:c r="G320" s="94" t="str">
        <x:v>购物广告</x:v>
      </x:c>
      <x:c r="H320" s="94" t="str">
        <x:v>SKU-0001</x:v>
      </x:c>
      <x:c r="I320" s="94" t="str">
        <x:v>电子产品</x:v>
      </x:c>
      <x:c r="J320" s="94" t="str">
        <x:v>无线耳机 A</x:v>
      </x:c>
      <x:c r="K320" s="97" t="n">
        <x:v>626.02</x:v>
      </x:c>
      <x:c r="L320" s="95" t="n">
        <x:v>1</x:v>
      </x:c>
      <x:c r="M320" s="97" t="n">
        <x:f>ROUND(K320*L320,2)</x:f>
        <x:v>626.02</x:v>
      </x:c>
      <x:c r="N320" s="109" t="n">
        <x:v>0.05</x:v>
      </x:c>
      <x:c r="O320" s="97" t="n">
        <x:f>ROUND(M320*N320,2)</x:f>
        <x:v>31.3</x:v>
      </x:c>
      <x:c r="P320" s="94" t="str">
        <x:v>已确认</x:v>
      </x:c>
      <x:c r="Q320" s="97" t="n">
        <x:f>IF(P320="已退款",M320,0)</x:f>
        <x:v>0</x:v>
      </x:c>
      <x:c r="R320" s="97" t="n">
        <x:f>IF(P320="已退款",O320,0)</x:f>
        <x:v>0</x:v>
      </x:c>
      <x:c r="S320" s="97" t="n">
        <x:f>O320-R320</x:f>
        <x:v>31.3</x:v>
      </x:c>
      <x:c r="T320" s="94" t="n">
        <x:v>0</x:v>
      </x:c>
      <x:c r="U320" s="94" t="str">
        <x:v>模拟：Amazon Associates订单回传</x:v>
      </x:c>
    </x:row>
    <x:row r="321">
      <x:c r="A321" s="92" t="str">
        <x:v>AMZ-ORD-00320</x:v>
      </x:c>
      <x:c r="B321" s="94" t="str">
        <x:v>PROC-0311</x:v>
      </x:c>
      <x:c r="C321" s="108" t="n">
        <x:v>46081.46111111111</x:v>
      </x:c>
      <x:c r="D321" s="93" t="n">
        <x:v>46079</x:v>
      </x:c>
      <x:c r="E321" s="94" t="str">
        <x:v>Google Ads</x:v>
      </x:c>
      <x:c r="F321" s="94" t="str">
        <x:v>美国</x:v>
      </x:c>
      <x:c r="G321" s="94" t="str">
        <x:v>通用搜索</x:v>
      </x:c>
      <x:c r="H321" s="94" t="str">
        <x:v>SKU-0042</x:v>
      </x:c>
      <x:c r="I321" s="94" t="str">
        <x:v>办公学习</x:v>
      </x:c>
      <x:c r="J321" s="94" t="str">
        <x:v>护眼台灯 B</x:v>
      </x:c>
      <x:c r="K321" s="97" t="n">
        <x:v>186.88</x:v>
      </x:c>
      <x:c r="L321" s="95" t="n">
        <x:v>3</x:v>
      </x:c>
      <x:c r="M321" s="97" t="n">
        <x:f>ROUND(K321*L321,2)</x:f>
        <x:v>560.64</x:v>
      </x:c>
      <x:c r="N321" s="109" t="n">
        <x:v>0.07</x:v>
      </x:c>
      <x:c r="O321" s="97" t="n">
        <x:f>ROUND(M321*N321,2)</x:f>
        <x:v>39.24</x:v>
      </x:c>
      <x:c r="P321" s="94" t="str">
        <x:v>已确认</x:v>
      </x:c>
      <x:c r="Q321" s="97" t="n">
        <x:f>IF(P321="已退款",M321,0)</x:f>
        <x:v>0</x:v>
      </x:c>
      <x:c r="R321" s="97" t="n">
        <x:f>IF(P321="已退款",O321,0)</x:f>
        <x:v>0</x:v>
      </x:c>
      <x:c r="S321" s="97" t="n">
        <x:f>O321-R321</x:f>
        <x:v>39.24</x:v>
      </x:c>
      <x:c r="T321" s="94" t="n">
        <x:v>2</x:v>
      </x:c>
      <x:c r="U321" s="94" t="str">
        <x:v>模拟：Amazon Associates订单回传</x:v>
      </x:c>
    </x:row>
    <x:row r="322">
      <x:c r="A322" s="92" t="str">
        <x:v>AMZ-ORD-00321</x:v>
      </x:c>
      <x:c r="B322" s="94" t="str">
        <x:v>PROC-0312</x:v>
      </x:c>
      <x:c r="C322" s="108" t="n">
        <x:v>46082.569444444445</x:v>
      </x:c>
      <x:c r="D322" s="93" t="n">
        <x:v>46079</x:v>
      </x:c>
      <x:c r="E322" s="94" t="str">
        <x:v>Google Ads</x:v>
      </x:c>
      <x:c r="F322" s="94" t="str">
        <x:v>美国</x:v>
      </x:c>
      <x:c r="G322" s="94" t="str">
        <x:v>购物广告</x:v>
      </x:c>
      <x:c r="H322" s="94" t="str">
        <x:v>SKU-0037</x:v>
      </x:c>
      <x:c r="I322" s="94" t="str">
        <x:v>美妆个护</x:v>
      </x:c>
      <x:c r="J322" s="94" t="str">
        <x:v>美容仪 G</x:v>
      </x:c>
      <x:c r="K322" s="97" t="n">
        <x:v>134.35</x:v>
      </x:c>
      <x:c r="L322" s="95" t="n">
        <x:v>1</x:v>
      </x:c>
      <x:c r="M322" s="97" t="n">
        <x:f>ROUND(K322*L322,2)</x:f>
        <x:v>134.35</x:v>
      </x:c>
      <x:c r="N322" s="109" t="n">
        <x:v>0.1</x:v>
      </x:c>
      <x:c r="O322" s="97" t="n">
        <x:f>ROUND(M322*N322,2)</x:f>
        <x:v>13.44</x:v>
      </x:c>
      <x:c r="P322" s="94" t="str">
        <x:v>已确认</x:v>
      </x:c>
      <x:c r="Q322" s="97" t="n">
        <x:f>IF(P322="已退款",M322,0)</x:f>
        <x:v>0</x:v>
      </x:c>
      <x:c r="R322" s="97" t="n">
        <x:f>IF(P322="已退款",O322,0)</x:f>
        <x:v>0</x:v>
      </x:c>
      <x:c r="S322" s="97" t="n">
        <x:f>O322-R322</x:f>
        <x:v>13.44</x:v>
      </x:c>
      <x:c r="T322" s="94" t="n">
        <x:v>3</x:v>
      </x:c>
      <x:c r="U322" s="94" t="str">
        <x:v>模拟：Amazon Associates订单回传</x:v>
      </x:c>
    </x:row>
    <x:row r="323">
      <x:c r="A323" s="92" t="str">
        <x:v>AMZ-ORD-00322</x:v>
      </x:c>
      <x:c r="B323" s="94" t="str">
        <x:v>PROC-0313</x:v>
      </x:c>
      <x:c r="C323" s="108" t="n">
        <x:v>46080.490277777775</x:v>
      </x:c>
      <x:c r="D323" s="93" t="n">
        <x:v>46079</x:v>
      </x:c>
      <x:c r="E323" s="94" t="str">
        <x:v>Google Ads</x:v>
      </x:c>
      <x:c r="F323" s="94" t="str">
        <x:v>英国</x:v>
      </x:c>
      <x:c r="G323" s="94" t="str">
        <x:v>通用搜索</x:v>
      </x:c>
      <x:c r="H323" s="94" t="str">
        <x:v>SKU-0048</x:v>
      </x:c>
      <x:c r="I323" s="94" t="str">
        <x:v>办公学习</x:v>
      </x:c>
      <x:c r="J323" s="94" t="str">
        <x:v>阅读支架 H</x:v>
      </x:c>
      <x:c r="K323" s="97" t="n">
        <x:v>130.61</x:v>
      </x:c>
      <x:c r="L323" s="95" t="n">
        <x:v>1</x:v>
      </x:c>
      <x:c r="M323" s="97" t="n">
        <x:f>ROUND(K323*L323,2)</x:f>
        <x:v>130.61</x:v>
      </x:c>
      <x:c r="N323" s="109" t="n">
        <x:v>0.07</x:v>
      </x:c>
      <x:c r="O323" s="97" t="n">
        <x:f>ROUND(M323*N323,2)</x:f>
        <x:v>9.14</x:v>
      </x:c>
      <x:c r="P323" s="94" t="str">
        <x:v>已确认</x:v>
      </x:c>
      <x:c r="Q323" s="97" t="n">
        <x:f>IF(P323="已退款",M323,0)</x:f>
        <x:v>0</x:v>
      </x:c>
      <x:c r="R323" s="97" t="n">
        <x:f>IF(P323="已退款",O323,0)</x:f>
        <x:v>0</x:v>
      </x:c>
      <x:c r="S323" s="97" t="n">
        <x:f>O323-R323</x:f>
        <x:v>9.14</x:v>
      </x:c>
      <x:c r="T323" s="94" t="n">
        <x:v>1</x:v>
      </x:c>
      <x:c r="U323" s="94" t="str">
        <x:v>模拟：Amazon Associates订单回传</x:v>
      </x:c>
    </x:row>
    <x:row r="324">
      <x:c r="A324" s="92" t="str">
        <x:v>AMZ-ORD-00323</x:v>
      </x:c>
      <x:c r="B324" s="94" t="str">
        <x:v>PROC-0314</x:v>
      </x:c>
      <x:c r="C324" s="108" t="n">
        <x:v>46083.68680555555</x:v>
      </x:c>
      <x:c r="D324" s="93" t="n">
        <x:v>46079</x:v>
      </x:c>
      <x:c r="E324" s="94" t="str">
        <x:v>Google Ads</x:v>
      </x:c>
      <x:c r="F324" s="94" t="str">
        <x:v>英国</x:v>
      </x:c>
      <x:c r="G324" s="94" t="str">
        <x:v>购物广告</x:v>
      </x:c>
      <x:c r="H324" s="94" t="str">
        <x:v>SKU-0006</x:v>
      </x:c>
      <x:c r="I324" s="94" t="str">
        <x:v>电子产品</x:v>
      </x:c>
      <x:c r="J324" s="94" t="str">
        <x:v>迷你投影仪 F</x:v>
      </x:c>
      <x:c r="K324" s="97" t="n">
        <x:v>239.45</x:v>
      </x:c>
      <x:c r="L324" s="95" t="n">
        <x:v>2</x:v>
      </x:c>
      <x:c r="M324" s="97" t="n">
        <x:f>ROUND(K324*L324,2)</x:f>
        <x:v>478.9</x:v>
      </x:c>
      <x:c r="N324" s="109" t="n">
        <x:v>0.05</x:v>
      </x:c>
      <x:c r="O324" s="97" t="n">
        <x:f>ROUND(M324*N324,2)</x:f>
        <x:v>23.95</x:v>
      </x:c>
      <x:c r="P324" s="94" t="str">
        <x:v>已确认</x:v>
      </x:c>
      <x:c r="Q324" s="97" t="n">
        <x:f>IF(P324="已退款",M324,0)</x:f>
        <x:v>0</x:v>
      </x:c>
      <x:c r="R324" s="97" t="n">
        <x:f>IF(P324="已退款",O324,0)</x:f>
        <x:v>0</x:v>
      </x:c>
      <x:c r="S324" s="97" t="n">
        <x:f>O324-R324</x:f>
        <x:v>23.95</x:v>
      </x:c>
      <x:c r="T324" s="94" t="n">
        <x:v>4</x:v>
      </x:c>
      <x:c r="U324" s="94" t="str">
        <x:v>模拟：Amazon Associates订单回传</x:v>
      </x:c>
    </x:row>
    <x:row r="325">
      <x:c r="A325" s="92" t="str">
        <x:v>AMZ-ORD-00324</x:v>
      </x:c>
      <x:c r="B325" s="94" t="str">
        <x:v>PROC-0315</x:v>
      </x:c>
      <x:c r="C325" s="108" t="n">
        <x:v>46081.74722222222</x:v>
      </x:c>
      <x:c r="D325" s="93" t="n">
        <x:v>46079</x:v>
      </x:c>
      <x:c r="E325" s="94" t="str">
        <x:v>Google Ads</x:v>
      </x:c>
      <x:c r="F325" s="94" t="str">
        <x:v>日本</x:v>
      </x:c>
      <x:c r="G325" s="94" t="str">
        <x:v>品牌搜索</x:v>
      </x:c>
      <x:c r="H325" s="94" t="str">
        <x:v>SKU-0016</x:v>
      </x:c>
      <x:c r="I325" s="94" t="str">
        <x:v>家居生活</x:v>
      </x:c>
      <x:c r="J325" s="94" t="str">
        <x:v>厨师机 F</x:v>
      </x:c>
      <x:c r="K325" s="97" t="n">
        <x:v>228.18</x:v>
      </x:c>
      <x:c r="L325" s="95" t="n">
        <x:v>2</x:v>
      </x:c>
      <x:c r="M325" s="97" t="n">
        <x:f>ROUND(K325*L325,2)</x:f>
        <x:v>456.36</x:v>
      </x:c>
      <x:c r="N325" s="109" t="n">
        <x:v>0.07</x:v>
      </x:c>
      <x:c r="O325" s="97" t="n">
        <x:f>ROUND(M325*N325,2)</x:f>
        <x:v>31.95</x:v>
      </x:c>
      <x:c r="P325" s="94" t="str">
        <x:v>已确认</x:v>
      </x:c>
      <x:c r="Q325" s="97" t="n">
        <x:f>IF(P325="已退款",M325,0)</x:f>
        <x:v>0</x:v>
      </x:c>
      <x:c r="R325" s="97" t="n">
        <x:f>IF(P325="已退款",O325,0)</x:f>
        <x:v>0</x:v>
      </x:c>
      <x:c r="S325" s="97" t="n">
        <x:f>O325-R325</x:f>
        <x:v>31.95</x:v>
      </x:c>
      <x:c r="T325" s="94" t="n">
        <x:v>2</x:v>
      </x:c>
      <x:c r="U325" s="94" t="str">
        <x:v>模拟：Amazon Associates订单回传</x:v>
      </x:c>
    </x:row>
    <x:row r="326">
      <x:c r="A326" s="92" t="str">
        <x:v>AMZ-ORD-00325</x:v>
      </x:c>
      <x:c r="B326" s="94" t="str">
        <x:v>PROC-0315</x:v>
      </x:c>
      <x:c r="C326" s="108" t="n">
        <x:v>46080.6875</x:v>
      </x:c>
      <x:c r="D326" s="93" t="n">
        <x:v>46079</x:v>
      </x:c>
      <x:c r="E326" s="94" t="str">
        <x:v>Google Ads</x:v>
      </x:c>
      <x:c r="F326" s="94" t="str">
        <x:v>日本</x:v>
      </x:c>
      <x:c r="G326" s="94" t="str">
        <x:v>品牌搜索</x:v>
      </x:c>
      <x:c r="H326" s="94" t="str">
        <x:v>SKU-0037</x:v>
      </x:c>
      <x:c r="I326" s="94" t="str">
        <x:v>美妆个护</x:v>
      </x:c>
      <x:c r="J326" s="94" t="str">
        <x:v>美容仪 G</x:v>
      </x:c>
      <x:c r="K326" s="97" t="n">
        <x:v>83.56</x:v>
      </x:c>
      <x:c r="L326" s="95" t="n">
        <x:v>1</x:v>
      </x:c>
      <x:c r="M326" s="97" t="n">
        <x:f>ROUND(K326*L326,2)</x:f>
        <x:v>83.56</x:v>
      </x:c>
      <x:c r="N326" s="109" t="n">
        <x:v>0.1</x:v>
      </x:c>
      <x:c r="O326" s="97" t="n">
        <x:f>ROUND(M326*N326,2)</x:f>
        <x:v>8.36</x:v>
      </x:c>
      <x:c r="P326" s="94" t="str">
        <x:v>已确认</x:v>
      </x:c>
      <x:c r="Q326" s="97" t="n">
        <x:f>IF(P326="已退款",M326,0)</x:f>
        <x:v>0</x:v>
      </x:c>
      <x:c r="R326" s="97" t="n">
        <x:f>IF(P326="已退款",O326,0)</x:f>
        <x:v>0</x:v>
      </x:c>
      <x:c r="S326" s="97" t="n">
        <x:f>O326-R326</x:f>
        <x:v>8.36</x:v>
      </x:c>
      <x:c r="T326" s="94" t="n">
        <x:v>1</x:v>
      </x:c>
      <x:c r="U326" s="94" t="str">
        <x:v>模拟：Amazon Associates订单回传</x:v>
      </x:c>
    </x:row>
    <x:row r="327">
      <x:c r="A327" s="92" t="str">
        <x:v>AMZ-ORD-00326</x:v>
      </x:c>
      <x:c r="B327" s="94" t="str">
        <x:v>PROC-0316</x:v>
      </x:c>
      <x:c r="C327" s="108" t="n">
        <x:v>46081.35972222222</x:v>
      </x:c>
      <x:c r="D327" s="93" t="n">
        <x:v>46080</x:v>
      </x:c>
      <x:c r="E327" s="94" t="str">
        <x:v>Google Ads</x:v>
      </x:c>
      <x:c r="F327" s="94" t="str">
        <x:v>德国</x:v>
      </x:c>
      <x:c r="G327" s="94" t="str">
        <x:v>通用搜索</x:v>
      </x:c>
      <x:c r="H327" s="94" t="str">
        <x:v>SKU-0035</x:v>
      </x:c>
      <x:c r="I327" s="94" t="str">
        <x:v>美妆个护</x:v>
      </x:c>
      <x:c r="J327" s="94" t="str">
        <x:v>香氛礼盒 E</x:v>
      </x:c>
      <x:c r="K327" s="97" t="n">
        <x:v>120.91</x:v>
      </x:c>
      <x:c r="L327" s="95" t="n">
        <x:v>2</x:v>
      </x:c>
      <x:c r="M327" s="97" t="n">
        <x:f>ROUND(K327*L327,2)</x:f>
        <x:v>241.82</x:v>
      </x:c>
      <x:c r="N327" s="109" t="n">
        <x:v>0.1</x:v>
      </x:c>
      <x:c r="O327" s="97" t="n">
        <x:f>ROUND(M327*N327,2)</x:f>
        <x:v>24.18</x:v>
      </x:c>
      <x:c r="P327" s="94" t="str">
        <x:v>已确认</x:v>
      </x:c>
      <x:c r="Q327" s="97" t="n">
        <x:f>IF(P327="已退款",M327,0)</x:f>
        <x:v>0</x:v>
      </x:c>
      <x:c r="R327" s="97" t="n">
        <x:f>IF(P327="已退款",O327,0)</x:f>
        <x:v>0</x:v>
      </x:c>
      <x:c r="S327" s="97" t="n">
        <x:f>O327-R327</x:f>
        <x:v>24.18</x:v>
      </x:c>
      <x:c r="T327" s="94" t="n">
        <x:v>1</x:v>
      </x:c>
      <x:c r="U327" s="94" t="str">
        <x:v>模拟：Amazon Associates订单回传</x:v>
      </x:c>
    </x:row>
    <x:row r="328">
      <x:c r="A328" s="92" t="str">
        <x:v>AMZ-ORD-00327</x:v>
      </x:c>
      <x:c r="B328" s="94" t="str">
        <x:v>PROC-0319</x:v>
      </x:c>
      <x:c r="C328" s="108" t="n">
        <x:v>46082.842361111114</x:v>
      </x:c>
      <x:c r="D328" s="93" t="n">
        <x:v>46080</x:v>
      </x:c>
      <x:c r="E328" s="94" t="str">
        <x:v>Microsoft Ads</x:v>
      </x:c>
      <x:c r="F328" s="94" t="str">
        <x:v>英国</x:v>
      </x:c>
      <x:c r="G328" s="94" t="str">
        <x:v>通用搜索</x:v>
      </x:c>
      <x:c r="H328" s="94" t="str">
        <x:v>SKU-0005</x:v>
      </x:c>
      <x:c r="I328" s="94" t="str">
        <x:v>电子产品</x:v>
      </x:c>
      <x:c r="J328" s="94" t="str">
        <x:v>降噪耳机 E</x:v>
      </x:c>
      <x:c r="K328" s="97" t="n">
        <x:v>309.77</x:v>
      </x:c>
      <x:c r="L328" s="95" t="n">
        <x:v>1</x:v>
      </x:c>
      <x:c r="M328" s="97" t="n">
        <x:f>ROUND(K328*L328,2)</x:f>
        <x:v>309.77</x:v>
      </x:c>
      <x:c r="N328" s="109" t="n">
        <x:v>0.05</x:v>
      </x:c>
      <x:c r="O328" s="97" t="n">
        <x:f>ROUND(M328*N328,2)</x:f>
        <x:v>15.49</x:v>
      </x:c>
      <x:c r="P328" s="94" t="str">
        <x:v>已确认</x:v>
      </x:c>
      <x:c r="Q328" s="97" t="n">
        <x:f>IF(P328="已退款",M328,0)</x:f>
        <x:v>0</x:v>
      </x:c>
      <x:c r="R328" s="97" t="n">
        <x:f>IF(P328="已退款",O328,0)</x:f>
        <x:v>0</x:v>
      </x:c>
      <x:c r="S328" s="97" t="n">
        <x:f>O328-R328</x:f>
        <x:v>15.49</x:v>
      </x:c>
      <x:c r="T328" s="94" t="n">
        <x:v>2</x:v>
      </x:c>
      <x:c r="U328" s="94" t="str">
        <x:v>模拟：Amazon Associates订单回传</x:v>
      </x:c>
    </x:row>
    <x:row r="329">
      <x:c r="A329" s="92" t="str">
        <x:v>AMZ-ORD-00328</x:v>
      </x:c>
      <x:c r="B329" s="94" t="str">
        <x:v>PROC-0320</x:v>
      </x:c>
      <x:c r="C329" s="108" t="n">
        <x:v>46084.84166666667</x:v>
      </x:c>
      <x:c r="D329" s="93" t="n">
        <x:v>46080</x:v>
      </x:c>
      <x:c r="E329" s="94" t="str">
        <x:v>Google Ads</x:v>
      </x:c>
      <x:c r="F329" s="94" t="str">
        <x:v>美国</x:v>
      </x:c>
      <x:c r="G329" s="94" t="str">
        <x:v>购物广告</x:v>
      </x:c>
      <x:c r="H329" s="94" t="str">
        <x:v>SKU-0010</x:v>
      </x:c>
      <x:c r="I329" s="94" t="str">
        <x:v>电子产品</x:v>
      </x:c>
      <x:c r="J329" s="94" t="str">
        <x:v>多口扩展坞 J</x:v>
      </x:c>
      <x:c r="K329" s="97" t="n">
        <x:v>688</x:v>
      </x:c>
      <x:c r="L329" s="95" t="n">
        <x:v>1</x:v>
      </x:c>
      <x:c r="M329" s="97" t="n">
        <x:f>ROUND(K329*L329,2)</x:f>
        <x:v>688</x:v>
      </x:c>
      <x:c r="N329" s="109" t="n">
        <x:v>0.05</x:v>
      </x:c>
      <x:c r="O329" s="97" t="n">
        <x:f>ROUND(M329*N329,2)</x:f>
        <x:v>34.4</x:v>
      </x:c>
      <x:c r="P329" s="94" t="str">
        <x:v>已确认</x:v>
      </x:c>
      <x:c r="Q329" s="97" t="n">
        <x:f>IF(P329="已退款",M329,0)</x:f>
        <x:v>0</x:v>
      </x:c>
      <x:c r="R329" s="97" t="n">
        <x:f>IF(P329="已退款",O329,0)</x:f>
        <x:v>0</x:v>
      </x:c>
      <x:c r="S329" s="97" t="n">
        <x:f>O329-R329</x:f>
        <x:v>34.4</x:v>
      </x:c>
      <x:c r="T329" s="94" t="n">
        <x:v>4</x:v>
      </x:c>
      <x:c r="U329" s="94" t="str">
        <x:v>模拟：Amazon Associates订单回传</x:v>
      </x:c>
    </x:row>
    <x:row r="330">
      <x:c r="A330" s="92" t="str">
        <x:v>AMZ-ORD-00329</x:v>
      </x:c>
      <x:c r="B330" s="94" t="str">
        <x:v>PROC-0321</x:v>
      </x:c>
      <x:c r="C330" s="108" t="n">
        <x:v>46084.60486111111</x:v>
      </x:c>
      <x:c r="D330" s="93" t="n">
        <x:v>46080</x:v>
      </x:c>
      <x:c r="E330" s="94" t="str">
        <x:v>Microsoft Ads</x:v>
      </x:c>
      <x:c r="F330" s="94" t="str">
        <x:v>德国</x:v>
      </x:c>
      <x:c r="G330" s="94" t="str">
        <x:v>购物广告</x:v>
      </x:c>
      <x:c r="H330" s="94" t="str">
        <x:v>SKU-0007</x:v>
      </x:c>
      <x:c r="I330" s="94" t="str">
        <x:v>电子产品</x:v>
      </x:c>
      <x:c r="J330" s="94" t="str">
        <x:v>运动相机 G</x:v>
      </x:c>
      <x:c r="K330" s="97" t="n">
        <x:v>323.92</x:v>
      </x:c>
      <x:c r="L330" s="95" t="n">
        <x:v>2</x:v>
      </x:c>
      <x:c r="M330" s="97" t="n">
        <x:f>ROUND(K330*L330,2)</x:f>
        <x:v>647.84</x:v>
      </x:c>
      <x:c r="N330" s="109" t="n">
        <x:v>0.05</x:v>
      </x:c>
      <x:c r="O330" s="97" t="n">
        <x:f>ROUND(M330*N330,2)</x:f>
        <x:v>32.39</x:v>
      </x:c>
      <x:c r="P330" s="94" t="str">
        <x:v>已确认</x:v>
      </x:c>
      <x:c r="Q330" s="97" t="n">
        <x:f>IF(P330="已退款",M330,0)</x:f>
        <x:v>0</x:v>
      </x:c>
      <x:c r="R330" s="97" t="n">
        <x:f>IF(P330="已退款",O330,0)</x:f>
        <x:v>0</x:v>
      </x:c>
      <x:c r="S330" s="97" t="n">
        <x:f>O330-R330</x:f>
        <x:v>32.39</x:v>
      </x:c>
      <x:c r="T330" s="94" t="n">
        <x:v>4</x:v>
      </x:c>
      <x:c r="U330" s="94" t="str">
        <x:v>模拟：Amazon Associates订单回传</x:v>
      </x:c>
    </x:row>
    <x:row r="331">
      <x:c r="A331" s="92" t="str">
        <x:v>AMZ-ORD-00330</x:v>
      </x:c>
      <x:c r="B331" s="94" t="str">
        <x:v>PROC-0322</x:v>
      </x:c>
      <x:c r="C331" s="108" t="n">
        <x:v>46084.902083333334</x:v>
      </x:c>
      <x:c r="D331" s="93" t="n">
        <x:v>46081</x:v>
      </x:c>
      <x:c r="E331" s="94" t="str">
        <x:v>Microsoft Ads</x:v>
      </x:c>
      <x:c r="F331" s="94" t="str">
        <x:v>德国</x:v>
      </x:c>
      <x:c r="G331" s="94" t="str">
        <x:v>品牌搜索</x:v>
      </x:c>
      <x:c r="H331" s="94" t="str">
        <x:v>SKU-0026</x:v>
      </x:c>
      <x:c r="I331" s="94" t="str">
        <x:v>运动健康</x:v>
      </x:c>
      <x:c r="J331" s="94" t="str">
        <x:v>骑行头盔 F</x:v>
      </x:c>
      <x:c r="K331" s="97" t="n">
        <x:v>230.56</x:v>
      </x:c>
      <x:c r="L331" s="95" t="n">
        <x:v>1</x:v>
      </x:c>
      <x:c r="M331" s="97" t="n">
        <x:f>ROUND(K331*L331,2)</x:f>
        <x:v>230.56</x:v>
      </x:c>
      <x:c r="N331" s="109" t="n">
        <x:v>0.08</x:v>
      </x:c>
      <x:c r="O331" s="97" t="n">
        <x:f>ROUND(M331*N331,2)</x:f>
        <x:v>18.44</x:v>
      </x:c>
      <x:c r="P331" s="94" t="str">
        <x:v>已确认</x:v>
      </x:c>
      <x:c r="Q331" s="97" t="n">
        <x:f>IF(P331="已退款",M331,0)</x:f>
        <x:v>0</x:v>
      </x:c>
      <x:c r="R331" s="97" t="n">
        <x:f>IF(P331="已退款",O331,0)</x:f>
        <x:v>0</x:v>
      </x:c>
      <x:c r="S331" s="97" t="n">
        <x:f>O331-R331</x:f>
        <x:v>18.44</x:v>
      </x:c>
      <x:c r="T331" s="94" t="n">
        <x:v>3</x:v>
      </x:c>
      <x:c r="U331" s="94" t="str">
        <x:v>模拟：Amazon Associates订单回传</x:v>
      </x:c>
    </x:row>
    <x:row r="332">
      <x:c r="A332" s="92" t="str">
        <x:v>AMZ-ORD-00331</x:v>
      </x:c>
      <x:c r="B332" s="94" t="str">
        <x:v>PROC-0322</x:v>
      </x:c>
      <x:c r="C332" s="108" t="n">
        <x:v>46081.70416666667</x:v>
      </x:c>
      <x:c r="D332" s="93" t="n">
        <x:v>46081</x:v>
      </x:c>
      <x:c r="E332" s="94" t="str">
        <x:v>Microsoft Ads</x:v>
      </x:c>
      <x:c r="F332" s="94" t="str">
        <x:v>德国</x:v>
      </x:c>
      <x:c r="G332" s="94" t="str">
        <x:v>品牌搜索</x:v>
      </x:c>
      <x:c r="H332" s="94" t="str">
        <x:v>SKU-0022</x:v>
      </x:c>
      <x:c r="I332" s="94" t="str">
        <x:v>运动健康</x:v>
      </x:c>
      <x:c r="J332" s="94" t="str">
        <x:v>瑜伽套装 B</x:v>
      </x:c>
      <x:c r="K332" s="97" t="n">
        <x:v>147.71</x:v>
      </x:c>
      <x:c r="L332" s="95" t="n">
        <x:v>3</x:v>
      </x:c>
      <x:c r="M332" s="97" t="n">
        <x:f>ROUND(K332*L332,2)</x:f>
        <x:v>443.13</x:v>
      </x:c>
      <x:c r="N332" s="109" t="n">
        <x:v>0.08</x:v>
      </x:c>
      <x:c r="O332" s="97" t="n">
        <x:f>ROUND(M332*N332,2)</x:f>
        <x:v>35.45</x:v>
      </x:c>
      <x:c r="P332" s="94" t="str">
        <x:v>已确认</x:v>
      </x:c>
      <x:c r="Q332" s="97" t="n">
        <x:f>IF(P332="已退款",M332,0)</x:f>
        <x:v>0</x:v>
      </x:c>
      <x:c r="R332" s="97" t="n">
        <x:f>IF(P332="已退款",O332,0)</x:f>
        <x:v>0</x:v>
      </x:c>
      <x:c r="S332" s="97" t="n">
        <x:f>O332-R332</x:f>
        <x:v>35.45</x:v>
      </x:c>
      <x:c r="T332" s="94" t="n">
        <x:v>0</x:v>
      </x:c>
      <x:c r="U332" s="94" t="str">
        <x:v>模拟：Amazon Associates订单回传</x:v>
      </x:c>
    </x:row>
    <x:row r="333">
      <x:c r="A333" s="92" t="str">
        <x:v>AMZ-ORD-00332</x:v>
      </x:c>
      <x:c r="B333" s="94" t="str">
        <x:v>PROC-0323</x:v>
      </x:c>
      <x:c r="C333" s="108" t="n">
        <x:v>46085.736805555556</x:v>
      </x:c>
      <x:c r="D333" s="93" t="n">
        <x:v>46081</x:v>
      </x:c>
      <x:c r="E333" s="94" t="str">
        <x:v>Google Ads</x:v>
      </x:c>
      <x:c r="F333" s="94" t="str">
        <x:v>美国</x:v>
      </x:c>
      <x:c r="G333" s="94" t="str">
        <x:v>通用搜索</x:v>
      </x:c>
      <x:c r="H333" s="94" t="str">
        <x:v>SKU-0015</x:v>
      </x:c>
      <x:c r="I333" s="94" t="str">
        <x:v>家居生活</x:v>
      </x:c>
      <x:c r="J333" s="94" t="str">
        <x:v>床品套装 E</x:v>
      </x:c>
      <x:c r="K333" s="97" t="n">
        <x:v>171.13</x:v>
      </x:c>
      <x:c r="L333" s="95" t="n">
        <x:v>2</x:v>
      </x:c>
      <x:c r="M333" s="97" t="n">
        <x:f>ROUND(K333*L333,2)</x:f>
        <x:v>342.26</x:v>
      </x:c>
      <x:c r="N333" s="109" t="n">
        <x:v>0.07</x:v>
      </x:c>
      <x:c r="O333" s="97" t="n">
        <x:f>ROUND(M333*N333,2)</x:f>
        <x:v>23.96</x:v>
      </x:c>
      <x:c r="P333" s="94" t="str">
        <x:v>已确认</x:v>
      </x:c>
      <x:c r="Q333" s="97" t="n">
        <x:f>IF(P333="已退款",M333,0)</x:f>
        <x:v>0</x:v>
      </x:c>
      <x:c r="R333" s="97" t="n">
        <x:f>IF(P333="已退款",O333,0)</x:f>
        <x:v>0</x:v>
      </x:c>
      <x:c r="S333" s="97" t="n">
        <x:f>O333-R333</x:f>
        <x:v>23.96</x:v>
      </x:c>
      <x:c r="T333" s="94" t="n">
        <x:v>4</x:v>
      </x:c>
      <x:c r="U333" s="94" t="str">
        <x:v>模拟：Amazon Associates订单回传</x:v>
      </x:c>
    </x:row>
    <x:row r="334">
      <x:c r="A334" s="92" t="str">
        <x:v>AMZ-ORD-00333</x:v>
      </x:c>
      <x:c r="B334" s="94" t="str">
        <x:v>PROC-0324</x:v>
      </x:c>
      <x:c r="C334" s="108" t="n">
        <x:v>46084.87708333333</x:v>
      </x:c>
      <x:c r="D334" s="93" t="n">
        <x:v>46081</x:v>
      </x:c>
      <x:c r="E334" s="94" t="str">
        <x:v>Google Ads</x:v>
      </x:c>
      <x:c r="F334" s="94" t="str">
        <x:v>英国</x:v>
      </x:c>
      <x:c r="G334" s="94" t="str">
        <x:v>品牌搜索</x:v>
      </x:c>
      <x:c r="H334" s="94" t="str">
        <x:v>SKU-0040</x:v>
      </x:c>
      <x:c r="I334" s="94" t="str">
        <x:v>美妆个护</x:v>
      </x:c>
      <x:c r="J334" s="94" t="str">
        <x:v>旅行护理套装 J</x:v>
      </x:c>
      <x:c r="K334" s="97" t="n">
        <x:v>96.56</x:v>
      </x:c>
      <x:c r="L334" s="95" t="n">
        <x:v>1</x:v>
      </x:c>
      <x:c r="M334" s="97" t="n">
        <x:f>ROUND(K334*L334,2)</x:f>
        <x:v>96.56</x:v>
      </x:c>
      <x:c r="N334" s="109" t="n">
        <x:v>0.1</x:v>
      </x:c>
      <x:c r="O334" s="97" t="n">
        <x:f>ROUND(M334*N334,2)</x:f>
        <x:v>9.66</x:v>
      </x:c>
      <x:c r="P334" s="94" t="str">
        <x:v>已确认</x:v>
      </x:c>
      <x:c r="Q334" s="97" t="n">
        <x:f>IF(P334="已退款",M334,0)</x:f>
        <x:v>0</x:v>
      </x:c>
      <x:c r="R334" s="97" t="n">
        <x:f>IF(P334="已退款",O334,0)</x:f>
        <x:v>0</x:v>
      </x:c>
      <x:c r="S334" s="97" t="n">
        <x:f>O334-R334</x:f>
        <x:v>9.66</x:v>
      </x:c>
      <x:c r="T334" s="94" t="n">
        <x:v>3</x:v>
      </x:c>
      <x:c r="U334" s="94" t="str">
        <x:v>模拟：Amazon Associates订单回传</x:v>
      </x:c>
    </x:row>
    <x:row r="335">
      <x:c r="A335" s="92" t="str">
        <x:v>AMZ-ORD-00334</x:v>
      </x:c>
      <x:c r="B335" s="94" t="str">
        <x:v>PROC-0325</x:v>
      </x:c>
      <x:c r="C335" s="108" t="n">
        <x:v>46085.50625</x:v>
      </x:c>
      <x:c r="D335" s="93" t="n">
        <x:v>46081</x:v>
      </x:c>
      <x:c r="E335" s="94" t="str">
        <x:v>Google Ads</x:v>
      </x:c>
      <x:c r="F335" s="94" t="str">
        <x:v>德国</x:v>
      </x:c>
      <x:c r="G335" s="94" t="str">
        <x:v>通用搜索</x:v>
      </x:c>
      <x:c r="H335" s="94" t="str">
        <x:v>SKU-0012</x:v>
      </x:c>
      <x:c r="I335" s="94" t="str">
        <x:v>家居生活</x:v>
      </x:c>
      <x:c r="J335" s="94" t="str">
        <x:v>咖啡机 B</x:v>
      </x:c>
      <x:c r="K335" s="97" t="n">
        <x:v>229.62</x:v>
      </x:c>
      <x:c r="L335" s="95" t="n">
        <x:v>2</x:v>
      </x:c>
      <x:c r="M335" s="97" t="n">
        <x:f>ROUND(K335*L335,2)</x:f>
        <x:v>459.24</x:v>
      </x:c>
      <x:c r="N335" s="109" t="n">
        <x:v>0.07</x:v>
      </x:c>
      <x:c r="O335" s="97" t="n">
        <x:f>ROUND(M335*N335,2)</x:f>
        <x:v>32.15</x:v>
      </x:c>
      <x:c r="P335" s="94" t="str">
        <x:v>已退款</x:v>
      </x:c>
      <x:c r="Q335" s="97" t="n">
        <x:f>IF(P335="已退款",M335,0)</x:f>
        <x:v>459.24</x:v>
      </x:c>
      <x:c r="R335" s="97" t="n">
        <x:f>IF(P335="已退款",O335,0)</x:f>
        <x:v>32.15</x:v>
      </x:c>
      <x:c r="S335" s="97" t="n">
        <x:f>O335-R335</x:f>
        <x:v>0</x:v>
      </x:c>
      <x:c r="T335" s="94" t="n">
        <x:v>4</x:v>
      </x:c>
      <x:c r="U335" s="94" t="str">
        <x:v>模拟：Amazon Associates订单回传</x:v>
      </x:c>
    </x:row>
    <x:row r="336">
      <x:c r="A336" s="92" t="str">
        <x:v>AMZ-ORD-00335</x:v>
      </x:c>
      <x:c r="B336" s="94" t="str">
        <x:v>PROC-0326</x:v>
      </x:c>
      <x:c r="C336" s="108" t="n">
        <x:v>46085.86041666667</x:v>
      </x:c>
      <x:c r="D336" s="93" t="n">
        <x:v>46081</x:v>
      </x:c>
      <x:c r="E336" s="94" t="str">
        <x:v>Google Ads</x:v>
      </x:c>
      <x:c r="F336" s="94" t="str">
        <x:v>美国</x:v>
      </x:c>
      <x:c r="G336" s="94" t="str">
        <x:v>通用搜索</x:v>
      </x:c>
      <x:c r="H336" s="94" t="str">
        <x:v>SKU-0039</x:v>
      </x:c>
      <x:c r="I336" s="94" t="str">
        <x:v>美妆个护</x:v>
      </x:c>
      <x:c r="J336" s="94" t="str">
        <x:v>按摩梳 I</x:v>
      </x:c>
      <x:c r="K336" s="97" t="n">
        <x:v>89.9</x:v>
      </x:c>
      <x:c r="L336" s="95" t="n">
        <x:v>1</x:v>
      </x:c>
      <x:c r="M336" s="97" t="n">
        <x:f>ROUND(K336*L336,2)</x:f>
        <x:v>89.9</x:v>
      </x:c>
      <x:c r="N336" s="109" t="n">
        <x:v>0.1</x:v>
      </x:c>
      <x:c r="O336" s="97" t="n">
        <x:f>ROUND(M336*N336,2)</x:f>
        <x:v>8.99</x:v>
      </x:c>
      <x:c r="P336" s="94" t="str">
        <x:v>已确认</x:v>
      </x:c>
      <x:c r="Q336" s="97" t="n">
        <x:f>IF(P336="已退款",M336,0)</x:f>
        <x:v>0</x:v>
      </x:c>
      <x:c r="R336" s="97" t="n">
        <x:f>IF(P336="已退款",O336,0)</x:f>
        <x:v>0</x:v>
      </x:c>
      <x:c r="S336" s="97" t="n">
        <x:f>O336-R336</x:f>
        <x:v>8.99</x:v>
      </x:c>
      <x:c r="T336" s="94" t="n">
        <x:v>4</x:v>
      </x:c>
      <x:c r="U336" s="94" t="str">
        <x:v>模拟：Amazon Associates订单回传</x:v>
      </x:c>
    </x:row>
    <x:row r="337">
      <x:c r="A337" s="92" t="str">
        <x:v>AMZ-ORD-00336</x:v>
      </x:c>
      <x:c r="B337" s="94" t="str">
        <x:v>PROC-0327</x:v>
      </x:c>
      <x:c r="C337" s="108" t="n">
        <x:v>46085.43263888889</x:v>
      </x:c>
      <x:c r="D337" s="93" t="n">
        <x:v>46082</x:v>
      </x:c>
      <x:c r="E337" s="94" t="str">
        <x:v>Google Ads</x:v>
      </x:c>
      <x:c r="F337" s="94" t="str">
        <x:v>美国</x:v>
      </x:c>
      <x:c r="G337" s="94" t="str">
        <x:v>通用搜索</x:v>
      </x:c>
      <x:c r="H337" s="94" t="str">
        <x:v>SKU-0010</x:v>
      </x:c>
      <x:c r="I337" s="94" t="str">
        <x:v>电子产品</x:v>
      </x:c>
      <x:c r="J337" s="94" t="str">
        <x:v>多口扩展坞 J</x:v>
      </x:c>
      <x:c r="K337" s="97" t="n">
        <x:v>421.49</x:v>
      </x:c>
      <x:c r="L337" s="95" t="n">
        <x:v>1</x:v>
      </x:c>
      <x:c r="M337" s="97" t="n">
        <x:f>ROUND(K337*L337,2)</x:f>
        <x:v>421.49</x:v>
      </x:c>
      <x:c r="N337" s="109" t="n">
        <x:v>0.05</x:v>
      </x:c>
      <x:c r="O337" s="97" t="n">
        <x:f>ROUND(M337*N337,2)</x:f>
        <x:v>21.07</x:v>
      </x:c>
      <x:c r="P337" s="94" t="str">
        <x:v>已确认</x:v>
      </x:c>
      <x:c r="Q337" s="97" t="n">
        <x:f>IF(P337="已退款",M337,0)</x:f>
        <x:v>0</x:v>
      </x:c>
      <x:c r="R337" s="97" t="n">
        <x:f>IF(P337="已退款",O337,0)</x:f>
        <x:v>0</x:v>
      </x:c>
      <x:c r="S337" s="97" t="n">
        <x:f>O337-R337</x:f>
        <x:v>21.07</x:v>
      </x:c>
      <x:c r="T337" s="94" t="n">
        <x:v>3</x:v>
      </x:c>
      <x:c r="U337" s="94" t="str">
        <x:v>模拟：Amazon Associates订单回传</x:v>
      </x:c>
    </x:row>
    <x:row r="338">
      <x:c r="A338" s="92" t="str">
        <x:v>AMZ-ORD-00337</x:v>
      </x:c>
      <x:c r="B338" s="94" t="str">
        <x:v>PROC-0329</x:v>
      </x:c>
      <x:c r="C338" s="108" t="n">
        <x:v>46084.56736111111</x:v>
      </x:c>
      <x:c r="D338" s="93" t="n">
        <x:v>46082</x:v>
      </x:c>
      <x:c r="E338" s="94" t="str">
        <x:v>Google Ads</x:v>
      </x:c>
      <x:c r="F338" s="94" t="str">
        <x:v>美国</x:v>
      </x:c>
      <x:c r="G338" s="94" t="str">
        <x:v>竞品搜索</x:v>
      </x:c>
      <x:c r="H338" s="94" t="str">
        <x:v>SKU-0026</x:v>
      </x:c>
      <x:c r="I338" s="94" t="str">
        <x:v>运动健康</x:v>
      </x:c>
      <x:c r="J338" s="94" t="str">
        <x:v>骑行头盔 F</x:v>
      </x:c>
      <x:c r="K338" s="97" t="n">
        <x:v>147.66</x:v>
      </x:c>
      <x:c r="L338" s="95" t="n">
        <x:v>1</x:v>
      </x:c>
      <x:c r="M338" s="97" t="n">
        <x:f>ROUND(K338*L338,2)</x:f>
        <x:v>147.66</x:v>
      </x:c>
      <x:c r="N338" s="109" t="n">
        <x:v>0.08</x:v>
      </x:c>
      <x:c r="O338" s="97" t="n">
        <x:f>ROUND(M338*N338,2)</x:f>
        <x:v>11.81</x:v>
      </x:c>
      <x:c r="P338" s="94" t="str">
        <x:v>已确认</x:v>
      </x:c>
      <x:c r="Q338" s="97" t="n">
        <x:f>IF(P338="已退款",M338,0)</x:f>
        <x:v>0</x:v>
      </x:c>
      <x:c r="R338" s="97" t="n">
        <x:f>IF(P338="已退款",O338,0)</x:f>
        <x:v>0</x:v>
      </x:c>
      <x:c r="S338" s="97" t="n">
        <x:f>O338-R338</x:f>
        <x:v>11.81</x:v>
      </x:c>
      <x:c r="T338" s="94" t="n">
        <x:v>2</x:v>
      </x:c>
      <x:c r="U338" s="94" t="str">
        <x:v>模拟：Amazon Associates订单回传</x:v>
      </x:c>
    </x:row>
    <x:row r="339">
      <x:c r="A339" s="92" t="str">
        <x:v>AMZ-ORD-00338</x:v>
      </x:c>
      <x:c r="B339" s="94" t="str">
        <x:v>PROC-0330</x:v>
      </x:c>
      <x:c r="C339" s="108" t="n">
        <x:v>46085.51388888889</x:v>
      </x:c>
      <x:c r="D339" s="93" t="n">
        <x:v>46082</x:v>
      </x:c>
      <x:c r="E339" s="94" t="str">
        <x:v>Microsoft Ads</x:v>
      </x:c>
      <x:c r="F339" s="94" t="str">
        <x:v>美国</x:v>
      </x:c>
      <x:c r="G339" s="94" t="str">
        <x:v>购物广告</x:v>
      </x:c>
      <x:c r="H339" s="94" t="str">
        <x:v>SKU-0032</x:v>
      </x:c>
      <x:c r="I339" s="94" t="str">
        <x:v>美妆个护</x:v>
      </x:c>
      <x:c r="J339" s="94" t="str">
        <x:v>吹风机 B</x:v>
      </x:c>
      <x:c r="K339" s="97" t="n">
        <x:v>58.64</x:v>
      </x:c>
      <x:c r="L339" s="95" t="n">
        <x:v>1</x:v>
      </x:c>
      <x:c r="M339" s="97" t="n">
        <x:f>ROUND(K339*L339,2)</x:f>
        <x:v>58.64</x:v>
      </x:c>
      <x:c r="N339" s="109" t="n">
        <x:v>0.1</x:v>
      </x:c>
      <x:c r="O339" s="97" t="n">
        <x:f>ROUND(M339*N339,2)</x:f>
        <x:v>5.86</x:v>
      </x:c>
      <x:c r="P339" s="94" t="str">
        <x:v>已确认</x:v>
      </x:c>
      <x:c r="Q339" s="97" t="n">
        <x:f>IF(P339="已退款",M339,0)</x:f>
        <x:v>0</x:v>
      </x:c>
      <x:c r="R339" s="97" t="n">
        <x:f>IF(P339="已退款",O339,0)</x:f>
        <x:v>0</x:v>
      </x:c>
      <x:c r="S339" s="97" t="n">
        <x:f>O339-R339</x:f>
        <x:v>5.86</x:v>
      </x:c>
      <x:c r="T339" s="94" t="n">
        <x:v>3</x:v>
      </x:c>
      <x:c r="U339" s="94" t="str">
        <x:v>模拟：Amazon Associates订单回传</x:v>
      </x:c>
    </x:row>
    <x:row r="340">
      <x:c r="A340" s="92" t="str">
        <x:v>AMZ-ORD-00339</x:v>
      </x:c>
      <x:c r="B340" s="94" t="str">
        <x:v>PROC-0332</x:v>
      </x:c>
      <x:c r="C340" s="108" t="n">
        <x:v>46083.40625</x:v>
      </x:c>
      <x:c r="D340" s="93" t="n">
        <x:v>46082</x:v>
      </x:c>
      <x:c r="E340" s="94" t="str">
        <x:v>Google Ads</x:v>
      </x:c>
      <x:c r="F340" s="94" t="str">
        <x:v>美国</x:v>
      </x:c>
      <x:c r="G340" s="94" t="str">
        <x:v>通用搜索</x:v>
      </x:c>
      <x:c r="H340" s="94" t="str">
        <x:v>SKU-0023</x:v>
      </x:c>
      <x:c r="I340" s="94" t="str">
        <x:v>运动健康</x:v>
      </x:c>
      <x:c r="J340" s="94" t="str">
        <x:v>可调哑铃 C</x:v>
      </x:c>
      <x:c r="K340" s="97" t="n">
        <x:v>83.74</x:v>
      </x:c>
      <x:c r="L340" s="95" t="n">
        <x:v>1</x:v>
      </x:c>
      <x:c r="M340" s="97" t="n">
        <x:f>ROUND(K340*L340,2)</x:f>
        <x:v>83.74</x:v>
      </x:c>
      <x:c r="N340" s="109" t="n">
        <x:v>0.08</x:v>
      </x:c>
      <x:c r="O340" s="97" t="n">
        <x:f>ROUND(M340*N340,2)</x:f>
        <x:v>6.7</x:v>
      </x:c>
      <x:c r="P340" s="94" t="str">
        <x:v>已确认</x:v>
      </x:c>
      <x:c r="Q340" s="97" t="n">
        <x:f>IF(P340="已退款",M340,0)</x:f>
        <x:v>0</x:v>
      </x:c>
      <x:c r="R340" s="97" t="n">
        <x:f>IF(P340="已退款",O340,0)</x:f>
        <x:v>0</x:v>
      </x:c>
      <x:c r="S340" s="97" t="n">
        <x:f>O340-R340</x:f>
        <x:v>6.7</x:v>
      </x:c>
      <x:c r="T340" s="94" t="n">
        <x:v>1</x:v>
      </x:c>
      <x:c r="U340" s="94" t="str">
        <x:v>模拟：Amazon Associates订单回传</x:v>
      </x:c>
    </x:row>
    <x:row r="341">
      <x:c r="A341" s="92" t="str">
        <x:v>AMZ-ORD-00340</x:v>
      </x:c>
      <x:c r="B341" s="94" t="str">
        <x:v>PROC-0333</x:v>
      </x:c>
      <x:c r="C341" s="108" t="n">
        <x:v>46086.52569444444</x:v>
      </x:c>
      <x:c r="D341" s="93" t="n">
        <x:v>46083</x:v>
      </x:c>
      <x:c r="E341" s="94" t="str">
        <x:v>Google Ads</x:v>
      </x:c>
      <x:c r="F341" s="94" t="str">
        <x:v>英国</x:v>
      </x:c>
      <x:c r="G341" s="94" t="str">
        <x:v>通用搜索</x:v>
      </x:c>
      <x:c r="H341" s="94" t="str">
        <x:v>SKU-0008</x:v>
      </x:c>
      <x:c r="I341" s="94" t="str">
        <x:v>电子产品</x:v>
      </x:c>
      <x:c r="J341" s="94" t="str">
        <x:v>Wi-Fi路由器 H</x:v>
      </x:c>
      <x:c r="K341" s="97" t="n">
        <x:v>259</x:v>
      </x:c>
      <x:c r="L341" s="95" t="n">
        <x:v>2</x:v>
      </x:c>
      <x:c r="M341" s="97" t="n">
        <x:f>ROUND(K341*L341,2)</x:f>
        <x:v>518</x:v>
      </x:c>
      <x:c r="N341" s="109" t="n">
        <x:v>0.05</x:v>
      </x:c>
      <x:c r="O341" s="97" t="n">
        <x:f>ROUND(M341*N341,2)</x:f>
        <x:v>25.9</x:v>
      </x:c>
      <x:c r="P341" s="94" t="str">
        <x:v>已确认</x:v>
      </x:c>
      <x:c r="Q341" s="97" t="n">
        <x:f>IF(P341="已退款",M341,0)</x:f>
        <x:v>0</x:v>
      </x:c>
      <x:c r="R341" s="97" t="n">
        <x:f>IF(P341="已退款",O341,0)</x:f>
        <x:v>0</x:v>
      </x:c>
      <x:c r="S341" s="97" t="n">
        <x:f>O341-R341</x:f>
        <x:v>25.9</x:v>
      </x:c>
      <x:c r="T341" s="94" t="n">
        <x:v>3</x:v>
      </x:c>
      <x:c r="U341" s="94" t="str">
        <x:v>模拟：Amazon Associates订单回传</x:v>
      </x:c>
    </x:row>
    <x:row r="342">
      <x:c r="A342" s="92" t="str">
        <x:v>AMZ-ORD-00341</x:v>
      </x:c>
      <x:c r="B342" s="94" t="str">
        <x:v>PROC-0334</x:v>
      </x:c>
      <x:c r="C342" s="108" t="n">
        <x:v>46083.756944444445</x:v>
      </x:c>
      <x:c r="D342" s="93" t="n">
        <x:v>46083</x:v>
      </x:c>
      <x:c r="E342" s="94" t="str">
        <x:v>Google Ads</x:v>
      </x:c>
      <x:c r="F342" s="94" t="str">
        <x:v>美国</x:v>
      </x:c>
      <x:c r="G342" s="94" t="str">
        <x:v>通用搜索</x:v>
      </x:c>
      <x:c r="H342" s="94" t="str">
        <x:v>SKU-0037</x:v>
      </x:c>
      <x:c r="I342" s="94" t="str">
        <x:v>美妆个护</x:v>
      </x:c>
      <x:c r="J342" s="94" t="str">
        <x:v>美容仪 G</x:v>
      </x:c>
      <x:c r="K342" s="97" t="n">
        <x:v>58.41</x:v>
      </x:c>
      <x:c r="L342" s="95" t="n">
        <x:v>1</x:v>
      </x:c>
      <x:c r="M342" s="97" t="n">
        <x:f>ROUND(K342*L342,2)</x:f>
        <x:v>58.41</x:v>
      </x:c>
      <x:c r="N342" s="109" t="n">
        <x:v>0.1</x:v>
      </x:c>
      <x:c r="O342" s="97" t="n">
        <x:f>ROUND(M342*N342,2)</x:f>
        <x:v>5.84</x:v>
      </x:c>
      <x:c r="P342" s="94" t="str">
        <x:v>已确认</x:v>
      </x:c>
      <x:c r="Q342" s="97" t="n">
        <x:f>IF(P342="已退款",M342,0)</x:f>
        <x:v>0</x:v>
      </x:c>
      <x:c r="R342" s="97" t="n">
        <x:f>IF(P342="已退款",O342,0)</x:f>
        <x:v>0</x:v>
      </x:c>
      <x:c r="S342" s="97" t="n">
        <x:f>O342-R342</x:f>
        <x:v>5.84</x:v>
      </x:c>
      <x:c r="T342" s="94" t="n">
        <x:v>0</x:v>
      </x:c>
      <x:c r="U342" s="94" t="str">
        <x:v>模拟：Amazon Associates订单回传</x:v>
      </x:c>
    </x:row>
    <x:row r="343">
      <x:c r="A343" s="92" t="str">
        <x:v>AMZ-ORD-00342</x:v>
      </x:c>
      <x:c r="B343" s="94" t="str">
        <x:v>PROC-0335</x:v>
      </x:c>
      <x:c r="C343" s="108" t="n">
        <x:v>46086.91458333333</x:v>
      </x:c>
      <x:c r="D343" s="93" t="n">
        <x:v>46083</x:v>
      </x:c>
      <x:c r="E343" s="94" t="str">
        <x:v>Microsoft Ads</x:v>
      </x:c>
      <x:c r="F343" s="94" t="str">
        <x:v>英国</x:v>
      </x:c>
      <x:c r="G343" s="94" t="str">
        <x:v>竞品搜索</x:v>
      </x:c>
      <x:c r="H343" s="94" t="str">
        <x:v>SKU-0050</x:v>
      </x:c>
      <x:c r="I343" s="94" t="str">
        <x:v>办公学习</x:v>
      </x:c>
      <x:c r="J343" s="94" t="str">
        <x:v>静音鼠标 J</x:v>
      </x:c>
      <x:c r="K343" s="97" t="n">
        <x:v>82.07</x:v>
      </x:c>
      <x:c r="L343" s="95" t="n">
        <x:v>1</x:v>
      </x:c>
      <x:c r="M343" s="97" t="n">
        <x:f>ROUND(K343*L343,2)</x:f>
        <x:v>82.07</x:v>
      </x:c>
      <x:c r="N343" s="109" t="n">
        <x:v>0.07</x:v>
      </x:c>
      <x:c r="O343" s="97" t="n">
        <x:f>ROUND(M343*N343,2)</x:f>
        <x:v>5.74</x:v>
      </x:c>
      <x:c r="P343" s="94" t="str">
        <x:v>已确认</x:v>
      </x:c>
      <x:c r="Q343" s="97" t="n">
        <x:f>IF(P343="已退款",M343,0)</x:f>
        <x:v>0</x:v>
      </x:c>
      <x:c r="R343" s="97" t="n">
        <x:f>IF(P343="已退款",O343,0)</x:f>
        <x:v>0</x:v>
      </x:c>
      <x:c r="S343" s="97" t="n">
        <x:f>O343-R343</x:f>
        <x:v>5.74</x:v>
      </x:c>
      <x:c r="T343" s="94" t="n">
        <x:v>3</x:v>
      </x:c>
      <x:c r="U343" s="94" t="str">
        <x:v>模拟：Amazon Associates订单回传</x:v>
      </x:c>
    </x:row>
    <x:row r="344">
      <x:c r="A344" s="92" t="str">
        <x:v>AMZ-ORD-00343</x:v>
      </x:c>
      <x:c r="B344" s="94" t="str">
        <x:v>PROC-0336</x:v>
      </x:c>
      <x:c r="C344" s="108" t="n">
        <x:v>46085.861805555556</x:v>
      </x:c>
      <x:c r="D344" s="93" t="n">
        <x:v>46083</x:v>
      </x:c>
      <x:c r="E344" s="94" t="str">
        <x:v>Google Ads</x:v>
      </x:c>
      <x:c r="F344" s="94" t="str">
        <x:v>日本</x:v>
      </x:c>
      <x:c r="G344" s="94" t="str">
        <x:v>竞品搜索</x:v>
      </x:c>
      <x:c r="H344" s="94" t="str">
        <x:v>SKU-0026</x:v>
      </x:c>
      <x:c r="I344" s="94" t="str">
        <x:v>运动健康</x:v>
      </x:c>
      <x:c r="J344" s="94" t="str">
        <x:v>骑行头盔 F</x:v>
      </x:c>
      <x:c r="K344" s="97" t="n">
        <x:v>258.15</x:v>
      </x:c>
      <x:c r="L344" s="95" t="n">
        <x:v>1</x:v>
      </x:c>
      <x:c r="M344" s="97" t="n">
        <x:f>ROUND(K344*L344,2)</x:f>
        <x:v>258.15</x:v>
      </x:c>
      <x:c r="N344" s="109" t="n">
        <x:v>0.08</x:v>
      </x:c>
      <x:c r="O344" s="97" t="n">
        <x:f>ROUND(M344*N344,2)</x:f>
        <x:v>20.65</x:v>
      </x:c>
      <x:c r="P344" s="94" t="str">
        <x:v>已确认</x:v>
      </x:c>
      <x:c r="Q344" s="97" t="n">
        <x:f>IF(P344="已退款",M344,0)</x:f>
        <x:v>0</x:v>
      </x:c>
      <x:c r="R344" s="97" t="n">
        <x:f>IF(P344="已退款",O344,0)</x:f>
        <x:v>0</x:v>
      </x:c>
      <x:c r="S344" s="97" t="n">
        <x:f>O344-R344</x:f>
        <x:v>20.65</x:v>
      </x:c>
      <x:c r="T344" s="94" t="n">
        <x:v>2</x:v>
      </x:c>
      <x:c r="U344" s="94" t="str">
        <x:v>模拟：Amazon Associates订单回传</x:v>
      </x:c>
    </x:row>
    <x:row r="345">
      <x:c r="A345" s="92" t="str">
        <x:v>AMZ-ORD-00344</x:v>
      </x:c>
      <x:c r="B345" s="94" t="str">
        <x:v>PROC-0338</x:v>
      </x:c>
      <x:c r="C345" s="108" t="n">
        <x:v>46086.80902777778</x:v>
      </x:c>
      <x:c r="D345" s="93" t="n">
        <x:v>46083</x:v>
      </x:c>
      <x:c r="E345" s="94" t="str">
        <x:v>Microsoft Ads</x:v>
      </x:c>
      <x:c r="F345" s="94" t="str">
        <x:v>日本</x:v>
      </x:c>
      <x:c r="G345" s="94" t="str">
        <x:v>通用搜索</x:v>
      </x:c>
      <x:c r="H345" s="94" t="str">
        <x:v>SKU-0023</x:v>
      </x:c>
      <x:c r="I345" s="94" t="str">
        <x:v>运动健康</x:v>
      </x:c>
      <x:c r="J345" s="94" t="str">
        <x:v>可调哑铃 C</x:v>
      </x:c>
      <x:c r="K345" s="97" t="n">
        <x:v>225.7</x:v>
      </x:c>
      <x:c r="L345" s="95" t="n">
        <x:v>1</x:v>
      </x:c>
      <x:c r="M345" s="97" t="n">
        <x:f>ROUND(K345*L345,2)</x:f>
        <x:v>225.7</x:v>
      </x:c>
      <x:c r="N345" s="109" t="n">
        <x:v>0.08</x:v>
      </x:c>
      <x:c r="O345" s="97" t="n">
        <x:f>ROUND(M345*N345,2)</x:f>
        <x:v>18.06</x:v>
      </x:c>
      <x:c r="P345" s="94" t="str">
        <x:v>已退款</x:v>
      </x:c>
      <x:c r="Q345" s="97" t="n">
        <x:f>IF(P345="已退款",M345,0)</x:f>
        <x:v>225.7</x:v>
      </x:c>
      <x:c r="R345" s="97" t="n">
        <x:f>IF(P345="已退款",O345,0)</x:f>
        <x:v>18.06</x:v>
      </x:c>
      <x:c r="S345" s="97" t="n">
        <x:f>O345-R345</x:f>
        <x:v>0</x:v>
      </x:c>
      <x:c r="T345" s="94" t="n">
        <x:v>3</x:v>
      </x:c>
      <x:c r="U345" s="94" t="str">
        <x:v>模拟：Amazon Associates订单回传</x:v>
      </x:c>
    </x:row>
    <x:row r="346">
      <x:c r="A346" s="92" t="str">
        <x:v>AMZ-ORD-00345</x:v>
      </x:c>
      <x:c r="B346" s="94" t="str">
        <x:v>PROC-0339</x:v>
      </x:c>
      <x:c r="C346" s="108" t="n">
        <x:v>46087.552083333336</x:v>
      </x:c>
      <x:c r="D346" s="93" t="n">
        <x:v>46084</x:v>
      </x:c>
      <x:c r="E346" s="94" t="str">
        <x:v>Google Ads</x:v>
      </x:c>
      <x:c r="F346" s="94" t="str">
        <x:v>德国</x:v>
      </x:c>
      <x:c r="G346" s="94" t="str">
        <x:v>品牌搜索</x:v>
      </x:c>
      <x:c r="H346" s="94" t="str">
        <x:v>SKU-0044</x:v>
      </x:c>
      <x:c r="I346" s="94" t="str">
        <x:v>办公学习</x:v>
      </x:c>
      <x:c r="J346" s="94" t="str">
        <x:v>数字笔记本 D</x:v>
      </x:c>
      <x:c r="K346" s="97" t="n">
        <x:v>211.31</x:v>
      </x:c>
      <x:c r="L346" s="95" t="n">
        <x:v>1</x:v>
      </x:c>
      <x:c r="M346" s="97" t="n">
        <x:f>ROUND(K346*L346,2)</x:f>
        <x:v>211.31</x:v>
      </x:c>
      <x:c r="N346" s="109" t="n">
        <x:v>0.07</x:v>
      </x:c>
      <x:c r="O346" s="97" t="n">
        <x:f>ROUND(M346*N346,2)</x:f>
        <x:v>14.79</x:v>
      </x:c>
      <x:c r="P346" s="94" t="str">
        <x:v>已确认</x:v>
      </x:c>
      <x:c r="Q346" s="97" t="n">
        <x:f>IF(P346="已退款",M346,0)</x:f>
        <x:v>0</x:v>
      </x:c>
      <x:c r="R346" s="97" t="n">
        <x:f>IF(P346="已退款",O346,0)</x:f>
        <x:v>0</x:v>
      </x:c>
      <x:c r="S346" s="97" t="n">
        <x:f>O346-R346</x:f>
        <x:v>14.79</x:v>
      </x:c>
      <x:c r="T346" s="94" t="n">
        <x:v>3</x:v>
      </x:c>
      <x:c r="U346" s="94" t="str">
        <x:v>模拟：Amazon Associates订单回传</x:v>
      </x:c>
    </x:row>
    <x:row r="347">
      <x:c r="A347" s="92" t="str">
        <x:v>AMZ-ORD-00346</x:v>
      </x:c>
      <x:c r="B347" s="94" t="str">
        <x:v>PROC-0340</x:v>
      </x:c>
      <x:c r="C347" s="108" t="n">
        <x:v>46085.645833333336</x:v>
      </x:c>
      <x:c r="D347" s="93" t="n">
        <x:v>46084</x:v>
      </x:c>
      <x:c r="E347" s="94" t="str">
        <x:v>Microsoft Ads</x:v>
      </x:c>
      <x:c r="F347" s="94" t="str">
        <x:v>美国</x:v>
      </x:c>
      <x:c r="G347" s="94" t="str">
        <x:v>购物广告</x:v>
      </x:c>
      <x:c r="H347" s="94" t="str">
        <x:v>SKU-0009</x:v>
      </x:c>
      <x:c r="I347" s="94" t="str">
        <x:v>电子产品</x:v>
      </x:c>
      <x:c r="J347" s="94" t="str">
        <x:v>电子阅读器 I</x:v>
      </x:c>
      <x:c r="K347" s="97" t="n">
        <x:v>294.67</x:v>
      </x:c>
      <x:c r="L347" s="95" t="n">
        <x:v>1</x:v>
      </x:c>
      <x:c r="M347" s="97" t="n">
        <x:f>ROUND(K347*L347,2)</x:f>
        <x:v>294.67</x:v>
      </x:c>
      <x:c r="N347" s="109" t="n">
        <x:v>0.05</x:v>
      </x:c>
      <x:c r="O347" s="97" t="n">
        <x:f>ROUND(M347*N347,2)</x:f>
        <x:v>14.73</x:v>
      </x:c>
      <x:c r="P347" s="94" t="str">
        <x:v>已确认</x:v>
      </x:c>
      <x:c r="Q347" s="97" t="n">
        <x:f>IF(P347="已退款",M347,0)</x:f>
        <x:v>0</x:v>
      </x:c>
      <x:c r="R347" s="97" t="n">
        <x:f>IF(P347="已退款",O347,0)</x:f>
        <x:v>0</x:v>
      </x:c>
      <x:c r="S347" s="97" t="n">
        <x:f>O347-R347</x:f>
        <x:v>14.73</x:v>
      </x:c>
      <x:c r="T347" s="94" t="n">
        <x:v>1</x:v>
      </x:c>
      <x:c r="U347" s="94" t="str">
        <x:v>模拟：Amazon Associates订单回传</x:v>
      </x:c>
    </x:row>
    <x:row r="348">
      <x:c r="A348" s="92" t="str">
        <x:v>AMZ-ORD-00347</x:v>
      </x:c>
      <x:c r="B348" s="94" t="str">
        <x:v>PROC-0341</x:v>
      </x:c>
      <x:c r="C348" s="108" t="n">
        <x:v>46086.35833333333</x:v>
      </x:c>
      <x:c r="D348" s="93" t="n">
        <x:v>46084</x:v>
      </x:c>
      <x:c r="E348" s="94" t="str">
        <x:v>Microsoft Ads</x:v>
      </x:c>
      <x:c r="F348" s="94" t="str">
        <x:v>英国</x:v>
      </x:c>
      <x:c r="G348" s="94" t="str">
        <x:v>品牌搜索</x:v>
      </x:c>
      <x:c r="H348" s="94" t="str">
        <x:v>SKU-0009</x:v>
      </x:c>
      <x:c r="I348" s="94" t="str">
        <x:v>电子产品</x:v>
      </x:c>
      <x:c r="J348" s="94" t="str">
        <x:v>电子阅读器 I</x:v>
      </x:c>
      <x:c r="K348" s="97" t="n">
        <x:v>534.8</x:v>
      </x:c>
      <x:c r="L348" s="95" t="n">
        <x:v>3</x:v>
      </x:c>
      <x:c r="M348" s="97" t="n">
        <x:f>ROUND(K348*L348,2)</x:f>
        <x:v>1604.4</x:v>
      </x:c>
      <x:c r="N348" s="109" t="n">
        <x:v>0.05</x:v>
      </x:c>
      <x:c r="O348" s="97" t="n">
        <x:f>ROUND(M348*N348,2)</x:f>
        <x:v>80.22</x:v>
      </x:c>
      <x:c r="P348" s="94" t="str">
        <x:v>已确认</x:v>
      </x:c>
      <x:c r="Q348" s="97" t="n">
        <x:f>IF(P348="已退款",M348,0)</x:f>
        <x:v>0</x:v>
      </x:c>
      <x:c r="R348" s="97" t="n">
        <x:f>IF(P348="已退款",O348,0)</x:f>
        <x:v>0</x:v>
      </x:c>
      <x:c r="S348" s="97" t="n">
        <x:f>O348-R348</x:f>
        <x:v>80.22</x:v>
      </x:c>
      <x:c r="T348" s="94" t="n">
        <x:v>2</x:v>
      </x:c>
      <x:c r="U348" s="94" t="str">
        <x:v>模拟：Amazon Associates订单回传</x:v>
      </x:c>
    </x:row>
    <x:row r="349">
      <x:c r="A349" s="92" t="str">
        <x:v>AMZ-ORD-00348</x:v>
      </x:c>
      <x:c r="B349" s="94" t="str">
        <x:v>PROC-0341</x:v>
      </x:c>
      <x:c r="C349" s="108" t="n">
        <x:v>46084.51597222222</x:v>
      </x:c>
      <x:c r="D349" s="93" t="n">
        <x:v>46084</x:v>
      </x:c>
      <x:c r="E349" s="94" t="str">
        <x:v>Microsoft Ads</x:v>
      </x:c>
      <x:c r="F349" s="94" t="str">
        <x:v>英国</x:v>
      </x:c>
      <x:c r="G349" s="94" t="str">
        <x:v>品牌搜索</x:v>
      </x:c>
      <x:c r="H349" s="94" t="str">
        <x:v>SKU-0024</x:v>
      </x:c>
      <x:c r="I349" s="94" t="str">
        <x:v>运动健康</x:v>
      </x:c>
      <x:c r="J349" s="94" t="str">
        <x:v>筋膜枪 D</x:v>
      </x:c>
      <x:c r="K349" s="97" t="n">
        <x:v>241.3</x:v>
      </x:c>
      <x:c r="L349" s="95" t="n">
        <x:v>1</x:v>
      </x:c>
      <x:c r="M349" s="97" t="n">
        <x:f>ROUND(K349*L349,2)</x:f>
        <x:v>241.3</x:v>
      </x:c>
      <x:c r="N349" s="109" t="n">
        <x:v>0.08</x:v>
      </x:c>
      <x:c r="O349" s="97" t="n">
        <x:f>ROUND(M349*N349,2)</x:f>
        <x:v>19.3</x:v>
      </x:c>
      <x:c r="P349" s="94" t="str">
        <x:v>已确认</x:v>
      </x:c>
      <x:c r="Q349" s="97" t="n">
        <x:f>IF(P349="已退款",M349,0)</x:f>
        <x:v>0</x:v>
      </x:c>
      <x:c r="R349" s="97" t="n">
        <x:f>IF(P349="已退款",O349,0)</x:f>
        <x:v>0</x:v>
      </x:c>
      <x:c r="S349" s="97" t="n">
        <x:f>O349-R349</x:f>
        <x:v>19.3</x:v>
      </x:c>
      <x:c r="T349" s="94" t="n">
        <x:v>0</x:v>
      </x:c>
      <x:c r="U349" s="94" t="str">
        <x:v>模拟：Amazon Associates订单回传</x:v>
      </x:c>
    </x:row>
    <x:row r="350">
      <x:c r="A350" s="92" t="str">
        <x:v>AMZ-ORD-00349</x:v>
      </x:c>
      <x:c r="B350" s="94" t="str">
        <x:v>PROC-0342</x:v>
      </x:c>
      <x:c r="C350" s="108" t="n">
        <x:v>46086.5125</x:v>
      </x:c>
      <x:c r="D350" s="93" t="n">
        <x:v>46084</x:v>
      </x:c>
      <x:c r="E350" s="94" t="str">
        <x:v>Google Ads</x:v>
      </x:c>
      <x:c r="F350" s="94" t="str">
        <x:v>日本</x:v>
      </x:c>
      <x:c r="G350" s="94" t="str">
        <x:v>通用搜索</x:v>
      </x:c>
      <x:c r="H350" s="94" t="str">
        <x:v>SKU-0003</x:v>
      </x:c>
      <x:c r="I350" s="94" t="str">
        <x:v>电子产品</x:v>
      </x:c>
      <x:c r="J350" s="94" t="str">
        <x:v>智能家居中枢 C</x:v>
      </x:c>
      <x:c r="K350" s="97" t="n">
        <x:v>536.26</x:v>
      </x:c>
      <x:c r="L350" s="95" t="n">
        <x:v>1</x:v>
      </x:c>
      <x:c r="M350" s="97" t="n">
        <x:f>ROUND(K350*L350,2)</x:f>
        <x:v>536.26</x:v>
      </x:c>
      <x:c r="N350" s="109" t="n">
        <x:v>0.05</x:v>
      </x:c>
      <x:c r="O350" s="97" t="n">
        <x:f>ROUND(M350*N350,2)</x:f>
        <x:v>26.81</x:v>
      </x:c>
      <x:c r="P350" s="94" t="str">
        <x:v>已确认</x:v>
      </x:c>
      <x:c r="Q350" s="97" t="n">
        <x:f>IF(P350="已退款",M350,0)</x:f>
        <x:v>0</x:v>
      </x:c>
      <x:c r="R350" s="97" t="n">
        <x:f>IF(P350="已退款",O350,0)</x:f>
        <x:v>0</x:v>
      </x:c>
      <x:c r="S350" s="97" t="n">
        <x:f>O350-R350</x:f>
        <x:v>26.81</x:v>
      </x:c>
      <x:c r="T350" s="94" t="n">
        <x:v>2</x:v>
      </x:c>
      <x:c r="U350" s="94" t="str">
        <x:v>模拟：Amazon Associates订单回传</x:v>
      </x:c>
    </x:row>
    <x:row r="351">
      <x:c r="A351" s="92" t="str">
        <x:v>AMZ-ORD-00350</x:v>
      </x:c>
      <x:c r="B351" s="94" t="str">
        <x:v>PROC-0343</x:v>
      </x:c>
      <x:c r="C351" s="108" t="n">
        <x:v>46087.47361111111</x:v>
      </x:c>
      <x:c r="D351" s="93" t="n">
        <x:v>46084</x:v>
      </x:c>
      <x:c r="E351" s="94" t="str">
        <x:v>Google Ads</x:v>
      </x:c>
      <x:c r="F351" s="94" t="str">
        <x:v>英国</x:v>
      </x:c>
      <x:c r="G351" s="94" t="str">
        <x:v>品牌搜索</x:v>
      </x:c>
      <x:c r="H351" s="94" t="str">
        <x:v>SKU-0019</x:v>
      </x:c>
      <x:c r="I351" s="94" t="str">
        <x:v>家居生活</x:v>
      </x:c>
      <x:c r="J351" s="94" t="str">
        <x:v>无线吸尘器 I</x:v>
      </x:c>
      <x:c r="K351" s="97" t="n">
        <x:v>236.66</x:v>
      </x:c>
      <x:c r="L351" s="95" t="n">
        <x:v>1</x:v>
      </x:c>
      <x:c r="M351" s="97" t="n">
        <x:f>ROUND(K351*L351,2)</x:f>
        <x:v>236.66</x:v>
      </x:c>
      <x:c r="N351" s="109" t="n">
        <x:v>0.07</x:v>
      </x:c>
      <x:c r="O351" s="97" t="n">
        <x:f>ROUND(M351*N351,2)</x:f>
        <x:v>16.57</x:v>
      </x:c>
      <x:c r="P351" s="94" t="str">
        <x:v>已确认</x:v>
      </x:c>
      <x:c r="Q351" s="97" t="n">
        <x:f>IF(P351="已退款",M351,0)</x:f>
        <x:v>0</x:v>
      </x:c>
      <x:c r="R351" s="97" t="n">
        <x:f>IF(P351="已退款",O351,0)</x:f>
        <x:v>0</x:v>
      </x:c>
      <x:c r="S351" s="97" t="n">
        <x:f>O351-R351</x:f>
        <x:v>16.57</x:v>
      </x:c>
      <x:c r="T351" s="94" t="n">
        <x:v>3</x:v>
      </x:c>
      <x:c r="U351" s="94" t="str">
        <x:v>模拟：Amazon Associates订单回传</x:v>
      </x:c>
    </x:row>
    <x:row r="352">
      <x:c r="A352" s="92" t="str">
        <x:v>AMZ-ORD-00351</x:v>
      </x:c>
      <x:c r="B352" s="94" t="str">
        <x:v>PROC-0343</x:v>
      </x:c>
      <x:c r="C352" s="108" t="n">
        <x:v>46087.79027777778</x:v>
      </x:c>
      <x:c r="D352" s="93" t="n">
        <x:v>46084</x:v>
      </x:c>
      <x:c r="E352" s="94" t="str">
        <x:v>Google Ads</x:v>
      </x:c>
      <x:c r="F352" s="94" t="str">
        <x:v>英国</x:v>
      </x:c>
      <x:c r="G352" s="94" t="str">
        <x:v>品牌搜索</x:v>
      </x:c>
      <x:c r="H352" s="94" t="str">
        <x:v>SKU-0008</x:v>
      </x:c>
      <x:c r="I352" s="94" t="str">
        <x:v>电子产品</x:v>
      </x:c>
      <x:c r="J352" s="94" t="str">
        <x:v>Wi-Fi路由器 H</x:v>
      </x:c>
      <x:c r="K352" s="97" t="n">
        <x:v>677.85</x:v>
      </x:c>
      <x:c r="L352" s="95" t="n">
        <x:v>2</x:v>
      </x:c>
      <x:c r="M352" s="97" t="n">
        <x:f>ROUND(K352*L352,2)</x:f>
        <x:v>1355.7</x:v>
      </x:c>
      <x:c r="N352" s="109" t="n">
        <x:v>0.05</x:v>
      </x:c>
      <x:c r="O352" s="97" t="n">
        <x:f>ROUND(M352*N352,2)</x:f>
        <x:v>67.79</x:v>
      </x:c>
      <x:c r="P352" s="94" t="str">
        <x:v>已确认</x:v>
      </x:c>
      <x:c r="Q352" s="97" t="n">
        <x:f>IF(P352="已退款",M352,0)</x:f>
        <x:v>0</x:v>
      </x:c>
      <x:c r="R352" s="97" t="n">
        <x:f>IF(P352="已退款",O352,0)</x:f>
        <x:v>0</x:v>
      </x:c>
      <x:c r="S352" s="97" t="n">
        <x:f>O352-R352</x:f>
        <x:v>67.79</x:v>
      </x:c>
      <x:c r="T352" s="94" t="n">
        <x:v>3</x:v>
      </x:c>
      <x:c r="U352" s="94" t="str">
        <x:v>模拟：Amazon Associates订单回传</x:v>
      </x:c>
    </x:row>
    <x:row r="353">
      <x:c r="A353" s="92" t="str">
        <x:v>AMZ-ORD-00352</x:v>
      </x:c>
      <x:c r="B353" s="94" t="str">
        <x:v>PROC-0344</x:v>
      </x:c>
      <x:c r="C353" s="108" t="n">
        <x:v>46089.444444444445</x:v>
      </x:c>
      <x:c r="D353" s="93" t="n">
        <x:v>46085</x:v>
      </x:c>
      <x:c r="E353" s="94" t="str">
        <x:v>Google Ads</x:v>
      </x:c>
      <x:c r="F353" s="94" t="str">
        <x:v>美国</x:v>
      </x:c>
      <x:c r="G353" s="94" t="str">
        <x:v>品牌搜索</x:v>
      </x:c>
      <x:c r="H353" s="94" t="str">
        <x:v>SKU-0033</x:v>
      </x:c>
      <x:c r="I353" s="94" t="str">
        <x:v>美妆个护</x:v>
      </x:c>
      <x:c r="J353" s="94" t="str">
        <x:v>护肤套装 C</x:v>
      </x:c>
      <x:c r="K353" s="97" t="n">
        <x:v>134.43</x:v>
      </x:c>
      <x:c r="L353" s="95" t="n">
        <x:v>2</x:v>
      </x:c>
      <x:c r="M353" s="97" t="n">
        <x:f>ROUND(K353*L353,2)</x:f>
        <x:v>268.86</x:v>
      </x:c>
      <x:c r="N353" s="109" t="n">
        <x:v>0.1</x:v>
      </x:c>
      <x:c r="O353" s="97" t="n">
        <x:f>ROUND(M353*N353,2)</x:f>
        <x:v>26.89</x:v>
      </x:c>
      <x:c r="P353" s="94" t="str">
        <x:v>已确认</x:v>
      </x:c>
      <x:c r="Q353" s="97" t="n">
        <x:f>IF(P353="已退款",M353,0)</x:f>
        <x:v>0</x:v>
      </x:c>
      <x:c r="R353" s="97" t="n">
        <x:f>IF(P353="已退款",O353,0)</x:f>
        <x:v>0</x:v>
      </x:c>
      <x:c r="S353" s="97" t="n">
        <x:f>O353-R353</x:f>
        <x:v>26.89</x:v>
      </x:c>
      <x:c r="T353" s="94" t="n">
        <x:v>4</x:v>
      </x:c>
      <x:c r="U353" s="94" t="str">
        <x:v>模拟：Amazon Associates订单回传</x:v>
      </x:c>
    </x:row>
    <x:row r="354">
      <x:c r="A354" s="92" t="str">
        <x:v>AMZ-ORD-00353</x:v>
      </x:c>
      <x:c r="B354" s="94" t="str">
        <x:v>PROC-0345</x:v>
      </x:c>
      <x:c r="C354" s="108" t="n">
        <x:v>46087.38333333333</x:v>
      </x:c>
      <x:c r="D354" s="93" t="n">
        <x:v>46085</x:v>
      </x:c>
      <x:c r="E354" s="94" t="str">
        <x:v>Microsoft Ads</x:v>
      </x:c>
      <x:c r="F354" s="94" t="str">
        <x:v>美国</x:v>
      </x:c>
      <x:c r="G354" s="94" t="str">
        <x:v>品牌搜索</x:v>
      </x:c>
      <x:c r="H354" s="94" t="str">
        <x:v>SKU-0035</x:v>
      </x:c>
      <x:c r="I354" s="94" t="str">
        <x:v>美妆个护</x:v>
      </x:c>
      <x:c r="J354" s="94" t="str">
        <x:v>香氛礼盒 E</x:v>
      </x:c>
      <x:c r="K354" s="97" t="n">
        <x:v>81.1</x:v>
      </x:c>
      <x:c r="L354" s="95" t="n">
        <x:v>1</x:v>
      </x:c>
      <x:c r="M354" s="97" t="n">
        <x:f>ROUND(K354*L354,2)</x:f>
        <x:v>81.1</x:v>
      </x:c>
      <x:c r="N354" s="109" t="n">
        <x:v>0.1</x:v>
      </x:c>
      <x:c r="O354" s="97" t="n">
        <x:f>ROUND(M354*N354,2)</x:f>
        <x:v>8.11</x:v>
      </x:c>
      <x:c r="P354" s="94" t="str">
        <x:v>已确认</x:v>
      </x:c>
      <x:c r="Q354" s="97" t="n">
        <x:f>IF(P354="已退款",M354,0)</x:f>
        <x:v>0</x:v>
      </x:c>
      <x:c r="R354" s="97" t="n">
        <x:f>IF(P354="已退款",O354,0)</x:f>
        <x:v>0</x:v>
      </x:c>
      <x:c r="S354" s="97" t="n">
        <x:f>O354-R354</x:f>
        <x:v>8.11</x:v>
      </x:c>
      <x:c r="T354" s="94" t="n">
        <x:v>2</x:v>
      </x:c>
      <x:c r="U354" s="94" t="str">
        <x:v>模拟：Amazon Associates订单回传</x:v>
      </x:c>
    </x:row>
    <x:row r="355">
      <x:c r="A355" s="92" t="str">
        <x:v>AMZ-ORD-00354</x:v>
      </x:c>
      <x:c r="B355" s="94" t="str">
        <x:v>PROC-0345</x:v>
      </x:c>
      <x:c r="C355" s="108" t="n">
        <x:v>46088.410416666666</x:v>
      </x:c>
      <x:c r="D355" s="93" t="n">
        <x:v>46085</x:v>
      </x:c>
      <x:c r="E355" s="94" t="str">
        <x:v>Microsoft Ads</x:v>
      </x:c>
      <x:c r="F355" s="94" t="str">
        <x:v>美国</x:v>
      </x:c>
      <x:c r="G355" s="94" t="str">
        <x:v>品牌搜索</x:v>
      </x:c>
      <x:c r="H355" s="94" t="str">
        <x:v>SKU-0035</x:v>
      </x:c>
      <x:c r="I355" s="94" t="str">
        <x:v>美妆个护</x:v>
      </x:c>
      <x:c r="J355" s="94" t="str">
        <x:v>香氛礼盒 E</x:v>
      </x:c>
      <x:c r="K355" s="97" t="n">
        <x:v>134.42</x:v>
      </x:c>
      <x:c r="L355" s="95" t="n">
        <x:v>2</x:v>
      </x:c>
      <x:c r="M355" s="97" t="n">
        <x:f>ROUND(K355*L355,2)</x:f>
        <x:v>268.84</x:v>
      </x:c>
      <x:c r="N355" s="109" t="n">
        <x:v>0.1</x:v>
      </x:c>
      <x:c r="O355" s="97" t="n">
        <x:f>ROUND(M355*N355,2)</x:f>
        <x:v>26.88</x:v>
      </x:c>
      <x:c r="P355" s="94" t="str">
        <x:v>待确认</x:v>
      </x:c>
      <x:c r="Q355" s="97" t="n">
        <x:f>IF(P355="已退款",M355,0)</x:f>
        <x:v>0</x:v>
      </x:c>
      <x:c r="R355" s="97" t="n">
        <x:f>IF(P355="已退款",O355,0)</x:f>
        <x:v>0</x:v>
      </x:c>
      <x:c r="S355" s="97" t="n">
        <x:f>O355-R355</x:f>
        <x:v>26.88</x:v>
      </x:c>
      <x:c r="T355" s="94" t="n">
        <x:v>3</x:v>
      </x:c>
      <x:c r="U355" s="94" t="str">
        <x:v>模拟：Amazon Associates订单回传</x:v>
      </x:c>
    </x:row>
    <x:row r="356">
      <x:c r="A356" s="92" t="str">
        <x:v>AMZ-ORD-00355</x:v>
      </x:c>
      <x:c r="B356" s="94" t="str">
        <x:v>PROC-0346</x:v>
      </x:c>
      <x:c r="C356" s="108" t="n">
        <x:v>46087.85486111111</x:v>
      </x:c>
      <x:c r="D356" s="93" t="n">
        <x:v>46085</x:v>
      </x:c>
      <x:c r="E356" s="94" t="str">
        <x:v>Google Ads</x:v>
      </x:c>
      <x:c r="F356" s="94" t="str">
        <x:v>德国</x:v>
      </x:c>
      <x:c r="G356" s="94" t="str">
        <x:v>通用搜索</x:v>
      </x:c>
      <x:c r="H356" s="94" t="str">
        <x:v>SKU-0045</x:v>
      </x:c>
      <x:c r="I356" s="94" t="str">
        <x:v>办公学习</x:v>
      </x:c>
      <x:c r="J356" s="94" t="str">
        <x:v>办公收纳 E</x:v>
      </x:c>
      <x:c r="K356" s="97" t="n">
        <x:v>215.17</x:v>
      </x:c>
      <x:c r="L356" s="95" t="n">
        <x:v>2</x:v>
      </x:c>
      <x:c r="M356" s="97" t="n">
        <x:f>ROUND(K356*L356,2)</x:f>
        <x:v>430.34</x:v>
      </x:c>
      <x:c r="N356" s="109" t="n">
        <x:v>0.07</x:v>
      </x:c>
      <x:c r="O356" s="97" t="n">
        <x:f>ROUND(M356*N356,2)</x:f>
        <x:v>30.12</x:v>
      </x:c>
      <x:c r="P356" s="94" t="str">
        <x:v>待确认</x:v>
      </x:c>
      <x:c r="Q356" s="97" t="n">
        <x:f>IF(P356="已退款",M356,0)</x:f>
        <x:v>0</x:v>
      </x:c>
      <x:c r="R356" s="97" t="n">
        <x:f>IF(P356="已退款",O356,0)</x:f>
        <x:v>0</x:v>
      </x:c>
      <x:c r="S356" s="97" t="n">
        <x:f>O356-R356</x:f>
        <x:v>30.12</x:v>
      </x:c>
      <x:c r="T356" s="94" t="n">
        <x:v>2</x:v>
      </x:c>
      <x:c r="U356" s="94" t="str">
        <x:v>模拟：Amazon Associates订单回传</x:v>
      </x:c>
    </x:row>
    <x:row r="357">
      <x:c r="A357" s="92" t="str">
        <x:v>AMZ-ORD-00356</x:v>
      </x:c>
      <x:c r="B357" s="94" t="str">
        <x:v>PROC-0347</x:v>
      </x:c>
      <x:c r="C357" s="108" t="n">
        <x:v>46087.70972222222</x:v>
      </x:c>
      <x:c r="D357" s="93" t="n">
        <x:v>46085</x:v>
      </x:c>
      <x:c r="E357" s="94" t="str">
        <x:v>Google Ads</x:v>
      </x:c>
      <x:c r="F357" s="94" t="str">
        <x:v>德国</x:v>
      </x:c>
      <x:c r="G357" s="94" t="str">
        <x:v>通用搜索</x:v>
      </x:c>
      <x:c r="H357" s="94" t="str">
        <x:v>SKU-0038</x:v>
      </x:c>
      <x:c r="I357" s="94" t="str">
        <x:v>美妆个护</x:v>
      </x:c>
      <x:c r="J357" s="94" t="str">
        <x:v>卷发棒 H</x:v>
      </x:c>
      <x:c r="K357" s="97" t="n">
        <x:v>90.62</x:v>
      </x:c>
      <x:c r="L357" s="95" t="n">
        <x:v>1</x:v>
      </x:c>
      <x:c r="M357" s="97" t="n">
        <x:f>ROUND(K357*L357,2)</x:f>
        <x:v>90.62</x:v>
      </x:c>
      <x:c r="N357" s="109" t="n">
        <x:v>0.1</x:v>
      </x:c>
      <x:c r="O357" s="97" t="n">
        <x:f>ROUND(M357*N357,2)</x:f>
        <x:v>9.06</x:v>
      </x:c>
      <x:c r="P357" s="94" t="str">
        <x:v>已确认</x:v>
      </x:c>
      <x:c r="Q357" s="97" t="n">
        <x:f>IF(P357="已退款",M357,0)</x:f>
        <x:v>0</x:v>
      </x:c>
      <x:c r="R357" s="97" t="n">
        <x:f>IF(P357="已退款",O357,0)</x:f>
        <x:v>0</x:v>
      </x:c>
      <x:c r="S357" s="97" t="n">
        <x:f>O357-R357</x:f>
        <x:v>9.06</x:v>
      </x:c>
      <x:c r="T357" s="94" t="n">
        <x:v>2</x:v>
      </x:c>
      <x:c r="U357" s="94" t="str">
        <x:v>模拟：Amazon Associates订单回传</x:v>
      </x:c>
    </x:row>
    <x:row r="358">
      <x:c r="A358" s="92" t="str">
        <x:v>AMZ-ORD-00357</x:v>
      </x:c>
      <x:c r="B358" s="94" t="str">
        <x:v>PROC-0348</x:v>
      </x:c>
      <x:c r="C358" s="108" t="n">
        <x:v>46089.438888888886</x:v>
      </x:c>
      <x:c r="D358" s="93" t="n">
        <x:v>46085</x:v>
      </x:c>
      <x:c r="E358" s="94" t="str">
        <x:v>Microsoft Ads</x:v>
      </x:c>
      <x:c r="F358" s="94" t="str">
        <x:v>英国</x:v>
      </x:c>
      <x:c r="G358" s="94" t="str">
        <x:v>通用搜索</x:v>
      </x:c>
      <x:c r="H358" s="94" t="str">
        <x:v>SKU-0016</x:v>
      </x:c>
      <x:c r="I358" s="94" t="str">
        <x:v>家居生活</x:v>
      </x:c>
      <x:c r="J358" s="94" t="str">
        <x:v>厨师机 F</x:v>
      </x:c>
      <x:c r="K358" s="97" t="n">
        <x:v>108.73</x:v>
      </x:c>
      <x:c r="L358" s="95" t="n">
        <x:v>1</x:v>
      </x:c>
      <x:c r="M358" s="97" t="n">
        <x:f>ROUND(K358*L358,2)</x:f>
        <x:v>108.73</x:v>
      </x:c>
      <x:c r="N358" s="109" t="n">
        <x:v>0.07</x:v>
      </x:c>
      <x:c r="O358" s="97" t="n">
        <x:f>ROUND(M358*N358,2)</x:f>
        <x:v>7.61</x:v>
      </x:c>
      <x:c r="P358" s="94" t="str">
        <x:v>已退款</x:v>
      </x:c>
      <x:c r="Q358" s="97" t="n">
        <x:f>IF(P358="已退款",M358,0)</x:f>
        <x:v>108.73</x:v>
      </x:c>
      <x:c r="R358" s="97" t="n">
        <x:f>IF(P358="已退款",O358,0)</x:f>
        <x:v>7.61</x:v>
      </x:c>
      <x:c r="S358" s="97" t="n">
        <x:f>O358-R358</x:f>
        <x:v>0</x:v>
      </x:c>
      <x:c r="T358" s="94" t="n">
        <x:v>4</x:v>
      </x:c>
      <x:c r="U358" s="94" t="str">
        <x:v>模拟：Amazon Associates订单回传</x:v>
      </x:c>
    </x:row>
    <x:row r="359">
      <x:c r="A359" s="92" t="str">
        <x:v>AMZ-ORD-00358</x:v>
      </x:c>
      <x:c r="B359" s="94" t="str">
        <x:v>PROC-0349</x:v>
      </x:c>
      <x:c r="C359" s="108" t="n">
        <x:v>46086.69027777778</x:v>
      </x:c>
      <x:c r="D359" s="93" t="n">
        <x:v>46085</x:v>
      </x:c>
      <x:c r="E359" s="94" t="str">
        <x:v>Microsoft Ads</x:v>
      </x:c>
      <x:c r="F359" s="94" t="str">
        <x:v>德国</x:v>
      </x:c>
      <x:c r="G359" s="94" t="str">
        <x:v>通用搜索</x:v>
      </x:c>
      <x:c r="H359" s="94" t="str">
        <x:v>SKU-0033</x:v>
      </x:c>
      <x:c r="I359" s="94" t="str">
        <x:v>美妆个护</x:v>
      </x:c>
      <x:c r="J359" s="94" t="str">
        <x:v>护肤套装 C</x:v>
      </x:c>
      <x:c r="K359" s="97" t="n">
        <x:v>141.72</x:v>
      </x:c>
      <x:c r="L359" s="95" t="n">
        <x:v>1</x:v>
      </x:c>
      <x:c r="M359" s="97" t="n">
        <x:f>ROUND(K359*L359,2)</x:f>
        <x:v>141.72</x:v>
      </x:c>
      <x:c r="N359" s="109" t="n">
        <x:v>0.1</x:v>
      </x:c>
      <x:c r="O359" s="97" t="n">
        <x:f>ROUND(M359*N359,2)</x:f>
        <x:v>14.17</x:v>
      </x:c>
      <x:c r="P359" s="94" t="str">
        <x:v>已确认</x:v>
      </x:c>
      <x:c r="Q359" s="97" t="n">
        <x:f>IF(P359="已退款",M359,0)</x:f>
        <x:v>0</x:v>
      </x:c>
      <x:c r="R359" s="97" t="n">
        <x:f>IF(P359="已退款",O359,0)</x:f>
        <x:v>0</x:v>
      </x:c>
      <x:c r="S359" s="97" t="n">
        <x:f>O359-R359</x:f>
        <x:v>14.17</x:v>
      </x:c>
      <x:c r="T359" s="94" t="n">
        <x:v>1</x:v>
      </x:c>
      <x:c r="U359" s="94" t="str">
        <x:v>模拟：Amazon Associates订单回传</x:v>
      </x:c>
    </x:row>
    <x:row r="360">
      <x:c r="A360" s="92" t="str">
        <x:v>AMZ-ORD-00359</x:v>
      </x:c>
      <x:c r="B360" s="94" t="str">
        <x:v>PROC-0350</x:v>
      </x:c>
      <x:c r="C360" s="108" t="n">
        <x:v>46086.67152777778</x:v>
      </x:c>
      <x:c r="D360" s="93" t="n">
        <x:v>46086</x:v>
      </x:c>
      <x:c r="E360" s="94" t="str">
        <x:v>Google Ads</x:v>
      </x:c>
      <x:c r="F360" s="94" t="str">
        <x:v>德国</x:v>
      </x:c>
      <x:c r="G360" s="94" t="str">
        <x:v>购物广告</x:v>
      </x:c>
      <x:c r="H360" s="94" t="str">
        <x:v>SKU-0012</x:v>
      </x:c>
      <x:c r="I360" s="94" t="str">
        <x:v>家居生活</x:v>
      </x:c>
      <x:c r="J360" s="94" t="str">
        <x:v>咖啡机 B</x:v>
      </x:c>
      <x:c r="K360" s="97" t="n">
        <x:v>330.93</x:v>
      </x:c>
      <x:c r="L360" s="95" t="n">
        <x:v>1</x:v>
      </x:c>
      <x:c r="M360" s="97" t="n">
        <x:f>ROUND(K360*L360,2)</x:f>
        <x:v>330.93</x:v>
      </x:c>
      <x:c r="N360" s="109" t="n">
        <x:v>0.07</x:v>
      </x:c>
      <x:c r="O360" s="97" t="n">
        <x:f>ROUND(M360*N360,2)</x:f>
        <x:v>23.17</x:v>
      </x:c>
      <x:c r="P360" s="94" t="str">
        <x:v>已确认</x:v>
      </x:c>
      <x:c r="Q360" s="97" t="n">
        <x:f>IF(P360="已退款",M360,0)</x:f>
        <x:v>0</x:v>
      </x:c>
      <x:c r="R360" s="97" t="n">
        <x:f>IF(P360="已退款",O360,0)</x:f>
        <x:v>0</x:v>
      </x:c>
      <x:c r="S360" s="97" t="n">
        <x:f>O360-R360</x:f>
        <x:v>23.17</x:v>
      </x:c>
      <x:c r="T360" s="94" t="n">
        <x:v>0</x:v>
      </x:c>
      <x:c r="U360" s="94" t="str">
        <x:v>模拟：Amazon Associates订单回传</x:v>
      </x:c>
    </x:row>
    <x:row r="361">
      <x:c r="A361" s="92" t="str">
        <x:v>AMZ-ORD-00360</x:v>
      </x:c>
      <x:c r="B361" s="94" t="str">
        <x:v>PROC-0352</x:v>
      </x:c>
      <x:c r="C361" s="108" t="n">
        <x:v>46089.65625</x:v>
      </x:c>
      <x:c r="D361" s="93" t="n">
        <x:v>46086</x:v>
      </x:c>
      <x:c r="E361" s="94" t="str">
        <x:v>Google Ads</x:v>
      </x:c>
      <x:c r="F361" s="94" t="str">
        <x:v>美国</x:v>
      </x:c>
      <x:c r="G361" s="94" t="str">
        <x:v>购物广告</x:v>
      </x:c>
      <x:c r="H361" s="94" t="str">
        <x:v>SKU-0043</x:v>
      </x:c>
      <x:c r="I361" s="94" t="str">
        <x:v>办公学习</x:v>
      </x:c>
      <x:c r="J361" s="94" t="str">
        <x:v>会议麦克风 C</x:v>
      </x:c>
      <x:c r="K361" s="97" t="n">
        <x:v>103.53</x:v>
      </x:c>
      <x:c r="L361" s="95" t="n">
        <x:v>1</x:v>
      </x:c>
      <x:c r="M361" s="97" t="n">
        <x:f>ROUND(K361*L361,2)</x:f>
        <x:v>103.53</x:v>
      </x:c>
      <x:c r="N361" s="109" t="n">
        <x:v>0.07</x:v>
      </x:c>
      <x:c r="O361" s="97" t="n">
        <x:f>ROUND(M361*N361,2)</x:f>
        <x:v>7.25</x:v>
      </x:c>
      <x:c r="P361" s="94" t="str">
        <x:v>已确认</x:v>
      </x:c>
      <x:c r="Q361" s="97" t="n">
        <x:f>IF(P361="已退款",M361,0)</x:f>
        <x:v>0</x:v>
      </x:c>
      <x:c r="R361" s="97" t="n">
        <x:f>IF(P361="已退款",O361,0)</x:f>
        <x:v>0</x:v>
      </x:c>
      <x:c r="S361" s="97" t="n">
        <x:f>O361-R361</x:f>
        <x:v>7.25</x:v>
      </x:c>
      <x:c r="T361" s="94" t="n">
        <x:v>3</x:v>
      </x:c>
      <x:c r="U361" s="94" t="str">
        <x:v>模拟：Amazon Associates订单回传</x:v>
      </x:c>
    </x:row>
    <x:row r="362">
      <x:c r="A362" s="92" t="str">
        <x:v>AMZ-ORD-00361</x:v>
      </x:c>
      <x:c r="B362" s="94" t="str">
        <x:v>PROC-0353</x:v>
      </x:c>
      <x:c r="C362" s="108" t="n">
        <x:v>46088.634722222225</x:v>
      </x:c>
      <x:c r="D362" s="93" t="n">
        <x:v>46086</x:v>
      </x:c>
      <x:c r="E362" s="94" t="str">
        <x:v>Microsoft Ads</x:v>
      </x:c>
      <x:c r="F362" s="94" t="str">
        <x:v>日本</x:v>
      </x:c>
      <x:c r="G362" s="94" t="str">
        <x:v>通用搜索</x:v>
      </x:c>
      <x:c r="H362" s="94" t="str">
        <x:v>SKU-0028</x:v>
      </x:c>
      <x:c r="I362" s="94" t="str">
        <x:v>运动健康</x:v>
      </x:c>
      <x:c r="J362" s="94" t="str">
        <x:v>体脂秤 H</x:v>
      </x:c>
      <x:c r="K362" s="97" t="n">
        <x:v>265.47</x:v>
      </x:c>
      <x:c r="L362" s="95" t="n">
        <x:v>1</x:v>
      </x:c>
      <x:c r="M362" s="97" t="n">
        <x:f>ROUND(K362*L362,2)</x:f>
        <x:v>265.47</x:v>
      </x:c>
      <x:c r="N362" s="109" t="n">
        <x:v>0.08</x:v>
      </x:c>
      <x:c r="O362" s="97" t="n">
        <x:f>ROUND(M362*N362,2)</x:f>
        <x:v>21.24</x:v>
      </x:c>
      <x:c r="P362" s="94" t="str">
        <x:v>已确认</x:v>
      </x:c>
      <x:c r="Q362" s="97" t="n">
        <x:f>IF(P362="已退款",M362,0)</x:f>
        <x:v>0</x:v>
      </x:c>
      <x:c r="R362" s="97" t="n">
        <x:f>IF(P362="已退款",O362,0)</x:f>
        <x:v>0</x:v>
      </x:c>
      <x:c r="S362" s="97" t="n">
        <x:f>O362-R362</x:f>
        <x:v>21.24</x:v>
      </x:c>
      <x:c r="T362" s="94" t="n">
        <x:v>2</x:v>
      </x:c>
      <x:c r="U362" s="94" t="str">
        <x:v>模拟：Amazon Associates订单回传</x:v>
      </x:c>
    </x:row>
    <x:row r="363">
      <x:c r="A363" s="92" t="str">
        <x:v>AMZ-ORD-00362</x:v>
      </x:c>
      <x:c r="B363" s="94" t="str">
        <x:v>PROC-0354</x:v>
      </x:c>
      <x:c r="C363" s="108" t="n">
        <x:v>46087.72083333333</x:v>
      </x:c>
      <x:c r="D363" s="93" t="n">
        <x:v>46086</x:v>
      </x:c>
      <x:c r="E363" s="94" t="str">
        <x:v>Google Ads</x:v>
      </x:c>
      <x:c r="F363" s="94" t="str">
        <x:v>德国</x:v>
      </x:c>
      <x:c r="G363" s="94" t="str">
        <x:v>通用搜索</x:v>
      </x:c>
      <x:c r="H363" s="94" t="str">
        <x:v>SKU-0026</x:v>
      </x:c>
      <x:c r="I363" s="94" t="str">
        <x:v>运动健康</x:v>
      </x:c>
      <x:c r="J363" s="94" t="str">
        <x:v>骑行头盔 F</x:v>
      </x:c>
      <x:c r="K363" s="97" t="n">
        <x:v>168.52</x:v>
      </x:c>
      <x:c r="L363" s="95" t="n">
        <x:v>1</x:v>
      </x:c>
      <x:c r="M363" s="97" t="n">
        <x:f>ROUND(K363*L363,2)</x:f>
        <x:v>168.52</x:v>
      </x:c>
      <x:c r="N363" s="109" t="n">
        <x:v>0.08</x:v>
      </x:c>
      <x:c r="O363" s="97" t="n">
        <x:f>ROUND(M363*N363,2)</x:f>
        <x:v>13.48</x:v>
      </x:c>
      <x:c r="P363" s="94" t="str">
        <x:v>已确认</x:v>
      </x:c>
      <x:c r="Q363" s="97" t="n">
        <x:f>IF(P363="已退款",M363,0)</x:f>
        <x:v>0</x:v>
      </x:c>
      <x:c r="R363" s="97" t="n">
        <x:f>IF(P363="已退款",O363,0)</x:f>
        <x:v>0</x:v>
      </x:c>
      <x:c r="S363" s="97" t="n">
        <x:f>O363-R363</x:f>
        <x:v>13.48</x:v>
      </x:c>
      <x:c r="T363" s="94" t="n">
        <x:v>1</x:v>
      </x:c>
      <x:c r="U363" s="94" t="str">
        <x:v>模拟：Amazon Associates订单回传</x:v>
      </x:c>
    </x:row>
    <x:row r="364">
      <x:c r="A364" s="92" t="str">
        <x:v>AMZ-ORD-00363</x:v>
      </x:c>
      <x:c r="B364" s="94" t="str">
        <x:v>PROC-0355</x:v>
      </x:c>
      <x:c r="C364" s="108" t="n">
        <x:v>46091.63125</x:v>
      </x:c>
      <x:c r="D364" s="93" t="n">
        <x:v>46087</x:v>
      </x:c>
      <x:c r="E364" s="94" t="str">
        <x:v>Google Ads</x:v>
      </x:c>
      <x:c r="F364" s="94" t="str">
        <x:v>英国</x:v>
      </x:c>
      <x:c r="G364" s="94" t="str">
        <x:v>品牌搜索</x:v>
      </x:c>
      <x:c r="H364" s="94" t="str">
        <x:v>SKU-0005</x:v>
      </x:c>
      <x:c r="I364" s="94" t="str">
        <x:v>电子产品</x:v>
      </x:c>
      <x:c r="J364" s="94" t="str">
        <x:v>降噪耳机 E</x:v>
      </x:c>
      <x:c r="K364" s="97" t="n">
        <x:v>260.67</x:v>
      </x:c>
      <x:c r="L364" s="95" t="n">
        <x:v>1</x:v>
      </x:c>
      <x:c r="M364" s="97" t="n">
        <x:f>ROUND(K364*L364,2)</x:f>
        <x:v>260.67</x:v>
      </x:c>
      <x:c r="N364" s="109" t="n">
        <x:v>0.05</x:v>
      </x:c>
      <x:c r="O364" s="97" t="n">
        <x:f>ROUND(M364*N364,2)</x:f>
        <x:v>13.03</x:v>
      </x:c>
      <x:c r="P364" s="94" t="str">
        <x:v>已确认</x:v>
      </x:c>
      <x:c r="Q364" s="97" t="n">
        <x:f>IF(P364="已退款",M364,0)</x:f>
        <x:v>0</x:v>
      </x:c>
      <x:c r="R364" s="97" t="n">
        <x:f>IF(P364="已退款",O364,0)</x:f>
        <x:v>0</x:v>
      </x:c>
      <x:c r="S364" s="97" t="n">
        <x:f>O364-R364</x:f>
        <x:v>13.03</x:v>
      </x:c>
      <x:c r="T364" s="94" t="n">
        <x:v>4</x:v>
      </x:c>
      <x:c r="U364" s="94" t="str">
        <x:v>模拟：Amazon Associates订单回传</x:v>
      </x:c>
    </x:row>
    <x:row r="365">
      <x:c r="A365" s="92" t="str">
        <x:v>AMZ-ORD-00364</x:v>
      </x:c>
      <x:c r="B365" s="94" t="str">
        <x:v>PROC-0357</x:v>
      </x:c>
      <x:c r="C365" s="108" t="n">
        <x:v>46088.3375</x:v>
      </x:c>
      <x:c r="D365" s="93" t="n">
        <x:v>46087</x:v>
      </x:c>
      <x:c r="E365" s="94" t="str">
        <x:v>Google Ads</x:v>
      </x:c>
      <x:c r="F365" s="94" t="str">
        <x:v>美国</x:v>
      </x:c>
      <x:c r="G365" s="94" t="str">
        <x:v>通用搜索</x:v>
      </x:c>
      <x:c r="H365" s="94" t="str">
        <x:v>SKU-0015</x:v>
      </x:c>
      <x:c r="I365" s="94" t="str">
        <x:v>家居生活</x:v>
      </x:c>
      <x:c r="J365" s="94" t="str">
        <x:v>床品套装 E</x:v>
      </x:c>
      <x:c r="K365" s="97" t="n">
        <x:v>324.26</x:v>
      </x:c>
      <x:c r="L365" s="95" t="n">
        <x:v>1</x:v>
      </x:c>
      <x:c r="M365" s="97" t="n">
        <x:f>ROUND(K365*L365,2)</x:f>
        <x:v>324.26</x:v>
      </x:c>
      <x:c r="N365" s="109" t="n">
        <x:v>0.07</x:v>
      </x:c>
      <x:c r="O365" s="97" t="n">
        <x:f>ROUND(M365*N365,2)</x:f>
        <x:v>22.7</x:v>
      </x:c>
      <x:c r="P365" s="94" t="str">
        <x:v>已确认</x:v>
      </x:c>
      <x:c r="Q365" s="97" t="n">
        <x:f>IF(P365="已退款",M365,0)</x:f>
        <x:v>0</x:v>
      </x:c>
      <x:c r="R365" s="97" t="n">
        <x:f>IF(P365="已退款",O365,0)</x:f>
        <x:v>0</x:v>
      </x:c>
      <x:c r="S365" s="97" t="n">
        <x:f>O365-R365</x:f>
        <x:v>22.7</x:v>
      </x:c>
      <x:c r="T365" s="94" t="n">
        <x:v>1</x:v>
      </x:c>
      <x:c r="U365" s="94" t="str">
        <x:v>模拟：Amazon Associates订单回传</x:v>
      </x:c>
    </x:row>
    <x:row r="366">
      <x:c r="A366" s="92" t="str">
        <x:v>AMZ-ORD-00365</x:v>
      </x:c>
      <x:c r="B366" s="94" t="str">
        <x:v>PROC-0358</x:v>
      </x:c>
      <x:c r="C366" s="108" t="n">
        <x:v>46087.8875</x:v>
      </x:c>
      <x:c r="D366" s="93" t="n">
        <x:v>46087</x:v>
      </x:c>
      <x:c r="E366" s="94" t="str">
        <x:v>Microsoft Ads</x:v>
      </x:c>
      <x:c r="F366" s="94" t="str">
        <x:v>美国</x:v>
      </x:c>
      <x:c r="G366" s="94" t="str">
        <x:v>通用搜索</x:v>
      </x:c>
      <x:c r="H366" s="94" t="str">
        <x:v>SKU-0020</x:v>
      </x:c>
      <x:c r="I366" s="94" t="str">
        <x:v>家居生活</x:v>
      </x:c>
      <x:c r="J366" s="94" t="str">
        <x:v>智能门锁 J</x:v>
      </x:c>
      <x:c r="K366" s="97" t="n">
        <x:v>249.04</x:v>
      </x:c>
      <x:c r="L366" s="95" t="n">
        <x:v>1</x:v>
      </x:c>
      <x:c r="M366" s="97" t="n">
        <x:f>ROUND(K366*L366,2)</x:f>
        <x:v>249.04</x:v>
      </x:c>
      <x:c r="N366" s="109" t="n">
        <x:v>0.07</x:v>
      </x:c>
      <x:c r="O366" s="97" t="n">
        <x:f>ROUND(M366*N366,2)</x:f>
        <x:v>17.43</x:v>
      </x:c>
      <x:c r="P366" s="94" t="str">
        <x:v>已确认</x:v>
      </x:c>
      <x:c r="Q366" s="97" t="n">
        <x:f>IF(P366="已退款",M366,0)</x:f>
        <x:v>0</x:v>
      </x:c>
      <x:c r="R366" s="97" t="n">
        <x:f>IF(P366="已退款",O366,0)</x:f>
        <x:v>0</x:v>
      </x:c>
      <x:c r="S366" s="97" t="n">
        <x:f>O366-R366</x:f>
        <x:v>17.43</x:v>
      </x:c>
      <x:c r="T366" s="94" t="n">
        <x:v>0</x:v>
      </x:c>
      <x:c r="U366" s="94" t="str">
        <x:v>模拟：Amazon Associates订单回传</x:v>
      </x:c>
    </x:row>
    <x:row r="367">
      <x:c r="A367" s="92" t="str">
        <x:v>AMZ-ORD-00366</x:v>
      </x:c>
      <x:c r="B367" s="94" t="str">
        <x:v>PROC-0360</x:v>
      </x:c>
      <x:c r="C367" s="108" t="n">
        <x:v>46089.438888888886</x:v>
      </x:c>
      <x:c r="D367" s="93" t="n">
        <x:v>46087</x:v>
      </x:c>
      <x:c r="E367" s="94" t="str">
        <x:v>Microsoft Ads</x:v>
      </x:c>
      <x:c r="F367" s="94" t="str">
        <x:v>德国</x:v>
      </x:c>
      <x:c r="G367" s="94" t="str">
        <x:v>品牌搜索</x:v>
      </x:c>
      <x:c r="H367" s="94" t="str">
        <x:v>SKU-0031</x:v>
      </x:c>
      <x:c r="I367" s="94" t="str">
        <x:v>美妆个护</x:v>
      </x:c>
      <x:c r="J367" s="94" t="str">
        <x:v>洁面仪 A</x:v>
      </x:c>
      <x:c r="K367" s="97" t="n">
        <x:v>81.13</x:v>
      </x:c>
      <x:c r="L367" s="95" t="n">
        <x:v>1</x:v>
      </x:c>
      <x:c r="M367" s="97" t="n">
        <x:f>ROUND(K367*L367,2)</x:f>
        <x:v>81.13</x:v>
      </x:c>
      <x:c r="N367" s="109" t="n">
        <x:v>0.1</x:v>
      </x:c>
      <x:c r="O367" s="97" t="n">
        <x:f>ROUND(M367*N367,2)</x:f>
        <x:v>8.11</x:v>
      </x:c>
      <x:c r="P367" s="94" t="str">
        <x:v>已确认</x:v>
      </x:c>
      <x:c r="Q367" s="97" t="n">
        <x:f>IF(P367="已退款",M367,0)</x:f>
        <x:v>0</x:v>
      </x:c>
      <x:c r="R367" s="97" t="n">
        <x:f>IF(P367="已退款",O367,0)</x:f>
        <x:v>0</x:v>
      </x:c>
      <x:c r="S367" s="97" t="n">
        <x:f>O367-R367</x:f>
        <x:v>8.11</x:v>
      </x:c>
      <x:c r="T367" s="94" t="n">
        <x:v>2</x:v>
      </x:c>
      <x:c r="U367" s="94" t="str">
        <x:v>模拟：Amazon Associates订单回传</x:v>
      </x:c>
    </x:row>
    <x:row r="368">
      <x:c r="A368" s="92" t="str">
        <x:v>AMZ-ORD-00367</x:v>
      </x:c>
      <x:c r="B368" s="94" t="str">
        <x:v>PROC-0361</x:v>
      </x:c>
      <x:c r="C368" s="108" t="n">
        <x:v>46092.63125</x:v>
      </x:c>
      <x:c r="D368" s="93" t="n">
        <x:v>46088</x:v>
      </x:c>
      <x:c r="E368" s="94" t="str">
        <x:v>Google Ads</x:v>
      </x:c>
      <x:c r="F368" s="94" t="str">
        <x:v>日本</x:v>
      </x:c>
      <x:c r="G368" s="94" t="str">
        <x:v>购物广告</x:v>
      </x:c>
      <x:c r="H368" s="94" t="str">
        <x:v>SKU-0022</x:v>
      </x:c>
      <x:c r="I368" s="94" t="str">
        <x:v>运动健康</x:v>
      </x:c>
      <x:c r="J368" s="94" t="str">
        <x:v>瑜伽套装 B</x:v>
      </x:c>
      <x:c r="K368" s="97" t="n">
        <x:v>133.26</x:v>
      </x:c>
      <x:c r="L368" s="95" t="n">
        <x:v>1</x:v>
      </x:c>
      <x:c r="M368" s="97" t="n">
        <x:f>ROUND(K368*L368,2)</x:f>
        <x:v>133.26</x:v>
      </x:c>
      <x:c r="N368" s="109" t="n">
        <x:v>0.08</x:v>
      </x:c>
      <x:c r="O368" s="97" t="n">
        <x:f>ROUND(M368*N368,2)</x:f>
        <x:v>10.66</x:v>
      </x:c>
      <x:c r="P368" s="94" t="str">
        <x:v>已确认</x:v>
      </x:c>
      <x:c r="Q368" s="97" t="n">
        <x:f>IF(P368="已退款",M368,0)</x:f>
        <x:v>0</x:v>
      </x:c>
      <x:c r="R368" s="97" t="n">
        <x:f>IF(P368="已退款",O368,0)</x:f>
        <x:v>0</x:v>
      </x:c>
      <x:c r="S368" s="97" t="n">
        <x:f>O368-R368</x:f>
        <x:v>10.66</x:v>
      </x:c>
      <x:c r="T368" s="94" t="n">
        <x:v>4</x:v>
      </x:c>
      <x:c r="U368" s="94" t="str">
        <x:v>模拟：Amazon Associates订单回传</x:v>
      </x:c>
    </x:row>
    <x:row r="369">
      <x:c r="A369" s="92" t="str">
        <x:v>AMZ-ORD-00368</x:v>
      </x:c>
      <x:c r="B369" s="94" t="str">
        <x:v>PROC-0362</x:v>
      </x:c>
      <x:c r="C369" s="108" t="n">
        <x:v>46091.83888888889</x:v>
      </x:c>
      <x:c r="D369" s="93" t="n">
        <x:v>46088</x:v>
      </x:c>
      <x:c r="E369" s="94" t="str">
        <x:v>Microsoft Ads</x:v>
      </x:c>
      <x:c r="F369" s="94" t="str">
        <x:v>美国</x:v>
      </x:c>
      <x:c r="G369" s="94" t="str">
        <x:v>通用搜索</x:v>
      </x:c>
      <x:c r="H369" s="94" t="str">
        <x:v>SKU-0044</x:v>
      </x:c>
      <x:c r="I369" s="94" t="str">
        <x:v>办公学习</x:v>
      </x:c>
      <x:c r="J369" s="94" t="str">
        <x:v>数字笔记本 D</x:v>
      </x:c>
      <x:c r="K369" s="97" t="n">
        <x:v>92.11</x:v>
      </x:c>
      <x:c r="L369" s="95" t="n">
        <x:v>1</x:v>
      </x:c>
      <x:c r="M369" s="97" t="n">
        <x:f>ROUND(K369*L369,2)</x:f>
        <x:v>92.11</x:v>
      </x:c>
      <x:c r="N369" s="109" t="n">
        <x:v>0.07</x:v>
      </x:c>
      <x:c r="O369" s="97" t="n">
        <x:f>ROUND(M369*N369,2)</x:f>
        <x:v>6.45</x:v>
      </x:c>
      <x:c r="P369" s="94" t="str">
        <x:v>已确认</x:v>
      </x:c>
      <x:c r="Q369" s="97" t="n">
        <x:f>IF(P369="已退款",M369,0)</x:f>
        <x:v>0</x:v>
      </x:c>
      <x:c r="R369" s="97" t="n">
        <x:f>IF(P369="已退款",O369,0)</x:f>
        <x:v>0</x:v>
      </x:c>
      <x:c r="S369" s="97" t="n">
        <x:f>O369-R369</x:f>
        <x:v>6.45</x:v>
      </x:c>
      <x:c r="T369" s="94" t="n">
        <x:v>3</x:v>
      </x:c>
      <x:c r="U369" s="94" t="str">
        <x:v>模拟：Amazon Associates订单回传</x:v>
      </x:c>
    </x:row>
    <x:row r="370">
      <x:c r="A370" s="92" t="str">
        <x:v>AMZ-ORD-00369</x:v>
      </x:c>
      <x:c r="B370" s="94" t="str">
        <x:v>PROC-0363</x:v>
      </x:c>
      <x:c r="C370" s="108" t="n">
        <x:v>46092.893055555556</x:v>
      </x:c>
      <x:c r="D370" s="93" t="n">
        <x:v>46088</x:v>
      </x:c>
      <x:c r="E370" s="94" t="str">
        <x:v>Microsoft Ads</x:v>
      </x:c>
      <x:c r="F370" s="94" t="str">
        <x:v>英国</x:v>
      </x:c>
      <x:c r="G370" s="94" t="str">
        <x:v>购物广告</x:v>
      </x:c>
      <x:c r="H370" s="94" t="str">
        <x:v>SKU-0003</x:v>
      </x:c>
      <x:c r="I370" s="94" t="str">
        <x:v>电子产品</x:v>
      </x:c>
      <x:c r="J370" s="94" t="str">
        <x:v>智能家居中枢 C</x:v>
      </x:c>
      <x:c r="K370" s="97" t="n">
        <x:v>411.5</x:v>
      </x:c>
      <x:c r="L370" s="95" t="n">
        <x:v>1</x:v>
      </x:c>
      <x:c r="M370" s="97" t="n">
        <x:f>ROUND(K370*L370,2)</x:f>
        <x:v>411.5</x:v>
      </x:c>
      <x:c r="N370" s="109" t="n">
        <x:v>0.05</x:v>
      </x:c>
      <x:c r="O370" s="97" t="n">
        <x:f>ROUND(M370*N370,2)</x:f>
        <x:v>20.58</x:v>
      </x:c>
      <x:c r="P370" s="94" t="str">
        <x:v>已退款</x:v>
      </x:c>
      <x:c r="Q370" s="97" t="n">
        <x:f>IF(P370="已退款",M370,0)</x:f>
        <x:v>411.5</x:v>
      </x:c>
      <x:c r="R370" s="97" t="n">
        <x:f>IF(P370="已退款",O370,0)</x:f>
        <x:v>20.58</x:v>
      </x:c>
      <x:c r="S370" s="97" t="n">
        <x:f>O370-R370</x:f>
        <x:v>0</x:v>
      </x:c>
      <x:c r="T370" s="94" t="n">
        <x:v>4</x:v>
      </x:c>
      <x:c r="U370" s="94" t="str">
        <x:v>模拟：Amazon Associates订单回传</x:v>
      </x:c>
    </x:row>
    <x:row r="371">
      <x:c r="A371" s="92" t="str">
        <x:v>AMZ-ORD-00370</x:v>
      </x:c>
      <x:c r="B371" s="94" t="str">
        <x:v>PROC-0364</x:v>
      </x:c>
      <x:c r="C371" s="108" t="n">
        <x:v>46088.845138888886</x:v>
      </x:c>
      <x:c r="D371" s="93" t="n">
        <x:v>46088</x:v>
      </x:c>
      <x:c r="E371" s="94" t="str">
        <x:v>Google Ads</x:v>
      </x:c>
      <x:c r="F371" s="94" t="str">
        <x:v>美国</x:v>
      </x:c>
      <x:c r="G371" s="94" t="str">
        <x:v>品牌搜索</x:v>
      </x:c>
      <x:c r="H371" s="94" t="str">
        <x:v>SKU-0003</x:v>
      </x:c>
      <x:c r="I371" s="94" t="str">
        <x:v>电子产品</x:v>
      </x:c>
      <x:c r="J371" s="94" t="str">
        <x:v>智能家居中枢 C</x:v>
      </x:c>
      <x:c r="K371" s="97" t="n">
        <x:v>267.25</x:v>
      </x:c>
      <x:c r="L371" s="95" t="n">
        <x:v>2</x:v>
      </x:c>
      <x:c r="M371" s="97" t="n">
        <x:f>ROUND(K371*L371,2)</x:f>
        <x:v>534.5</x:v>
      </x:c>
      <x:c r="N371" s="109" t="n">
        <x:v>0.05</x:v>
      </x:c>
      <x:c r="O371" s="97" t="n">
        <x:f>ROUND(M371*N371,2)</x:f>
        <x:v>26.73</x:v>
      </x:c>
      <x:c r="P371" s="94" t="str">
        <x:v>已确认</x:v>
      </x:c>
      <x:c r="Q371" s="97" t="n">
        <x:f>IF(P371="已退款",M371,0)</x:f>
        <x:v>0</x:v>
      </x:c>
      <x:c r="R371" s="97" t="n">
        <x:f>IF(P371="已退款",O371,0)</x:f>
        <x:v>0</x:v>
      </x:c>
      <x:c r="S371" s="97" t="n">
        <x:f>O371-R371</x:f>
        <x:v>26.73</x:v>
      </x:c>
      <x:c r="T371" s="94" t="n">
        <x:v>0</x:v>
      </x:c>
      <x:c r="U371" s="94" t="str">
        <x:v>模拟：Amazon Associates订单回传</x:v>
      </x:c>
    </x:row>
    <x:row r="372">
      <x:c r="A372" s="92" t="str">
        <x:v>AMZ-ORD-00371</x:v>
      </x:c>
      <x:c r="B372" s="94" t="str">
        <x:v>PROC-0364</x:v>
      </x:c>
      <x:c r="C372" s="108" t="n">
        <x:v>46092.88888888889</x:v>
      </x:c>
      <x:c r="D372" s="93" t="n">
        <x:v>46088</x:v>
      </x:c>
      <x:c r="E372" s="94" t="str">
        <x:v>Google Ads</x:v>
      </x:c>
      <x:c r="F372" s="94" t="str">
        <x:v>美国</x:v>
      </x:c>
      <x:c r="G372" s="94" t="str">
        <x:v>品牌搜索</x:v>
      </x:c>
      <x:c r="H372" s="94" t="str">
        <x:v>SKU-0024</x:v>
      </x:c>
      <x:c r="I372" s="94" t="str">
        <x:v>运动健康</x:v>
      </x:c>
      <x:c r="J372" s="94" t="str">
        <x:v>筋膜枪 D</x:v>
      </x:c>
      <x:c r="K372" s="97" t="n">
        <x:v>111.76</x:v>
      </x:c>
      <x:c r="L372" s="95" t="n">
        <x:v>1</x:v>
      </x:c>
      <x:c r="M372" s="97" t="n">
        <x:f>ROUND(K372*L372,2)</x:f>
        <x:v>111.76</x:v>
      </x:c>
      <x:c r="N372" s="109" t="n">
        <x:v>0.08</x:v>
      </x:c>
      <x:c r="O372" s="97" t="n">
        <x:f>ROUND(M372*N372,2)</x:f>
        <x:v>8.94</x:v>
      </x:c>
      <x:c r="P372" s="94" t="str">
        <x:v>已确认</x:v>
      </x:c>
      <x:c r="Q372" s="97" t="n">
        <x:f>IF(P372="已退款",M372,0)</x:f>
        <x:v>0</x:v>
      </x:c>
      <x:c r="R372" s="97" t="n">
        <x:f>IF(P372="已退款",O372,0)</x:f>
        <x:v>0</x:v>
      </x:c>
      <x:c r="S372" s="97" t="n">
        <x:f>O372-R372</x:f>
        <x:v>8.94</x:v>
      </x:c>
      <x:c r="T372" s="94" t="n">
        <x:v>4</x:v>
      </x:c>
      <x:c r="U372" s="94" t="str">
        <x:v>模拟：Amazon Associates订单回传</x:v>
      </x:c>
    </x:row>
    <x:row r="373">
      <x:c r="A373" s="92" t="str">
        <x:v>AMZ-ORD-00372</x:v>
      </x:c>
      <x:c r="B373" s="94" t="str">
        <x:v>PROC-0365</x:v>
      </x:c>
      <x:c r="C373" s="108" t="n">
        <x:v>46091.77847222222</x:v>
      </x:c>
      <x:c r="D373" s="93" t="n">
        <x:v>46088</x:v>
      </x:c>
      <x:c r="E373" s="94" t="str">
        <x:v>Google Ads</x:v>
      </x:c>
      <x:c r="F373" s="94" t="str">
        <x:v>美国</x:v>
      </x:c>
      <x:c r="G373" s="94" t="str">
        <x:v>通用搜索</x:v>
      </x:c>
      <x:c r="H373" s="94" t="str">
        <x:v>SKU-0030</x:v>
      </x:c>
      <x:c r="I373" s="94" t="str">
        <x:v>运动健康</x:v>
      </x:c>
      <x:c r="J373" s="94" t="str">
        <x:v>露营套装 J</x:v>
      </x:c>
      <x:c r="K373" s="97" t="n">
        <x:v>258.74</x:v>
      </x:c>
      <x:c r="L373" s="95" t="n">
        <x:v>1</x:v>
      </x:c>
      <x:c r="M373" s="97" t="n">
        <x:f>ROUND(K373*L373,2)</x:f>
        <x:v>258.74</x:v>
      </x:c>
      <x:c r="N373" s="109" t="n">
        <x:v>0.08</x:v>
      </x:c>
      <x:c r="O373" s="97" t="n">
        <x:f>ROUND(M373*N373,2)</x:f>
        <x:v>20.7</x:v>
      </x:c>
      <x:c r="P373" s="94" t="str">
        <x:v>已确认</x:v>
      </x:c>
      <x:c r="Q373" s="97" t="n">
        <x:f>IF(P373="已退款",M373,0)</x:f>
        <x:v>0</x:v>
      </x:c>
      <x:c r="R373" s="97" t="n">
        <x:f>IF(P373="已退款",O373,0)</x:f>
        <x:v>0</x:v>
      </x:c>
      <x:c r="S373" s="97" t="n">
        <x:f>O373-R373</x:f>
        <x:v>20.7</x:v>
      </x:c>
      <x:c r="T373" s="94" t="n">
        <x:v>3</x:v>
      </x:c>
      <x:c r="U373" s="94" t="str">
        <x:v>模拟：Amazon Associates订单回传</x:v>
      </x:c>
    </x:row>
    <x:row r="374">
      <x:c r="A374" s="92" t="str">
        <x:v>AMZ-ORD-00373</x:v>
      </x:c>
      <x:c r="B374" s="94" t="str">
        <x:v>PROC-0367</x:v>
      </x:c>
      <x:c r="C374" s="108" t="n">
        <x:v>46093.61388888889</x:v>
      </x:c>
      <x:c r="D374" s="93" t="n">
        <x:v>46089</x:v>
      </x:c>
      <x:c r="E374" s="94" t="str">
        <x:v>Google Ads</x:v>
      </x:c>
      <x:c r="F374" s="94" t="str">
        <x:v>德国</x:v>
      </x:c>
      <x:c r="G374" s="94" t="str">
        <x:v>品牌搜索</x:v>
      </x:c>
      <x:c r="H374" s="94" t="str">
        <x:v>SKU-0009</x:v>
      </x:c>
      <x:c r="I374" s="94" t="str">
        <x:v>电子产品</x:v>
      </x:c>
      <x:c r="J374" s="94" t="str">
        <x:v>电子阅读器 I</x:v>
      </x:c>
      <x:c r="K374" s="97" t="n">
        <x:v>414.05</x:v>
      </x:c>
      <x:c r="L374" s="95" t="n">
        <x:v>3</x:v>
      </x:c>
      <x:c r="M374" s="97" t="n">
        <x:f>ROUND(K374*L374,2)</x:f>
        <x:v>1242.15</x:v>
      </x:c>
      <x:c r="N374" s="109" t="n">
        <x:v>0.05</x:v>
      </x:c>
      <x:c r="O374" s="97" t="n">
        <x:f>ROUND(M374*N374,2)</x:f>
        <x:v>62.11</x:v>
      </x:c>
      <x:c r="P374" s="94" t="str">
        <x:v>待确认</x:v>
      </x:c>
      <x:c r="Q374" s="97" t="n">
        <x:f>IF(P374="已退款",M374,0)</x:f>
        <x:v>0</x:v>
      </x:c>
      <x:c r="R374" s="97" t="n">
        <x:f>IF(P374="已退款",O374,0)</x:f>
        <x:v>0</x:v>
      </x:c>
      <x:c r="S374" s="97" t="n">
        <x:f>O374-R374</x:f>
        <x:v>62.11</x:v>
      </x:c>
      <x:c r="T374" s="94" t="n">
        <x:v>4</x:v>
      </x:c>
      <x:c r="U374" s="94" t="str">
        <x:v>模拟：Amazon Associates订单回传</x:v>
      </x:c>
    </x:row>
    <x:row r="375">
      <x:c r="A375" s="92" t="str">
        <x:v>AMZ-ORD-00374</x:v>
      </x:c>
      <x:c r="B375" s="94" t="str">
        <x:v>PROC-0367</x:v>
      </x:c>
      <x:c r="C375" s="108" t="n">
        <x:v>46092.728472222225</x:v>
      </x:c>
      <x:c r="D375" s="93" t="n">
        <x:v>46089</x:v>
      </x:c>
      <x:c r="E375" s="94" t="str">
        <x:v>Google Ads</x:v>
      </x:c>
      <x:c r="F375" s="94" t="str">
        <x:v>德国</x:v>
      </x:c>
      <x:c r="G375" s="94" t="str">
        <x:v>品牌搜索</x:v>
      </x:c>
      <x:c r="H375" s="94" t="str">
        <x:v>SKU-0049</x:v>
      </x:c>
      <x:c r="I375" s="94" t="str">
        <x:v>办公学习</x:v>
      </x:c>
      <x:c r="J375" s="94" t="str">
        <x:v>移动白板 I</x:v>
      </x:c>
      <x:c r="K375" s="97" t="n">
        <x:v>213.71</x:v>
      </x:c>
      <x:c r="L375" s="95" t="n">
        <x:v>2</x:v>
      </x:c>
      <x:c r="M375" s="97" t="n">
        <x:f>ROUND(K375*L375,2)</x:f>
        <x:v>427.42</x:v>
      </x:c>
      <x:c r="N375" s="109" t="n">
        <x:v>0.07</x:v>
      </x:c>
      <x:c r="O375" s="97" t="n">
        <x:f>ROUND(M375*N375,2)</x:f>
        <x:v>29.92</x:v>
      </x:c>
      <x:c r="P375" s="94" t="str">
        <x:v>已确认</x:v>
      </x:c>
      <x:c r="Q375" s="97" t="n">
        <x:f>IF(P375="已退款",M375,0)</x:f>
        <x:v>0</x:v>
      </x:c>
      <x:c r="R375" s="97" t="n">
        <x:f>IF(P375="已退款",O375,0)</x:f>
        <x:v>0</x:v>
      </x:c>
      <x:c r="S375" s="97" t="n">
        <x:f>O375-R375</x:f>
        <x:v>29.92</x:v>
      </x:c>
      <x:c r="T375" s="94" t="n">
        <x:v>3</x:v>
      </x:c>
      <x:c r="U375" s="94" t="str">
        <x:v>模拟：Amazon Associates订单回传</x:v>
      </x:c>
    </x:row>
    <x:row r="376">
      <x:c r="A376" s="92" t="str">
        <x:v>AMZ-ORD-00375</x:v>
      </x:c>
      <x:c r="B376" s="94" t="str">
        <x:v>PROC-0368</x:v>
      </x:c>
      <x:c r="C376" s="108" t="n">
        <x:v>46090.592361111114</x:v>
      </x:c>
      <x:c r="D376" s="93" t="n">
        <x:v>46089</x:v>
      </x:c>
      <x:c r="E376" s="94" t="str">
        <x:v>Microsoft Ads</x:v>
      </x:c>
      <x:c r="F376" s="94" t="str">
        <x:v>美国</x:v>
      </x:c>
      <x:c r="G376" s="94" t="str">
        <x:v>通用搜索</x:v>
      </x:c>
      <x:c r="H376" s="94" t="str">
        <x:v>SKU-0039</x:v>
      </x:c>
      <x:c r="I376" s="94" t="str">
        <x:v>美妆个护</x:v>
      </x:c>
      <x:c r="J376" s="94" t="str">
        <x:v>按摩梳 I</x:v>
      </x:c>
      <x:c r="K376" s="97" t="n">
        <x:v>139.14</x:v>
      </x:c>
      <x:c r="L376" s="95" t="n">
        <x:v>1</x:v>
      </x:c>
      <x:c r="M376" s="97" t="n">
        <x:f>ROUND(K376*L376,2)</x:f>
        <x:v>139.14</x:v>
      </x:c>
      <x:c r="N376" s="109" t="n">
        <x:v>0.1</x:v>
      </x:c>
      <x:c r="O376" s="97" t="n">
        <x:f>ROUND(M376*N376,2)</x:f>
        <x:v>13.91</x:v>
      </x:c>
      <x:c r="P376" s="94" t="str">
        <x:v>已确认</x:v>
      </x:c>
      <x:c r="Q376" s="97" t="n">
        <x:f>IF(P376="已退款",M376,0)</x:f>
        <x:v>0</x:v>
      </x:c>
      <x:c r="R376" s="97" t="n">
        <x:f>IF(P376="已退款",O376,0)</x:f>
        <x:v>0</x:v>
      </x:c>
      <x:c r="S376" s="97" t="n">
        <x:f>O376-R376</x:f>
        <x:v>13.91</x:v>
      </x:c>
      <x:c r="T376" s="94" t="n">
        <x:v>1</x:v>
      </x:c>
      <x:c r="U376" s="94" t="str">
        <x:v>模拟：Amazon Associates订单回传</x:v>
      </x:c>
    </x:row>
    <x:row r="377">
      <x:c r="A377" s="92" t="str">
        <x:v>AMZ-ORD-00376</x:v>
      </x:c>
      <x:c r="B377" s="94" t="str">
        <x:v>PROC-0369</x:v>
      </x:c>
      <x:c r="C377" s="108" t="n">
        <x:v>46090.88055555556</x:v>
      </x:c>
      <x:c r="D377" s="93" t="n">
        <x:v>46089</x:v>
      </x:c>
      <x:c r="E377" s="94" t="str">
        <x:v>Google Ads</x:v>
      </x:c>
      <x:c r="F377" s="94" t="str">
        <x:v>英国</x:v>
      </x:c>
      <x:c r="G377" s="94" t="str">
        <x:v>通用搜索</x:v>
      </x:c>
      <x:c r="H377" s="94" t="str">
        <x:v>SKU-0003</x:v>
      </x:c>
      <x:c r="I377" s="94" t="str">
        <x:v>电子产品</x:v>
      </x:c>
      <x:c r="J377" s="94" t="str">
        <x:v>智能家居中枢 C</x:v>
      </x:c>
      <x:c r="K377" s="97" t="n">
        <x:v>243.73</x:v>
      </x:c>
      <x:c r="L377" s="95" t="n">
        <x:v>1</x:v>
      </x:c>
      <x:c r="M377" s="97" t="n">
        <x:f>ROUND(K377*L377,2)</x:f>
        <x:v>243.73</x:v>
      </x:c>
      <x:c r="N377" s="109" t="n">
        <x:v>0.05</x:v>
      </x:c>
      <x:c r="O377" s="97" t="n">
        <x:f>ROUND(M377*N377,2)</x:f>
        <x:v>12.19</x:v>
      </x:c>
      <x:c r="P377" s="94" t="str">
        <x:v>已确认</x:v>
      </x:c>
      <x:c r="Q377" s="97" t="n">
        <x:f>IF(P377="已退款",M377,0)</x:f>
        <x:v>0</x:v>
      </x:c>
      <x:c r="R377" s="97" t="n">
        <x:f>IF(P377="已退款",O377,0)</x:f>
        <x:v>0</x:v>
      </x:c>
      <x:c r="S377" s="97" t="n">
        <x:f>O377-R377</x:f>
        <x:v>12.19</x:v>
      </x:c>
      <x:c r="T377" s="94" t="n">
        <x:v>1</x:v>
      </x:c>
      <x:c r="U377" s="94" t="str">
        <x:v>模拟：Amazon Associates订单回传</x:v>
      </x:c>
    </x:row>
    <x:row r="378">
      <x:c r="A378" s="92" t="str">
        <x:v>AMZ-ORD-00377</x:v>
      </x:c>
      <x:c r="B378" s="94" t="str">
        <x:v>PROC-0370</x:v>
      </x:c>
      <x:c r="C378" s="108" t="n">
        <x:v>46091.45208333333</x:v>
      </x:c>
      <x:c r="D378" s="93" t="n">
        <x:v>46089</x:v>
      </x:c>
      <x:c r="E378" s="94" t="str">
        <x:v>Google Ads</x:v>
      </x:c>
      <x:c r="F378" s="94" t="str">
        <x:v>日本</x:v>
      </x:c>
      <x:c r="G378" s="94" t="str">
        <x:v>购物广告</x:v>
      </x:c>
      <x:c r="H378" s="94" t="str">
        <x:v>SKU-0024</x:v>
      </x:c>
      <x:c r="I378" s="94" t="str">
        <x:v>运动健康</x:v>
      </x:c>
      <x:c r="J378" s="94" t="str">
        <x:v>筋膜枪 D</x:v>
      </x:c>
      <x:c r="K378" s="97" t="n">
        <x:v>196.83</x:v>
      </x:c>
      <x:c r="L378" s="95" t="n">
        <x:v>1</x:v>
      </x:c>
      <x:c r="M378" s="97" t="n">
        <x:f>ROUND(K378*L378,2)</x:f>
        <x:v>196.83</x:v>
      </x:c>
      <x:c r="N378" s="109" t="n">
        <x:v>0.08</x:v>
      </x:c>
      <x:c r="O378" s="97" t="n">
        <x:f>ROUND(M378*N378,2)</x:f>
        <x:v>15.75</x:v>
      </x:c>
      <x:c r="P378" s="94" t="str">
        <x:v>已确认</x:v>
      </x:c>
      <x:c r="Q378" s="97" t="n">
        <x:f>IF(P378="已退款",M378,0)</x:f>
        <x:v>0</x:v>
      </x:c>
      <x:c r="R378" s="97" t="n">
        <x:f>IF(P378="已退款",O378,0)</x:f>
        <x:v>0</x:v>
      </x:c>
      <x:c r="S378" s="97" t="n">
        <x:f>O378-R378</x:f>
        <x:v>15.75</x:v>
      </x:c>
      <x:c r="T378" s="94" t="n">
        <x:v>2</x:v>
      </x:c>
      <x:c r="U378" s="94" t="str">
        <x:v>模拟：Amazon Associates订单回传</x:v>
      </x:c>
    </x:row>
    <x:row r="379">
      <x:c r="A379" s="92" t="str">
        <x:v>AMZ-ORD-00378</x:v>
      </x:c>
      <x:c r="B379" s="94" t="str">
        <x:v>PROC-0371</x:v>
      </x:c>
      <x:c r="C379" s="108" t="n">
        <x:v>46090.41180555556</x:v>
      </x:c>
      <x:c r="D379" s="93" t="n">
        <x:v>46089</x:v>
      </x:c>
      <x:c r="E379" s="94" t="str">
        <x:v>Google Ads</x:v>
      </x:c>
      <x:c r="F379" s="94" t="str">
        <x:v>德国</x:v>
      </x:c>
      <x:c r="G379" s="94" t="str">
        <x:v>竞品搜索</x:v>
      </x:c>
      <x:c r="H379" s="94" t="str">
        <x:v>SKU-0042</x:v>
      </x:c>
      <x:c r="I379" s="94" t="str">
        <x:v>办公学习</x:v>
      </x:c>
      <x:c r="J379" s="94" t="str">
        <x:v>护眼台灯 B</x:v>
      </x:c>
      <x:c r="K379" s="97" t="n">
        <x:v>203.32</x:v>
      </x:c>
      <x:c r="L379" s="95" t="n">
        <x:v>1</x:v>
      </x:c>
      <x:c r="M379" s="97" t="n">
        <x:f>ROUND(K379*L379,2)</x:f>
        <x:v>203.32</x:v>
      </x:c>
      <x:c r="N379" s="109" t="n">
        <x:v>0.07</x:v>
      </x:c>
      <x:c r="O379" s="97" t="n">
        <x:f>ROUND(M379*N379,2)</x:f>
        <x:v>14.23</x:v>
      </x:c>
      <x:c r="P379" s="94" t="str">
        <x:v>已确认</x:v>
      </x:c>
      <x:c r="Q379" s="97" t="n">
        <x:f>IF(P379="已退款",M379,0)</x:f>
        <x:v>0</x:v>
      </x:c>
      <x:c r="R379" s="97" t="n">
        <x:f>IF(P379="已退款",O379,0)</x:f>
        <x:v>0</x:v>
      </x:c>
      <x:c r="S379" s="97" t="n">
        <x:f>O379-R379</x:f>
        <x:v>14.23</x:v>
      </x:c>
      <x:c r="T379" s="94" t="n">
        <x:v>1</x:v>
      </x:c>
      <x:c r="U379" s="94" t="str">
        <x:v>模拟：Amazon Associates订单回传</x:v>
      </x:c>
    </x:row>
    <x:row r="380">
      <x:c r="A380" s="92" t="str">
        <x:v>AMZ-ORD-00379</x:v>
      </x:c>
      <x:c r="B380" s="94" t="str">
        <x:v>PROC-0372</x:v>
      </x:c>
      <x:c r="C380" s="108" t="n">
        <x:v>46093.50486111111</x:v>
      </x:c>
      <x:c r="D380" s="93" t="n">
        <x:v>46090</x:v>
      </x:c>
      <x:c r="E380" s="94" t="str">
        <x:v>Microsoft Ads</x:v>
      </x:c>
      <x:c r="F380" s="94" t="str">
        <x:v>美国</x:v>
      </x:c>
      <x:c r="G380" s="94" t="str">
        <x:v>通用搜索</x:v>
      </x:c>
      <x:c r="H380" s="94" t="str">
        <x:v>SKU-0012</x:v>
      </x:c>
      <x:c r="I380" s="94" t="str">
        <x:v>家居生活</x:v>
      </x:c>
      <x:c r="J380" s="94" t="str">
        <x:v>咖啡机 B</x:v>
      </x:c>
      <x:c r="K380" s="97" t="n">
        <x:v>324.4</x:v>
      </x:c>
      <x:c r="L380" s="95" t="n">
        <x:v>2</x:v>
      </x:c>
      <x:c r="M380" s="97" t="n">
        <x:f>ROUND(K380*L380,2)</x:f>
        <x:v>648.8</x:v>
      </x:c>
      <x:c r="N380" s="109" t="n">
        <x:v>0.07</x:v>
      </x:c>
      <x:c r="O380" s="97" t="n">
        <x:f>ROUND(M380*N380,2)</x:f>
        <x:v>45.42</x:v>
      </x:c>
      <x:c r="P380" s="94" t="str">
        <x:v>已确认</x:v>
      </x:c>
      <x:c r="Q380" s="97" t="n">
        <x:f>IF(P380="已退款",M380,0)</x:f>
        <x:v>0</x:v>
      </x:c>
      <x:c r="R380" s="97" t="n">
        <x:f>IF(P380="已退款",O380,0)</x:f>
        <x:v>0</x:v>
      </x:c>
      <x:c r="S380" s="97" t="n">
        <x:f>O380-R380</x:f>
        <x:v>45.42</x:v>
      </x:c>
      <x:c r="T380" s="94" t="n">
        <x:v>3</x:v>
      </x:c>
      <x:c r="U380" s="94" t="str">
        <x:v>模拟：Amazon Associates订单回传</x:v>
      </x:c>
    </x:row>
    <x:row r="381">
      <x:c r="A381" s="92" t="str">
        <x:v>AMZ-ORD-00380</x:v>
      </x:c>
      <x:c r="B381" s="94" t="str">
        <x:v>PROC-0373</x:v>
      </x:c>
      <x:c r="C381" s="108" t="n">
        <x:v>46093.90416666667</x:v>
      </x:c>
      <x:c r="D381" s="93" t="n">
        <x:v>46090</x:v>
      </x:c>
      <x:c r="E381" s="94" t="str">
        <x:v>Google Ads</x:v>
      </x:c>
      <x:c r="F381" s="94" t="str">
        <x:v>日本</x:v>
      </x:c>
      <x:c r="G381" s="94" t="str">
        <x:v>购物广告</x:v>
      </x:c>
      <x:c r="H381" s="94" t="str">
        <x:v>SKU-0024</x:v>
      </x:c>
      <x:c r="I381" s="94" t="str">
        <x:v>运动健康</x:v>
      </x:c>
      <x:c r="J381" s="94" t="str">
        <x:v>筋膜枪 D</x:v>
      </x:c>
      <x:c r="K381" s="97" t="n">
        <x:v>140.49</x:v>
      </x:c>
      <x:c r="L381" s="95" t="n">
        <x:v>1</x:v>
      </x:c>
      <x:c r="M381" s="97" t="n">
        <x:f>ROUND(K381*L381,2)</x:f>
        <x:v>140.49</x:v>
      </x:c>
      <x:c r="N381" s="109" t="n">
        <x:v>0.08</x:v>
      </x:c>
      <x:c r="O381" s="97" t="n">
        <x:f>ROUND(M381*N381,2)</x:f>
        <x:v>11.24</x:v>
      </x:c>
      <x:c r="P381" s="94" t="str">
        <x:v>已确认</x:v>
      </x:c>
      <x:c r="Q381" s="97" t="n">
        <x:f>IF(P381="已退款",M381,0)</x:f>
        <x:v>0</x:v>
      </x:c>
      <x:c r="R381" s="97" t="n">
        <x:f>IF(P381="已退款",O381,0)</x:f>
        <x:v>0</x:v>
      </x:c>
      <x:c r="S381" s="97" t="n">
        <x:f>O381-R381</x:f>
        <x:v>11.24</x:v>
      </x:c>
      <x:c r="T381" s="94" t="n">
        <x:v>3</x:v>
      </x:c>
      <x:c r="U381" s="94" t="str">
        <x:v>模拟：Amazon Associates订单回传</x:v>
      </x:c>
    </x:row>
    <x:row r="382">
      <x:c r="A382" s="92" t="str">
        <x:v>AMZ-ORD-00381</x:v>
      </x:c>
      <x:c r="B382" s="94" t="str">
        <x:v>PROC-0374</x:v>
      </x:c>
      <x:c r="C382" s="108" t="n">
        <x:v>46094.845138888886</x:v>
      </x:c>
      <x:c r="D382" s="93" t="n">
        <x:v>46090</x:v>
      </x:c>
      <x:c r="E382" s="94" t="str">
        <x:v>Microsoft Ads</x:v>
      </x:c>
      <x:c r="F382" s="94" t="str">
        <x:v>日本</x:v>
      </x:c>
      <x:c r="G382" s="94" t="str">
        <x:v>购物广告</x:v>
      </x:c>
      <x:c r="H382" s="94" t="str">
        <x:v>SKU-0044</x:v>
      </x:c>
      <x:c r="I382" s="94" t="str">
        <x:v>办公学习</x:v>
      </x:c>
      <x:c r="J382" s="94" t="str">
        <x:v>数字笔记本 D</x:v>
      </x:c>
      <x:c r="K382" s="97" t="n">
        <x:v>238.1</x:v>
      </x:c>
      <x:c r="L382" s="95" t="n">
        <x:v>1</x:v>
      </x:c>
      <x:c r="M382" s="97" t="n">
        <x:f>ROUND(K382*L382,2)</x:f>
        <x:v>238.1</x:v>
      </x:c>
      <x:c r="N382" s="109" t="n">
        <x:v>0.07</x:v>
      </x:c>
      <x:c r="O382" s="97" t="n">
        <x:f>ROUND(M382*N382,2)</x:f>
        <x:v>16.67</x:v>
      </x:c>
      <x:c r="P382" s="94" t="str">
        <x:v>已确认</x:v>
      </x:c>
      <x:c r="Q382" s="97" t="n">
        <x:f>IF(P382="已退款",M382,0)</x:f>
        <x:v>0</x:v>
      </x:c>
      <x:c r="R382" s="97" t="n">
        <x:f>IF(P382="已退款",O382,0)</x:f>
        <x:v>0</x:v>
      </x:c>
      <x:c r="S382" s="97" t="n">
        <x:f>O382-R382</x:f>
        <x:v>16.67</x:v>
      </x:c>
      <x:c r="T382" s="94" t="n">
        <x:v>4</x:v>
      </x:c>
      <x:c r="U382" s="94" t="str">
        <x:v>模拟：Amazon Associates订单回传</x:v>
      </x:c>
    </x:row>
    <x:row r="383">
      <x:c r="A383" s="92" t="str">
        <x:v>AMZ-ORD-00382</x:v>
      </x:c>
      <x:c r="B383" s="94" t="str">
        <x:v>PROC-0374</x:v>
      </x:c>
      <x:c r="C383" s="108" t="n">
        <x:v>46090.44236111111</x:v>
      </x:c>
      <x:c r="D383" s="93" t="n">
        <x:v>46090</x:v>
      </x:c>
      <x:c r="E383" s="94" t="str">
        <x:v>Microsoft Ads</x:v>
      </x:c>
      <x:c r="F383" s="94" t="str">
        <x:v>日本</x:v>
      </x:c>
      <x:c r="G383" s="94" t="str">
        <x:v>购物广告</x:v>
      </x:c>
      <x:c r="H383" s="94" t="str">
        <x:v>SKU-0049</x:v>
      </x:c>
      <x:c r="I383" s="94" t="str">
        <x:v>办公学习</x:v>
      </x:c>
      <x:c r="J383" s="94" t="str">
        <x:v>移动白板 I</x:v>
      </x:c>
      <x:c r="K383" s="97" t="n">
        <x:v>80.09</x:v>
      </x:c>
      <x:c r="L383" s="95" t="n">
        <x:v>1</x:v>
      </x:c>
      <x:c r="M383" s="97" t="n">
        <x:f>ROUND(K383*L383,2)</x:f>
        <x:v>80.09</x:v>
      </x:c>
      <x:c r="N383" s="109" t="n">
        <x:v>0.07</x:v>
      </x:c>
      <x:c r="O383" s="97" t="n">
        <x:f>ROUND(M383*N383,2)</x:f>
        <x:v>5.61</x:v>
      </x:c>
      <x:c r="P383" s="94" t="str">
        <x:v>已确认</x:v>
      </x:c>
      <x:c r="Q383" s="97" t="n">
        <x:f>IF(P383="已退款",M383,0)</x:f>
        <x:v>0</x:v>
      </x:c>
      <x:c r="R383" s="97" t="n">
        <x:f>IF(P383="已退款",O383,0)</x:f>
        <x:v>0</x:v>
      </x:c>
      <x:c r="S383" s="97" t="n">
        <x:f>O383-R383</x:f>
        <x:v>5.61</x:v>
      </x:c>
      <x:c r="T383" s="94" t="n">
        <x:v>0</x:v>
      </x:c>
      <x:c r="U383" s="94" t="str">
        <x:v>模拟：Amazon Associates订单回传</x:v>
      </x:c>
    </x:row>
    <x:row r="384">
      <x:c r="A384" s="92" t="str">
        <x:v>AMZ-ORD-00383</x:v>
      </x:c>
      <x:c r="B384" s="94" t="str">
        <x:v>PROC-0375</x:v>
      </x:c>
      <x:c r="C384" s="108" t="n">
        <x:v>46093.825</x:v>
      </x:c>
      <x:c r="D384" s="93" t="n">
        <x:v>46090</x:v>
      </x:c>
      <x:c r="E384" s="94" t="str">
        <x:v>Google Ads</x:v>
      </x:c>
      <x:c r="F384" s="94" t="str">
        <x:v>日本</x:v>
      </x:c>
      <x:c r="G384" s="94" t="str">
        <x:v>品牌搜索</x:v>
      </x:c>
      <x:c r="H384" s="94" t="str">
        <x:v>SKU-0010</x:v>
      </x:c>
      <x:c r="I384" s="94" t="str">
        <x:v>电子产品</x:v>
      </x:c>
      <x:c r="J384" s="94" t="str">
        <x:v>多口扩展坞 J</x:v>
      </x:c>
      <x:c r="K384" s="97" t="n">
        <x:v>310.54</x:v>
      </x:c>
      <x:c r="L384" s="95" t="n">
        <x:v>1</x:v>
      </x:c>
      <x:c r="M384" s="97" t="n">
        <x:f>ROUND(K384*L384,2)</x:f>
        <x:v>310.54</x:v>
      </x:c>
      <x:c r="N384" s="109" t="n">
        <x:v>0.05</x:v>
      </x:c>
      <x:c r="O384" s="97" t="n">
        <x:f>ROUND(M384*N384,2)</x:f>
        <x:v>15.53</x:v>
      </x:c>
      <x:c r="P384" s="94" t="str">
        <x:v>已确认</x:v>
      </x:c>
      <x:c r="Q384" s="97" t="n">
        <x:f>IF(P384="已退款",M384,0)</x:f>
        <x:v>0</x:v>
      </x:c>
      <x:c r="R384" s="97" t="n">
        <x:f>IF(P384="已退款",O384,0)</x:f>
        <x:v>0</x:v>
      </x:c>
      <x:c r="S384" s="97" t="n">
        <x:f>O384-R384</x:f>
        <x:v>15.53</x:v>
      </x:c>
      <x:c r="T384" s="94" t="n">
        <x:v>3</x:v>
      </x:c>
      <x:c r="U384" s="94" t="str">
        <x:v>模拟：Amazon Associates订单回传</x:v>
      </x:c>
    </x:row>
    <x:row r="385">
      <x:c r="A385" s="92" t="str">
        <x:v>AMZ-ORD-00384</x:v>
      </x:c>
      <x:c r="B385" s="94" t="str">
        <x:v>PROC-0376</x:v>
      </x:c>
      <x:c r="C385" s="108" t="n">
        <x:v>46091.75347222222</x:v>
      </x:c>
      <x:c r="D385" s="93" t="n">
        <x:v>46090</x:v>
      </x:c>
      <x:c r="E385" s="94" t="str">
        <x:v>Google Ads</x:v>
      </x:c>
      <x:c r="F385" s="94" t="str">
        <x:v>美国</x:v>
      </x:c>
      <x:c r="G385" s="94" t="str">
        <x:v>竞品搜索</x:v>
      </x:c>
      <x:c r="H385" s="94" t="str">
        <x:v>SKU-0022</x:v>
      </x:c>
      <x:c r="I385" s="94" t="str">
        <x:v>运动健康</x:v>
      </x:c>
      <x:c r="J385" s="94" t="str">
        <x:v>瑜伽套装 B</x:v>
      </x:c>
      <x:c r="K385" s="97" t="n">
        <x:v>116.9</x:v>
      </x:c>
      <x:c r="L385" s="95" t="n">
        <x:v>1</x:v>
      </x:c>
      <x:c r="M385" s="97" t="n">
        <x:f>ROUND(K385*L385,2)</x:f>
        <x:v>116.9</x:v>
      </x:c>
      <x:c r="N385" s="109" t="n">
        <x:v>0.08</x:v>
      </x:c>
      <x:c r="O385" s="97" t="n">
        <x:f>ROUND(M385*N385,2)</x:f>
        <x:v>9.35</x:v>
      </x:c>
      <x:c r="P385" s="94" t="str">
        <x:v>已确认</x:v>
      </x:c>
      <x:c r="Q385" s="97" t="n">
        <x:f>IF(P385="已退款",M385,0)</x:f>
        <x:v>0</x:v>
      </x:c>
      <x:c r="R385" s="97" t="n">
        <x:f>IF(P385="已退款",O385,0)</x:f>
        <x:v>0</x:v>
      </x:c>
      <x:c r="S385" s="97" t="n">
        <x:f>O385-R385</x:f>
        <x:v>9.35</x:v>
      </x:c>
      <x:c r="T385" s="94" t="n">
        <x:v>1</x:v>
      </x:c>
      <x:c r="U385" s="94" t="str">
        <x:v>模拟：Amazon Associates订单回传</x:v>
      </x:c>
    </x:row>
    <x:row r="386">
      <x:c r="A386" s="92" t="str">
        <x:v>AMZ-ORD-00385</x:v>
      </x:c>
      <x:c r="B386" s="94" t="str">
        <x:v>PROC-0378</x:v>
      </x:c>
      <x:c r="C386" s="108" t="n">
        <x:v>46091.44375</x:v>
      </x:c>
      <x:c r="D386" s="93" t="n">
        <x:v>46091</x:v>
      </x:c>
      <x:c r="E386" s="94" t="str">
        <x:v>Google Ads</x:v>
      </x:c>
      <x:c r="F386" s="94" t="str">
        <x:v>德国</x:v>
      </x:c>
      <x:c r="G386" s="94" t="str">
        <x:v>购物广告</x:v>
      </x:c>
      <x:c r="H386" s="94" t="str">
        <x:v>SKU-0046</x:v>
      </x:c>
      <x:c r="I386" s="94" t="str">
        <x:v>办公学习</x:v>
      </x:c>
      <x:c r="J386" s="94" t="str">
        <x:v>高清摄像头 F</x:v>
      </x:c>
      <x:c r="K386" s="97" t="n">
        <x:v>154.58</x:v>
      </x:c>
      <x:c r="L386" s="95" t="n">
        <x:v>3</x:v>
      </x:c>
      <x:c r="M386" s="97" t="n">
        <x:f>ROUND(K386*L386,2)</x:f>
        <x:v>463.74</x:v>
      </x:c>
      <x:c r="N386" s="109" t="n">
        <x:v>0.07</x:v>
      </x:c>
      <x:c r="O386" s="97" t="n">
        <x:f>ROUND(M386*N386,2)</x:f>
        <x:v>32.46</x:v>
      </x:c>
      <x:c r="P386" s="94" t="str">
        <x:v>已退款</x:v>
      </x:c>
      <x:c r="Q386" s="97" t="n">
        <x:f>IF(P386="已退款",M386,0)</x:f>
        <x:v>463.74</x:v>
      </x:c>
      <x:c r="R386" s="97" t="n">
        <x:f>IF(P386="已退款",O386,0)</x:f>
        <x:v>32.46</x:v>
      </x:c>
      <x:c r="S386" s="97" t="n">
        <x:f>O386-R386</x:f>
        <x:v>0</x:v>
      </x:c>
      <x:c r="T386" s="94" t="n">
        <x:v>0</x:v>
      </x:c>
      <x:c r="U386" s="94" t="str">
        <x:v>模拟：Amazon Associates订单回传</x:v>
      </x:c>
    </x:row>
    <x:row r="387">
      <x:c r="A387" s="92" t="str">
        <x:v>AMZ-ORD-00386</x:v>
      </x:c>
      <x:c r="B387" s="94" t="str">
        <x:v>PROC-0379</x:v>
      </x:c>
      <x:c r="C387" s="108" t="n">
        <x:v>46092.65</x:v>
      </x:c>
      <x:c r="D387" s="93" t="n">
        <x:v>46091</x:v>
      </x:c>
      <x:c r="E387" s="94" t="str">
        <x:v>Google Ads</x:v>
      </x:c>
      <x:c r="F387" s="94" t="str">
        <x:v>美国</x:v>
      </x:c>
      <x:c r="G387" s="94" t="str">
        <x:v>购物广告</x:v>
      </x:c>
      <x:c r="H387" s="94" t="str">
        <x:v>SKU-0039</x:v>
      </x:c>
      <x:c r="I387" s="94" t="str">
        <x:v>美妆个护</x:v>
      </x:c>
      <x:c r="J387" s="94" t="str">
        <x:v>按摩梳 I</x:v>
      </x:c>
      <x:c r="K387" s="97" t="n">
        <x:v>145.97</x:v>
      </x:c>
      <x:c r="L387" s="95" t="n">
        <x:v>1</x:v>
      </x:c>
      <x:c r="M387" s="97" t="n">
        <x:f>ROUND(K387*L387,2)</x:f>
        <x:v>145.97</x:v>
      </x:c>
      <x:c r="N387" s="109" t="n">
        <x:v>0.1</x:v>
      </x:c>
      <x:c r="O387" s="97" t="n">
        <x:f>ROUND(M387*N387,2)</x:f>
        <x:v>14.6</x:v>
      </x:c>
      <x:c r="P387" s="94" t="str">
        <x:v>已退款</x:v>
      </x:c>
      <x:c r="Q387" s="97" t="n">
        <x:f>IF(P387="已退款",M387,0)</x:f>
        <x:v>145.97</x:v>
      </x:c>
      <x:c r="R387" s="97" t="n">
        <x:f>IF(P387="已退款",O387,0)</x:f>
        <x:v>14.6</x:v>
      </x:c>
      <x:c r="S387" s="97" t="n">
        <x:f>O387-R387</x:f>
        <x:v>0</x:v>
      </x:c>
      <x:c r="T387" s="94" t="n">
        <x:v>1</x:v>
      </x:c>
      <x:c r="U387" s="94" t="str">
        <x:v>模拟：Amazon Associates订单回传</x:v>
      </x:c>
    </x:row>
    <x:row r="388">
      <x:c r="A388" s="92" t="str">
        <x:v>AMZ-ORD-00387</x:v>
      </x:c>
      <x:c r="B388" s="94" t="str">
        <x:v>PROC-0380</x:v>
      </x:c>
      <x:c r="C388" s="108" t="n">
        <x:v>46092.77638888889</x:v>
      </x:c>
      <x:c r="D388" s="93" t="n">
        <x:v>46091</x:v>
      </x:c>
      <x:c r="E388" s="94" t="str">
        <x:v>Google Ads</x:v>
      </x:c>
      <x:c r="F388" s="94" t="str">
        <x:v>美国</x:v>
      </x:c>
      <x:c r="G388" s="94" t="str">
        <x:v>品牌搜索</x:v>
      </x:c>
      <x:c r="H388" s="94" t="str">
        <x:v>SKU-0032</x:v>
      </x:c>
      <x:c r="I388" s="94" t="str">
        <x:v>美妆个护</x:v>
      </x:c>
      <x:c r="J388" s="94" t="str">
        <x:v>吹风机 B</x:v>
      </x:c>
      <x:c r="K388" s="97" t="n">
        <x:v>133.28</x:v>
      </x:c>
      <x:c r="L388" s="95" t="n">
        <x:v>1</x:v>
      </x:c>
      <x:c r="M388" s="97" t="n">
        <x:f>ROUND(K388*L388,2)</x:f>
        <x:v>133.28</x:v>
      </x:c>
      <x:c r="N388" s="109" t="n">
        <x:v>0.1</x:v>
      </x:c>
      <x:c r="O388" s="97" t="n">
        <x:f>ROUND(M388*N388,2)</x:f>
        <x:v>13.33</x:v>
      </x:c>
      <x:c r="P388" s="94" t="str">
        <x:v>已确认</x:v>
      </x:c>
      <x:c r="Q388" s="97" t="n">
        <x:f>IF(P388="已退款",M388,0)</x:f>
        <x:v>0</x:v>
      </x:c>
      <x:c r="R388" s="97" t="n">
        <x:f>IF(P388="已退款",O388,0)</x:f>
        <x:v>0</x:v>
      </x:c>
      <x:c r="S388" s="97" t="n">
        <x:f>O388-R388</x:f>
        <x:v>13.33</x:v>
      </x:c>
      <x:c r="T388" s="94" t="n">
        <x:v>1</x:v>
      </x:c>
      <x:c r="U388" s="94" t="str">
        <x:v>模拟：Amazon Associates订单回传</x:v>
      </x:c>
    </x:row>
    <x:row r="389">
      <x:c r="A389" s="92" t="str">
        <x:v>AMZ-ORD-00388</x:v>
      </x:c>
      <x:c r="B389" s="94" t="str">
        <x:v>PROC-0380</x:v>
      </x:c>
      <x:c r="C389" s="108" t="n">
        <x:v>46094.72430555556</x:v>
      </x:c>
      <x:c r="D389" s="93" t="n">
        <x:v>46091</x:v>
      </x:c>
      <x:c r="E389" s="94" t="str">
        <x:v>Google Ads</x:v>
      </x:c>
      <x:c r="F389" s="94" t="str">
        <x:v>美国</x:v>
      </x:c>
      <x:c r="G389" s="94" t="str">
        <x:v>品牌搜索</x:v>
      </x:c>
      <x:c r="H389" s="94" t="str">
        <x:v>SKU-0018</x:v>
      </x:c>
      <x:c r="I389" s="94" t="str">
        <x:v>家居生活</x:v>
      </x:c>
      <x:c r="J389" s="94" t="str">
        <x:v>收纳组合 H</x:v>
      </x:c>
      <x:c r="K389" s="97" t="n">
        <x:v>354.12</x:v>
      </x:c>
      <x:c r="L389" s="95" t="n">
        <x:v>1</x:v>
      </x:c>
      <x:c r="M389" s="97" t="n">
        <x:f>ROUND(K389*L389,2)</x:f>
        <x:v>354.12</x:v>
      </x:c>
      <x:c r="N389" s="109" t="n">
        <x:v>0.07</x:v>
      </x:c>
      <x:c r="O389" s="97" t="n">
        <x:f>ROUND(M389*N389,2)</x:f>
        <x:v>24.79</x:v>
      </x:c>
      <x:c r="P389" s="94" t="str">
        <x:v>已确认</x:v>
      </x:c>
      <x:c r="Q389" s="97" t="n">
        <x:f>IF(P389="已退款",M389,0)</x:f>
        <x:v>0</x:v>
      </x:c>
      <x:c r="R389" s="97" t="n">
        <x:f>IF(P389="已退款",O389,0)</x:f>
        <x:v>0</x:v>
      </x:c>
      <x:c r="S389" s="97" t="n">
        <x:f>O389-R389</x:f>
        <x:v>24.79</x:v>
      </x:c>
      <x:c r="T389" s="94" t="n">
        <x:v>3</x:v>
      </x:c>
      <x:c r="U389" s="94" t="str">
        <x:v>模拟：Amazon Associates订单回传</x:v>
      </x:c>
    </x:row>
    <x:row r="390">
      <x:c r="A390" s="92" t="str">
        <x:v>AMZ-ORD-00389</x:v>
      </x:c>
      <x:c r="B390" s="94" t="str">
        <x:v>PROC-0381</x:v>
      </x:c>
      <x:c r="C390" s="108" t="n">
        <x:v>46095.81805555556</x:v>
      </x:c>
      <x:c r="D390" s="93" t="n">
        <x:v>46091</x:v>
      </x:c>
      <x:c r="E390" s="94" t="str">
        <x:v>Google Ads</x:v>
      </x:c>
      <x:c r="F390" s="94" t="str">
        <x:v>英国</x:v>
      </x:c>
      <x:c r="G390" s="94" t="str">
        <x:v>通用搜索</x:v>
      </x:c>
      <x:c r="H390" s="94" t="str">
        <x:v>SKU-0024</x:v>
      </x:c>
      <x:c r="I390" s="94" t="str">
        <x:v>运动健康</x:v>
      </x:c>
      <x:c r="J390" s="94" t="str">
        <x:v>筋膜枪 D</x:v>
      </x:c>
      <x:c r="K390" s="97" t="n">
        <x:v>239.53</x:v>
      </x:c>
      <x:c r="L390" s="95" t="n">
        <x:v>1</x:v>
      </x:c>
      <x:c r="M390" s="97" t="n">
        <x:f>ROUND(K390*L390,2)</x:f>
        <x:v>239.53</x:v>
      </x:c>
      <x:c r="N390" s="109" t="n">
        <x:v>0.08</x:v>
      </x:c>
      <x:c r="O390" s="97" t="n">
        <x:f>ROUND(M390*N390,2)</x:f>
        <x:v>19.16</x:v>
      </x:c>
      <x:c r="P390" s="94" t="str">
        <x:v>已确认</x:v>
      </x:c>
      <x:c r="Q390" s="97" t="n">
        <x:f>IF(P390="已退款",M390,0)</x:f>
        <x:v>0</x:v>
      </x:c>
      <x:c r="R390" s="97" t="n">
        <x:f>IF(P390="已退款",O390,0)</x:f>
        <x:v>0</x:v>
      </x:c>
      <x:c r="S390" s="97" t="n">
        <x:f>O390-R390</x:f>
        <x:v>19.16</x:v>
      </x:c>
      <x:c r="T390" s="94" t="n">
        <x:v>4</x:v>
      </x:c>
      <x:c r="U390" s="94" t="str">
        <x:v>模拟：Amazon Associates订单回传</x:v>
      </x:c>
    </x:row>
    <x:row r="391">
      <x:c r="A391" s="92" t="str">
        <x:v>AMZ-ORD-00390</x:v>
      </x:c>
      <x:c r="B391" s="94" t="str">
        <x:v>PROC-0382</x:v>
      </x:c>
      <x:c r="C391" s="108" t="n">
        <x:v>46094.88125</x:v>
      </x:c>
      <x:c r="D391" s="93" t="n">
        <x:v>46091</x:v>
      </x:c>
      <x:c r="E391" s="94" t="str">
        <x:v>Google Ads</x:v>
      </x:c>
      <x:c r="F391" s="94" t="str">
        <x:v>美国</x:v>
      </x:c>
      <x:c r="G391" s="94" t="str">
        <x:v>通用搜索</x:v>
      </x:c>
      <x:c r="H391" s="94" t="str">
        <x:v>SKU-0004</x:v>
      </x:c>
      <x:c r="I391" s="94" t="str">
        <x:v>电子产品</x:v>
      </x:c>
      <x:c r="J391" s="94" t="str">
        <x:v>机械键盘 D</x:v>
      </x:c>
      <x:c r="K391" s="97" t="n">
        <x:v>598.28</x:v>
      </x:c>
      <x:c r="L391" s="95" t="n">
        <x:v>1</x:v>
      </x:c>
      <x:c r="M391" s="97" t="n">
        <x:f>ROUND(K391*L391,2)</x:f>
        <x:v>598.28</x:v>
      </x:c>
      <x:c r="N391" s="109" t="n">
        <x:v>0.05</x:v>
      </x:c>
      <x:c r="O391" s="97" t="n">
        <x:f>ROUND(M391*N391,2)</x:f>
        <x:v>29.91</x:v>
      </x:c>
      <x:c r="P391" s="94" t="str">
        <x:v>已确认</x:v>
      </x:c>
      <x:c r="Q391" s="97" t="n">
        <x:f>IF(P391="已退款",M391,0)</x:f>
        <x:v>0</x:v>
      </x:c>
      <x:c r="R391" s="97" t="n">
        <x:f>IF(P391="已退款",O391,0)</x:f>
        <x:v>0</x:v>
      </x:c>
      <x:c r="S391" s="97" t="n">
        <x:f>O391-R391</x:f>
        <x:v>29.91</x:v>
      </x:c>
      <x:c r="T391" s="94" t="n">
        <x:v>3</x:v>
      </x:c>
      <x:c r="U391" s="94" t="str">
        <x:v>模拟：Amazon Associates订单回传</x:v>
      </x:c>
    </x:row>
    <x:row r="392">
      <x:c r="A392" s="92" t="str">
        <x:v>AMZ-ORD-00391</x:v>
      </x:c>
      <x:c r="B392" s="94" t="str">
        <x:v>PROC-0383</x:v>
      </x:c>
      <x:c r="C392" s="108" t="n">
        <x:v>46095.60625</x:v>
      </x:c>
      <x:c r="D392" s="93" t="n">
        <x:v>46092</x:v>
      </x:c>
      <x:c r="E392" s="94" t="str">
        <x:v>Microsoft Ads</x:v>
      </x:c>
      <x:c r="F392" s="94" t="str">
        <x:v>美国</x:v>
      </x:c>
      <x:c r="G392" s="94" t="str">
        <x:v>购物广告</x:v>
      </x:c>
      <x:c r="H392" s="94" t="str">
        <x:v>SKU-0004</x:v>
      </x:c>
      <x:c r="I392" s="94" t="str">
        <x:v>电子产品</x:v>
      </x:c>
      <x:c r="J392" s="94" t="str">
        <x:v>机械键盘 D</x:v>
      </x:c>
      <x:c r="K392" s="97" t="n">
        <x:v>278.21</x:v>
      </x:c>
      <x:c r="L392" s="95" t="n">
        <x:v>1</x:v>
      </x:c>
      <x:c r="M392" s="97" t="n">
        <x:f>ROUND(K392*L392,2)</x:f>
        <x:v>278.21</x:v>
      </x:c>
      <x:c r="N392" s="109" t="n">
        <x:v>0.05</x:v>
      </x:c>
      <x:c r="O392" s="97" t="n">
        <x:f>ROUND(M392*N392,2)</x:f>
        <x:v>13.91</x:v>
      </x:c>
      <x:c r="P392" s="94" t="str">
        <x:v>已确认</x:v>
      </x:c>
      <x:c r="Q392" s="97" t="n">
        <x:f>IF(P392="已退款",M392,0)</x:f>
        <x:v>0</x:v>
      </x:c>
      <x:c r="R392" s="97" t="n">
        <x:f>IF(P392="已退款",O392,0)</x:f>
        <x:v>0</x:v>
      </x:c>
      <x:c r="S392" s="97" t="n">
        <x:f>O392-R392</x:f>
        <x:v>13.91</x:v>
      </x:c>
      <x:c r="T392" s="94" t="n">
        <x:v>3</x:v>
      </x:c>
      <x:c r="U392" s="94" t="str">
        <x:v>模拟：Amazon Associates订单回传</x:v>
      </x:c>
    </x:row>
    <x:row r="393">
      <x:c r="A393" s="92" t="str">
        <x:v>AMZ-ORD-00392</x:v>
      </x:c>
      <x:c r="B393" s="94" t="str">
        <x:v>PROC-0384</x:v>
      </x:c>
      <x:c r="C393" s="108" t="n">
        <x:v>46093.85138888889</x:v>
      </x:c>
      <x:c r="D393" s="93" t="n">
        <x:v>46092</x:v>
      </x:c>
      <x:c r="E393" s="94" t="str">
        <x:v>Microsoft Ads</x:v>
      </x:c>
      <x:c r="F393" s="94" t="str">
        <x:v>美国</x:v>
      </x:c>
      <x:c r="G393" s="94" t="str">
        <x:v>竞品搜索</x:v>
      </x:c>
      <x:c r="H393" s="94" t="str">
        <x:v>SKU-0010</x:v>
      </x:c>
      <x:c r="I393" s="94" t="str">
        <x:v>电子产品</x:v>
      </x:c>
      <x:c r="J393" s="94" t="str">
        <x:v>多口扩展坞 J</x:v>
      </x:c>
      <x:c r="K393" s="97" t="n">
        <x:v>388.67</x:v>
      </x:c>
      <x:c r="L393" s="95" t="n">
        <x:v>1</x:v>
      </x:c>
      <x:c r="M393" s="97" t="n">
        <x:f>ROUND(K393*L393,2)</x:f>
        <x:v>388.67</x:v>
      </x:c>
      <x:c r="N393" s="109" t="n">
        <x:v>0.05</x:v>
      </x:c>
      <x:c r="O393" s="97" t="n">
        <x:f>ROUND(M393*N393,2)</x:f>
        <x:v>19.43</x:v>
      </x:c>
      <x:c r="P393" s="94" t="str">
        <x:v>已确认</x:v>
      </x:c>
      <x:c r="Q393" s="97" t="n">
        <x:f>IF(P393="已退款",M393,0)</x:f>
        <x:v>0</x:v>
      </x:c>
      <x:c r="R393" s="97" t="n">
        <x:f>IF(P393="已退款",O393,0)</x:f>
        <x:v>0</x:v>
      </x:c>
      <x:c r="S393" s="97" t="n">
        <x:f>O393-R393</x:f>
        <x:v>19.43</x:v>
      </x:c>
      <x:c r="T393" s="94" t="n">
        <x:v>1</x:v>
      </x:c>
      <x:c r="U393" s="94" t="str">
        <x:v>模拟：Amazon Associates订单回传</x:v>
      </x:c>
    </x:row>
    <x:row r="394">
      <x:c r="A394" s="92" t="str">
        <x:v>AMZ-ORD-00393</x:v>
      </x:c>
      <x:c r="B394" s="94" t="str">
        <x:v>PROC-0385</x:v>
      </x:c>
      <x:c r="C394" s="108" t="n">
        <x:v>46093.72361111111</x:v>
      </x:c>
      <x:c r="D394" s="93" t="n">
        <x:v>46092</x:v>
      </x:c>
      <x:c r="E394" s="94" t="str">
        <x:v>Google Ads</x:v>
      </x:c>
      <x:c r="F394" s="94" t="str">
        <x:v>美国</x:v>
      </x:c>
      <x:c r="G394" s="94" t="str">
        <x:v>购物广告</x:v>
      </x:c>
      <x:c r="H394" s="94" t="str">
        <x:v>SKU-0038</x:v>
      </x:c>
      <x:c r="I394" s="94" t="str">
        <x:v>美妆个护</x:v>
      </x:c>
      <x:c r="J394" s="94" t="str">
        <x:v>卷发棒 H</x:v>
      </x:c>
      <x:c r="K394" s="97" t="n">
        <x:v>91.07</x:v>
      </x:c>
      <x:c r="L394" s="95" t="n">
        <x:v>1</x:v>
      </x:c>
      <x:c r="M394" s="97" t="n">
        <x:f>ROUND(K394*L394,2)</x:f>
        <x:v>91.07</x:v>
      </x:c>
      <x:c r="N394" s="109" t="n">
        <x:v>0.1</x:v>
      </x:c>
      <x:c r="O394" s="97" t="n">
        <x:f>ROUND(M394*N394,2)</x:f>
        <x:v>9.11</x:v>
      </x:c>
      <x:c r="P394" s="94" t="str">
        <x:v>已确认</x:v>
      </x:c>
      <x:c r="Q394" s="97" t="n">
        <x:f>IF(P394="已退款",M394,0)</x:f>
        <x:v>0</x:v>
      </x:c>
      <x:c r="R394" s="97" t="n">
        <x:f>IF(P394="已退款",O394,0)</x:f>
        <x:v>0</x:v>
      </x:c>
      <x:c r="S394" s="97" t="n">
        <x:f>O394-R394</x:f>
        <x:v>9.11</x:v>
      </x:c>
      <x:c r="T394" s="94" t="n">
        <x:v>1</x:v>
      </x:c>
      <x:c r="U394" s="94" t="str">
        <x:v>模拟：Amazon Associates订单回传</x:v>
      </x:c>
    </x:row>
    <x:row r="395">
      <x:c r="A395" s="92" t="str">
        <x:v>AMZ-ORD-00394</x:v>
      </x:c>
      <x:c r="B395" s="94" t="str">
        <x:v>PROC-0386</x:v>
      </x:c>
      <x:c r="C395" s="108" t="n">
        <x:v>46096.544444444444</x:v>
      </x:c>
      <x:c r="D395" s="93" t="n">
        <x:v>46092</x:v>
      </x:c>
      <x:c r="E395" s="94" t="str">
        <x:v>Google Ads</x:v>
      </x:c>
      <x:c r="F395" s="94" t="str">
        <x:v>英国</x:v>
      </x:c>
      <x:c r="G395" s="94" t="str">
        <x:v>通用搜索</x:v>
      </x:c>
      <x:c r="H395" s="94" t="str">
        <x:v>SKU-0044</x:v>
      </x:c>
      <x:c r="I395" s="94" t="str">
        <x:v>办公学习</x:v>
      </x:c>
      <x:c r="J395" s="94" t="str">
        <x:v>数字笔记本 D</x:v>
      </x:c>
      <x:c r="K395" s="97" t="n">
        <x:v>166.62</x:v>
      </x:c>
      <x:c r="L395" s="95" t="n">
        <x:v>2</x:v>
      </x:c>
      <x:c r="M395" s="97" t="n">
        <x:f>ROUND(K395*L395,2)</x:f>
        <x:v>333.24</x:v>
      </x:c>
      <x:c r="N395" s="109" t="n">
        <x:v>0.07</x:v>
      </x:c>
      <x:c r="O395" s="97" t="n">
        <x:f>ROUND(M395*N395,2)</x:f>
        <x:v>23.33</x:v>
      </x:c>
      <x:c r="P395" s="94" t="str">
        <x:v>已确认</x:v>
      </x:c>
      <x:c r="Q395" s="97" t="n">
        <x:f>IF(P395="已退款",M395,0)</x:f>
        <x:v>0</x:v>
      </x:c>
      <x:c r="R395" s="97" t="n">
        <x:f>IF(P395="已退款",O395,0)</x:f>
        <x:v>0</x:v>
      </x:c>
      <x:c r="S395" s="97" t="n">
        <x:f>O395-R395</x:f>
        <x:v>23.33</x:v>
      </x:c>
      <x:c r="T395" s="94" t="n">
        <x:v>4</x:v>
      </x:c>
      <x:c r="U395" s="94" t="str">
        <x:v>模拟：Amazon Associates订单回传</x:v>
      </x:c>
    </x:row>
    <x:row r="396">
      <x:c r="A396" s="92" t="str">
        <x:v>AMZ-ORD-00395</x:v>
      </x:c>
      <x:c r="B396" s="94" t="str">
        <x:v>PROC-0387</x:v>
      </x:c>
      <x:c r="C396" s="108" t="n">
        <x:v>46092.82430555556</x:v>
      </x:c>
      <x:c r="D396" s="93" t="n">
        <x:v>46092</x:v>
      </x:c>
      <x:c r="E396" s="94" t="str">
        <x:v>Google Ads</x:v>
      </x:c>
      <x:c r="F396" s="94" t="str">
        <x:v>日本</x:v>
      </x:c>
      <x:c r="G396" s="94" t="str">
        <x:v>购物广告</x:v>
      </x:c>
      <x:c r="H396" s="94" t="str">
        <x:v>SKU-0008</x:v>
      </x:c>
      <x:c r="I396" s="94" t="str">
        <x:v>电子产品</x:v>
      </x:c>
      <x:c r="J396" s="94" t="str">
        <x:v>Wi-Fi路由器 H</x:v>
      </x:c>
      <x:c r="K396" s="97" t="n">
        <x:v>523.5</x:v>
      </x:c>
      <x:c r="L396" s="95" t="n">
        <x:v>1</x:v>
      </x:c>
      <x:c r="M396" s="97" t="n">
        <x:f>ROUND(K396*L396,2)</x:f>
        <x:v>523.5</x:v>
      </x:c>
      <x:c r="N396" s="109" t="n">
        <x:v>0.05</x:v>
      </x:c>
      <x:c r="O396" s="97" t="n">
        <x:f>ROUND(M396*N396,2)</x:f>
        <x:v>26.18</x:v>
      </x:c>
      <x:c r="P396" s="94" t="str">
        <x:v>已确认</x:v>
      </x:c>
      <x:c r="Q396" s="97" t="n">
        <x:f>IF(P396="已退款",M396,0)</x:f>
        <x:v>0</x:v>
      </x:c>
      <x:c r="R396" s="97" t="n">
        <x:f>IF(P396="已退款",O396,0)</x:f>
        <x:v>0</x:v>
      </x:c>
      <x:c r="S396" s="97" t="n">
        <x:f>O396-R396</x:f>
        <x:v>26.18</x:v>
      </x:c>
      <x:c r="T396" s="94" t="n">
        <x:v>0</x:v>
      </x:c>
      <x:c r="U396" s="94" t="str">
        <x:v>模拟：Amazon Associates订单回传</x:v>
      </x:c>
    </x:row>
    <x:row r="397">
      <x:c r="A397" s="92" t="str">
        <x:v>AMZ-ORD-00396</x:v>
      </x:c>
      <x:c r="B397" s="94" t="str">
        <x:v>PROC-0388</x:v>
      </x:c>
      <x:c r="C397" s="108" t="n">
        <x:v>46094.85833333333</x:v>
      </x:c>
      <x:c r="D397" s="93" t="n">
        <x:v>46093</x:v>
      </x:c>
      <x:c r="E397" s="94" t="str">
        <x:v>Microsoft Ads</x:v>
      </x:c>
      <x:c r="F397" s="94" t="str">
        <x:v>英国</x:v>
      </x:c>
      <x:c r="G397" s="94" t="str">
        <x:v>购物广告</x:v>
      </x:c>
      <x:c r="H397" s="94" t="str">
        <x:v>SKU-0013</x:v>
      </x:c>
      <x:c r="I397" s="94" t="str">
        <x:v>家居生活</x:v>
      </x:c>
      <x:c r="J397" s="94" t="str">
        <x:v>人体工学椅 C</x:v>
      </x:c>
      <x:c r="K397" s="97" t="n">
        <x:v>212.68</x:v>
      </x:c>
      <x:c r="L397" s="95" t="n">
        <x:v>2</x:v>
      </x:c>
      <x:c r="M397" s="97" t="n">
        <x:f>ROUND(K397*L397,2)</x:f>
        <x:v>425.36</x:v>
      </x:c>
      <x:c r="N397" s="109" t="n">
        <x:v>0.07</x:v>
      </x:c>
      <x:c r="O397" s="97" t="n">
        <x:f>ROUND(M397*N397,2)</x:f>
        <x:v>29.78</x:v>
      </x:c>
      <x:c r="P397" s="94" t="str">
        <x:v>已确认</x:v>
      </x:c>
      <x:c r="Q397" s="97" t="n">
        <x:f>IF(P397="已退款",M397,0)</x:f>
        <x:v>0</x:v>
      </x:c>
      <x:c r="R397" s="97" t="n">
        <x:f>IF(P397="已退款",O397,0)</x:f>
        <x:v>0</x:v>
      </x:c>
      <x:c r="S397" s="97" t="n">
        <x:f>O397-R397</x:f>
        <x:v>29.78</x:v>
      </x:c>
      <x:c r="T397" s="94" t="n">
        <x:v>1</x:v>
      </x:c>
      <x:c r="U397" s="94" t="str">
        <x:v>模拟：Amazon Associates订单回传</x:v>
      </x:c>
    </x:row>
    <x:row r="398">
      <x:c r="A398" s="92" t="str">
        <x:v>AMZ-ORD-00397</x:v>
      </x:c>
      <x:c r="B398" s="94" t="str">
        <x:v>PROC-0389</x:v>
      </x:c>
      <x:c r="C398" s="108" t="n">
        <x:v>46095.847916666666</x:v>
      </x:c>
      <x:c r="D398" s="93" t="n">
        <x:v>46093</x:v>
      </x:c>
      <x:c r="E398" s="94" t="str">
        <x:v>Microsoft Ads</x:v>
      </x:c>
      <x:c r="F398" s="94" t="str">
        <x:v>英国</x:v>
      </x:c>
      <x:c r="G398" s="94" t="str">
        <x:v>购物广告</x:v>
      </x:c>
      <x:c r="H398" s="94" t="str">
        <x:v>SKU-0029</x:v>
      </x:c>
      <x:c r="I398" s="94" t="str">
        <x:v>运动健康</x:v>
      </x:c>
      <x:c r="J398" s="94" t="str">
        <x:v>运动耳机 I</x:v>
      </x:c>
      <x:c r="K398" s="97" t="n">
        <x:v>168.82</x:v>
      </x:c>
      <x:c r="L398" s="95" t="n">
        <x:v>1</x:v>
      </x:c>
      <x:c r="M398" s="97" t="n">
        <x:f>ROUND(K398*L398,2)</x:f>
        <x:v>168.82</x:v>
      </x:c>
      <x:c r="N398" s="109" t="n">
        <x:v>0.08</x:v>
      </x:c>
      <x:c r="O398" s="97" t="n">
        <x:f>ROUND(M398*N398,2)</x:f>
        <x:v>13.51</x:v>
      </x:c>
      <x:c r="P398" s="94" t="str">
        <x:v>已退款</x:v>
      </x:c>
      <x:c r="Q398" s="97" t="n">
        <x:f>IF(P398="已退款",M398,0)</x:f>
        <x:v>168.82</x:v>
      </x:c>
      <x:c r="R398" s="97" t="n">
        <x:f>IF(P398="已退款",O398,0)</x:f>
        <x:v>13.51</x:v>
      </x:c>
      <x:c r="S398" s="97" t="n">
        <x:f>O398-R398</x:f>
        <x:v>0</x:v>
      </x:c>
      <x:c r="T398" s="94" t="n">
        <x:v>2</x:v>
      </x:c>
      <x:c r="U398" s="94" t="str">
        <x:v>模拟：Amazon Associates订单回传</x:v>
      </x:c>
    </x:row>
    <x:row r="399">
      <x:c r="A399" s="92" t="str">
        <x:v>AMZ-ORD-00398</x:v>
      </x:c>
      <x:c r="B399" s="94" t="str">
        <x:v>PROC-0390</x:v>
      </x:c>
      <x:c r="C399" s="108" t="n">
        <x:v>46094.60902777778</x:v>
      </x:c>
      <x:c r="D399" s="93" t="n">
        <x:v>46093</x:v>
      </x:c>
      <x:c r="E399" s="94" t="str">
        <x:v>Google Ads</x:v>
      </x:c>
      <x:c r="F399" s="94" t="str">
        <x:v>德国</x:v>
      </x:c>
      <x:c r="G399" s="94" t="str">
        <x:v>品牌搜索</x:v>
      </x:c>
      <x:c r="H399" s="94" t="str">
        <x:v>SKU-0031</x:v>
      </x:c>
      <x:c r="I399" s="94" t="str">
        <x:v>美妆个护</x:v>
      </x:c>
      <x:c r="J399" s="94" t="str">
        <x:v>洁面仪 A</x:v>
      </x:c>
      <x:c r="K399" s="97" t="n">
        <x:v>36.33</x:v>
      </x:c>
      <x:c r="L399" s="95" t="n">
        <x:v>1</x:v>
      </x:c>
      <x:c r="M399" s="97" t="n">
        <x:f>ROUND(K399*L399,2)</x:f>
        <x:v>36.33</x:v>
      </x:c>
      <x:c r="N399" s="109" t="n">
        <x:v>0.1</x:v>
      </x:c>
      <x:c r="O399" s="97" t="n">
        <x:f>ROUND(M399*N399,2)</x:f>
        <x:v>3.63</x:v>
      </x:c>
      <x:c r="P399" s="94" t="str">
        <x:v>已确认</x:v>
      </x:c>
      <x:c r="Q399" s="97" t="n">
        <x:f>IF(P399="已退款",M399,0)</x:f>
        <x:v>0</x:v>
      </x:c>
      <x:c r="R399" s="97" t="n">
        <x:f>IF(P399="已退款",O399,0)</x:f>
        <x:v>0</x:v>
      </x:c>
      <x:c r="S399" s="97" t="n">
        <x:f>O399-R399</x:f>
        <x:v>3.63</x:v>
      </x:c>
      <x:c r="T399" s="94" t="n">
        <x:v>1</x:v>
      </x:c>
      <x:c r="U399" s="94" t="str">
        <x:v>模拟：Amazon Associates订单回传</x:v>
      </x:c>
    </x:row>
    <x:row r="400">
      <x:c r="A400" s="92" t="str">
        <x:v>AMZ-ORD-00399</x:v>
      </x:c>
      <x:c r="B400" s="94" t="str">
        <x:v>PROC-0390</x:v>
      </x:c>
      <x:c r="C400" s="108" t="n">
        <x:v>46093.39097222222</x:v>
      </x:c>
      <x:c r="D400" s="93" t="n">
        <x:v>46093</x:v>
      </x:c>
      <x:c r="E400" s="94" t="str">
        <x:v>Google Ads</x:v>
      </x:c>
      <x:c r="F400" s="94" t="str">
        <x:v>德国</x:v>
      </x:c>
      <x:c r="G400" s="94" t="str">
        <x:v>品牌搜索</x:v>
      </x:c>
      <x:c r="H400" s="94" t="str">
        <x:v>SKU-0017</x:v>
      </x:c>
      <x:c r="I400" s="94" t="str">
        <x:v>家居生活</x:v>
      </x:c>
      <x:c r="J400" s="94" t="str">
        <x:v>落地灯 G</x:v>
      </x:c>
      <x:c r="K400" s="97" t="n">
        <x:v>150.95</x:v>
      </x:c>
      <x:c r="L400" s="95" t="n">
        <x:v>1</x:v>
      </x:c>
      <x:c r="M400" s="97" t="n">
        <x:f>ROUND(K400*L400,2)</x:f>
        <x:v>150.95</x:v>
      </x:c>
      <x:c r="N400" s="109" t="n">
        <x:v>0.07</x:v>
      </x:c>
      <x:c r="O400" s="97" t="n">
        <x:f>ROUND(M400*N400,2)</x:f>
        <x:v>10.57</x:v>
      </x:c>
      <x:c r="P400" s="94" t="str">
        <x:v>已确认</x:v>
      </x:c>
      <x:c r="Q400" s="97" t="n">
        <x:f>IF(P400="已退款",M400,0)</x:f>
        <x:v>0</x:v>
      </x:c>
      <x:c r="R400" s="97" t="n">
        <x:f>IF(P400="已退款",O400,0)</x:f>
        <x:v>0</x:v>
      </x:c>
      <x:c r="S400" s="97" t="n">
        <x:f>O400-R400</x:f>
        <x:v>10.57</x:v>
      </x:c>
      <x:c r="T400" s="94" t="n">
        <x:v>0</x:v>
      </x:c>
      <x:c r="U400" s="94" t="str">
        <x:v>模拟：Amazon Associates订单回传</x:v>
      </x:c>
    </x:row>
    <x:row r="401">
      <x:c r="A401" s="92" t="str">
        <x:v>AMZ-ORD-00400</x:v>
      </x:c>
      <x:c r="B401" s="94" t="str">
        <x:v>PROC-0391</x:v>
      </x:c>
      <x:c r="C401" s="108" t="n">
        <x:v>46093.72638888889</x:v>
      </x:c>
      <x:c r="D401" s="93" t="n">
        <x:v>46093</x:v>
      </x:c>
      <x:c r="E401" s="94" t="str">
        <x:v>Google Ads</x:v>
      </x:c>
      <x:c r="F401" s="94" t="str">
        <x:v>德国</x:v>
      </x:c>
      <x:c r="G401" s="94" t="str">
        <x:v>通用搜索</x:v>
      </x:c>
      <x:c r="H401" s="94" t="str">
        <x:v>SKU-0012</x:v>
      </x:c>
      <x:c r="I401" s="94" t="str">
        <x:v>家居生活</x:v>
      </x:c>
      <x:c r="J401" s="94" t="str">
        <x:v>咖啡机 B</x:v>
      </x:c>
      <x:c r="K401" s="97" t="n">
        <x:v>340.95</x:v>
      </x:c>
      <x:c r="L401" s="95" t="n">
        <x:v>1</x:v>
      </x:c>
      <x:c r="M401" s="97" t="n">
        <x:f>ROUND(K401*L401,2)</x:f>
        <x:v>340.95</x:v>
      </x:c>
      <x:c r="N401" s="109" t="n">
        <x:v>0.07</x:v>
      </x:c>
      <x:c r="O401" s="97" t="n">
        <x:f>ROUND(M401*N401,2)</x:f>
        <x:v>23.87</x:v>
      </x:c>
      <x:c r="P401" s="94" t="str">
        <x:v>已确认</x:v>
      </x:c>
      <x:c r="Q401" s="97" t="n">
        <x:f>IF(P401="已退款",M401,0)</x:f>
        <x:v>0</x:v>
      </x:c>
      <x:c r="R401" s="97" t="n">
        <x:f>IF(P401="已退款",O401,0)</x:f>
        <x:v>0</x:v>
      </x:c>
      <x:c r="S401" s="97" t="n">
        <x:f>O401-R401</x:f>
        <x:v>23.87</x:v>
      </x:c>
      <x:c r="T401" s="94" t="n">
        <x:v>0</x:v>
      </x:c>
      <x:c r="U401" s="94" t="str">
        <x:v>模拟：Amazon Associates订单回传</x:v>
      </x:c>
    </x:row>
    <x:row r="402">
      <x:c r="A402" s="92" t="str">
        <x:v>AMZ-ORD-00401</x:v>
      </x:c>
      <x:c r="B402" s="94" t="str">
        <x:v>PROC-0392</x:v>
      </x:c>
      <x:c r="C402" s="108" t="n">
        <x:v>46095.41111111111</x:v>
      </x:c>
      <x:c r="D402" s="93" t="n">
        <x:v>46093</x:v>
      </x:c>
      <x:c r="E402" s="94" t="str">
        <x:v>Google Ads</x:v>
      </x:c>
      <x:c r="F402" s="94" t="str">
        <x:v>美国</x:v>
      </x:c>
      <x:c r="G402" s="94" t="str">
        <x:v>竞品搜索</x:v>
      </x:c>
      <x:c r="H402" s="94" t="str">
        <x:v>SKU-0002</x:v>
      </x:c>
      <x:c r="I402" s="94" t="str">
        <x:v>电子产品</x:v>
      </x:c>
      <x:c r="J402" s="94" t="str">
        <x:v>便携显示器 B</x:v>
      </x:c>
      <x:c r="K402" s="97" t="n">
        <x:v>494.29</x:v>
      </x:c>
      <x:c r="L402" s="95" t="n">
        <x:v>1</x:v>
      </x:c>
      <x:c r="M402" s="97" t="n">
        <x:f>ROUND(K402*L402,2)</x:f>
        <x:v>494.29</x:v>
      </x:c>
      <x:c r="N402" s="109" t="n">
        <x:v>0.05</x:v>
      </x:c>
      <x:c r="O402" s="97" t="n">
        <x:f>ROUND(M402*N402,2)</x:f>
        <x:v>24.71</x:v>
      </x:c>
      <x:c r="P402" s="94" t="str">
        <x:v>已确认</x:v>
      </x:c>
      <x:c r="Q402" s="97" t="n">
        <x:f>IF(P402="已退款",M402,0)</x:f>
        <x:v>0</x:v>
      </x:c>
      <x:c r="R402" s="97" t="n">
        <x:f>IF(P402="已退款",O402,0)</x:f>
        <x:v>0</x:v>
      </x:c>
      <x:c r="S402" s="97" t="n">
        <x:f>O402-R402</x:f>
        <x:v>24.71</x:v>
      </x:c>
      <x:c r="T402" s="94" t="n">
        <x:v>2</x:v>
      </x:c>
      <x:c r="U402" s="94" t="str">
        <x:v>模拟：Amazon Associates订单回传</x:v>
      </x:c>
    </x:row>
    <x:row r="403">
      <x:c r="A403" s="92" t="str">
        <x:v>AMZ-ORD-00402</x:v>
      </x:c>
      <x:c r="B403" s="94" t="str">
        <x:v>PROC-0393</x:v>
      </x:c>
      <x:c r="C403" s="108" t="n">
        <x:v>46093.907638888886</x:v>
      </x:c>
      <x:c r="D403" s="93" t="n">
        <x:v>46093</x:v>
      </x:c>
      <x:c r="E403" s="94" t="str">
        <x:v>Google Ads</x:v>
      </x:c>
      <x:c r="F403" s="94" t="str">
        <x:v>美国</x:v>
      </x:c>
      <x:c r="G403" s="94" t="str">
        <x:v>购物广告</x:v>
      </x:c>
      <x:c r="H403" s="94" t="str">
        <x:v>SKU-0045</x:v>
      </x:c>
      <x:c r="I403" s="94" t="str">
        <x:v>办公学习</x:v>
      </x:c>
      <x:c r="J403" s="94" t="str">
        <x:v>办公收纳 E</x:v>
      </x:c>
      <x:c r="K403" s="97" t="n">
        <x:v>177.36</x:v>
      </x:c>
      <x:c r="L403" s="95" t="n">
        <x:v>1</x:v>
      </x:c>
      <x:c r="M403" s="97" t="n">
        <x:f>ROUND(K403*L403,2)</x:f>
        <x:v>177.36</x:v>
      </x:c>
      <x:c r="N403" s="109" t="n">
        <x:v>0.07</x:v>
      </x:c>
      <x:c r="O403" s="97" t="n">
        <x:f>ROUND(M403*N403,2)</x:f>
        <x:v>12.42</x:v>
      </x:c>
      <x:c r="P403" s="94" t="str">
        <x:v>已退款</x:v>
      </x:c>
      <x:c r="Q403" s="97" t="n">
        <x:f>IF(P403="已退款",M403,0)</x:f>
        <x:v>177.36</x:v>
      </x:c>
      <x:c r="R403" s="97" t="n">
        <x:f>IF(P403="已退款",O403,0)</x:f>
        <x:v>12.42</x:v>
      </x:c>
      <x:c r="S403" s="97" t="n">
        <x:f>O403-R403</x:f>
        <x:v>0</x:v>
      </x:c>
      <x:c r="T403" s="94" t="n">
        <x:v>0</x:v>
      </x:c>
      <x:c r="U403" s="94" t="str">
        <x:v>模拟：Amazon Associates订单回传</x:v>
      </x:c>
    </x:row>
    <x:row r="404">
      <x:c r="A404" s="92" t="str">
        <x:v>AMZ-ORD-00403</x:v>
      </x:c>
      <x:c r="B404" s="94" t="str">
        <x:v>PROC-0394</x:v>
      </x:c>
      <x:c r="C404" s="108" t="n">
        <x:v>46096.39236111111</x:v>
      </x:c>
      <x:c r="D404" s="93" t="n">
        <x:v>46094</x:v>
      </x:c>
      <x:c r="E404" s="94" t="str">
        <x:v>Google Ads</x:v>
      </x:c>
      <x:c r="F404" s="94" t="str">
        <x:v>日本</x:v>
      </x:c>
      <x:c r="G404" s="94" t="str">
        <x:v>购物广告</x:v>
      </x:c>
      <x:c r="H404" s="94" t="str">
        <x:v>SKU-0005</x:v>
      </x:c>
      <x:c r="I404" s="94" t="str">
        <x:v>电子产品</x:v>
      </x:c>
      <x:c r="J404" s="94" t="str">
        <x:v>降噪耳机 E</x:v>
      </x:c>
      <x:c r="K404" s="97" t="n">
        <x:v>392.34</x:v>
      </x:c>
      <x:c r="L404" s="95" t="n">
        <x:v>1</x:v>
      </x:c>
      <x:c r="M404" s="97" t="n">
        <x:f>ROUND(K404*L404,2)</x:f>
        <x:v>392.34</x:v>
      </x:c>
      <x:c r="N404" s="109" t="n">
        <x:v>0.05</x:v>
      </x:c>
      <x:c r="O404" s="97" t="n">
        <x:f>ROUND(M404*N404,2)</x:f>
        <x:v>19.62</x:v>
      </x:c>
      <x:c r="P404" s="94" t="str">
        <x:v>已确认</x:v>
      </x:c>
      <x:c r="Q404" s="97" t="n">
        <x:f>IF(P404="已退款",M404,0)</x:f>
        <x:v>0</x:v>
      </x:c>
      <x:c r="R404" s="97" t="n">
        <x:f>IF(P404="已退款",O404,0)</x:f>
        <x:v>0</x:v>
      </x:c>
      <x:c r="S404" s="97" t="n">
        <x:f>O404-R404</x:f>
        <x:v>19.62</x:v>
      </x:c>
      <x:c r="T404" s="94" t="n">
        <x:v>2</x:v>
      </x:c>
      <x:c r="U404" s="94" t="str">
        <x:v>模拟：Amazon Associates订单回传</x:v>
      </x:c>
    </x:row>
    <x:row r="405">
      <x:c r="A405" s="92" t="str">
        <x:v>AMZ-ORD-00404</x:v>
      </x:c>
      <x:c r="B405" s="94" t="str">
        <x:v>PROC-0396</x:v>
      </x:c>
      <x:c r="C405" s="108" t="n">
        <x:v>46094.74375</x:v>
      </x:c>
      <x:c r="D405" s="93" t="n">
        <x:v>46094</x:v>
      </x:c>
      <x:c r="E405" s="94" t="str">
        <x:v>Microsoft Ads</x:v>
      </x:c>
      <x:c r="F405" s="94" t="str">
        <x:v>日本</x:v>
      </x:c>
      <x:c r="G405" s="94" t="str">
        <x:v>通用搜索</x:v>
      </x:c>
      <x:c r="H405" s="94" t="str">
        <x:v>SKU-0016</x:v>
      </x:c>
      <x:c r="I405" s="94" t="str">
        <x:v>家居生活</x:v>
      </x:c>
      <x:c r="J405" s="94" t="str">
        <x:v>厨师机 F</x:v>
      </x:c>
      <x:c r="K405" s="97" t="n">
        <x:v>320.61</x:v>
      </x:c>
      <x:c r="L405" s="95" t="n">
        <x:v>2</x:v>
      </x:c>
      <x:c r="M405" s="97" t="n">
        <x:f>ROUND(K405*L405,2)</x:f>
        <x:v>641.22</x:v>
      </x:c>
      <x:c r="N405" s="109" t="n">
        <x:v>0.07</x:v>
      </x:c>
      <x:c r="O405" s="97" t="n">
        <x:f>ROUND(M405*N405,2)</x:f>
        <x:v>44.89</x:v>
      </x:c>
      <x:c r="P405" s="94" t="str">
        <x:v>已确认</x:v>
      </x:c>
      <x:c r="Q405" s="97" t="n">
        <x:f>IF(P405="已退款",M405,0)</x:f>
        <x:v>0</x:v>
      </x:c>
      <x:c r="R405" s="97" t="n">
        <x:f>IF(P405="已退款",O405,0)</x:f>
        <x:v>0</x:v>
      </x:c>
      <x:c r="S405" s="97" t="n">
        <x:f>O405-R405</x:f>
        <x:v>44.89</x:v>
      </x:c>
      <x:c r="T405" s="94" t="n">
        <x:v>0</x:v>
      </x:c>
      <x:c r="U405" s="94" t="str">
        <x:v>模拟：Amazon Associates订单回传</x:v>
      </x:c>
    </x:row>
    <x:row r="406">
      <x:c r="A406" s="92" t="str">
        <x:v>AMZ-ORD-00405</x:v>
      </x:c>
      <x:c r="B406" s="94" t="str">
        <x:v>PROC-0397</x:v>
      </x:c>
      <x:c r="C406" s="108" t="n">
        <x:v>46095.674305555556</x:v>
      </x:c>
      <x:c r="D406" s="93" t="n">
        <x:v>46094</x:v>
      </x:c>
      <x:c r="E406" s="94" t="str">
        <x:v>Google Ads</x:v>
      </x:c>
      <x:c r="F406" s="94" t="str">
        <x:v>美国</x:v>
      </x:c>
      <x:c r="G406" s="94" t="str">
        <x:v>购物广告</x:v>
      </x:c>
      <x:c r="H406" s="94" t="str">
        <x:v>SKU-0037</x:v>
      </x:c>
      <x:c r="I406" s="94" t="str">
        <x:v>美妆个护</x:v>
      </x:c>
      <x:c r="J406" s="94" t="str">
        <x:v>美容仪 G</x:v>
      </x:c>
      <x:c r="K406" s="97" t="n">
        <x:v>63.89</x:v>
      </x:c>
      <x:c r="L406" s="95" t="n">
        <x:v>1</x:v>
      </x:c>
      <x:c r="M406" s="97" t="n">
        <x:f>ROUND(K406*L406,2)</x:f>
        <x:v>63.89</x:v>
      </x:c>
      <x:c r="N406" s="109" t="n">
        <x:v>0.1</x:v>
      </x:c>
      <x:c r="O406" s="97" t="n">
        <x:f>ROUND(M406*N406,2)</x:f>
        <x:v>6.39</x:v>
      </x:c>
      <x:c r="P406" s="94" t="str">
        <x:v>已确认</x:v>
      </x:c>
      <x:c r="Q406" s="97" t="n">
        <x:f>IF(P406="已退款",M406,0)</x:f>
        <x:v>0</x:v>
      </x:c>
      <x:c r="R406" s="97" t="n">
        <x:f>IF(P406="已退款",O406,0)</x:f>
        <x:v>0</x:v>
      </x:c>
      <x:c r="S406" s="97" t="n">
        <x:f>O406-R406</x:f>
        <x:v>6.39</x:v>
      </x:c>
      <x:c r="T406" s="94" t="n">
        <x:v>1</x:v>
      </x:c>
      <x:c r="U406" s="94" t="str">
        <x:v>模拟：Amazon Associates订单回传</x:v>
      </x:c>
    </x:row>
    <x:row r="407">
      <x:c r="A407" s="92" t="str">
        <x:v>AMZ-ORD-00406</x:v>
      </x:c>
      <x:c r="B407" s="94" t="str">
        <x:v>PROC-0397</x:v>
      </x:c>
      <x:c r="C407" s="108" t="n">
        <x:v>46096.87777777778</x:v>
      </x:c>
      <x:c r="D407" s="93" t="n">
        <x:v>46094</x:v>
      </x:c>
      <x:c r="E407" s="94" t="str">
        <x:v>Google Ads</x:v>
      </x:c>
      <x:c r="F407" s="94" t="str">
        <x:v>美国</x:v>
      </x:c>
      <x:c r="G407" s="94" t="str">
        <x:v>购物广告</x:v>
      </x:c>
      <x:c r="H407" s="94" t="str">
        <x:v>SKU-0048</x:v>
      </x:c>
      <x:c r="I407" s="94" t="str">
        <x:v>办公学习</x:v>
      </x:c>
      <x:c r="J407" s="94" t="str">
        <x:v>阅读支架 H</x:v>
      </x:c>
      <x:c r="K407" s="97" t="n">
        <x:v>95.18</x:v>
      </x:c>
      <x:c r="L407" s="95" t="n">
        <x:v>1</x:v>
      </x:c>
      <x:c r="M407" s="97" t="n">
        <x:f>ROUND(K407*L407,2)</x:f>
        <x:v>95.18</x:v>
      </x:c>
      <x:c r="N407" s="109" t="n">
        <x:v>0.07</x:v>
      </x:c>
      <x:c r="O407" s="97" t="n">
        <x:f>ROUND(M407*N407,2)</x:f>
        <x:v>6.66</x:v>
      </x:c>
      <x:c r="P407" s="94" t="str">
        <x:v>已确认</x:v>
      </x:c>
      <x:c r="Q407" s="97" t="n">
        <x:f>IF(P407="已退款",M407,0)</x:f>
        <x:v>0</x:v>
      </x:c>
      <x:c r="R407" s="97" t="n">
        <x:f>IF(P407="已退款",O407,0)</x:f>
        <x:v>0</x:v>
      </x:c>
      <x:c r="S407" s="97" t="n">
        <x:f>O407-R407</x:f>
        <x:v>6.66</x:v>
      </x:c>
      <x:c r="T407" s="94" t="n">
        <x:v>2</x:v>
      </x:c>
      <x:c r="U407" s="94" t="str">
        <x:v>模拟：Amazon Associates订单回传</x:v>
      </x:c>
    </x:row>
    <x:row r="408">
      <x:c r="A408" s="92" t="str">
        <x:v>AMZ-ORD-00407</x:v>
      </x:c>
      <x:c r="B408" s="94" t="str">
        <x:v>PROC-0398</x:v>
      </x:c>
      <x:c r="C408" s="108" t="n">
        <x:v>46095.40972222222</x:v>
      </x:c>
      <x:c r="D408" s="93" t="n">
        <x:v>46094</x:v>
      </x:c>
      <x:c r="E408" s="94" t="str">
        <x:v>Microsoft Ads</x:v>
      </x:c>
      <x:c r="F408" s="94" t="str">
        <x:v>美国</x:v>
      </x:c>
      <x:c r="G408" s="94" t="str">
        <x:v>通用搜索</x:v>
      </x:c>
      <x:c r="H408" s="94" t="str">
        <x:v>SKU-0008</x:v>
      </x:c>
      <x:c r="I408" s="94" t="str">
        <x:v>电子产品</x:v>
      </x:c>
      <x:c r="J408" s="94" t="str">
        <x:v>Wi-Fi路由器 H</x:v>
      </x:c>
      <x:c r="K408" s="97" t="n">
        <x:v>406.47</x:v>
      </x:c>
      <x:c r="L408" s="95" t="n">
        <x:v>1</x:v>
      </x:c>
      <x:c r="M408" s="97" t="n">
        <x:f>ROUND(K408*L408,2)</x:f>
        <x:v>406.47</x:v>
      </x:c>
      <x:c r="N408" s="109" t="n">
        <x:v>0.05</x:v>
      </x:c>
      <x:c r="O408" s="97" t="n">
        <x:f>ROUND(M408*N408,2)</x:f>
        <x:v>20.32</x:v>
      </x:c>
      <x:c r="P408" s="94" t="str">
        <x:v>已确认</x:v>
      </x:c>
      <x:c r="Q408" s="97" t="n">
        <x:f>IF(P408="已退款",M408,0)</x:f>
        <x:v>0</x:v>
      </x:c>
      <x:c r="R408" s="97" t="n">
        <x:f>IF(P408="已退款",O408,0)</x:f>
        <x:v>0</x:v>
      </x:c>
      <x:c r="S408" s="97" t="n">
        <x:f>O408-R408</x:f>
        <x:v>20.32</x:v>
      </x:c>
      <x:c r="T408" s="94" t="n">
        <x:v>1</x:v>
      </x:c>
      <x:c r="U408" s="94" t="str">
        <x:v>模拟：Amazon Associates订单回传</x:v>
      </x:c>
    </x:row>
    <x:row r="409">
      <x:c r="A409" s="92" t="str">
        <x:v>AMZ-ORD-00408</x:v>
      </x:c>
      <x:c r="B409" s="94" t="str">
        <x:v>PROC-0399</x:v>
      </x:c>
      <x:c r="C409" s="108" t="n">
        <x:v>46099.64166666667</x:v>
      </x:c>
      <x:c r="D409" s="93" t="n">
        <x:v>46095</x:v>
      </x:c>
      <x:c r="E409" s="94" t="str">
        <x:v>Google Ads</x:v>
      </x:c>
      <x:c r="F409" s="94" t="str">
        <x:v>英国</x:v>
      </x:c>
      <x:c r="G409" s="94" t="str">
        <x:v>购物广告</x:v>
      </x:c>
      <x:c r="H409" s="94" t="str">
        <x:v>SKU-0001</x:v>
      </x:c>
      <x:c r="I409" s="94" t="str">
        <x:v>电子产品</x:v>
      </x:c>
      <x:c r="J409" s="94" t="str">
        <x:v>无线耳机 A</x:v>
      </x:c>
      <x:c r="K409" s="97" t="n">
        <x:v>632.67</x:v>
      </x:c>
      <x:c r="L409" s="95" t="n">
        <x:v>1</x:v>
      </x:c>
      <x:c r="M409" s="97" t="n">
        <x:f>ROUND(K409*L409,2)</x:f>
        <x:v>632.67</x:v>
      </x:c>
      <x:c r="N409" s="109" t="n">
        <x:v>0.05</x:v>
      </x:c>
      <x:c r="O409" s="97" t="n">
        <x:f>ROUND(M409*N409,2)</x:f>
        <x:v>31.63</x:v>
      </x:c>
      <x:c r="P409" s="94" t="str">
        <x:v>已确认</x:v>
      </x:c>
      <x:c r="Q409" s="97" t="n">
        <x:f>IF(P409="已退款",M409,0)</x:f>
        <x:v>0</x:v>
      </x:c>
      <x:c r="R409" s="97" t="n">
        <x:f>IF(P409="已退款",O409,0)</x:f>
        <x:v>0</x:v>
      </x:c>
      <x:c r="S409" s="97" t="n">
        <x:f>O409-R409</x:f>
        <x:v>31.63</x:v>
      </x:c>
      <x:c r="T409" s="94" t="n">
        <x:v>4</x:v>
      </x:c>
      <x:c r="U409" s="94" t="str">
        <x:v>模拟：Amazon Associates订单回传</x:v>
      </x:c>
    </x:row>
    <x:row r="410">
      <x:c r="A410" s="92" t="str">
        <x:v>AMZ-ORD-00409</x:v>
      </x:c>
      <x:c r="B410" s="94" t="str">
        <x:v>PROC-0401</x:v>
      </x:c>
      <x:c r="C410" s="108" t="n">
        <x:v>46098.759722222225</x:v>
      </x:c>
      <x:c r="D410" s="93" t="n">
        <x:v>46095</x:v>
      </x:c>
      <x:c r="E410" s="94" t="str">
        <x:v>Microsoft Ads</x:v>
      </x:c>
      <x:c r="F410" s="94" t="str">
        <x:v>美国</x:v>
      </x:c>
      <x:c r="G410" s="94" t="str">
        <x:v>竞品搜索</x:v>
      </x:c>
      <x:c r="H410" s="94" t="str">
        <x:v>SKU-0031</x:v>
      </x:c>
      <x:c r="I410" s="94" t="str">
        <x:v>美妆个护</x:v>
      </x:c>
      <x:c r="J410" s="94" t="str">
        <x:v>洁面仪 A</x:v>
      </x:c>
      <x:c r="K410" s="97" t="n">
        <x:v>59.63</x:v>
      </x:c>
      <x:c r="L410" s="95" t="n">
        <x:v>1</x:v>
      </x:c>
      <x:c r="M410" s="97" t="n">
        <x:f>ROUND(K410*L410,2)</x:f>
        <x:v>59.63</x:v>
      </x:c>
      <x:c r="N410" s="109" t="n">
        <x:v>0.1</x:v>
      </x:c>
      <x:c r="O410" s="97" t="n">
        <x:f>ROUND(M410*N410,2)</x:f>
        <x:v>5.96</x:v>
      </x:c>
      <x:c r="P410" s="94" t="str">
        <x:v>已确认</x:v>
      </x:c>
      <x:c r="Q410" s="97" t="n">
        <x:f>IF(P410="已退款",M410,0)</x:f>
        <x:v>0</x:v>
      </x:c>
      <x:c r="R410" s="97" t="n">
        <x:f>IF(P410="已退款",O410,0)</x:f>
        <x:v>0</x:v>
      </x:c>
      <x:c r="S410" s="97" t="n">
        <x:f>O410-R410</x:f>
        <x:v>5.96</x:v>
      </x:c>
      <x:c r="T410" s="94" t="n">
        <x:v>3</x:v>
      </x:c>
      <x:c r="U410" s="94" t="str">
        <x:v>模拟：Amazon Associates订单回传</x:v>
      </x:c>
    </x:row>
    <x:row r="411">
      <x:c r="A411" s="92" t="str">
        <x:v>AMZ-ORD-00410</x:v>
      </x:c>
      <x:c r="B411" s="94" t="str">
        <x:v>PROC-0402</x:v>
      </x:c>
      <x:c r="C411" s="108" t="n">
        <x:v>46095.85625</x:v>
      </x:c>
      <x:c r="D411" s="93" t="n">
        <x:v>46095</x:v>
      </x:c>
      <x:c r="E411" s="94" t="str">
        <x:v>Microsoft Ads</x:v>
      </x:c>
      <x:c r="F411" s="94" t="str">
        <x:v>美国</x:v>
      </x:c>
      <x:c r="G411" s="94" t="str">
        <x:v>品牌搜索</x:v>
      </x:c>
      <x:c r="H411" s="94" t="str">
        <x:v>SKU-0012</x:v>
      </x:c>
      <x:c r="I411" s="94" t="str">
        <x:v>家居生活</x:v>
      </x:c>
      <x:c r="J411" s="94" t="str">
        <x:v>咖啡机 B</x:v>
      </x:c>
      <x:c r="K411" s="97" t="n">
        <x:v>264.32</x:v>
      </x:c>
      <x:c r="L411" s="95" t="n">
        <x:v>1</x:v>
      </x:c>
      <x:c r="M411" s="97" t="n">
        <x:f>ROUND(K411*L411,2)</x:f>
        <x:v>264.32</x:v>
      </x:c>
      <x:c r="N411" s="109" t="n">
        <x:v>0.07</x:v>
      </x:c>
      <x:c r="O411" s="97" t="n">
        <x:f>ROUND(M411*N411,2)</x:f>
        <x:v>18.5</x:v>
      </x:c>
      <x:c r="P411" s="94" t="str">
        <x:v>已确认</x:v>
      </x:c>
      <x:c r="Q411" s="97" t="n">
        <x:f>IF(P411="已退款",M411,0)</x:f>
        <x:v>0</x:v>
      </x:c>
      <x:c r="R411" s="97" t="n">
        <x:f>IF(P411="已退款",O411,0)</x:f>
        <x:v>0</x:v>
      </x:c>
      <x:c r="S411" s="97" t="n">
        <x:f>O411-R411</x:f>
        <x:v>18.5</x:v>
      </x:c>
      <x:c r="T411" s="94" t="n">
        <x:v>0</x:v>
      </x:c>
      <x:c r="U411" s="94" t="str">
        <x:v>模拟：Amazon Associates订单回传</x:v>
      </x:c>
    </x:row>
    <x:row r="412">
      <x:c r="A412" s="92" t="str">
        <x:v>AMZ-ORD-00411</x:v>
      </x:c>
      <x:c r="B412" s="94" t="str">
        <x:v>PROC-0402</x:v>
      </x:c>
      <x:c r="C412" s="108" t="n">
        <x:v>46098.88333333333</x:v>
      </x:c>
      <x:c r="D412" s="93" t="n">
        <x:v>46095</x:v>
      </x:c>
      <x:c r="E412" s="94" t="str">
        <x:v>Microsoft Ads</x:v>
      </x:c>
      <x:c r="F412" s="94" t="str">
        <x:v>美国</x:v>
      </x:c>
      <x:c r="G412" s="94" t="str">
        <x:v>品牌搜索</x:v>
      </x:c>
      <x:c r="H412" s="94" t="str">
        <x:v>SKU-0030</x:v>
      </x:c>
      <x:c r="I412" s="94" t="str">
        <x:v>运动健康</x:v>
      </x:c>
      <x:c r="J412" s="94" t="str">
        <x:v>露营套装 J</x:v>
      </x:c>
      <x:c r="K412" s="97" t="n">
        <x:v>112.19</x:v>
      </x:c>
      <x:c r="L412" s="95" t="n">
        <x:v>1</x:v>
      </x:c>
      <x:c r="M412" s="97" t="n">
        <x:f>ROUND(K412*L412,2)</x:f>
        <x:v>112.19</x:v>
      </x:c>
      <x:c r="N412" s="109" t="n">
        <x:v>0.08</x:v>
      </x:c>
      <x:c r="O412" s="97" t="n">
        <x:f>ROUND(M412*N412,2)</x:f>
        <x:v>8.98</x:v>
      </x:c>
      <x:c r="P412" s="94" t="str">
        <x:v>已确认</x:v>
      </x:c>
      <x:c r="Q412" s="97" t="n">
        <x:f>IF(P412="已退款",M412,0)</x:f>
        <x:v>0</x:v>
      </x:c>
      <x:c r="R412" s="97" t="n">
        <x:f>IF(P412="已退款",O412,0)</x:f>
        <x:v>0</x:v>
      </x:c>
      <x:c r="S412" s="97" t="n">
        <x:f>O412-R412</x:f>
        <x:v>8.98</x:v>
      </x:c>
      <x:c r="T412" s="94" t="n">
        <x:v>3</x:v>
      </x:c>
      <x:c r="U412" s="94" t="str">
        <x:v>模拟：Amazon Associates订单回传</x:v>
      </x:c>
    </x:row>
    <x:row r="413">
      <x:c r="A413" s="92" t="str">
        <x:v>AMZ-ORD-00412</x:v>
      </x:c>
      <x:c r="B413" s="94" t="str">
        <x:v>PROC-0405</x:v>
      </x:c>
      <x:c r="C413" s="108" t="n">
        <x:v>46098.58472222222</x:v>
      </x:c>
      <x:c r="D413" s="93" t="n">
        <x:v>46096</x:v>
      </x:c>
      <x:c r="E413" s="94" t="str">
        <x:v>Microsoft Ads</x:v>
      </x:c>
      <x:c r="F413" s="94" t="str">
        <x:v>美国</x:v>
      </x:c>
      <x:c r="G413" s="94" t="str">
        <x:v>品牌搜索</x:v>
      </x:c>
      <x:c r="H413" s="94" t="str">
        <x:v>SKU-0002</x:v>
      </x:c>
      <x:c r="I413" s="94" t="str">
        <x:v>电子产品</x:v>
      </x:c>
      <x:c r="J413" s="94" t="str">
        <x:v>便携显示器 B</x:v>
      </x:c>
      <x:c r="K413" s="97" t="n">
        <x:v>291.2</x:v>
      </x:c>
      <x:c r="L413" s="95" t="n">
        <x:v>1</x:v>
      </x:c>
      <x:c r="M413" s="97" t="n">
        <x:f>ROUND(K413*L413,2)</x:f>
        <x:v>291.2</x:v>
      </x:c>
      <x:c r="N413" s="109" t="n">
        <x:v>0.05</x:v>
      </x:c>
      <x:c r="O413" s="97" t="n">
        <x:f>ROUND(M413*N413,2)</x:f>
        <x:v>14.56</x:v>
      </x:c>
      <x:c r="P413" s="94" t="str">
        <x:v>已确认</x:v>
      </x:c>
      <x:c r="Q413" s="97" t="n">
        <x:f>IF(P413="已退款",M413,0)</x:f>
        <x:v>0</x:v>
      </x:c>
      <x:c r="R413" s="97" t="n">
        <x:f>IF(P413="已退款",O413,0)</x:f>
        <x:v>0</x:v>
      </x:c>
      <x:c r="S413" s="97" t="n">
        <x:f>O413-R413</x:f>
        <x:v>14.56</x:v>
      </x:c>
      <x:c r="T413" s="94" t="n">
        <x:v>2</x:v>
      </x:c>
      <x:c r="U413" s="94" t="str">
        <x:v>模拟：Amazon Associates订单回传</x:v>
      </x:c>
    </x:row>
    <x:row r="414">
      <x:c r="A414" s="92" t="str">
        <x:v>AMZ-ORD-00413</x:v>
      </x:c>
      <x:c r="B414" s="94" t="str">
        <x:v>PROC-0405</x:v>
      </x:c>
      <x:c r="C414" s="108" t="n">
        <x:v>46100.68125</x:v>
      </x:c>
      <x:c r="D414" s="93" t="n">
        <x:v>46096</x:v>
      </x:c>
      <x:c r="E414" s="94" t="str">
        <x:v>Microsoft Ads</x:v>
      </x:c>
      <x:c r="F414" s="94" t="str">
        <x:v>美国</x:v>
      </x:c>
      <x:c r="G414" s="94" t="str">
        <x:v>品牌搜索</x:v>
      </x:c>
      <x:c r="H414" s="94" t="str">
        <x:v>SKU-0012</x:v>
      </x:c>
      <x:c r="I414" s="94" t="str">
        <x:v>家居生活</x:v>
      </x:c>
      <x:c r="J414" s="94" t="str">
        <x:v>咖啡机 B</x:v>
      </x:c>
      <x:c r="K414" s="97" t="n">
        <x:v>208.46</x:v>
      </x:c>
      <x:c r="L414" s="95" t="n">
        <x:v>1</x:v>
      </x:c>
      <x:c r="M414" s="97" t="n">
        <x:f>ROUND(K414*L414,2)</x:f>
        <x:v>208.46</x:v>
      </x:c>
      <x:c r="N414" s="109" t="n">
        <x:v>0.07</x:v>
      </x:c>
      <x:c r="O414" s="97" t="n">
        <x:f>ROUND(M414*N414,2)</x:f>
        <x:v>14.59</x:v>
      </x:c>
      <x:c r="P414" s="94" t="str">
        <x:v>已确认</x:v>
      </x:c>
      <x:c r="Q414" s="97" t="n">
        <x:f>IF(P414="已退款",M414,0)</x:f>
        <x:v>0</x:v>
      </x:c>
      <x:c r="R414" s="97" t="n">
        <x:f>IF(P414="已退款",O414,0)</x:f>
        <x:v>0</x:v>
      </x:c>
      <x:c r="S414" s="97" t="n">
        <x:f>O414-R414</x:f>
        <x:v>14.59</x:v>
      </x:c>
      <x:c r="T414" s="94" t="n">
        <x:v>4</x:v>
      </x:c>
      <x:c r="U414" s="94" t="str">
        <x:v>模拟：Amazon Associates订单回传</x:v>
      </x:c>
    </x:row>
    <x:row r="415">
      <x:c r="A415" s="92" t="str">
        <x:v>AMZ-ORD-00414</x:v>
      </x:c>
      <x:c r="B415" s="94" t="str">
        <x:v>PROC-0406</x:v>
      </x:c>
      <x:c r="C415" s="108" t="n">
        <x:v>46099.35833333333</x:v>
      </x:c>
      <x:c r="D415" s="93" t="n">
        <x:v>46096</x:v>
      </x:c>
      <x:c r="E415" s="94" t="str">
        <x:v>Google Ads</x:v>
      </x:c>
      <x:c r="F415" s="94" t="str">
        <x:v>英国</x:v>
      </x:c>
      <x:c r="G415" s="94" t="str">
        <x:v>竞品搜索</x:v>
      </x:c>
      <x:c r="H415" s="94" t="str">
        <x:v>SKU-0002</x:v>
      </x:c>
      <x:c r="I415" s="94" t="str">
        <x:v>电子产品</x:v>
      </x:c>
      <x:c r="J415" s="94" t="str">
        <x:v>便携显示器 B</x:v>
      </x:c>
      <x:c r="K415" s="97" t="n">
        <x:v>637.26</x:v>
      </x:c>
      <x:c r="L415" s="95" t="n">
        <x:v>3</x:v>
      </x:c>
      <x:c r="M415" s="97" t="n">
        <x:f>ROUND(K415*L415,2)</x:f>
        <x:v>1911.78</x:v>
      </x:c>
      <x:c r="N415" s="109" t="n">
        <x:v>0.05</x:v>
      </x:c>
      <x:c r="O415" s="97" t="n">
        <x:f>ROUND(M415*N415,2)</x:f>
        <x:v>95.59</x:v>
      </x:c>
      <x:c r="P415" s="94" t="str">
        <x:v>已确认</x:v>
      </x:c>
      <x:c r="Q415" s="97" t="n">
        <x:f>IF(P415="已退款",M415,0)</x:f>
        <x:v>0</x:v>
      </x:c>
      <x:c r="R415" s="97" t="n">
        <x:f>IF(P415="已退款",O415,0)</x:f>
        <x:v>0</x:v>
      </x:c>
      <x:c r="S415" s="97" t="n">
        <x:f>O415-R415</x:f>
        <x:v>95.59</x:v>
      </x:c>
      <x:c r="T415" s="94" t="n">
        <x:v>3</x:v>
      </x:c>
      <x:c r="U415" s="94" t="str">
        <x:v>模拟：Amazon Associates订单回传</x:v>
      </x:c>
    </x:row>
    <x:row r="416">
      <x:c r="A416" s="92" t="str">
        <x:v>AMZ-ORD-00415</x:v>
      </x:c>
      <x:c r="B416" s="94" t="str">
        <x:v>PROC-0407</x:v>
      </x:c>
      <x:c r="C416" s="108" t="n">
        <x:v>46098.85486111111</x:v>
      </x:c>
      <x:c r="D416" s="93" t="n">
        <x:v>46096</x:v>
      </x:c>
      <x:c r="E416" s="94" t="str">
        <x:v>Google Ads</x:v>
      </x:c>
      <x:c r="F416" s="94" t="str">
        <x:v>美国</x:v>
      </x:c>
      <x:c r="G416" s="94" t="str">
        <x:v>通用搜索</x:v>
      </x:c>
      <x:c r="H416" s="94" t="str">
        <x:v>SKU-0043</x:v>
      </x:c>
      <x:c r="I416" s="94" t="str">
        <x:v>办公学习</x:v>
      </x:c>
      <x:c r="J416" s="94" t="str">
        <x:v>会议麦克风 C</x:v>
      </x:c>
      <x:c r="K416" s="97" t="n">
        <x:v>111.41</x:v>
      </x:c>
      <x:c r="L416" s="95" t="n">
        <x:v>1</x:v>
      </x:c>
      <x:c r="M416" s="97" t="n">
        <x:f>ROUND(K416*L416,2)</x:f>
        <x:v>111.41</x:v>
      </x:c>
      <x:c r="N416" s="109" t="n">
        <x:v>0.07</x:v>
      </x:c>
      <x:c r="O416" s="97" t="n">
        <x:f>ROUND(M416*N416,2)</x:f>
        <x:v>7.8</x:v>
      </x:c>
      <x:c r="P416" s="94" t="str">
        <x:v>已确认</x:v>
      </x:c>
      <x:c r="Q416" s="97" t="n">
        <x:f>IF(P416="已退款",M416,0)</x:f>
        <x:v>0</x:v>
      </x:c>
      <x:c r="R416" s="97" t="n">
        <x:f>IF(P416="已退款",O416,0)</x:f>
        <x:v>0</x:v>
      </x:c>
      <x:c r="S416" s="97" t="n">
        <x:f>O416-R416</x:f>
        <x:v>7.8</x:v>
      </x:c>
      <x:c r="T416" s="94" t="n">
        <x:v>2</x:v>
      </x:c>
      <x:c r="U416" s="94" t="str">
        <x:v>模拟：Amazon Associates订单回传</x:v>
      </x:c>
    </x:row>
    <x:row r="417">
      <x:c r="A417" s="92" t="str">
        <x:v>AMZ-ORD-00416</x:v>
      </x:c>
      <x:c r="B417" s="94" t="str">
        <x:v>PROC-0408</x:v>
      </x:c>
      <x:c r="C417" s="108" t="n">
        <x:v>46099.885416666664</x:v>
      </x:c>
      <x:c r="D417" s="93" t="n">
        <x:v>46096</x:v>
      </x:c>
      <x:c r="E417" s="94" t="str">
        <x:v>Microsoft Ads</x:v>
      </x:c>
      <x:c r="F417" s="94" t="str">
        <x:v>美国</x:v>
      </x:c>
      <x:c r="G417" s="94" t="str">
        <x:v>通用搜索</x:v>
      </x:c>
      <x:c r="H417" s="94" t="str">
        <x:v>SKU-0024</x:v>
      </x:c>
      <x:c r="I417" s="94" t="str">
        <x:v>运动健康</x:v>
      </x:c>
      <x:c r="J417" s="94" t="str">
        <x:v>筋膜枪 D</x:v>
      </x:c>
      <x:c r="K417" s="97" t="n">
        <x:v>143.21</x:v>
      </x:c>
      <x:c r="L417" s="95" t="n">
        <x:v>1</x:v>
      </x:c>
      <x:c r="M417" s="97" t="n">
        <x:f>ROUND(K417*L417,2)</x:f>
        <x:v>143.21</x:v>
      </x:c>
      <x:c r="N417" s="109" t="n">
        <x:v>0.08</x:v>
      </x:c>
      <x:c r="O417" s="97" t="n">
        <x:f>ROUND(M417*N417,2)</x:f>
        <x:v>11.46</x:v>
      </x:c>
      <x:c r="P417" s="94" t="str">
        <x:v>已确认</x:v>
      </x:c>
      <x:c r="Q417" s="97" t="n">
        <x:f>IF(P417="已退款",M417,0)</x:f>
        <x:v>0</x:v>
      </x:c>
      <x:c r="R417" s="97" t="n">
        <x:f>IF(P417="已退款",O417,0)</x:f>
        <x:v>0</x:v>
      </x:c>
      <x:c r="S417" s="97" t="n">
        <x:f>O417-R417</x:f>
        <x:v>11.46</x:v>
      </x:c>
      <x:c r="T417" s="94" t="n">
        <x:v>3</x:v>
      </x:c>
      <x:c r="U417" s="94" t="str">
        <x:v>模拟：Amazon Associates订单回传</x:v>
      </x:c>
    </x:row>
    <x:row r="418">
      <x:c r="A418" s="92" t="str">
        <x:v>AMZ-ORD-00417</x:v>
      </x:c>
      <x:c r="B418" s="94" t="str">
        <x:v>PROC-0409</x:v>
      </x:c>
      <x:c r="C418" s="108" t="n">
        <x:v>46099.759722222225</x:v>
      </x:c>
      <x:c r="D418" s="93" t="n">
        <x:v>46096</x:v>
      </x:c>
      <x:c r="E418" s="94" t="str">
        <x:v>Google Ads</x:v>
      </x:c>
      <x:c r="F418" s="94" t="str">
        <x:v>美国</x:v>
      </x:c>
      <x:c r="G418" s="94" t="str">
        <x:v>品牌搜索</x:v>
      </x:c>
      <x:c r="H418" s="94" t="str">
        <x:v>SKU-0032</x:v>
      </x:c>
      <x:c r="I418" s="94" t="str">
        <x:v>美妆个护</x:v>
      </x:c>
      <x:c r="J418" s="94" t="str">
        <x:v>吹风机 B</x:v>
      </x:c>
      <x:c r="K418" s="97" t="n">
        <x:v>35.83</x:v>
      </x:c>
      <x:c r="L418" s="95" t="n">
        <x:v>1</x:v>
      </x:c>
      <x:c r="M418" s="97" t="n">
        <x:f>ROUND(K418*L418,2)</x:f>
        <x:v>35.83</x:v>
      </x:c>
      <x:c r="N418" s="109" t="n">
        <x:v>0.1</x:v>
      </x:c>
      <x:c r="O418" s="97" t="n">
        <x:f>ROUND(M418*N418,2)</x:f>
        <x:v>3.58</x:v>
      </x:c>
      <x:c r="P418" s="94" t="str">
        <x:v>已确认</x:v>
      </x:c>
      <x:c r="Q418" s="97" t="n">
        <x:f>IF(P418="已退款",M418,0)</x:f>
        <x:v>0</x:v>
      </x:c>
      <x:c r="R418" s="97" t="n">
        <x:f>IF(P418="已退款",O418,0)</x:f>
        <x:v>0</x:v>
      </x:c>
      <x:c r="S418" s="97" t="n">
        <x:f>O418-R418</x:f>
        <x:v>3.58</x:v>
      </x:c>
      <x:c r="T418" s="94" t="n">
        <x:v>3</x:v>
      </x:c>
      <x:c r="U418" s="94" t="str">
        <x:v>模拟：Amazon Associates订单回传</x:v>
      </x:c>
    </x:row>
    <x:row r="419">
      <x:c r="A419" s="92" t="str">
        <x:v>AMZ-ORD-00418</x:v>
      </x:c>
      <x:c r="B419" s="94" t="str">
        <x:v>PROC-0409</x:v>
      </x:c>
      <x:c r="C419" s="108" t="n">
        <x:v>46100.584027777775</x:v>
      </x:c>
      <x:c r="D419" s="93" t="n">
        <x:v>46096</x:v>
      </x:c>
      <x:c r="E419" s="94" t="str">
        <x:v>Google Ads</x:v>
      </x:c>
      <x:c r="F419" s="94" t="str">
        <x:v>美国</x:v>
      </x:c>
      <x:c r="G419" s="94" t="str">
        <x:v>品牌搜索</x:v>
      </x:c>
      <x:c r="H419" s="94" t="str">
        <x:v>SKU-0008</x:v>
      </x:c>
      <x:c r="I419" s="94" t="str">
        <x:v>电子产品</x:v>
      </x:c>
      <x:c r="J419" s="94" t="str">
        <x:v>Wi-Fi路由器 H</x:v>
      </x:c>
      <x:c r="K419" s="97" t="n">
        <x:v>285.4</x:v>
      </x:c>
      <x:c r="L419" s="95" t="n">
        <x:v>1</x:v>
      </x:c>
      <x:c r="M419" s="97" t="n">
        <x:f>ROUND(K419*L419,2)</x:f>
        <x:v>285.4</x:v>
      </x:c>
      <x:c r="N419" s="109" t="n">
        <x:v>0.05</x:v>
      </x:c>
      <x:c r="O419" s="97" t="n">
        <x:f>ROUND(M419*N419,2)</x:f>
        <x:v>14.27</x:v>
      </x:c>
      <x:c r="P419" s="94" t="str">
        <x:v>已确认</x:v>
      </x:c>
      <x:c r="Q419" s="97" t="n">
        <x:f>IF(P419="已退款",M419,0)</x:f>
        <x:v>0</x:v>
      </x:c>
      <x:c r="R419" s="97" t="n">
        <x:f>IF(P419="已退款",O419,0)</x:f>
        <x:v>0</x:v>
      </x:c>
      <x:c r="S419" s="97" t="n">
        <x:f>O419-R419</x:f>
        <x:v>14.27</x:v>
      </x:c>
      <x:c r="T419" s="94" t="n">
        <x:v>4</x:v>
      </x:c>
      <x:c r="U419" s="94" t="str">
        <x:v>模拟：Amazon Associates订单回传</x:v>
      </x:c>
    </x:row>
    <x:row r="420">
      <x:c r="A420" s="92" t="str">
        <x:v>AMZ-ORD-00419</x:v>
      </x:c>
      <x:c r="B420" s="94" t="str">
        <x:v>PROC-0410</x:v>
      </x:c>
      <x:c r="C420" s="108" t="n">
        <x:v>46098.62013888889</x:v>
      </x:c>
      <x:c r="D420" s="93" t="n">
        <x:v>46097</x:v>
      </x:c>
      <x:c r="E420" s="94" t="str">
        <x:v>Google Ads</x:v>
      </x:c>
      <x:c r="F420" s="94" t="str">
        <x:v>英国</x:v>
      </x:c>
      <x:c r="G420" s="94" t="str">
        <x:v>品牌搜索</x:v>
      </x:c>
      <x:c r="H420" s="94" t="str">
        <x:v>SKU-0019</x:v>
      </x:c>
      <x:c r="I420" s="94" t="str">
        <x:v>家居生活</x:v>
      </x:c>
      <x:c r="J420" s="94" t="str">
        <x:v>无线吸尘器 I</x:v>
      </x:c>
      <x:c r="K420" s="97" t="n">
        <x:v>327.41</x:v>
      </x:c>
      <x:c r="L420" s="95" t="n">
        <x:v>1</x:v>
      </x:c>
      <x:c r="M420" s="97" t="n">
        <x:f>ROUND(K420*L420,2)</x:f>
        <x:v>327.41</x:v>
      </x:c>
      <x:c r="N420" s="109" t="n">
        <x:v>0.07</x:v>
      </x:c>
      <x:c r="O420" s="97" t="n">
        <x:f>ROUND(M420*N420,2)</x:f>
        <x:v>22.92</x:v>
      </x:c>
      <x:c r="P420" s="94" t="str">
        <x:v>已确认</x:v>
      </x:c>
      <x:c r="Q420" s="97" t="n">
        <x:f>IF(P420="已退款",M420,0)</x:f>
        <x:v>0</x:v>
      </x:c>
      <x:c r="R420" s="97" t="n">
        <x:f>IF(P420="已退款",O420,0)</x:f>
        <x:v>0</x:v>
      </x:c>
      <x:c r="S420" s="97" t="n">
        <x:f>O420-R420</x:f>
        <x:v>22.92</x:v>
      </x:c>
      <x:c r="T420" s="94" t="n">
        <x:v>1</x:v>
      </x:c>
      <x:c r="U420" s="94" t="str">
        <x:v>模拟：Amazon Associates订单回传</x:v>
      </x:c>
    </x:row>
    <x:row r="421">
      <x:c r="A421" s="92" t="str">
        <x:v>AMZ-ORD-00420</x:v>
      </x:c>
      <x:c r="B421" s="94" t="str">
        <x:v>PROC-0411</x:v>
      </x:c>
      <x:c r="C421" s="108" t="n">
        <x:v>46098.756944444445</x:v>
      </x:c>
      <x:c r="D421" s="93" t="n">
        <x:v>46097</x:v>
      </x:c>
      <x:c r="E421" s="94" t="str">
        <x:v>Google Ads</x:v>
      </x:c>
      <x:c r="F421" s="94" t="str">
        <x:v>英国</x:v>
      </x:c>
      <x:c r="G421" s="94" t="str">
        <x:v>通用搜索</x:v>
      </x:c>
      <x:c r="H421" s="94" t="str">
        <x:v>SKU-0029</x:v>
      </x:c>
      <x:c r="I421" s="94" t="str">
        <x:v>运动健康</x:v>
      </x:c>
      <x:c r="J421" s="94" t="str">
        <x:v>运动耳机 I</x:v>
      </x:c>
      <x:c r="K421" s="97" t="n">
        <x:v>88.84</x:v>
      </x:c>
      <x:c r="L421" s="95" t="n">
        <x:v>1</x:v>
      </x:c>
      <x:c r="M421" s="97" t="n">
        <x:f>ROUND(K421*L421,2)</x:f>
        <x:v>88.84</x:v>
      </x:c>
      <x:c r="N421" s="109" t="n">
        <x:v>0.08</x:v>
      </x:c>
      <x:c r="O421" s="97" t="n">
        <x:f>ROUND(M421*N421,2)</x:f>
        <x:v>7.11</x:v>
      </x:c>
      <x:c r="P421" s="94" t="str">
        <x:v>已确认</x:v>
      </x:c>
      <x:c r="Q421" s="97" t="n">
        <x:f>IF(P421="已退款",M421,0)</x:f>
        <x:v>0</x:v>
      </x:c>
      <x:c r="R421" s="97" t="n">
        <x:f>IF(P421="已退款",O421,0)</x:f>
        <x:v>0</x:v>
      </x:c>
      <x:c r="S421" s="97" t="n">
        <x:f>O421-R421</x:f>
        <x:v>7.11</x:v>
      </x:c>
      <x:c r="T421" s="94" t="n">
        <x:v>1</x:v>
      </x:c>
      <x:c r="U421" s="94" t="str">
        <x:v>模拟：Amazon Associates订单回传</x:v>
      </x:c>
    </x:row>
    <x:row r="422">
      <x:c r="A422" s="92" t="str">
        <x:v>AMZ-ORD-00421</x:v>
      </x:c>
      <x:c r="B422" s="94" t="str">
        <x:v>PROC-0412</x:v>
      </x:c>
      <x:c r="C422" s="108" t="n">
        <x:v>46097.65833333333</x:v>
      </x:c>
      <x:c r="D422" s="93" t="n">
        <x:v>46097</x:v>
      </x:c>
      <x:c r="E422" s="94" t="str">
        <x:v>Microsoft Ads</x:v>
      </x:c>
      <x:c r="F422" s="94" t="str">
        <x:v>日本</x:v>
      </x:c>
      <x:c r="G422" s="94" t="str">
        <x:v>通用搜索</x:v>
      </x:c>
      <x:c r="H422" s="94" t="str">
        <x:v>SKU-0013</x:v>
      </x:c>
      <x:c r="I422" s="94" t="str">
        <x:v>家居生活</x:v>
      </x:c>
      <x:c r="J422" s="94" t="str">
        <x:v>人体工学椅 C</x:v>
      </x:c>
      <x:c r="K422" s="97" t="n">
        <x:v>138.29</x:v>
      </x:c>
      <x:c r="L422" s="95" t="n">
        <x:v>1</x:v>
      </x:c>
      <x:c r="M422" s="97" t="n">
        <x:f>ROUND(K422*L422,2)</x:f>
        <x:v>138.29</x:v>
      </x:c>
      <x:c r="N422" s="109" t="n">
        <x:v>0.07</x:v>
      </x:c>
      <x:c r="O422" s="97" t="n">
        <x:f>ROUND(M422*N422,2)</x:f>
        <x:v>9.68</x:v>
      </x:c>
      <x:c r="P422" s="94" t="str">
        <x:v>已确认</x:v>
      </x:c>
      <x:c r="Q422" s="97" t="n">
        <x:f>IF(P422="已退款",M422,0)</x:f>
        <x:v>0</x:v>
      </x:c>
      <x:c r="R422" s="97" t="n">
        <x:f>IF(P422="已退款",O422,0)</x:f>
        <x:v>0</x:v>
      </x:c>
      <x:c r="S422" s="97" t="n">
        <x:f>O422-R422</x:f>
        <x:v>9.68</x:v>
      </x:c>
      <x:c r="T422" s="94" t="n">
        <x:v>0</x:v>
      </x:c>
      <x:c r="U422" s="94" t="str">
        <x:v>模拟：Amazon Associates订单回传</x:v>
      </x:c>
    </x:row>
    <x:row r="423">
      <x:c r="A423" s="92" t="str">
        <x:v>AMZ-ORD-00422</x:v>
      </x:c>
      <x:c r="B423" s="94" t="str">
        <x:v>PROC-0413</x:v>
      </x:c>
      <x:c r="C423" s="108" t="n">
        <x:v>46101.813888888886</x:v>
      </x:c>
      <x:c r="D423" s="93" t="n">
        <x:v>46097</x:v>
      </x:c>
      <x:c r="E423" s="94" t="str">
        <x:v>Google Ads</x:v>
      </x:c>
      <x:c r="F423" s="94" t="str">
        <x:v>美国</x:v>
      </x:c>
      <x:c r="G423" s="94" t="str">
        <x:v>品牌搜索</x:v>
      </x:c>
      <x:c r="H423" s="94" t="str">
        <x:v>SKU-0008</x:v>
      </x:c>
      <x:c r="I423" s="94" t="str">
        <x:v>电子产品</x:v>
      </x:c>
      <x:c r="J423" s="94" t="str">
        <x:v>Wi-Fi路由器 H</x:v>
      </x:c>
      <x:c r="K423" s="97" t="n">
        <x:v>574.63</x:v>
      </x:c>
      <x:c r="L423" s="95" t="n">
        <x:v>2</x:v>
      </x:c>
      <x:c r="M423" s="97" t="n">
        <x:f>ROUND(K423*L423,2)</x:f>
        <x:v>1149.26</x:v>
      </x:c>
      <x:c r="N423" s="109" t="n">
        <x:v>0.05</x:v>
      </x:c>
      <x:c r="O423" s="97" t="n">
        <x:f>ROUND(M423*N423,2)</x:f>
        <x:v>57.46</x:v>
      </x:c>
      <x:c r="P423" s="94" t="str">
        <x:v>已确认</x:v>
      </x:c>
      <x:c r="Q423" s="97" t="n">
        <x:f>IF(P423="已退款",M423,0)</x:f>
        <x:v>0</x:v>
      </x:c>
      <x:c r="R423" s="97" t="n">
        <x:f>IF(P423="已退款",O423,0)</x:f>
        <x:v>0</x:v>
      </x:c>
      <x:c r="S423" s="97" t="n">
        <x:f>O423-R423</x:f>
        <x:v>57.46</x:v>
      </x:c>
      <x:c r="T423" s="94" t="n">
        <x:v>4</x:v>
      </x:c>
      <x:c r="U423" s="94" t="str">
        <x:v>模拟：Amazon Associates订单回传</x:v>
      </x:c>
    </x:row>
    <x:row r="424">
      <x:c r="A424" s="92" t="str">
        <x:v>AMZ-ORD-00423</x:v>
      </x:c>
      <x:c r="B424" s="94" t="str">
        <x:v>PROC-0414</x:v>
      </x:c>
      <x:c r="C424" s="108" t="n">
        <x:v>46097.57708333333</x:v>
      </x:c>
      <x:c r="D424" s="93" t="n">
        <x:v>46097</x:v>
      </x:c>
      <x:c r="E424" s="94" t="str">
        <x:v>Google Ads</x:v>
      </x:c>
      <x:c r="F424" s="94" t="str">
        <x:v>德国</x:v>
      </x:c>
      <x:c r="G424" s="94" t="str">
        <x:v>购物广告</x:v>
      </x:c>
      <x:c r="H424" s="94" t="str">
        <x:v>SKU-0008</x:v>
      </x:c>
      <x:c r="I424" s="94" t="str">
        <x:v>电子产品</x:v>
      </x:c>
      <x:c r="J424" s="94" t="str">
        <x:v>Wi-Fi路由器 H</x:v>
      </x:c>
      <x:c r="K424" s="97" t="n">
        <x:v>358.47</x:v>
      </x:c>
      <x:c r="L424" s="95" t="n">
        <x:v>2</x:v>
      </x:c>
      <x:c r="M424" s="97" t="n">
        <x:f>ROUND(K424*L424,2)</x:f>
        <x:v>716.94</x:v>
      </x:c>
      <x:c r="N424" s="109" t="n">
        <x:v>0.05</x:v>
      </x:c>
      <x:c r="O424" s="97" t="n">
        <x:f>ROUND(M424*N424,2)</x:f>
        <x:v>35.85</x:v>
      </x:c>
      <x:c r="P424" s="94" t="str">
        <x:v>已确认</x:v>
      </x:c>
      <x:c r="Q424" s="97" t="n">
        <x:f>IF(P424="已退款",M424,0)</x:f>
        <x:v>0</x:v>
      </x:c>
      <x:c r="R424" s="97" t="n">
        <x:f>IF(P424="已退款",O424,0)</x:f>
        <x:v>0</x:v>
      </x:c>
      <x:c r="S424" s="97" t="n">
        <x:f>O424-R424</x:f>
        <x:v>35.85</x:v>
      </x:c>
      <x:c r="T424" s="94" t="n">
        <x:v>0</x:v>
      </x:c>
      <x:c r="U424" s="94" t="str">
        <x:v>模拟：Amazon Associates订单回传</x:v>
      </x:c>
    </x:row>
    <x:row r="425">
      <x:c r="A425" s="92" t="str">
        <x:v>AMZ-ORD-00424</x:v>
      </x:c>
      <x:c r="B425" s="94" t="str">
        <x:v>PROC-0415</x:v>
      </x:c>
      <x:c r="C425" s="108" t="n">
        <x:v>46097.62847222222</x:v>
      </x:c>
      <x:c r="D425" s="93" t="n">
        <x:v>46097</x:v>
      </x:c>
      <x:c r="E425" s="94" t="str">
        <x:v>Microsoft Ads</x:v>
      </x:c>
      <x:c r="F425" s="94" t="str">
        <x:v>美国</x:v>
      </x:c>
      <x:c r="G425" s="94" t="str">
        <x:v>通用搜索</x:v>
      </x:c>
      <x:c r="H425" s="94" t="str">
        <x:v>SKU-0030</x:v>
      </x:c>
      <x:c r="I425" s="94" t="str">
        <x:v>运动健康</x:v>
      </x:c>
      <x:c r="J425" s="94" t="str">
        <x:v>露营套装 J</x:v>
      </x:c>
      <x:c r="K425" s="97" t="n">
        <x:v>99.4</x:v>
      </x:c>
      <x:c r="L425" s="95" t="n">
        <x:v>1</x:v>
      </x:c>
      <x:c r="M425" s="97" t="n">
        <x:f>ROUND(K425*L425,2)</x:f>
        <x:v>99.4</x:v>
      </x:c>
      <x:c r="N425" s="109" t="n">
        <x:v>0.08</x:v>
      </x:c>
      <x:c r="O425" s="97" t="n">
        <x:f>ROUND(M425*N425,2)</x:f>
        <x:v>7.95</x:v>
      </x:c>
      <x:c r="P425" s="94" t="str">
        <x:v>已确认</x:v>
      </x:c>
      <x:c r="Q425" s="97" t="n">
        <x:f>IF(P425="已退款",M425,0)</x:f>
        <x:v>0</x:v>
      </x:c>
      <x:c r="R425" s="97" t="n">
        <x:f>IF(P425="已退款",O425,0)</x:f>
        <x:v>0</x:v>
      </x:c>
      <x:c r="S425" s="97" t="n">
        <x:f>O425-R425</x:f>
        <x:v>7.95</x:v>
      </x:c>
      <x:c r="T425" s="94" t="n">
        <x:v>0</x:v>
      </x:c>
      <x:c r="U425" s="94" t="str">
        <x:v>模拟：Amazon Associates订单回传</x:v>
      </x:c>
    </x:row>
    <x:row r="426">
      <x:c r="A426" s="92" t="str">
        <x:v>AMZ-ORD-00425</x:v>
      </x:c>
      <x:c r="B426" s="94" t="str">
        <x:v>PROC-0416</x:v>
      </x:c>
      <x:c r="C426" s="108" t="n">
        <x:v>46101.6</x:v>
      </x:c>
      <x:c r="D426" s="93" t="n">
        <x:v>46098</x:v>
      </x:c>
      <x:c r="E426" s="94" t="str">
        <x:v>Google Ads</x:v>
      </x:c>
      <x:c r="F426" s="94" t="str">
        <x:v>德国</x:v>
      </x:c>
      <x:c r="G426" s="94" t="str">
        <x:v>品牌搜索</x:v>
      </x:c>
      <x:c r="H426" s="94" t="str">
        <x:v>SKU-0017</x:v>
      </x:c>
      <x:c r="I426" s="94" t="str">
        <x:v>家居生活</x:v>
      </x:c>
      <x:c r="J426" s="94" t="str">
        <x:v>落地灯 G</x:v>
      </x:c>
      <x:c r="K426" s="97" t="n">
        <x:v>326.54</x:v>
      </x:c>
      <x:c r="L426" s="95" t="n">
        <x:v>2</x:v>
      </x:c>
      <x:c r="M426" s="97" t="n">
        <x:f>ROUND(K426*L426,2)</x:f>
        <x:v>653.08</x:v>
      </x:c>
      <x:c r="N426" s="109" t="n">
        <x:v>0.07</x:v>
      </x:c>
      <x:c r="O426" s="97" t="n">
        <x:f>ROUND(M426*N426,2)</x:f>
        <x:v>45.72</x:v>
      </x:c>
      <x:c r="P426" s="94" t="str">
        <x:v>已确认</x:v>
      </x:c>
      <x:c r="Q426" s="97" t="n">
        <x:f>IF(P426="已退款",M426,0)</x:f>
        <x:v>0</x:v>
      </x:c>
      <x:c r="R426" s="97" t="n">
        <x:f>IF(P426="已退款",O426,0)</x:f>
        <x:v>0</x:v>
      </x:c>
      <x:c r="S426" s="97" t="n">
        <x:f>O426-R426</x:f>
        <x:v>45.72</x:v>
      </x:c>
      <x:c r="T426" s="94" t="n">
        <x:v>3</x:v>
      </x:c>
      <x:c r="U426" s="94" t="str">
        <x:v>模拟：Amazon Associates订单回传</x:v>
      </x:c>
    </x:row>
    <x:row r="427">
      <x:c r="A427" s="92" t="str">
        <x:v>AMZ-ORD-00426</x:v>
      </x:c>
      <x:c r="B427" s="94" t="str">
        <x:v>PROC-0416</x:v>
      </x:c>
      <x:c r="C427" s="108" t="n">
        <x:v>46098.41736111111</x:v>
      </x:c>
      <x:c r="D427" s="93" t="n">
        <x:v>46098</x:v>
      </x:c>
      <x:c r="E427" s="94" t="str">
        <x:v>Google Ads</x:v>
      </x:c>
      <x:c r="F427" s="94" t="str">
        <x:v>德国</x:v>
      </x:c>
      <x:c r="G427" s="94" t="str">
        <x:v>品牌搜索</x:v>
      </x:c>
      <x:c r="H427" s="94" t="str">
        <x:v>SKU-0044</x:v>
      </x:c>
      <x:c r="I427" s="94" t="str">
        <x:v>办公学习</x:v>
      </x:c>
      <x:c r="J427" s="94" t="str">
        <x:v>数字笔记本 D</x:v>
      </x:c>
      <x:c r="K427" s="97" t="n">
        <x:v>119.58</x:v>
      </x:c>
      <x:c r="L427" s="95" t="n">
        <x:v>1</x:v>
      </x:c>
      <x:c r="M427" s="97" t="n">
        <x:f>ROUND(K427*L427,2)</x:f>
        <x:v>119.58</x:v>
      </x:c>
      <x:c r="N427" s="109" t="n">
        <x:v>0.07</x:v>
      </x:c>
      <x:c r="O427" s="97" t="n">
        <x:f>ROUND(M427*N427,2)</x:f>
        <x:v>8.37</x:v>
      </x:c>
      <x:c r="P427" s="94" t="str">
        <x:v>已确认</x:v>
      </x:c>
      <x:c r="Q427" s="97" t="n">
        <x:f>IF(P427="已退款",M427,0)</x:f>
        <x:v>0</x:v>
      </x:c>
      <x:c r="R427" s="97" t="n">
        <x:f>IF(P427="已退款",O427,0)</x:f>
        <x:v>0</x:v>
      </x:c>
      <x:c r="S427" s="97" t="n">
        <x:f>O427-R427</x:f>
        <x:v>8.37</x:v>
      </x:c>
      <x:c r="T427" s="94" t="n">
        <x:v>0</x:v>
      </x:c>
      <x:c r="U427" s="94" t="str">
        <x:v>模拟：Amazon Associates订单回传</x:v>
      </x:c>
    </x:row>
    <x:row r="428">
      <x:c r="A428" s="92" t="str">
        <x:v>AMZ-ORD-00427</x:v>
      </x:c>
      <x:c r="B428" s="94" t="str">
        <x:v>PROC-0417</x:v>
      </x:c>
      <x:c r="C428" s="108" t="n">
        <x:v>46102.895833333336</x:v>
      </x:c>
      <x:c r="D428" s="93" t="n">
        <x:v>46098</x:v>
      </x:c>
      <x:c r="E428" s="94" t="str">
        <x:v>Microsoft Ads</x:v>
      </x:c>
      <x:c r="F428" s="94" t="str">
        <x:v>美国</x:v>
      </x:c>
      <x:c r="G428" s="94" t="str">
        <x:v>品牌搜索</x:v>
      </x:c>
      <x:c r="H428" s="94" t="str">
        <x:v>SKU-0002</x:v>
      </x:c>
      <x:c r="I428" s="94" t="str">
        <x:v>电子产品</x:v>
      </x:c>
      <x:c r="J428" s="94" t="str">
        <x:v>便携显示器 B</x:v>
      </x:c>
      <x:c r="K428" s="97" t="n">
        <x:v>448.21</x:v>
      </x:c>
      <x:c r="L428" s="95" t="n">
        <x:v>1</x:v>
      </x:c>
      <x:c r="M428" s="97" t="n">
        <x:f>ROUND(K428*L428,2)</x:f>
        <x:v>448.21</x:v>
      </x:c>
      <x:c r="N428" s="109" t="n">
        <x:v>0.05</x:v>
      </x:c>
      <x:c r="O428" s="97" t="n">
        <x:f>ROUND(M428*N428,2)</x:f>
        <x:v>22.41</x:v>
      </x:c>
      <x:c r="P428" s="94" t="str">
        <x:v>已确认</x:v>
      </x:c>
      <x:c r="Q428" s="97" t="n">
        <x:f>IF(P428="已退款",M428,0)</x:f>
        <x:v>0</x:v>
      </x:c>
      <x:c r="R428" s="97" t="n">
        <x:f>IF(P428="已退款",O428,0)</x:f>
        <x:v>0</x:v>
      </x:c>
      <x:c r="S428" s="97" t="n">
        <x:f>O428-R428</x:f>
        <x:v>22.41</x:v>
      </x:c>
      <x:c r="T428" s="94" t="n">
        <x:v>4</x:v>
      </x:c>
      <x:c r="U428" s="94" t="str">
        <x:v>模拟：Amazon Associates订单回传</x:v>
      </x:c>
    </x:row>
    <x:row r="429">
      <x:c r="A429" s="92" t="str">
        <x:v>AMZ-ORD-00428</x:v>
      </x:c>
      <x:c r="B429" s="94" t="str">
        <x:v>PROC-0418</x:v>
      </x:c>
      <x:c r="C429" s="108" t="n">
        <x:v>46101.770833333336</x:v>
      </x:c>
      <x:c r="D429" s="93" t="n">
        <x:v>46098</x:v>
      </x:c>
      <x:c r="E429" s="94" t="str">
        <x:v>Google Ads</x:v>
      </x:c>
      <x:c r="F429" s="94" t="str">
        <x:v>德国</x:v>
      </x:c>
      <x:c r="G429" s="94" t="str">
        <x:v>购物广告</x:v>
      </x:c>
      <x:c r="H429" s="94" t="str">
        <x:v>SKU-0011</x:v>
      </x:c>
      <x:c r="I429" s="94" t="str">
        <x:v>家居生活</x:v>
      </x:c>
      <x:c r="J429" s="94" t="str">
        <x:v>空气净化器 A</x:v>
      </x:c>
      <x:c r="K429" s="97" t="n">
        <x:v>307.92</x:v>
      </x:c>
      <x:c r="L429" s="95" t="n">
        <x:v>3</x:v>
      </x:c>
      <x:c r="M429" s="97" t="n">
        <x:f>ROUND(K429*L429,2)</x:f>
        <x:v>923.76</x:v>
      </x:c>
      <x:c r="N429" s="109" t="n">
        <x:v>0.07</x:v>
      </x:c>
      <x:c r="O429" s="97" t="n">
        <x:f>ROUND(M429*N429,2)</x:f>
        <x:v>64.66</x:v>
      </x:c>
      <x:c r="P429" s="94" t="str">
        <x:v>已退款</x:v>
      </x:c>
      <x:c r="Q429" s="97" t="n">
        <x:f>IF(P429="已退款",M429,0)</x:f>
        <x:v>923.76</x:v>
      </x:c>
      <x:c r="R429" s="97" t="n">
        <x:f>IF(P429="已退款",O429,0)</x:f>
        <x:v>64.66</x:v>
      </x:c>
      <x:c r="S429" s="97" t="n">
        <x:f>O429-R429</x:f>
        <x:v>0</x:v>
      </x:c>
      <x:c r="T429" s="94" t="n">
        <x:v>3</x:v>
      </x:c>
      <x:c r="U429" s="94" t="str">
        <x:v>模拟：Amazon Associates订单回传</x:v>
      </x:c>
    </x:row>
    <x:row r="430">
      <x:c r="A430" s="92" t="str">
        <x:v>AMZ-ORD-00429</x:v>
      </x:c>
      <x:c r="B430" s="94" t="str">
        <x:v>PROC-0419</x:v>
      </x:c>
      <x:c r="C430" s="108" t="n">
        <x:v>46098.54722222222</x:v>
      </x:c>
      <x:c r="D430" s="93" t="n">
        <x:v>46098</x:v>
      </x:c>
      <x:c r="E430" s="94" t="str">
        <x:v>Google Ads</x:v>
      </x:c>
      <x:c r="F430" s="94" t="str">
        <x:v>美国</x:v>
      </x:c>
      <x:c r="G430" s="94" t="str">
        <x:v>通用搜索</x:v>
      </x:c>
      <x:c r="H430" s="94" t="str">
        <x:v>SKU-0013</x:v>
      </x:c>
      <x:c r="I430" s="94" t="str">
        <x:v>家居生活</x:v>
      </x:c>
      <x:c r="J430" s="94" t="str">
        <x:v>人体工学椅 C</x:v>
      </x:c>
      <x:c r="K430" s="97" t="n">
        <x:v>93.04</x:v>
      </x:c>
      <x:c r="L430" s="95" t="n">
        <x:v>1</x:v>
      </x:c>
      <x:c r="M430" s="97" t="n">
        <x:f>ROUND(K430*L430,2)</x:f>
        <x:v>93.04</x:v>
      </x:c>
      <x:c r="N430" s="109" t="n">
        <x:v>0.07</x:v>
      </x:c>
      <x:c r="O430" s="97" t="n">
        <x:f>ROUND(M430*N430,2)</x:f>
        <x:v>6.51</x:v>
      </x:c>
      <x:c r="P430" s="94" t="str">
        <x:v>已确认</x:v>
      </x:c>
      <x:c r="Q430" s="97" t="n">
        <x:f>IF(P430="已退款",M430,0)</x:f>
        <x:v>0</x:v>
      </x:c>
      <x:c r="R430" s="97" t="n">
        <x:f>IF(P430="已退款",O430,0)</x:f>
        <x:v>0</x:v>
      </x:c>
      <x:c r="S430" s="97" t="n">
        <x:f>O430-R430</x:f>
        <x:v>6.51</x:v>
      </x:c>
      <x:c r="T430" s="94" t="n">
        <x:v>0</x:v>
      </x:c>
      <x:c r="U430" s="94" t="str">
        <x:v>模拟：Amazon Associates订单回传</x:v>
      </x:c>
    </x:row>
    <x:row r="431">
      <x:c r="A431" s="92" t="str">
        <x:v>AMZ-ORD-00430</x:v>
      </x:c>
      <x:c r="B431" s="94" t="str">
        <x:v>PROC-0420</x:v>
      </x:c>
      <x:c r="C431" s="108" t="n">
        <x:v>46101.55972222222</x:v>
      </x:c>
      <x:c r="D431" s="93" t="n">
        <x:v>46098</x:v>
      </x:c>
      <x:c r="E431" s="94" t="str">
        <x:v>Google Ads</x:v>
      </x:c>
      <x:c r="F431" s="94" t="str">
        <x:v>美国</x:v>
      </x:c>
      <x:c r="G431" s="94" t="str">
        <x:v>购物广告</x:v>
      </x:c>
      <x:c r="H431" s="94" t="str">
        <x:v>SKU-0008</x:v>
      </x:c>
      <x:c r="I431" s="94" t="str">
        <x:v>电子产品</x:v>
      </x:c>
      <x:c r="J431" s="94" t="str">
        <x:v>Wi-Fi路由器 H</x:v>
      </x:c>
      <x:c r="K431" s="97" t="n">
        <x:v>757.33</x:v>
      </x:c>
      <x:c r="L431" s="95" t="n">
        <x:v>3</x:v>
      </x:c>
      <x:c r="M431" s="97" t="n">
        <x:f>ROUND(K431*L431,2)</x:f>
        <x:v>2271.99</x:v>
      </x:c>
      <x:c r="N431" s="109" t="n">
        <x:v>0.05</x:v>
      </x:c>
      <x:c r="O431" s="97" t="n">
        <x:f>ROUND(M431*N431,2)</x:f>
        <x:v>113.6</x:v>
      </x:c>
      <x:c r="P431" s="94" t="str">
        <x:v>已确认</x:v>
      </x:c>
      <x:c r="Q431" s="97" t="n">
        <x:f>IF(P431="已退款",M431,0)</x:f>
        <x:v>0</x:v>
      </x:c>
      <x:c r="R431" s="97" t="n">
        <x:f>IF(P431="已退款",O431,0)</x:f>
        <x:v>0</x:v>
      </x:c>
      <x:c r="S431" s="97" t="n">
        <x:f>O431-R431</x:f>
        <x:v>113.6</x:v>
      </x:c>
      <x:c r="T431" s="94" t="n">
        <x:v>3</x:v>
      </x:c>
      <x:c r="U431" s="94" t="str">
        <x:v>模拟：Amazon Associates订单回传</x:v>
      </x:c>
    </x:row>
    <x:row r="432">
      <x:c r="A432" s="92" t="str">
        <x:v>AMZ-ORD-00431</x:v>
      </x:c>
      <x:c r="B432" s="94" t="str">
        <x:v>PROC-0421</x:v>
      </x:c>
      <x:c r="C432" s="108" t="n">
        <x:v>46100.37152777778</x:v>
      </x:c>
      <x:c r="D432" s="93" t="n">
        <x:v>46099</x:v>
      </x:c>
      <x:c r="E432" s="94" t="str">
        <x:v>Google Ads</x:v>
      </x:c>
      <x:c r="F432" s="94" t="str">
        <x:v>英国</x:v>
      </x:c>
      <x:c r="G432" s="94" t="str">
        <x:v>购物广告</x:v>
      </x:c>
      <x:c r="H432" s="94" t="str">
        <x:v>SKU-0044</x:v>
      </x:c>
      <x:c r="I432" s="94" t="str">
        <x:v>办公学习</x:v>
      </x:c>
      <x:c r="J432" s="94" t="str">
        <x:v>数字笔记本 D</x:v>
      </x:c>
      <x:c r="K432" s="97" t="n">
        <x:v>259.5</x:v>
      </x:c>
      <x:c r="L432" s="95" t="n">
        <x:v>1</x:v>
      </x:c>
      <x:c r="M432" s="97" t="n">
        <x:f>ROUND(K432*L432,2)</x:f>
        <x:v>259.5</x:v>
      </x:c>
      <x:c r="N432" s="109" t="n">
        <x:v>0.07</x:v>
      </x:c>
      <x:c r="O432" s="97" t="n">
        <x:f>ROUND(M432*N432,2)</x:f>
        <x:v>18.17</x:v>
      </x:c>
      <x:c r="P432" s="94" t="str">
        <x:v>已确认</x:v>
      </x:c>
      <x:c r="Q432" s="97" t="n">
        <x:f>IF(P432="已退款",M432,0)</x:f>
        <x:v>0</x:v>
      </x:c>
      <x:c r="R432" s="97" t="n">
        <x:f>IF(P432="已退款",O432,0)</x:f>
        <x:v>0</x:v>
      </x:c>
      <x:c r="S432" s="97" t="n">
        <x:f>O432-R432</x:f>
        <x:v>18.17</x:v>
      </x:c>
      <x:c r="T432" s="94" t="n">
        <x:v>1</x:v>
      </x:c>
      <x:c r="U432" s="94" t="str">
        <x:v>模拟：Amazon Associates订单回传</x:v>
      </x:c>
    </x:row>
    <x:row r="433">
      <x:c r="A433" s="92" t="str">
        <x:v>AMZ-ORD-00432</x:v>
      </x:c>
      <x:c r="B433" s="94" t="str">
        <x:v>PROC-0422</x:v>
      </x:c>
      <x:c r="C433" s="108" t="n">
        <x:v>46102.7875</x:v>
      </x:c>
      <x:c r="D433" s="93" t="n">
        <x:v>46099</x:v>
      </x:c>
      <x:c r="E433" s="94" t="str">
        <x:v>Microsoft Ads</x:v>
      </x:c>
      <x:c r="F433" s="94" t="str">
        <x:v>美国</x:v>
      </x:c>
      <x:c r="G433" s="94" t="str">
        <x:v>购物广告</x:v>
      </x:c>
      <x:c r="H433" s="94" t="str">
        <x:v>SKU-0002</x:v>
      </x:c>
      <x:c r="I433" s="94" t="str">
        <x:v>电子产品</x:v>
      </x:c>
      <x:c r="J433" s="94" t="str">
        <x:v>便携显示器 B</x:v>
      </x:c>
      <x:c r="K433" s="97" t="n">
        <x:v>468.58</x:v>
      </x:c>
      <x:c r="L433" s="95" t="n">
        <x:v>1</x:v>
      </x:c>
      <x:c r="M433" s="97" t="n">
        <x:f>ROUND(K433*L433,2)</x:f>
        <x:v>468.58</x:v>
      </x:c>
      <x:c r="N433" s="109" t="n">
        <x:v>0.05</x:v>
      </x:c>
      <x:c r="O433" s="97" t="n">
        <x:f>ROUND(M433*N433,2)</x:f>
        <x:v>23.43</x:v>
      </x:c>
      <x:c r="P433" s="94" t="str">
        <x:v>已确认</x:v>
      </x:c>
      <x:c r="Q433" s="97" t="n">
        <x:f>IF(P433="已退款",M433,0)</x:f>
        <x:v>0</x:v>
      </x:c>
      <x:c r="R433" s="97" t="n">
        <x:f>IF(P433="已退款",O433,0)</x:f>
        <x:v>0</x:v>
      </x:c>
      <x:c r="S433" s="97" t="n">
        <x:f>O433-R433</x:f>
        <x:v>23.43</x:v>
      </x:c>
      <x:c r="T433" s="94" t="n">
        <x:v>3</x:v>
      </x:c>
      <x:c r="U433" s="94" t="str">
        <x:v>模拟：Amazon Associates订单回传</x:v>
      </x:c>
    </x:row>
    <x:row r="434">
      <x:c r="A434" s="92" t="str">
        <x:v>AMZ-ORD-00433</x:v>
      </x:c>
      <x:c r="B434" s="94" t="str">
        <x:v>PROC-0422</x:v>
      </x:c>
      <x:c r="C434" s="108" t="n">
        <x:v>46102.60902777778</x:v>
      </x:c>
      <x:c r="D434" s="93" t="n">
        <x:v>46099</x:v>
      </x:c>
      <x:c r="E434" s="94" t="str">
        <x:v>Microsoft Ads</x:v>
      </x:c>
      <x:c r="F434" s="94" t="str">
        <x:v>美国</x:v>
      </x:c>
      <x:c r="G434" s="94" t="str">
        <x:v>购物广告</x:v>
      </x:c>
      <x:c r="H434" s="94" t="str">
        <x:v>SKU-0042</x:v>
      </x:c>
      <x:c r="I434" s="94" t="str">
        <x:v>办公学习</x:v>
      </x:c>
      <x:c r="J434" s="94" t="str">
        <x:v>护眼台灯 B</x:v>
      </x:c>
      <x:c r="K434" s="97" t="n">
        <x:v>114.97</x:v>
      </x:c>
      <x:c r="L434" s="95" t="n">
        <x:v>2</x:v>
      </x:c>
      <x:c r="M434" s="97" t="n">
        <x:f>ROUND(K434*L434,2)</x:f>
        <x:v>229.94</x:v>
      </x:c>
      <x:c r="N434" s="109" t="n">
        <x:v>0.07</x:v>
      </x:c>
      <x:c r="O434" s="97" t="n">
        <x:f>ROUND(M434*N434,2)</x:f>
        <x:v>16.1</x:v>
      </x:c>
      <x:c r="P434" s="94" t="str">
        <x:v>已确认</x:v>
      </x:c>
      <x:c r="Q434" s="97" t="n">
        <x:f>IF(P434="已退款",M434,0)</x:f>
        <x:v>0</x:v>
      </x:c>
      <x:c r="R434" s="97" t="n">
        <x:f>IF(P434="已退款",O434,0)</x:f>
        <x:v>0</x:v>
      </x:c>
      <x:c r="S434" s="97" t="n">
        <x:f>O434-R434</x:f>
        <x:v>16.1</x:v>
      </x:c>
      <x:c r="T434" s="94" t="n">
        <x:v>3</x:v>
      </x:c>
      <x:c r="U434" s="94" t="str">
        <x:v>模拟：Amazon Associates订单回传</x:v>
      </x:c>
    </x:row>
    <x:row r="435">
      <x:c r="A435" s="92" t="str">
        <x:v>AMZ-ORD-00434</x:v>
      </x:c>
      <x:c r="B435" s="94" t="str">
        <x:v>PROC-0423</x:v>
      </x:c>
      <x:c r="C435" s="108" t="n">
        <x:v>46100.55694444444</x:v>
      </x:c>
      <x:c r="D435" s="93" t="n">
        <x:v>46099</x:v>
      </x:c>
      <x:c r="E435" s="94" t="str">
        <x:v>Google Ads</x:v>
      </x:c>
      <x:c r="F435" s="94" t="str">
        <x:v>美国</x:v>
      </x:c>
      <x:c r="G435" s="94" t="str">
        <x:v>品牌搜索</x:v>
      </x:c>
      <x:c r="H435" s="94" t="str">
        <x:v>SKU-0003</x:v>
      </x:c>
      <x:c r="I435" s="94" t="str">
        <x:v>电子产品</x:v>
      </x:c>
      <x:c r="J435" s="94" t="str">
        <x:v>智能家居中枢 C</x:v>
      </x:c>
      <x:c r="K435" s="97" t="n">
        <x:v>648.31</x:v>
      </x:c>
      <x:c r="L435" s="95" t="n">
        <x:v>1</x:v>
      </x:c>
      <x:c r="M435" s="97" t="n">
        <x:f>ROUND(K435*L435,2)</x:f>
        <x:v>648.31</x:v>
      </x:c>
      <x:c r="N435" s="109" t="n">
        <x:v>0.05</x:v>
      </x:c>
      <x:c r="O435" s="97" t="n">
        <x:f>ROUND(M435*N435,2)</x:f>
        <x:v>32.42</x:v>
      </x:c>
      <x:c r="P435" s="94" t="str">
        <x:v>已确认</x:v>
      </x:c>
      <x:c r="Q435" s="97" t="n">
        <x:f>IF(P435="已退款",M435,0)</x:f>
        <x:v>0</x:v>
      </x:c>
      <x:c r="R435" s="97" t="n">
        <x:f>IF(P435="已退款",O435,0)</x:f>
        <x:v>0</x:v>
      </x:c>
      <x:c r="S435" s="97" t="n">
        <x:f>O435-R435</x:f>
        <x:v>32.42</x:v>
      </x:c>
      <x:c r="T435" s="94" t="n">
        <x:v>1</x:v>
      </x:c>
      <x:c r="U435" s="94" t="str">
        <x:v>模拟：Amazon Associates订单回传</x:v>
      </x:c>
    </x:row>
    <x:row r="436">
      <x:c r="A436" s="92" t="str">
        <x:v>AMZ-ORD-00435</x:v>
      </x:c>
      <x:c r="B436" s="94" t="str">
        <x:v>PROC-0423</x:v>
      </x:c>
      <x:c r="C436" s="108" t="n">
        <x:v>46101.87291666667</x:v>
      </x:c>
      <x:c r="D436" s="93" t="n">
        <x:v>46099</x:v>
      </x:c>
      <x:c r="E436" s="94" t="str">
        <x:v>Google Ads</x:v>
      </x:c>
      <x:c r="F436" s="94" t="str">
        <x:v>美国</x:v>
      </x:c>
      <x:c r="G436" s="94" t="str">
        <x:v>品牌搜索</x:v>
      </x:c>
      <x:c r="H436" s="94" t="str">
        <x:v>SKU-0009</x:v>
      </x:c>
      <x:c r="I436" s="94" t="str">
        <x:v>电子产品</x:v>
      </x:c>
      <x:c r="J436" s="94" t="str">
        <x:v>电子阅读器 I</x:v>
      </x:c>
      <x:c r="K436" s="97" t="n">
        <x:v>475.15</x:v>
      </x:c>
      <x:c r="L436" s="95" t="n">
        <x:v>1</x:v>
      </x:c>
      <x:c r="M436" s="97" t="n">
        <x:f>ROUND(K436*L436,2)</x:f>
        <x:v>475.15</x:v>
      </x:c>
      <x:c r="N436" s="109" t="n">
        <x:v>0.05</x:v>
      </x:c>
      <x:c r="O436" s="97" t="n">
        <x:f>ROUND(M436*N436,2)</x:f>
        <x:v>23.76</x:v>
      </x:c>
      <x:c r="P436" s="94" t="str">
        <x:v>已确认</x:v>
      </x:c>
      <x:c r="Q436" s="97" t="n">
        <x:f>IF(P436="已退款",M436,0)</x:f>
        <x:v>0</x:v>
      </x:c>
      <x:c r="R436" s="97" t="n">
        <x:f>IF(P436="已退款",O436,0)</x:f>
        <x:v>0</x:v>
      </x:c>
      <x:c r="S436" s="97" t="n">
        <x:f>O436-R436</x:f>
        <x:v>23.76</x:v>
      </x:c>
      <x:c r="T436" s="94" t="n">
        <x:v>2</x:v>
      </x:c>
      <x:c r="U436" s="94" t="str">
        <x:v>模拟：Amazon Associates订单回传</x:v>
      </x:c>
    </x:row>
    <x:row r="437">
      <x:c r="A437" s="92" t="str">
        <x:v>AMZ-ORD-00436</x:v>
      </x:c>
      <x:c r="B437" s="94" t="str">
        <x:v>PROC-0424</x:v>
      </x:c>
      <x:c r="C437" s="108" t="n">
        <x:v>46100.41527777778</x:v>
      </x:c>
      <x:c r="D437" s="93" t="n">
        <x:v>46099</x:v>
      </x:c>
      <x:c r="E437" s="94" t="str">
        <x:v>Microsoft Ads</x:v>
      </x:c>
      <x:c r="F437" s="94" t="str">
        <x:v>美国</x:v>
      </x:c>
      <x:c r="G437" s="94" t="str">
        <x:v>购物广告</x:v>
      </x:c>
      <x:c r="H437" s="94" t="str">
        <x:v>SKU-0009</x:v>
      </x:c>
      <x:c r="I437" s="94" t="str">
        <x:v>电子产品</x:v>
      </x:c>
      <x:c r="J437" s="94" t="str">
        <x:v>电子阅读器 I</x:v>
      </x:c>
      <x:c r="K437" s="97" t="n">
        <x:v>559.4</x:v>
      </x:c>
      <x:c r="L437" s="95" t="n">
        <x:v>1</x:v>
      </x:c>
      <x:c r="M437" s="97" t="n">
        <x:f>ROUND(K437*L437,2)</x:f>
        <x:v>559.4</x:v>
      </x:c>
      <x:c r="N437" s="109" t="n">
        <x:v>0.05</x:v>
      </x:c>
      <x:c r="O437" s="97" t="n">
        <x:f>ROUND(M437*N437,2)</x:f>
        <x:v>27.97</x:v>
      </x:c>
      <x:c r="P437" s="94" t="str">
        <x:v>已确认</x:v>
      </x:c>
      <x:c r="Q437" s="97" t="n">
        <x:f>IF(P437="已退款",M437,0)</x:f>
        <x:v>0</x:v>
      </x:c>
      <x:c r="R437" s="97" t="n">
        <x:f>IF(P437="已退款",O437,0)</x:f>
        <x:v>0</x:v>
      </x:c>
      <x:c r="S437" s="97" t="n">
        <x:f>O437-R437</x:f>
        <x:v>27.97</x:v>
      </x:c>
      <x:c r="T437" s="94" t="n">
        <x:v>1</x:v>
      </x:c>
      <x:c r="U437" s="94" t="str">
        <x:v>模拟：Amazon Associates订单回传</x:v>
      </x:c>
    </x:row>
    <x:row r="438">
      <x:c r="A438" s="92" t="str">
        <x:v>AMZ-ORD-00437</x:v>
      </x:c>
      <x:c r="B438" s="94" t="str">
        <x:v>PROC-0425</x:v>
      </x:c>
      <x:c r="C438" s="108" t="n">
        <x:v>46100.33611111111</x:v>
      </x:c>
      <x:c r="D438" s="93" t="n">
        <x:v>46099</x:v>
      </x:c>
      <x:c r="E438" s="94" t="str">
        <x:v>Microsoft Ads</x:v>
      </x:c>
      <x:c r="F438" s="94" t="str">
        <x:v>英国</x:v>
      </x:c>
      <x:c r="G438" s="94" t="str">
        <x:v>竞品搜索</x:v>
      </x:c>
      <x:c r="H438" s="94" t="str">
        <x:v>SKU-0034</x:v>
      </x:c>
      <x:c r="I438" s="94" t="str">
        <x:v>美妆个护</x:v>
      </x:c>
      <x:c r="J438" s="94" t="str">
        <x:v>电动牙刷 D</x:v>
      </x:c>
      <x:c r="K438" s="97" t="n">
        <x:v>120.05</x:v>
      </x:c>
      <x:c r="L438" s="95" t="n">
        <x:v>2</x:v>
      </x:c>
      <x:c r="M438" s="97" t="n">
        <x:f>ROUND(K438*L438,2)</x:f>
        <x:v>240.1</x:v>
      </x:c>
      <x:c r="N438" s="109" t="n">
        <x:v>0.1</x:v>
      </x:c>
      <x:c r="O438" s="97" t="n">
        <x:f>ROUND(M438*N438,2)</x:f>
        <x:v>24.01</x:v>
      </x:c>
      <x:c r="P438" s="94" t="str">
        <x:v>已确认</x:v>
      </x:c>
      <x:c r="Q438" s="97" t="n">
        <x:f>IF(P438="已退款",M438,0)</x:f>
        <x:v>0</x:v>
      </x:c>
      <x:c r="R438" s="97" t="n">
        <x:f>IF(P438="已退款",O438,0)</x:f>
        <x:v>0</x:v>
      </x:c>
      <x:c r="S438" s="97" t="n">
        <x:f>O438-R438</x:f>
        <x:v>24.01</x:v>
      </x:c>
      <x:c r="T438" s="94" t="n">
        <x:v>1</x:v>
      </x:c>
      <x:c r="U438" s="94" t="str">
        <x:v>模拟：Amazon Associates订单回传</x:v>
      </x:c>
    </x:row>
    <x:row r="439">
      <x:c r="A439" s="92" t="str">
        <x:v>AMZ-ORD-00438</x:v>
      </x:c>
      <x:c r="B439" s="94" t="str">
        <x:v>PROC-0426</x:v>
      </x:c>
      <x:c r="C439" s="108" t="n">
        <x:v>46101.495833333334</x:v>
      </x:c>
      <x:c r="D439" s="93" t="n">
        <x:v>46099</x:v>
      </x:c>
      <x:c r="E439" s="94" t="str">
        <x:v>Google Ads</x:v>
      </x:c>
      <x:c r="F439" s="94" t="str">
        <x:v>美国</x:v>
      </x:c>
      <x:c r="G439" s="94" t="str">
        <x:v>品牌搜索</x:v>
      </x:c>
      <x:c r="H439" s="94" t="str">
        <x:v>SKU-0007</x:v>
      </x:c>
      <x:c r="I439" s="94" t="str">
        <x:v>电子产品</x:v>
      </x:c>
      <x:c r="J439" s="94" t="str">
        <x:v>运动相机 G</x:v>
      </x:c>
      <x:c r="K439" s="97" t="n">
        <x:v>571.35</x:v>
      </x:c>
      <x:c r="L439" s="95" t="n">
        <x:v>3</x:v>
      </x:c>
      <x:c r="M439" s="97" t="n">
        <x:f>ROUND(K439*L439,2)</x:f>
        <x:v>1714.05</x:v>
      </x:c>
      <x:c r="N439" s="109" t="n">
        <x:v>0.05</x:v>
      </x:c>
      <x:c r="O439" s="97" t="n">
        <x:f>ROUND(M439*N439,2)</x:f>
        <x:v>85.7</x:v>
      </x:c>
      <x:c r="P439" s="94" t="str">
        <x:v>已确认</x:v>
      </x:c>
      <x:c r="Q439" s="97" t="n">
        <x:f>IF(P439="已退款",M439,0)</x:f>
        <x:v>0</x:v>
      </x:c>
      <x:c r="R439" s="97" t="n">
        <x:f>IF(P439="已退款",O439,0)</x:f>
        <x:v>0</x:v>
      </x:c>
      <x:c r="S439" s="97" t="n">
        <x:f>O439-R439</x:f>
        <x:v>85.7</x:v>
      </x:c>
      <x:c r="T439" s="94" t="n">
        <x:v>2</x:v>
      </x:c>
      <x:c r="U439" s="94" t="str">
        <x:v>模拟：Amazon Associates订单回传</x:v>
      </x:c>
    </x:row>
    <x:row r="440">
      <x:c r="A440" s="92" t="str">
        <x:v>AMZ-ORD-00439</x:v>
      </x:c>
      <x:c r="B440" s="94" t="str">
        <x:v>PROC-0428</x:v>
      </x:c>
      <x:c r="C440" s="108" t="n">
        <x:v>46100.65</x:v>
      </x:c>
      <x:c r="D440" s="93" t="n">
        <x:v>46100</x:v>
      </x:c>
      <x:c r="E440" s="94" t="str">
        <x:v>Google Ads</x:v>
      </x:c>
      <x:c r="F440" s="94" t="str">
        <x:v>美国</x:v>
      </x:c>
      <x:c r="G440" s="94" t="str">
        <x:v>品牌搜索</x:v>
      </x:c>
      <x:c r="H440" s="94" t="str">
        <x:v>SKU-0028</x:v>
      </x:c>
      <x:c r="I440" s="94" t="str">
        <x:v>运动健康</x:v>
      </x:c>
      <x:c r="J440" s="94" t="str">
        <x:v>体脂秤 H</x:v>
      </x:c>
      <x:c r="K440" s="97" t="n">
        <x:v>244.01</x:v>
      </x:c>
      <x:c r="L440" s="95" t="n">
        <x:v>3</x:v>
      </x:c>
      <x:c r="M440" s="97" t="n">
        <x:f>ROUND(K440*L440,2)</x:f>
        <x:v>732.03</x:v>
      </x:c>
      <x:c r="N440" s="109" t="n">
        <x:v>0.08</x:v>
      </x:c>
      <x:c r="O440" s="97" t="n">
        <x:f>ROUND(M440*N440,2)</x:f>
        <x:v>58.56</x:v>
      </x:c>
      <x:c r="P440" s="94" t="str">
        <x:v>已确认</x:v>
      </x:c>
      <x:c r="Q440" s="97" t="n">
        <x:f>IF(P440="已退款",M440,0)</x:f>
        <x:v>0</x:v>
      </x:c>
      <x:c r="R440" s="97" t="n">
        <x:f>IF(P440="已退款",O440,0)</x:f>
        <x:v>0</x:v>
      </x:c>
      <x:c r="S440" s="97" t="n">
        <x:f>O440-R440</x:f>
        <x:v>58.56</x:v>
      </x:c>
      <x:c r="T440" s="94" t="n">
        <x:v>0</x:v>
      </x:c>
      <x:c r="U440" s="94" t="str">
        <x:v>模拟：Amazon Associates订单回传</x:v>
      </x:c>
    </x:row>
    <x:row r="441">
      <x:c r="A441" s="92" t="str">
        <x:v>AMZ-ORD-00440</x:v>
      </x:c>
      <x:c r="B441" s="94" t="str">
        <x:v>PROC-0428</x:v>
      </x:c>
      <x:c r="C441" s="108" t="n">
        <x:v>46104.50069444445</x:v>
      </x:c>
      <x:c r="D441" s="93" t="n">
        <x:v>46100</x:v>
      </x:c>
      <x:c r="E441" s="94" t="str">
        <x:v>Google Ads</x:v>
      </x:c>
      <x:c r="F441" s="94" t="str">
        <x:v>美国</x:v>
      </x:c>
      <x:c r="G441" s="94" t="str">
        <x:v>品牌搜索</x:v>
      </x:c>
      <x:c r="H441" s="94" t="str">
        <x:v>SKU-0045</x:v>
      </x:c>
      <x:c r="I441" s="94" t="str">
        <x:v>办公学习</x:v>
      </x:c>
      <x:c r="J441" s="94" t="str">
        <x:v>办公收纳 E</x:v>
      </x:c>
      <x:c r="K441" s="97" t="n">
        <x:v>221.66</x:v>
      </x:c>
      <x:c r="L441" s="95" t="n">
        <x:v>1</x:v>
      </x:c>
      <x:c r="M441" s="97" t="n">
        <x:f>ROUND(K441*L441,2)</x:f>
        <x:v>221.66</x:v>
      </x:c>
      <x:c r="N441" s="109" t="n">
        <x:v>0.07</x:v>
      </x:c>
      <x:c r="O441" s="97" t="n">
        <x:f>ROUND(M441*N441,2)</x:f>
        <x:v>15.52</x:v>
      </x:c>
      <x:c r="P441" s="94" t="str">
        <x:v>已确认</x:v>
      </x:c>
      <x:c r="Q441" s="97" t="n">
        <x:f>IF(P441="已退款",M441,0)</x:f>
        <x:v>0</x:v>
      </x:c>
      <x:c r="R441" s="97" t="n">
        <x:f>IF(P441="已退款",O441,0)</x:f>
        <x:v>0</x:v>
      </x:c>
      <x:c r="S441" s="97" t="n">
        <x:f>O441-R441</x:f>
        <x:v>15.52</x:v>
      </x:c>
      <x:c r="T441" s="94" t="n">
        <x:v>4</x:v>
      </x:c>
      <x:c r="U441" s="94" t="str">
        <x:v>模拟：Amazon Associates订单回传</x:v>
      </x:c>
    </x:row>
    <x:row r="442">
      <x:c r="A442" s="92" t="str">
        <x:v>AMZ-ORD-00441</x:v>
      </x:c>
      <x:c r="B442" s="94" t="str">
        <x:v>PROC-0429</x:v>
      </x:c>
      <x:c r="C442" s="108" t="n">
        <x:v>46101.407638888886</x:v>
      </x:c>
      <x:c r="D442" s="93" t="n">
        <x:v>46100</x:v>
      </x:c>
      <x:c r="E442" s="94" t="str">
        <x:v>Microsoft Ads</x:v>
      </x:c>
      <x:c r="F442" s="94" t="str">
        <x:v>美国</x:v>
      </x:c>
      <x:c r="G442" s="94" t="str">
        <x:v>竞品搜索</x:v>
      </x:c>
      <x:c r="H442" s="94" t="str">
        <x:v>SKU-0017</x:v>
      </x:c>
      <x:c r="I442" s="94" t="str">
        <x:v>家居生活</x:v>
      </x:c>
      <x:c r="J442" s="94" t="str">
        <x:v>落地灯 G</x:v>
      </x:c>
      <x:c r="K442" s="97" t="n">
        <x:v>214.35</x:v>
      </x:c>
      <x:c r="L442" s="95" t="n">
        <x:v>1</x:v>
      </x:c>
      <x:c r="M442" s="97" t="n">
        <x:f>ROUND(K442*L442,2)</x:f>
        <x:v>214.35</x:v>
      </x:c>
      <x:c r="N442" s="109" t="n">
        <x:v>0.07</x:v>
      </x:c>
      <x:c r="O442" s="97" t="n">
        <x:f>ROUND(M442*N442,2)</x:f>
        <x:v>15</x:v>
      </x:c>
      <x:c r="P442" s="94" t="str">
        <x:v>已确认</x:v>
      </x:c>
      <x:c r="Q442" s="97" t="n">
        <x:f>IF(P442="已退款",M442,0)</x:f>
        <x:v>0</x:v>
      </x:c>
      <x:c r="R442" s="97" t="n">
        <x:f>IF(P442="已退款",O442,0)</x:f>
        <x:v>0</x:v>
      </x:c>
      <x:c r="S442" s="97" t="n">
        <x:f>O442-R442</x:f>
        <x:v>15</x:v>
      </x:c>
      <x:c r="T442" s="94" t="n">
        <x:v>1</x:v>
      </x:c>
      <x:c r="U442" s="94" t="str">
        <x:v>模拟：Amazon Associates订单回传</x:v>
      </x:c>
    </x:row>
    <x:row r="443">
      <x:c r="A443" s="92" t="str">
        <x:v>AMZ-ORD-00442</x:v>
      </x:c>
      <x:c r="B443" s="94" t="str">
        <x:v>PROC-0430</x:v>
      </x:c>
      <x:c r="C443" s="108" t="n">
        <x:v>46104.40277777778</x:v>
      </x:c>
      <x:c r="D443" s="93" t="n">
        <x:v>46100</x:v>
      </x:c>
      <x:c r="E443" s="94" t="str">
        <x:v>Microsoft Ads</x:v>
      </x:c>
      <x:c r="F443" s="94" t="str">
        <x:v>美国</x:v>
      </x:c>
      <x:c r="G443" s="94" t="str">
        <x:v>品牌搜索</x:v>
      </x:c>
      <x:c r="H443" s="94" t="str">
        <x:v>SKU-0046</x:v>
      </x:c>
      <x:c r="I443" s="94" t="str">
        <x:v>办公学习</x:v>
      </x:c>
      <x:c r="J443" s="94" t="str">
        <x:v>高清摄像头 F</x:v>
      </x:c>
      <x:c r="K443" s="97" t="n">
        <x:v>189.3</x:v>
      </x:c>
      <x:c r="L443" s="95" t="n">
        <x:v>1</x:v>
      </x:c>
      <x:c r="M443" s="97" t="n">
        <x:f>ROUND(K443*L443,2)</x:f>
        <x:v>189.3</x:v>
      </x:c>
      <x:c r="N443" s="109" t="n">
        <x:v>0.07</x:v>
      </x:c>
      <x:c r="O443" s="97" t="n">
        <x:f>ROUND(M443*N443,2)</x:f>
        <x:v>13.25</x:v>
      </x:c>
      <x:c r="P443" s="94" t="str">
        <x:v>已确认</x:v>
      </x:c>
      <x:c r="Q443" s="97" t="n">
        <x:f>IF(P443="已退款",M443,0)</x:f>
        <x:v>0</x:v>
      </x:c>
      <x:c r="R443" s="97" t="n">
        <x:f>IF(P443="已退款",O443,0)</x:f>
        <x:v>0</x:v>
      </x:c>
      <x:c r="S443" s="97" t="n">
        <x:f>O443-R443</x:f>
        <x:v>13.25</x:v>
      </x:c>
      <x:c r="T443" s="94" t="n">
        <x:v>4</x:v>
      </x:c>
      <x:c r="U443" s="94" t="str">
        <x:v>模拟：Amazon Associates订单回传</x:v>
      </x:c>
    </x:row>
    <x:row r="444">
      <x:c r="A444" s="92" t="str">
        <x:v>AMZ-ORD-00443</x:v>
      </x:c>
      <x:c r="B444" s="94" t="str">
        <x:v>PROC-0430</x:v>
      </x:c>
      <x:c r="C444" s="108" t="n">
        <x:v>46103.43680555555</x:v>
      </x:c>
      <x:c r="D444" s="93" t="n">
        <x:v>46100</x:v>
      </x:c>
      <x:c r="E444" s="94" t="str">
        <x:v>Microsoft Ads</x:v>
      </x:c>
      <x:c r="F444" s="94" t="str">
        <x:v>美国</x:v>
      </x:c>
      <x:c r="G444" s="94" t="str">
        <x:v>品牌搜索</x:v>
      </x:c>
      <x:c r="H444" s="94" t="str">
        <x:v>SKU-0038</x:v>
      </x:c>
      <x:c r="I444" s="94" t="str">
        <x:v>美妆个护</x:v>
      </x:c>
      <x:c r="J444" s="94" t="str">
        <x:v>卷发棒 H</x:v>
      </x:c>
      <x:c r="K444" s="97" t="n">
        <x:v>113.69</x:v>
      </x:c>
      <x:c r="L444" s="95" t="n">
        <x:v>1</x:v>
      </x:c>
      <x:c r="M444" s="97" t="n">
        <x:f>ROUND(K444*L444,2)</x:f>
        <x:v>113.69</x:v>
      </x:c>
      <x:c r="N444" s="109" t="n">
        <x:v>0.1</x:v>
      </x:c>
      <x:c r="O444" s="97" t="n">
        <x:f>ROUND(M444*N444,2)</x:f>
        <x:v>11.37</x:v>
      </x:c>
      <x:c r="P444" s="94" t="str">
        <x:v>已确认</x:v>
      </x:c>
      <x:c r="Q444" s="97" t="n">
        <x:f>IF(P444="已退款",M444,0)</x:f>
        <x:v>0</x:v>
      </x:c>
      <x:c r="R444" s="97" t="n">
        <x:f>IF(P444="已退款",O444,0)</x:f>
        <x:v>0</x:v>
      </x:c>
      <x:c r="S444" s="97" t="n">
        <x:f>O444-R444</x:f>
        <x:v>11.37</x:v>
      </x:c>
      <x:c r="T444" s="94" t="n">
        <x:v>3</x:v>
      </x:c>
      <x:c r="U444" s="94" t="str">
        <x:v>模拟：Amazon Associates订单回传</x:v>
      </x:c>
    </x:row>
    <x:row r="445">
      <x:c r="A445" s="92" t="str">
        <x:v>AMZ-ORD-00444</x:v>
      </x:c>
      <x:c r="B445" s="94" t="str">
        <x:v>PROC-0431</x:v>
      </x:c>
      <x:c r="C445" s="108" t="n">
        <x:v>46101.67013888889</x:v>
      </x:c>
      <x:c r="D445" s="93" t="n">
        <x:v>46100</x:v>
      </x:c>
      <x:c r="E445" s="94" t="str">
        <x:v>Google Ads</x:v>
      </x:c>
      <x:c r="F445" s="94" t="str">
        <x:v>德国</x:v>
      </x:c>
      <x:c r="G445" s="94" t="str">
        <x:v>通用搜索</x:v>
      </x:c>
      <x:c r="H445" s="94" t="str">
        <x:v>SKU-0041</x:v>
      </x:c>
      <x:c r="I445" s="94" t="str">
        <x:v>办公学习</x:v>
      </x:c>
      <x:c r="J445" s="94" t="str">
        <x:v>桌面升降台 A</x:v>
      </x:c>
      <x:c r="K445" s="97" t="n">
        <x:v>103.02</x:v>
      </x:c>
      <x:c r="L445" s="95" t="n">
        <x:v>1</x:v>
      </x:c>
      <x:c r="M445" s="97" t="n">
        <x:f>ROUND(K445*L445,2)</x:f>
        <x:v>103.02</x:v>
      </x:c>
      <x:c r="N445" s="109" t="n">
        <x:v>0.07</x:v>
      </x:c>
      <x:c r="O445" s="97" t="n">
        <x:f>ROUND(M445*N445,2)</x:f>
        <x:v>7.21</x:v>
      </x:c>
      <x:c r="P445" s="94" t="str">
        <x:v>已确认</x:v>
      </x:c>
      <x:c r="Q445" s="97" t="n">
        <x:f>IF(P445="已退款",M445,0)</x:f>
        <x:v>0</x:v>
      </x:c>
      <x:c r="R445" s="97" t="n">
        <x:f>IF(P445="已退款",O445,0)</x:f>
        <x:v>0</x:v>
      </x:c>
      <x:c r="S445" s="97" t="n">
        <x:f>O445-R445</x:f>
        <x:v>7.21</x:v>
      </x:c>
      <x:c r="T445" s="94" t="n">
        <x:v>1</x:v>
      </x:c>
      <x:c r="U445" s="94" t="str">
        <x:v>模拟：Amazon Associates订单回传</x:v>
      </x:c>
    </x:row>
    <x:row r="446">
      <x:c r="A446" s="92" t="str">
        <x:v>AMZ-ORD-00445</x:v>
      </x:c>
      <x:c r="B446" s="94" t="str">
        <x:v>PROC-0432</x:v>
      </x:c>
      <x:c r="C446" s="108" t="n">
        <x:v>46102.69513888889</x:v>
      </x:c>
      <x:c r="D446" s="93" t="n">
        <x:v>46101</x:v>
      </x:c>
      <x:c r="E446" s="94" t="str">
        <x:v>Google Ads</x:v>
      </x:c>
      <x:c r="F446" s="94" t="str">
        <x:v>英国</x:v>
      </x:c>
      <x:c r="G446" s="94" t="str">
        <x:v>品牌搜索</x:v>
      </x:c>
      <x:c r="H446" s="94" t="str">
        <x:v>SKU-0017</x:v>
      </x:c>
      <x:c r="I446" s="94" t="str">
        <x:v>家居生活</x:v>
      </x:c>
      <x:c r="J446" s="94" t="str">
        <x:v>落地灯 G</x:v>
      </x:c>
      <x:c r="K446" s="97" t="n">
        <x:v>147.37</x:v>
      </x:c>
      <x:c r="L446" s="95" t="n">
        <x:v>1</x:v>
      </x:c>
      <x:c r="M446" s="97" t="n">
        <x:f>ROUND(K446*L446,2)</x:f>
        <x:v>147.37</x:v>
      </x:c>
      <x:c r="N446" s="109" t="n">
        <x:v>0.07</x:v>
      </x:c>
      <x:c r="O446" s="97" t="n">
        <x:f>ROUND(M446*N446,2)</x:f>
        <x:v>10.32</x:v>
      </x:c>
      <x:c r="P446" s="94" t="str">
        <x:v>已确认</x:v>
      </x:c>
      <x:c r="Q446" s="97" t="n">
        <x:f>IF(P446="已退款",M446,0)</x:f>
        <x:v>0</x:v>
      </x:c>
      <x:c r="R446" s="97" t="n">
        <x:f>IF(P446="已退款",O446,0)</x:f>
        <x:v>0</x:v>
      </x:c>
      <x:c r="S446" s="97" t="n">
        <x:f>O446-R446</x:f>
        <x:v>10.32</x:v>
      </x:c>
      <x:c r="T446" s="94" t="n">
        <x:v>1</x:v>
      </x:c>
      <x:c r="U446" s="94" t="str">
        <x:v>模拟：Amazon Associates订单回传</x:v>
      </x:c>
    </x:row>
    <x:row r="447">
      <x:c r="A447" s="92" t="str">
        <x:v>AMZ-ORD-00446</x:v>
      </x:c>
      <x:c r="B447" s="94" t="str">
        <x:v>PROC-0432</x:v>
      </x:c>
      <x:c r="C447" s="108" t="n">
        <x:v>46104.55416666667</x:v>
      </x:c>
      <x:c r="D447" s="93" t="n">
        <x:v>46101</x:v>
      </x:c>
      <x:c r="E447" s="94" t="str">
        <x:v>Google Ads</x:v>
      </x:c>
      <x:c r="F447" s="94" t="str">
        <x:v>英国</x:v>
      </x:c>
      <x:c r="G447" s="94" t="str">
        <x:v>品牌搜索</x:v>
      </x:c>
      <x:c r="H447" s="94" t="str">
        <x:v>SKU-0008</x:v>
      </x:c>
      <x:c r="I447" s="94" t="str">
        <x:v>电子产品</x:v>
      </x:c>
      <x:c r="J447" s="94" t="str">
        <x:v>Wi-Fi路由器 H</x:v>
      </x:c>
      <x:c r="K447" s="97" t="n">
        <x:v>456.28</x:v>
      </x:c>
      <x:c r="L447" s="95" t="n">
        <x:v>2</x:v>
      </x:c>
      <x:c r="M447" s="97" t="n">
        <x:f>ROUND(K447*L447,2)</x:f>
        <x:v>912.56</x:v>
      </x:c>
      <x:c r="N447" s="109" t="n">
        <x:v>0.05</x:v>
      </x:c>
      <x:c r="O447" s="97" t="n">
        <x:f>ROUND(M447*N447,2)</x:f>
        <x:v>45.63</x:v>
      </x:c>
      <x:c r="P447" s="94" t="str">
        <x:v>已确认</x:v>
      </x:c>
      <x:c r="Q447" s="97" t="n">
        <x:f>IF(P447="已退款",M447,0)</x:f>
        <x:v>0</x:v>
      </x:c>
      <x:c r="R447" s="97" t="n">
        <x:f>IF(P447="已退款",O447,0)</x:f>
        <x:v>0</x:v>
      </x:c>
      <x:c r="S447" s="97" t="n">
        <x:f>O447-R447</x:f>
        <x:v>45.63</x:v>
      </x:c>
      <x:c r="T447" s="94" t="n">
        <x:v>3</x:v>
      </x:c>
      <x:c r="U447" s="94" t="str">
        <x:v>模拟：Amazon Associates订单回传</x:v>
      </x:c>
    </x:row>
    <x:row r="448">
      <x:c r="A448" s="92" t="str">
        <x:v>AMZ-ORD-00447</x:v>
      </x:c>
      <x:c r="B448" s="94" t="str">
        <x:v>PROC-0433</x:v>
      </x:c>
      <x:c r="C448" s="108" t="n">
        <x:v>46104.86319444444</x:v>
      </x:c>
      <x:c r="D448" s="93" t="n">
        <x:v>46101</x:v>
      </x:c>
      <x:c r="E448" s="94" t="str">
        <x:v>Microsoft Ads</x:v>
      </x:c>
      <x:c r="F448" s="94" t="str">
        <x:v>日本</x:v>
      </x:c>
      <x:c r="G448" s="94" t="str">
        <x:v>通用搜索</x:v>
      </x:c>
      <x:c r="H448" s="94" t="str">
        <x:v>SKU-0032</x:v>
      </x:c>
      <x:c r="I448" s="94" t="str">
        <x:v>美妆个护</x:v>
      </x:c>
      <x:c r="J448" s="94" t="str">
        <x:v>吹风机 B</x:v>
      </x:c>
      <x:c r="K448" s="97" t="n">
        <x:v>58.1</x:v>
      </x:c>
      <x:c r="L448" s="95" t="n">
        <x:v>1</x:v>
      </x:c>
      <x:c r="M448" s="97" t="n">
        <x:f>ROUND(K448*L448,2)</x:f>
        <x:v>58.1</x:v>
      </x:c>
      <x:c r="N448" s="109" t="n">
        <x:v>0.1</x:v>
      </x:c>
      <x:c r="O448" s="97" t="n">
        <x:f>ROUND(M448*N448,2)</x:f>
        <x:v>5.81</x:v>
      </x:c>
      <x:c r="P448" s="94" t="str">
        <x:v>已确认</x:v>
      </x:c>
      <x:c r="Q448" s="97" t="n">
        <x:f>IF(P448="已退款",M448,0)</x:f>
        <x:v>0</x:v>
      </x:c>
      <x:c r="R448" s="97" t="n">
        <x:f>IF(P448="已退款",O448,0)</x:f>
        <x:v>0</x:v>
      </x:c>
      <x:c r="S448" s="97" t="n">
        <x:f>O448-R448</x:f>
        <x:v>5.81</x:v>
      </x:c>
      <x:c r="T448" s="94" t="n">
        <x:v>3</x:v>
      </x:c>
      <x:c r="U448" s="94" t="str">
        <x:v>模拟：Amazon Associates订单回传</x:v>
      </x:c>
    </x:row>
    <x:row r="449">
      <x:c r="A449" s="92" t="str">
        <x:v>AMZ-ORD-00448</x:v>
      </x:c>
      <x:c r="B449" s="94" t="str">
        <x:v>PROC-0434</x:v>
      </x:c>
      <x:c r="C449" s="108" t="n">
        <x:v>46104.626388888886</x:v>
      </x:c>
      <x:c r="D449" s="93" t="n">
        <x:v>46101</x:v>
      </x:c>
      <x:c r="E449" s="94" t="str">
        <x:v>Google Ads</x:v>
      </x:c>
      <x:c r="F449" s="94" t="str">
        <x:v>德国</x:v>
      </x:c>
      <x:c r="G449" s="94" t="str">
        <x:v>通用搜索</x:v>
      </x:c>
      <x:c r="H449" s="94" t="str">
        <x:v>SKU-0030</x:v>
      </x:c>
      <x:c r="I449" s="94" t="str">
        <x:v>运动健康</x:v>
      </x:c>
      <x:c r="J449" s="94" t="str">
        <x:v>露营套装 J</x:v>
      </x:c>
      <x:c r="K449" s="97" t="n">
        <x:v>189.86</x:v>
      </x:c>
      <x:c r="L449" s="95" t="n">
        <x:v>1</x:v>
      </x:c>
      <x:c r="M449" s="97" t="n">
        <x:f>ROUND(K449*L449,2)</x:f>
        <x:v>189.86</x:v>
      </x:c>
      <x:c r="N449" s="109" t="n">
        <x:v>0.08</x:v>
      </x:c>
      <x:c r="O449" s="97" t="n">
        <x:f>ROUND(M449*N449,2)</x:f>
        <x:v>15.19</x:v>
      </x:c>
      <x:c r="P449" s="94" t="str">
        <x:v>已确认</x:v>
      </x:c>
      <x:c r="Q449" s="97" t="n">
        <x:f>IF(P449="已退款",M449,0)</x:f>
        <x:v>0</x:v>
      </x:c>
      <x:c r="R449" s="97" t="n">
        <x:f>IF(P449="已退款",O449,0)</x:f>
        <x:v>0</x:v>
      </x:c>
      <x:c r="S449" s="97" t="n">
        <x:f>O449-R449</x:f>
        <x:v>15.19</x:v>
      </x:c>
      <x:c r="T449" s="94" t="n">
        <x:v>3</x:v>
      </x:c>
      <x:c r="U449" s="94" t="str">
        <x:v>模拟：Amazon Associates订单回传</x:v>
      </x:c>
    </x:row>
    <x:row r="450">
      <x:c r="A450" s="92" t="str">
        <x:v>AMZ-ORD-00449</x:v>
      </x:c>
      <x:c r="B450" s="94" t="str">
        <x:v>PROC-0436</x:v>
      </x:c>
      <x:c r="C450" s="108" t="n">
        <x:v>46105.43541666667</x:v>
      </x:c>
      <x:c r="D450" s="93" t="n">
        <x:v>46101</x:v>
      </x:c>
      <x:c r="E450" s="94" t="str">
        <x:v>Microsoft Ads</x:v>
      </x:c>
      <x:c r="F450" s="94" t="str">
        <x:v>德国</x:v>
      </x:c>
      <x:c r="G450" s="94" t="str">
        <x:v>通用搜索</x:v>
      </x:c>
      <x:c r="H450" s="94" t="str">
        <x:v>SKU-0020</x:v>
      </x:c>
      <x:c r="I450" s="94" t="str">
        <x:v>家居生活</x:v>
      </x:c>
      <x:c r="J450" s="94" t="str">
        <x:v>智能门锁 J</x:v>
      </x:c>
      <x:c r="K450" s="97" t="n">
        <x:v>210.07</x:v>
      </x:c>
      <x:c r="L450" s="95" t="n">
        <x:v>1</x:v>
      </x:c>
      <x:c r="M450" s="97" t="n">
        <x:f>ROUND(K450*L450,2)</x:f>
        <x:v>210.07</x:v>
      </x:c>
      <x:c r="N450" s="109" t="n">
        <x:v>0.07</x:v>
      </x:c>
      <x:c r="O450" s="97" t="n">
        <x:f>ROUND(M450*N450,2)</x:f>
        <x:v>14.7</x:v>
      </x:c>
      <x:c r="P450" s="94" t="str">
        <x:v>已确认</x:v>
      </x:c>
      <x:c r="Q450" s="97" t="n">
        <x:f>IF(P450="已退款",M450,0)</x:f>
        <x:v>0</x:v>
      </x:c>
      <x:c r="R450" s="97" t="n">
        <x:f>IF(P450="已退款",O450,0)</x:f>
        <x:v>0</x:v>
      </x:c>
      <x:c r="S450" s="97" t="n">
        <x:f>O450-R450</x:f>
        <x:v>14.7</x:v>
      </x:c>
      <x:c r="T450" s="94" t="n">
        <x:v>4</x:v>
      </x:c>
      <x:c r="U450" s="94" t="str">
        <x:v>模拟：Amazon Associates订单回传</x:v>
      </x:c>
    </x:row>
    <x:row r="451">
      <x:c r="A451" s="92" t="str">
        <x:v>AMZ-ORD-00450</x:v>
      </x:c>
      <x:c r="B451" s="94" t="str">
        <x:v>PROC-0437</x:v>
      </x:c>
      <x:c r="C451" s="108" t="n">
        <x:v>46103.881944444445</x:v>
      </x:c>
      <x:c r="D451" s="93" t="n">
        <x:v>46101</x:v>
      </x:c>
      <x:c r="E451" s="94" t="str">
        <x:v>Google Ads</x:v>
      </x:c>
      <x:c r="F451" s="94" t="str">
        <x:v>日本</x:v>
      </x:c>
      <x:c r="G451" s="94" t="str">
        <x:v>购物广告</x:v>
      </x:c>
      <x:c r="H451" s="94" t="str">
        <x:v>SKU-0002</x:v>
      </x:c>
      <x:c r="I451" s="94" t="str">
        <x:v>电子产品</x:v>
      </x:c>
      <x:c r="J451" s="94" t="str">
        <x:v>便携显示器 B</x:v>
      </x:c>
      <x:c r="K451" s="97" t="n">
        <x:v>444.91</x:v>
      </x:c>
      <x:c r="L451" s="95" t="n">
        <x:v>1</x:v>
      </x:c>
      <x:c r="M451" s="97" t="n">
        <x:f>ROUND(K451*L451,2)</x:f>
        <x:v>444.91</x:v>
      </x:c>
      <x:c r="N451" s="109" t="n">
        <x:v>0.05</x:v>
      </x:c>
      <x:c r="O451" s="97" t="n">
        <x:f>ROUND(M451*N451,2)</x:f>
        <x:v>22.25</x:v>
      </x:c>
      <x:c r="P451" s="94" t="str">
        <x:v>已确认</x:v>
      </x:c>
      <x:c r="Q451" s="97" t="n">
        <x:f>IF(P451="已退款",M451,0)</x:f>
        <x:v>0</x:v>
      </x:c>
      <x:c r="R451" s="97" t="n">
        <x:f>IF(P451="已退款",O451,0)</x:f>
        <x:v>0</x:v>
      </x:c>
      <x:c r="S451" s="97" t="n">
        <x:f>O451-R451</x:f>
        <x:v>22.25</x:v>
      </x:c>
      <x:c r="T451" s="94" t="n">
        <x:v>2</x:v>
      </x:c>
      <x:c r="U451" s="94" t="str">
        <x:v>模拟：Amazon Associates订单回传</x:v>
      </x:c>
    </x:row>
    <x:row r="452">
      <x:c r="A452" s="92" t="str">
        <x:v>AMZ-ORD-00451</x:v>
      </x:c>
      <x:c r="B452" s="94" t="str">
        <x:v>PROC-0438</x:v>
      </x:c>
      <x:c r="C452" s="108" t="n">
        <x:v>46105.85902777778</x:v>
      </x:c>
      <x:c r="D452" s="93" t="n">
        <x:v>46102</x:v>
      </x:c>
      <x:c r="E452" s="94" t="str">
        <x:v>Google Ads</x:v>
      </x:c>
      <x:c r="F452" s="94" t="str">
        <x:v>日本</x:v>
      </x:c>
      <x:c r="G452" s="94" t="str">
        <x:v>品牌搜索</x:v>
      </x:c>
      <x:c r="H452" s="94" t="str">
        <x:v>SKU-0031</x:v>
      </x:c>
      <x:c r="I452" s="94" t="str">
        <x:v>美妆个护</x:v>
      </x:c>
      <x:c r="J452" s="94" t="str">
        <x:v>洁面仪 A</x:v>
      </x:c>
      <x:c r="K452" s="97" t="n">
        <x:v>75.28</x:v>
      </x:c>
      <x:c r="L452" s="95" t="n">
        <x:v>2</x:v>
      </x:c>
      <x:c r="M452" s="97" t="n">
        <x:f>ROUND(K452*L452,2)</x:f>
        <x:v>150.56</x:v>
      </x:c>
      <x:c r="N452" s="109" t="n">
        <x:v>0.1</x:v>
      </x:c>
      <x:c r="O452" s="97" t="n">
        <x:f>ROUND(M452*N452,2)</x:f>
        <x:v>15.06</x:v>
      </x:c>
      <x:c r="P452" s="94" t="str">
        <x:v>待确认</x:v>
      </x:c>
      <x:c r="Q452" s="97" t="n">
        <x:f>IF(P452="已退款",M452,0)</x:f>
        <x:v>0</x:v>
      </x:c>
      <x:c r="R452" s="97" t="n">
        <x:f>IF(P452="已退款",O452,0)</x:f>
        <x:v>0</x:v>
      </x:c>
      <x:c r="S452" s="97" t="n">
        <x:f>O452-R452</x:f>
        <x:v>15.06</x:v>
      </x:c>
      <x:c r="T452" s="94" t="n">
        <x:v>3</x:v>
      </x:c>
      <x:c r="U452" s="94" t="str">
        <x:v>模拟：Amazon Associates订单回传</x:v>
      </x:c>
    </x:row>
    <x:row r="453">
      <x:c r="A453" s="92" t="str">
        <x:v>AMZ-ORD-00452</x:v>
      </x:c>
      <x:c r="B453" s="94" t="str">
        <x:v>PROC-0439</x:v>
      </x:c>
      <x:c r="C453" s="108" t="n">
        <x:v>46106.899305555555</x:v>
      </x:c>
      <x:c r="D453" s="93" t="n">
        <x:v>46102</x:v>
      </x:c>
      <x:c r="E453" s="94" t="str">
        <x:v>Google Ads</x:v>
      </x:c>
      <x:c r="F453" s="94" t="str">
        <x:v>英国</x:v>
      </x:c>
      <x:c r="G453" s="94" t="str">
        <x:v>品牌搜索</x:v>
      </x:c>
      <x:c r="H453" s="94" t="str">
        <x:v>SKU-0017</x:v>
      </x:c>
      <x:c r="I453" s="94" t="str">
        <x:v>家居生活</x:v>
      </x:c>
      <x:c r="J453" s="94" t="str">
        <x:v>落地灯 G</x:v>
      </x:c>
      <x:c r="K453" s="97" t="n">
        <x:v>124.47</x:v>
      </x:c>
      <x:c r="L453" s="95" t="n">
        <x:v>1</x:v>
      </x:c>
      <x:c r="M453" s="97" t="n">
        <x:f>ROUND(K453*L453,2)</x:f>
        <x:v>124.47</x:v>
      </x:c>
      <x:c r="N453" s="109" t="n">
        <x:v>0.07</x:v>
      </x:c>
      <x:c r="O453" s="97" t="n">
        <x:f>ROUND(M453*N453,2)</x:f>
        <x:v>8.71</x:v>
      </x:c>
      <x:c r="P453" s="94" t="str">
        <x:v>已确认</x:v>
      </x:c>
      <x:c r="Q453" s="97" t="n">
        <x:f>IF(P453="已退款",M453,0)</x:f>
        <x:v>0</x:v>
      </x:c>
      <x:c r="R453" s="97" t="n">
        <x:f>IF(P453="已退款",O453,0)</x:f>
        <x:v>0</x:v>
      </x:c>
      <x:c r="S453" s="97" t="n">
        <x:f>O453-R453</x:f>
        <x:v>8.71</x:v>
      </x:c>
      <x:c r="T453" s="94" t="n">
        <x:v>4</x:v>
      </x:c>
      <x:c r="U453" s="94" t="str">
        <x:v>模拟：Amazon Associates订单回传</x:v>
      </x:c>
    </x:row>
    <x:row r="454">
      <x:c r="A454" s="92" t="str">
        <x:v>AMZ-ORD-00453</x:v>
      </x:c>
      <x:c r="B454" s="94" t="str">
        <x:v>PROC-0439</x:v>
      </x:c>
      <x:c r="C454" s="108" t="n">
        <x:v>46105.41111111111</x:v>
      </x:c>
      <x:c r="D454" s="93" t="n">
        <x:v>46102</x:v>
      </x:c>
      <x:c r="E454" s="94" t="str">
        <x:v>Google Ads</x:v>
      </x:c>
      <x:c r="F454" s="94" t="str">
        <x:v>英国</x:v>
      </x:c>
      <x:c r="G454" s="94" t="str">
        <x:v>品牌搜索</x:v>
      </x:c>
      <x:c r="H454" s="94" t="str">
        <x:v>SKU-0024</x:v>
      </x:c>
      <x:c r="I454" s="94" t="str">
        <x:v>运动健康</x:v>
      </x:c>
      <x:c r="J454" s="94" t="str">
        <x:v>筋膜枪 D</x:v>
      </x:c>
      <x:c r="K454" s="97" t="n">
        <x:v>175.63</x:v>
      </x:c>
      <x:c r="L454" s="95" t="n">
        <x:v>1</x:v>
      </x:c>
      <x:c r="M454" s="97" t="n">
        <x:f>ROUND(K454*L454,2)</x:f>
        <x:v>175.63</x:v>
      </x:c>
      <x:c r="N454" s="109" t="n">
        <x:v>0.08</x:v>
      </x:c>
      <x:c r="O454" s="97" t="n">
        <x:f>ROUND(M454*N454,2)</x:f>
        <x:v>14.05</x:v>
      </x:c>
      <x:c r="P454" s="94" t="str">
        <x:v>已确认</x:v>
      </x:c>
      <x:c r="Q454" s="97" t="n">
        <x:f>IF(P454="已退款",M454,0)</x:f>
        <x:v>0</x:v>
      </x:c>
      <x:c r="R454" s="97" t="n">
        <x:f>IF(P454="已退款",O454,0)</x:f>
        <x:v>0</x:v>
      </x:c>
      <x:c r="S454" s="97" t="n">
        <x:f>O454-R454</x:f>
        <x:v>14.05</x:v>
      </x:c>
      <x:c r="T454" s="94" t="n">
        <x:v>3</x:v>
      </x:c>
      <x:c r="U454" s="94" t="str">
        <x:v>模拟：Amazon Associates订单回传</x:v>
      </x:c>
    </x:row>
    <x:row r="455">
      <x:c r="A455" s="92" t="str">
        <x:v>AMZ-ORD-00454</x:v>
      </x:c>
      <x:c r="B455" s="94" t="str">
        <x:v>PROC-0440</x:v>
      </x:c>
      <x:c r="C455" s="108" t="n">
        <x:v>46104.44236111111</x:v>
      </x:c>
      <x:c r="D455" s="93" t="n">
        <x:v>46102</x:v>
      </x:c>
      <x:c r="E455" s="94" t="str">
        <x:v>Google Ads</x:v>
      </x:c>
      <x:c r="F455" s="94" t="str">
        <x:v>美国</x:v>
      </x:c>
      <x:c r="G455" s="94" t="str">
        <x:v>品牌搜索</x:v>
      </x:c>
      <x:c r="H455" s="94" t="str">
        <x:v>SKU-0016</x:v>
      </x:c>
      <x:c r="I455" s="94" t="str">
        <x:v>家居生活</x:v>
      </x:c>
      <x:c r="J455" s="94" t="str">
        <x:v>厨师机 F</x:v>
      </x:c>
      <x:c r="K455" s="97" t="n">
        <x:v>149.72</x:v>
      </x:c>
      <x:c r="L455" s="95" t="n">
        <x:v>2</x:v>
      </x:c>
      <x:c r="M455" s="97" t="n">
        <x:f>ROUND(K455*L455,2)</x:f>
        <x:v>299.44</x:v>
      </x:c>
      <x:c r="N455" s="109" t="n">
        <x:v>0.07</x:v>
      </x:c>
      <x:c r="O455" s="97" t="n">
        <x:f>ROUND(M455*N455,2)</x:f>
        <x:v>20.96</x:v>
      </x:c>
      <x:c r="P455" s="94" t="str">
        <x:v>已确认</x:v>
      </x:c>
      <x:c r="Q455" s="97" t="n">
        <x:f>IF(P455="已退款",M455,0)</x:f>
        <x:v>0</x:v>
      </x:c>
      <x:c r="R455" s="97" t="n">
        <x:f>IF(P455="已退款",O455,0)</x:f>
        <x:v>0</x:v>
      </x:c>
      <x:c r="S455" s="97" t="n">
        <x:f>O455-R455</x:f>
        <x:v>20.96</x:v>
      </x:c>
      <x:c r="T455" s="94" t="n">
        <x:v>2</x:v>
      </x:c>
      <x:c r="U455" s="94" t="str">
        <x:v>模拟：Amazon Associates订单回传</x:v>
      </x:c>
    </x:row>
    <x:row r="456">
      <x:c r="A456" s="92" t="str">
        <x:v>AMZ-ORD-00455</x:v>
      </x:c>
      <x:c r="B456" s="94" t="str">
        <x:v>PROC-0441</x:v>
      </x:c>
      <x:c r="C456" s="108" t="n">
        <x:v>46105.47638888889</x:v>
      </x:c>
      <x:c r="D456" s="93" t="n">
        <x:v>46102</x:v>
      </x:c>
      <x:c r="E456" s="94" t="str">
        <x:v>Google Ads</x:v>
      </x:c>
      <x:c r="F456" s="94" t="str">
        <x:v>英国</x:v>
      </x:c>
      <x:c r="G456" s="94" t="str">
        <x:v>品牌搜索</x:v>
      </x:c>
      <x:c r="H456" s="94" t="str">
        <x:v>SKU-0031</x:v>
      </x:c>
      <x:c r="I456" s="94" t="str">
        <x:v>美妆个护</x:v>
      </x:c>
      <x:c r="J456" s="94" t="str">
        <x:v>洁面仪 A</x:v>
      </x:c>
      <x:c r="K456" s="97" t="n">
        <x:v>99.22</x:v>
      </x:c>
      <x:c r="L456" s="95" t="n">
        <x:v>2</x:v>
      </x:c>
      <x:c r="M456" s="97" t="n">
        <x:f>ROUND(K456*L456,2)</x:f>
        <x:v>198.44</x:v>
      </x:c>
      <x:c r="N456" s="109" t="n">
        <x:v>0.1</x:v>
      </x:c>
      <x:c r="O456" s="97" t="n">
        <x:f>ROUND(M456*N456,2)</x:f>
        <x:v>19.84</x:v>
      </x:c>
      <x:c r="P456" s="94" t="str">
        <x:v>已确认</x:v>
      </x:c>
      <x:c r="Q456" s="97" t="n">
        <x:f>IF(P456="已退款",M456,0)</x:f>
        <x:v>0</x:v>
      </x:c>
      <x:c r="R456" s="97" t="n">
        <x:f>IF(P456="已退款",O456,0)</x:f>
        <x:v>0</x:v>
      </x:c>
      <x:c r="S456" s="97" t="n">
        <x:f>O456-R456</x:f>
        <x:v>19.84</x:v>
      </x:c>
      <x:c r="T456" s="94" t="n">
        <x:v>3</x:v>
      </x:c>
      <x:c r="U456" s="94" t="str">
        <x:v>模拟：Amazon Associates订单回传</x:v>
      </x:c>
    </x:row>
    <x:row r="457">
      <x:c r="A457" s="92" t="str">
        <x:v>AMZ-ORD-00456</x:v>
      </x:c>
      <x:c r="B457" s="94" t="str">
        <x:v>PROC-0442</x:v>
      </x:c>
      <x:c r="C457" s="108" t="n">
        <x:v>46104.40902777778</x:v>
      </x:c>
      <x:c r="D457" s="93" t="n">
        <x:v>46102</x:v>
      </x:c>
      <x:c r="E457" s="94" t="str">
        <x:v>Google Ads</x:v>
      </x:c>
      <x:c r="F457" s="94" t="str">
        <x:v>英国</x:v>
      </x:c>
      <x:c r="G457" s="94" t="str">
        <x:v>品牌搜索</x:v>
      </x:c>
      <x:c r="H457" s="94" t="str">
        <x:v>SKU-0006</x:v>
      </x:c>
      <x:c r="I457" s="94" t="str">
        <x:v>电子产品</x:v>
      </x:c>
      <x:c r="J457" s="94" t="str">
        <x:v>迷你投影仪 F</x:v>
      </x:c>
      <x:c r="K457" s="97" t="n">
        <x:v>695.52</x:v>
      </x:c>
      <x:c r="L457" s="95" t="n">
        <x:v>1</x:v>
      </x:c>
      <x:c r="M457" s="97" t="n">
        <x:f>ROUND(K457*L457,2)</x:f>
        <x:v>695.52</x:v>
      </x:c>
      <x:c r="N457" s="109" t="n">
        <x:v>0.05</x:v>
      </x:c>
      <x:c r="O457" s="97" t="n">
        <x:f>ROUND(M457*N457,2)</x:f>
        <x:v>34.78</x:v>
      </x:c>
      <x:c r="P457" s="94" t="str">
        <x:v>已确认</x:v>
      </x:c>
      <x:c r="Q457" s="97" t="n">
        <x:f>IF(P457="已退款",M457,0)</x:f>
        <x:v>0</x:v>
      </x:c>
      <x:c r="R457" s="97" t="n">
        <x:f>IF(P457="已退款",O457,0)</x:f>
        <x:v>0</x:v>
      </x:c>
      <x:c r="S457" s="97" t="n">
        <x:f>O457-R457</x:f>
        <x:v>34.78</x:v>
      </x:c>
      <x:c r="T457" s="94" t="n">
        <x:v>2</x:v>
      </x:c>
      <x:c r="U457" s="94" t="str">
        <x:v>模拟：Amazon Associates订单回传</x:v>
      </x:c>
    </x:row>
    <x:row r="458">
      <x:c r="A458" s="92" t="str">
        <x:v>AMZ-ORD-00457</x:v>
      </x:c>
      <x:c r="B458" s="94" t="str">
        <x:v>PROC-0442</x:v>
      </x:c>
      <x:c r="C458" s="108" t="n">
        <x:v>46103.368055555555</x:v>
      </x:c>
      <x:c r="D458" s="93" t="n">
        <x:v>46102</x:v>
      </x:c>
      <x:c r="E458" s="94" t="str">
        <x:v>Google Ads</x:v>
      </x:c>
      <x:c r="F458" s="94" t="str">
        <x:v>英国</x:v>
      </x:c>
      <x:c r="G458" s="94" t="str">
        <x:v>品牌搜索</x:v>
      </x:c>
      <x:c r="H458" s="94" t="str">
        <x:v>SKU-0037</x:v>
      </x:c>
      <x:c r="I458" s="94" t="str">
        <x:v>美妆个护</x:v>
      </x:c>
      <x:c r="J458" s="94" t="str">
        <x:v>美容仪 G</x:v>
      </x:c>
      <x:c r="K458" s="97" t="n">
        <x:v>107.57</x:v>
      </x:c>
      <x:c r="L458" s="95" t="n">
        <x:v>1</x:v>
      </x:c>
      <x:c r="M458" s="97" t="n">
        <x:f>ROUND(K458*L458,2)</x:f>
        <x:v>107.57</x:v>
      </x:c>
      <x:c r="N458" s="109" t="n">
        <x:v>0.1</x:v>
      </x:c>
      <x:c r="O458" s="97" t="n">
        <x:f>ROUND(M458*N458,2)</x:f>
        <x:v>10.76</x:v>
      </x:c>
      <x:c r="P458" s="94" t="str">
        <x:v>已确认</x:v>
      </x:c>
      <x:c r="Q458" s="97" t="n">
        <x:f>IF(P458="已退款",M458,0)</x:f>
        <x:v>0</x:v>
      </x:c>
      <x:c r="R458" s="97" t="n">
        <x:f>IF(P458="已退款",O458,0)</x:f>
        <x:v>0</x:v>
      </x:c>
      <x:c r="S458" s="97" t="n">
        <x:f>O458-R458</x:f>
        <x:v>10.76</x:v>
      </x:c>
      <x:c r="T458" s="94" t="n">
        <x:v>1</x:v>
      </x:c>
      <x:c r="U458" s="94" t="str">
        <x:v>模拟：Amazon Associates订单回传</x:v>
      </x:c>
    </x:row>
    <x:row r="459">
      <x:c r="A459" s="92" t="str">
        <x:v>AMZ-ORD-00458</x:v>
      </x:c>
      <x:c r="B459" s="94" t="str">
        <x:v>PROC-0444</x:v>
      </x:c>
      <x:c r="C459" s="108" t="n">
        <x:v>46107.486805555556</x:v>
      </x:c>
      <x:c r="D459" s="93" t="n">
        <x:v>46103</x:v>
      </x:c>
      <x:c r="E459" s="94" t="str">
        <x:v>Google Ads</x:v>
      </x:c>
      <x:c r="F459" s="94" t="str">
        <x:v>日本</x:v>
      </x:c>
      <x:c r="G459" s="94" t="str">
        <x:v>购物广告</x:v>
      </x:c>
      <x:c r="H459" s="94" t="str">
        <x:v>SKU-0008</x:v>
      </x:c>
      <x:c r="I459" s="94" t="str">
        <x:v>电子产品</x:v>
      </x:c>
      <x:c r="J459" s="94" t="str">
        <x:v>Wi-Fi路由器 H</x:v>
      </x:c>
      <x:c r="K459" s="97" t="n">
        <x:v>575.21</x:v>
      </x:c>
      <x:c r="L459" s="95" t="n">
        <x:v>1</x:v>
      </x:c>
      <x:c r="M459" s="97" t="n">
        <x:f>ROUND(K459*L459,2)</x:f>
        <x:v>575.21</x:v>
      </x:c>
      <x:c r="N459" s="109" t="n">
        <x:v>0.05</x:v>
      </x:c>
      <x:c r="O459" s="97" t="n">
        <x:f>ROUND(M459*N459,2)</x:f>
        <x:v>28.76</x:v>
      </x:c>
      <x:c r="P459" s="94" t="str">
        <x:v>已确认</x:v>
      </x:c>
      <x:c r="Q459" s="97" t="n">
        <x:f>IF(P459="已退款",M459,0)</x:f>
        <x:v>0</x:v>
      </x:c>
      <x:c r="R459" s="97" t="n">
        <x:f>IF(P459="已退款",O459,0)</x:f>
        <x:v>0</x:v>
      </x:c>
      <x:c r="S459" s="97" t="n">
        <x:f>O459-R459</x:f>
        <x:v>28.76</x:v>
      </x:c>
      <x:c r="T459" s="94" t="n">
        <x:v>4</x:v>
      </x:c>
      <x:c r="U459" s="94" t="str">
        <x:v>模拟：Amazon Associates订单回传</x:v>
      </x:c>
    </x:row>
    <x:row r="460">
      <x:c r="A460" s="92" t="str">
        <x:v>AMZ-ORD-00459</x:v>
      </x:c>
      <x:c r="B460" s="94" t="str">
        <x:v>PROC-0445</x:v>
      </x:c>
      <x:c r="C460" s="108" t="n">
        <x:v>46107.83888888889</x:v>
      </x:c>
      <x:c r="D460" s="93" t="n">
        <x:v>46103</x:v>
      </x:c>
      <x:c r="E460" s="94" t="str">
        <x:v>Google Ads</x:v>
      </x:c>
      <x:c r="F460" s="94" t="str">
        <x:v>英国</x:v>
      </x:c>
      <x:c r="G460" s="94" t="str">
        <x:v>购物广告</x:v>
      </x:c>
      <x:c r="H460" s="94" t="str">
        <x:v>SKU-0003</x:v>
      </x:c>
      <x:c r="I460" s="94" t="str">
        <x:v>电子产品</x:v>
      </x:c>
      <x:c r="J460" s="94" t="str">
        <x:v>智能家居中枢 C</x:v>
      </x:c>
      <x:c r="K460" s="97" t="n">
        <x:v>374.75</x:v>
      </x:c>
      <x:c r="L460" s="95" t="n">
        <x:v>1</x:v>
      </x:c>
      <x:c r="M460" s="97" t="n">
        <x:f>ROUND(K460*L460,2)</x:f>
        <x:v>374.75</x:v>
      </x:c>
      <x:c r="N460" s="109" t="n">
        <x:v>0.05</x:v>
      </x:c>
      <x:c r="O460" s="97" t="n">
        <x:f>ROUND(M460*N460,2)</x:f>
        <x:v>18.74</x:v>
      </x:c>
      <x:c r="P460" s="94" t="str">
        <x:v>已确认</x:v>
      </x:c>
      <x:c r="Q460" s="97" t="n">
        <x:f>IF(P460="已退款",M460,0)</x:f>
        <x:v>0</x:v>
      </x:c>
      <x:c r="R460" s="97" t="n">
        <x:f>IF(P460="已退款",O460,0)</x:f>
        <x:v>0</x:v>
      </x:c>
      <x:c r="S460" s="97" t="n">
        <x:f>O460-R460</x:f>
        <x:v>18.74</x:v>
      </x:c>
      <x:c r="T460" s="94" t="n">
        <x:v>4</x:v>
      </x:c>
      <x:c r="U460" s="94" t="str">
        <x:v>模拟：Amazon Associates订单回传</x:v>
      </x:c>
    </x:row>
    <x:row r="461">
      <x:c r="A461" s="92" t="str">
        <x:v>AMZ-ORD-00460</x:v>
      </x:c>
      <x:c r="B461" s="94" t="str">
        <x:v>PROC-0446</x:v>
      </x:c>
      <x:c r="C461" s="108" t="n">
        <x:v>46103.354166666664</x:v>
      </x:c>
      <x:c r="D461" s="93" t="n">
        <x:v>46103</x:v>
      </x:c>
      <x:c r="E461" s="94" t="str">
        <x:v>Google Ads</x:v>
      </x:c>
      <x:c r="F461" s="94" t="str">
        <x:v>美国</x:v>
      </x:c>
      <x:c r="G461" s="94" t="str">
        <x:v>通用搜索</x:v>
      </x:c>
      <x:c r="H461" s="94" t="str">
        <x:v>SKU-0004</x:v>
      </x:c>
      <x:c r="I461" s="94" t="str">
        <x:v>电子产品</x:v>
      </x:c>
      <x:c r="J461" s="94" t="str">
        <x:v>机械键盘 D</x:v>
      </x:c>
      <x:c r="K461" s="97" t="n">
        <x:v>270.01</x:v>
      </x:c>
      <x:c r="L461" s="95" t="n">
        <x:v>1</x:v>
      </x:c>
      <x:c r="M461" s="97" t="n">
        <x:f>ROUND(K461*L461,2)</x:f>
        <x:v>270.01</x:v>
      </x:c>
      <x:c r="N461" s="109" t="n">
        <x:v>0.05</x:v>
      </x:c>
      <x:c r="O461" s="97" t="n">
        <x:f>ROUND(M461*N461,2)</x:f>
        <x:v>13.5</x:v>
      </x:c>
      <x:c r="P461" s="94" t="str">
        <x:v>已确认</x:v>
      </x:c>
      <x:c r="Q461" s="97" t="n">
        <x:f>IF(P461="已退款",M461,0)</x:f>
        <x:v>0</x:v>
      </x:c>
      <x:c r="R461" s="97" t="n">
        <x:f>IF(P461="已退款",O461,0)</x:f>
        <x:v>0</x:v>
      </x:c>
      <x:c r="S461" s="97" t="n">
        <x:f>O461-R461</x:f>
        <x:v>13.5</x:v>
      </x:c>
      <x:c r="T461" s="94" t="n">
        <x:v>0</x:v>
      </x:c>
      <x:c r="U461" s="94" t="str">
        <x:v>模拟：Amazon Associates订单回传</x:v>
      </x:c>
    </x:row>
    <x:row r="462">
      <x:c r="A462" s="92" t="str">
        <x:v>AMZ-ORD-00461</x:v>
      </x:c>
      <x:c r="B462" s="94" t="str">
        <x:v>PROC-0447</x:v>
      </x:c>
      <x:c r="C462" s="108" t="n">
        <x:v>46105.80694444444</x:v>
      </x:c>
      <x:c r="D462" s="93" t="n">
        <x:v>46103</x:v>
      </x:c>
      <x:c r="E462" s="94" t="str">
        <x:v>Google Ads</x:v>
      </x:c>
      <x:c r="F462" s="94" t="str">
        <x:v>美国</x:v>
      </x:c>
      <x:c r="G462" s="94" t="str">
        <x:v>竞品搜索</x:v>
      </x:c>
      <x:c r="H462" s="94" t="str">
        <x:v>SKU-0008</x:v>
      </x:c>
      <x:c r="I462" s="94" t="str">
        <x:v>电子产品</x:v>
      </x:c>
      <x:c r="J462" s="94" t="str">
        <x:v>Wi-Fi路由器 H</x:v>
      </x:c>
      <x:c r="K462" s="97" t="n">
        <x:v>476.27</x:v>
      </x:c>
      <x:c r="L462" s="95" t="n">
        <x:v>1</x:v>
      </x:c>
      <x:c r="M462" s="97" t="n">
        <x:f>ROUND(K462*L462,2)</x:f>
        <x:v>476.27</x:v>
      </x:c>
      <x:c r="N462" s="109" t="n">
        <x:v>0.05</x:v>
      </x:c>
      <x:c r="O462" s="97" t="n">
        <x:f>ROUND(M462*N462,2)</x:f>
        <x:v>23.81</x:v>
      </x:c>
      <x:c r="P462" s="94" t="str">
        <x:v>已确认</x:v>
      </x:c>
      <x:c r="Q462" s="97" t="n">
        <x:f>IF(P462="已退款",M462,0)</x:f>
        <x:v>0</x:v>
      </x:c>
      <x:c r="R462" s="97" t="n">
        <x:f>IF(P462="已退款",O462,0)</x:f>
        <x:v>0</x:v>
      </x:c>
      <x:c r="S462" s="97" t="n">
        <x:f>O462-R462</x:f>
        <x:v>23.81</x:v>
      </x:c>
      <x:c r="T462" s="94" t="n">
        <x:v>2</x:v>
      </x:c>
      <x:c r="U462" s="94" t="str">
        <x:v>模拟：Amazon Associates订单回传</x:v>
      </x:c>
    </x:row>
    <x:row r="463">
      <x:c r="A463" s="92" t="str">
        <x:v>AMZ-ORD-00462</x:v>
      </x:c>
      <x:c r="B463" s="94" t="str">
        <x:v>PROC-0448</x:v>
      </x:c>
      <x:c r="C463" s="108" t="n">
        <x:v>46104.441666666666</x:v>
      </x:c>
      <x:c r="D463" s="93" t="n">
        <x:v>46103</x:v>
      </x:c>
      <x:c r="E463" s="94" t="str">
        <x:v>Microsoft Ads</x:v>
      </x:c>
      <x:c r="F463" s="94" t="str">
        <x:v>美国</x:v>
      </x:c>
      <x:c r="G463" s="94" t="str">
        <x:v>通用搜索</x:v>
      </x:c>
      <x:c r="H463" s="94" t="str">
        <x:v>SKU-0002</x:v>
      </x:c>
      <x:c r="I463" s="94" t="str">
        <x:v>电子产品</x:v>
      </x:c>
      <x:c r="J463" s="94" t="str">
        <x:v>便携显示器 B</x:v>
      </x:c>
      <x:c r="K463" s="97" t="n">
        <x:v>338.98</x:v>
      </x:c>
      <x:c r="L463" s="95" t="n">
        <x:v>1</x:v>
      </x:c>
      <x:c r="M463" s="97" t="n">
        <x:f>ROUND(K463*L463,2)</x:f>
        <x:v>338.98</x:v>
      </x:c>
      <x:c r="N463" s="109" t="n">
        <x:v>0.05</x:v>
      </x:c>
      <x:c r="O463" s="97" t="n">
        <x:f>ROUND(M463*N463,2)</x:f>
        <x:v>16.95</x:v>
      </x:c>
      <x:c r="P463" s="94" t="str">
        <x:v>已确认</x:v>
      </x:c>
      <x:c r="Q463" s="97" t="n">
        <x:f>IF(P463="已退款",M463,0)</x:f>
        <x:v>0</x:v>
      </x:c>
      <x:c r="R463" s="97" t="n">
        <x:f>IF(P463="已退款",O463,0)</x:f>
        <x:v>0</x:v>
      </x:c>
      <x:c r="S463" s="97" t="n">
        <x:f>O463-R463</x:f>
        <x:v>16.95</x:v>
      </x:c>
      <x:c r="T463" s="94" t="n">
        <x:v>1</x:v>
      </x:c>
      <x:c r="U463" s="94" t="str">
        <x:v>模拟：Amazon Associates订单回传</x:v>
      </x:c>
    </x:row>
    <x:row r="464">
      <x:c r="A464" s="92" t="str">
        <x:v>AMZ-ORD-00463</x:v>
      </x:c>
      <x:c r="B464" s="94" t="str">
        <x:v>PROC-0449</x:v>
      </x:c>
      <x:c r="C464" s="108" t="n">
        <x:v>46106.770833333336</x:v>
      </x:c>
      <x:c r="D464" s="93" t="n">
        <x:v>46104</x:v>
      </x:c>
      <x:c r="E464" s="94" t="str">
        <x:v>Microsoft Ads</x:v>
      </x:c>
      <x:c r="F464" s="94" t="str">
        <x:v>日本</x:v>
      </x:c>
      <x:c r="G464" s="94" t="str">
        <x:v>通用搜索</x:v>
      </x:c>
      <x:c r="H464" s="94" t="str">
        <x:v>SKU-0031</x:v>
      </x:c>
      <x:c r="I464" s="94" t="str">
        <x:v>美妆个护</x:v>
      </x:c>
      <x:c r="J464" s="94" t="str">
        <x:v>洁面仪 A</x:v>
      </x:c>
      <x:c r="K464" s="97" t="n">
        <x:v>144.82</x:v>
      </x:c>
      <x:c r="L464" s="95" t="n">
        <x:v>2</x:v>
      </x:c>
      <x:c r="M464" s="97" t="n">
        <x:f>ROUND(K464*L464,2)</x:f>
        <x:v>289.64</x:v>
      </x:c>
      <x:c r="N464" s="109" t="n">
        <x:v>0.1</x:v>
      </x:c>
      <x:c r="O464" s="97" t="n">
        <x:f>ROUND(M464*N464,2)</x:f>
        <x:v>28.96</x:v>
      </x:c>
      <x:c r="P464" s="94" t="str">
        <x:v>已确认</x:v>
      </x:c>
      <x:c r="Q464" s="97" t="n">
        <x:f>IF(P464="已退款",M464,0)</x:f>
        <x:v>0</x:v>
      </x:c>
      <x:c r="R464" s="97" t="n">
        <x:f>IF(P464="已退款",O464,0)</x:f>
        <x:v>0</x:v>
      </x:c>
      <x:c r="S464" s="97" t="n">
        <x:f>O464-R464</x:f>
        <x:v>28.96</x:v>
      </x:c>
      <x:c r="T464" s="94" t="n">
        <x:v>2</x:v>
      </x:c>
      <x:c r="U464" s="94" t="str">
        <x:v>模拟：Amazon Associates订单回传</x:v>
      </x:c>
    </x:row>
    <x:row r="465">
      <x:c r="A465" s="92" t="str">
        <x:v>AMZ-ORD-00464</x:v>
      </x:c>
      <x:c r="B465" s="94" t="str">
        <x:v>PROC-0450</x:v>
      </x:c>
      <x:c r="C465" s="108" t="n">
        <x:v>46107.334027777775</x:v>
      </x:c>
      <x:c r="D465" s="93" t="n">
        <x:v>46104</x:v>
      </x:c>
      <x:c r="E465" s="94" t="str">
        <x:v>Google Ads</x:v>
      </x:c>
      <x:c r="F465" s="94" t="str">
        <x:v>德国</x:v>
      </x:c>
      <x:c r="G465" s="94" t="str">
        <x:v>竞品搜索</x:v>
      </x:c>
      <x:c r="H465" s="94" t="str">
        <x:v>SKU-0007</x:v>
      </x:c>
      <x:c r="I465" s="94" t="str">
        <x:v>电子产品</x:v>
      </x:c>
      <x:c r="J465" s="94" t="str">
        <x:v>运动相机 G</x:v>
      </x:c>
      <x:c r="K465" s="97" t="n">
        <x:v>531.73</x:v>
      </x:c>
      <x:c r="L465" s="95" t="n">
        <x:v>1</x:v>
      </x:c>
      <x:c r="M465" s="97" t="n">
        <x:f>ROUND(K465*L465,2)</x:f>
        <x:v>531.73</x:v>
      </x:c>
      <x:c r="N465" s="109" t="n">
        <x:v>0.05</x:v>
      </x:c>
      <x:c r="O465" s="97" t="n">
        <x:f>ROUND(M465*N465,2)</x:f>
        <x:v>26.59</x:v>
      </x:c>
      <x:c r="P465" s="94" t="str">
        <x:v>已确认</x:v>
      </x:c>
      <x:c r="Q465" s="97" t="n">
        <x:f>IF(P465="已退款",M465,0)</x:f>
        <x:v>0</x:v>
      </x:c>
      <x:c r="R465" s="97" t="n">
        <x:f>IF(P465="已退款",O465,0)</x:f>
        <x:v>0</x:v>
      </x:c>
      <x:c r="S465" s="97" t="n">
        <x:f>O465-R465</x:f>
        <x:v>26.59</x:v>
      </x:c>
      <x:c r="T465" s="94" t="n">
        <x:v>3</x:v>
      </x:c>
      <x:c r="U465" s="94" t="str">
        <x:v>模拟：Amazon Associates订单回传</x:v>
      </x:c>
    </x:row>
    <x:row r="466">
      <x:c r="A466" s="92" t="str">
        <x:v>AMZ-ORD-00465</x:v>
      </x:c>
      <x:c r="B466" s="94" t="str">
        <x:v>PROC-0451</x:v>
      </x:c>
      <x:c r="C466" s="108" t="n">
        <x:v>46104.604166666664</x:v>
      </x:c>
      <x:c r="D466" s="93" t="n">
        <x:v>46104</x:v>
      </x:c>
      <x:c r="E466" s="94" t="str">
        <x:v>Google Ads</x:v>
      </x:c>
      <x:c r="F466" s="94" t="str">
        <x:v>英国</x:v>
      </x:c>
      <x:c r="G466" s="94" t="str">
        <x:v>品牌搜索</x:v>
      </x:c>
      <x:c r="H466" s="94" t="str">
        <x:v>SKU-0033</x:v>
      </x:c>
      <x:c r="I466" s="94" t="str">
        <x:v>美妆个护</x:v>
      </x:c>
      <x:c r="J466" s="94" t="str">
        <x:v>护肤套装 C</x:v>
      </x:c>
      <x:c r="K466" s="97" t="n">
        <x:v>141.02</x:v>
      </x:c>
      <x:c r="L466" s="95" t="n">
        <x:v>2</x:v>
      </x:c>
      <x:c r="M466" s="97" t="n">
        <x:f>ROUND(K466*L466,2)</x:f>
        <x:v>282.04</x:v>
      </x:c>
      <x:c r="N466" s="109" t="n">
        <x:v>0.1</x:v>
      </x:c>
      <x:c r="O466" s="97" t="n">
        <x:f>ROUND(M466*N466,2)</x:f>
        <x:v>28.2</x:v>
      </x:c>
      <x:c r="P466" s="94" t="str">
        <x:v>已确认</x:v>
      </x:c>
      <x:c r="Q466" s="97" t="n">
        <x:f>IF(P466="已退款",M466,0)</x:f>
        <x:v>0</x:v>
      </x:c>
      <x:c r="R466" s="97" t="n">
        <x:f>IF(P466="已退款",O466,0)</x:f>
        <x:v>0</x:v>
      </x:c>
      <x:c r="S466" s="97" t="n">
        <x:f>O466-R466</x:f>
        <x:v>28.2</x:v>
      </x:c>
      <x:c r="T466" s="94" t="n">
        <x:v>0</x:v>
      </x:c>
      <x:c r="U466" s="94" t="str">
        <x:v>模拟：Amazon Associates订单回传</x:v>
      </x:c>
    </x:row>
    <x:row r="467">
      <x:c r="A467" s="92" t="str">
        <x:v>AMZ-ORD-00466</x:v>
      </x:c>
      <x:c r="B467" s="94" t="str">
        <x:v>PROC-0451</x:v>
      </x:c>
      <x:c r="C467" s="108" t="n">
        <x:v>46104.572222222225</x:v>
      </x:c>
      <x:c r="D467" s="93" t="n">
        <x:v>46104</x:v>
      </x:c>
      <x:c r="E467" s="94" t="str">
        <x:v>Google Ads</x:v>
      </x:c>
      <x:c r="F467" s="94" t="str">
        <x:v>英国</x:v>
      </x:c>
      <x:c r="G467" s="94" t="str">
        <x:v>品牌搜索</x:v>
      </x:c>
      <x:c r="H467" s="94" t="str">
        <x:v>SKU-0035</x:v>
      </x:c>
      <x:c r="I467" s="94" t="str">
        <x:v>美妆个护</x:v>
      </x:c>
      <x:c r="J467" s="94" t="str">
        <x:v>香氛礼盒 E</x:v>
      </x:c>
      <x:c r="K467" s="97" t="n">
        <x:v>64.36</x:v>
      </x:c>
      <x:c r="L467" s="95" t="n">
        <x:v>3</x:v>
      </x:c>
      <x:c r="M467" s="97" t="n">
        <x:f>ROUND(K467*L467,2)</x:f>
        <x:v>193.08</x:v>
      </x:c>
      <x:c r="N467" s="109" t="n">
        <x:v>0.1</x:v>
      </x:c>
      <x:c r="O467" s="97" t="n">
        <x:f>ROUND(M467*N467,2)</x:f>
        <x:v>19.31</x:v>
      </x:c>
      <x:c r="P467" s="94" t="str">
        <x:v>已确认</x:v>
      </x:c>
      <x:c r="Q467" s="97" t="n">
        <x:f>IF(P467="已退款",M467,0)</x:f>
        <x:v>0</x:v>
      </x:c>
      <x:c r="R467" s="97" t="n">
        <x:f>IF(P467="已退款",O467,0)</x:f>
        <x:v>0</x:v>
      </x:c>
      <x:c r="S467" s="97" t="n">
        <x:f>O467-R467</x:f>
        <x:v>19.31</x:v>
      </x:c>
      <x:c r="T467" s="94" t="n">
        <x:v>0</x:v>
      </x:c>
      <x:c r="U467" s="94" t="str">
        <x:v>模拟：Amazon Associates订单回传</x:v>
      </x:c>
    </x:row>
    <x:row r="468">
      <x:c r="A468" s="92" t="str">
        <x:v>AMZ-ORD-00467</x:v>
      </x:c>
      <x:c r="B468" s="94" t="str">
        <x:v>PROC-0452</x:v>
      </x:c>
      <x:c r="C468" s="108" t="n">
        <x:v>46108.51875</x:v>
      </x:c>
      <x:c r="D468" s="93" t="n">
        <x:v>46104</x:v>
      </x:c>
      <x:c r="E468" s="94" t="str">
        <x:v>Microsoft Ads</x:v>
      </x:c>
      <x:c r="F468" s="94" t="str">
        <x:v>美国</x:v>
      </x:c>
      <x:c r="G468" s="94" t="str">
        <x:v>品牌搜索</x:v>
      </x:c>
      <x:c r="H468" s="94" t="str">
        <x:v>SKU-0035</x:v>
      </x:c>
      <x:c r="I468" s="94" t="str">
        <x:v>美妆个护</x:v>
      </x:c>
      <x:c r="J468" s="94" t="str">
        <x:v>香氛礼盒 E</x:v>
      </x:c>
      <x:c r="K468" s="97" t="n">
        <x:v>86.48</x:v>
      </x:c>
      <x:c r="L468" s="95" t="n">
        <x:v>2</x:v>
      </x:c>
      <x:c r="M468" s="97" t="n">
        <x:f>ROUND(K468*L468,2)</x:f>
        <x:v>172.96</x:v>
      </x:c>
      <x:c r="N468" s="109" t="n">
        <x:v>0.1</x:v>
      </x:c>
      <x:c r="O468" s="97" t="n">
        <x:f>ROUND(M468*N468,2)</x:f>
        <x:v>17.3</x:v>
      </x:c>
      <x:c r="P468" s="94" t="str">
        <x:v>已确认</x:v>
      </x:c>
      <x:c r="Q468" s="97" t="n">
        <x:f>IF(P468="已退款",M468,0)</x:f>
        <x:v>0</x:v>
      </x:c>
      <x:c r="R468" s="97" t="n">
        <x:f>IF(P468="已退款",O468,0)</x:f>
        <x:v>0</x:v>
      </x:c>
      <x:c r="S468" s="97" t="n">
        <x:f>O468-R468</x:f>
        <x:v>17.3</x:v>
      </x:c>
      <x:c r="T468" s="94" t="n">
        <x:v>4</x:v>
      </x:c>
      <x:c r="U468" s="94" t="str">
        <x:v>模拟：Amazon Associates订单回传</x:v>
      </x:c>
    </x:row>
    <x:row r="469">
      <x:c r="A469" s="92" t="str">
        <x:v>AMZ-ORD-00468</x:v>
      </x:c>
      <x:c r="B469" s="94" t="str">
        <x:v>PROC-0453</x:v>
      </x:c>
      <x:c r="C469" s="108" t="n">
        <x:v>46105.82013888889</x:v>
      </x:c>
      <x:c r="D469" s="93" t="n">
        <x:v>46104</x:v>
      </x:c>
      <x:c r="E469" s="94" t="str">
        <x:v>Microsoft Ads</x:v>
      </x:c>
      <x:c r="F469" s="94" t="str">
        <x:v>美国</x:v>
      </x:c>
      <x:c r="G469" s="94" t="str">
        <x:v>品牌搜索</x:v>
      </x:c>
      <x:c r="H469" s="94" t="str">
        <x:v>SKU-0026</x:v>
      </x:c>
      <x:c r="I469" s="94" t="str">
        <x:v>运动健康</x:v>
      </x:c>
      <x:c r="J469" s="94" t="str">
        <x:v>骑行头盔 F</x:v>
      </x:c>
      <x:c r="K469" s="97" t="n">
        <x:v>160.73</x:v>
      </x:c>
      <x:c r="L469" s="95" t="n">
        <x:v>1</x:v>
      </x:c>
      <x:c r="M469" s="97" t="n">
        <x:f>ROUND(K469*L469,2)</x:f>
        <x:v>160.73</x:v>
      </x:c>
      <x:c r="N469" s="109" t="n">
        <x:v>0.08</x:v>
      </x:c>
      <x:c r="O469" s="97" t="n">
        <x:f>ROUND(M469*N469,2)</x:f>
        <x:v>12.86</x:v>
      </x:c>
      <x:c r="P469" s="94" t="str">
        <x:v>已确认</x:v>
      </x:c>
      <x:c r="Q469" s="97" t="n">
        <x:f>IF(P469="已退款",M469,0)</x:f>
        <x:v>0</x:v>
      </x:c>
      <x:c r="R469" s="97" t="n">
        <x:f>IF(P469="已退款",O469,0)</x:f>
        <x:v>0</x:v>
      </x:c>
      <x:c r="S469" s="97" t="n">
        <x:f>O469-R469</x:f>
        <x:v>12.86</x:v>
      </x:c>
      <x:c r="T469" s="94" t="n">
        <x:v>1</x:v>
      </x:c>
      <x:c r="U469" s="94" t="str">
        <x:v>模拟：Amazon Associates订单回传</x:v>
      </x:c>
    </x:row>
    <x:row r="470">
      <x:c r="A470" s="92" t="str">
        <x:v>AMZ-ORD-00469</x:v>
      </x:c>
      <x:c r="B470" s="94" t="str">
        <x:v>PROC-0453</x:v>
      </x:c>
      <x:c r="C470" s="108" t="n">
        <x:v>46104.46944444445</x:v>
      </x:c>
      <x:c r="D470" s="93" t="n">
        <x:v>46104</x:v>
      </x:c>
      <x:c r="E470" s="94" t="str">
        <x:v>Microsoft Ads</x:v>
      </x:c>
      <x:c r="F470" s="94" t="str">
        <x:v>美国</x:v>
      </x:c>
      <x:c r="G470" s="94" t="str">
        <x:v>品牌搜索</x:v>
      </x:c>
      <x:c r="H470" s="94" t="str">
        <x:v>SKU-0037</x:v>
      </x:c>
      <x:c r="I470" s="94" t="str">
        <x:v>美妆个护</x:v>
      </x:c>
      <x:c r="J470" s="94" t="str">
        <x:v>美容仪 G</x:v>
      </x:c>
      <x:c r="K470" s="97" t="n">
        <x:v>48.96</x:v>
      </x:c>
      <x:c r="L470" s="95" t="n">
        <x:v>1</x:v>
      </x:c>
      <x:c r="M470" s="97" t="n">
        <x:f>ROUND(K470*L470,2)</x:f>
        <x:v>48.96</x:v>
      </x:c>
      <x:c r="N470" s="109" t="n">
        <x:v>0.1</x:v>
      </x:c>
      <x:c r="O470" s="97" t="n">
        <x:f>ROUND(M470*N470,2)</x:f>
        <x:v>4.9</x:v>
      </x:c>
      <x:c r="P470" s="94" t="str">
        <x:v>已确认</x:v>
      </x:c>
      <x:c r="Q470" s="97" t="n">
        <x:f>IF(P470="已退款",M470,0)</x:f>
        <x:v>0</x:v>
      </x:c>
      <x:c r="R470" s="97" t="n">
        <x:f>IF(P470="已退款",O470,0)</x:f>
        <x:v>0</x:v>
      </x:c>
      <x:c r="S470" s="97" t="n">
        <x:f>O470-R470</x:f>
        <x:v>4.9</x:v>
      </x:c>
      <x:c r="T470" s="94" t="n">
        <x:v>0</x:v>
      </x:c>
      <x:c r="U470" s="94" t="str">
        <x:v>模拟：Amazon Associates订单回传</x:v>
      </x:c>
    </x:row>
    <x:row r="471">
      <x:c r="A471" s="92" t="str">
        <x:v>AMZ-ORD-00470</x:v>
      </x:c>
      <x:c r="B471" s="94" t="str">
        <x:v>PROC-0454</x:v>
      </x:c>
      <x:c r="C471" s="108" t="n">
        <x:v>46104.87777777778</x:v>
      </x:c>
      <x:c r="D471" s="93" t="n">
        <x:v>46104</x:v>
      </x:c>
      <x:c r="E471" s="94" t="str">
        <x:v>Google Ads</x:v>
      </x:c>
      <x:c r="F471" s="94" t="str">
        <x:v>英国</x:v>
      </x:c>
      <x:c r="G471" s="94" t="str">
        <x:v>购物广告</x:v>
      </x:c>
      <x:c r="H471" s="94" t="str">
        <x:v>SKU-0034</x:v>
      </x:c>
      <x:c r="I471" s="94" t="str">
        <x:v>美妆个护</x:v>
      </x:c>
      <x:c r="J471" s="94" t="str">
        <x:v>电动牙刷 D</x:v>
      </x:c>
      <x:c r="K471" s="97" t="n">
        <x:v>148.38</x:v>
      </x:c>
      <x:c r="L471" s="95" t="n">
        <x:v>1</x:v>
      </x:c>
      <x:c r="M471" s="97" t="n">
        <x:f>ROUND(K471*L471,2)</x:f>
        <x:v>148.38</x:v>
      </x:c>
      <x:c r="N471" s="109" t="n">
        <x:v>0.1</x:v>
      </x:c>
      <x:c r="O471" s="97" t="n">
        <x:f>ROUND(M471*N471,2)</x:f>
        <x:v>14.84</x:v>
      </x:c>
      <x:c r="P471" s="94" t="str">
        <x:v>已确认</x:v>
      </x:c>
      <x:c r="Q471" s="97" t="n">
        <x:f>IF(P471="已退款",M471,0)</x:f>
        <x:v>0</x:v>
      </x:c>
      <x:c r="R471" s="97" t="n">
        <x:f>IF(P471="已退款",O471,0)</x:f>
        <x:v>0</x:v>
      </x:c>
      <x:c r="S471" s="97" t="n">
        <x:f>O471-R471</x:f>
        <x:v>14.84</x:v>
      </x:c>
      <x:c r="T471" s="94" t="n">
        <x:v>0</x:v>
      </x:c>
      <x:c r="U471" s="94" t="str">
        <x:v>模拟：Amazon Associates订单回传</x:v>
      </x:c>
    </x:row>
    <x:row r="472">
      <x:c r="A472" s="92" t="str">
        <x:v>AMZ-ORD-00471</x:v>
      </x:c>
      <x:c r="B472" s="94" t="str">
        <x:v>PROC-0455</x:v>
      </x:c>
      <x:c r="C472" s="108" t="n">
        <x:v>46107.35486111111</x:v>
      </x:c>
      <x:c r="D472" s="93" t="n">
        <x:v>46105</x:v>
      </x:c>
      <x:c r="E472" s="94" t="str">
        <x:v>Google Ads</x:v>
      </x:c>
      <x:c r="F472" s="94" t="str">
        <x:v>美国</x:v>
      </x:c>
      <x:c r="G472" s="94" t="str">
        <x:v>购物广告</x:v>
      </x:c>
      <x:c r="H472" s="94" t="str">
        <x:v>SKU-0033</x:v>
      </x:c>
      <x:c r="I472" s="94" t="str">
        <x:v>美妆个护</x:v>
      </x:c>
      <x:c r="J472" s="94" t="str">
        <x:v>护肤套装 C</x:v>
      </x:c>
      <x:c r="K472" s="97" t="n">
        <x:v>94.91</x:v>
      </x:c>
      <x:c r="L472" s="95" t="n">
        <x:v>1</x:v>
      </x:c>
      <x:c r="M472" s="97" t="n">
        <x:f>ROUND(K472*L472,2)</x:f>
        <x:v>94.91</x:v>
      </x:c>
      <x:c r="N472" s="109" t="n">
        <x:v>0.1</x:v>
      </x:c>
      <x:c r="O472" s="97" t="n">
        <x:f>ROUND(M472*N472,2)</x:f>
        <x:v>9.49</x:v>
      </x:c>
      <x:c r="P472" s="94" t="str">
        <x:v>已确认</x:v>
      </x:c>
      <x:c r="Q472" s="97" t="n">
        <x:f>IF(P472="已退款",M472,0)</x:f>
        <x:v>0</x:v>
      </x:c>
      <x:c r="R472" s="97" t="n">
        <x:f>IF(P472="已退款",O472,0)</x:f>
        <x:v>0</x:v>
      </x:c>
      <x:c r="S472" s="97" t="n">
        <x:f>O472-R472</x:f>
        <x:v>9.49</x:v>
      </x:c>
      <x:c r="T472" s="94" t="n">
        <x:v>2</x:v>
      </x:c>
      <x:c r="U472" s="94" t="str">
        <x:v>模拟：Amazon Associates订单回传</x:v>
      </x:c>
    </x:row>
    <x:row r="473">
      <x:c r="A473" s="92" t="str">
        <x:v>AMZ-ORD-00472</x:v>
      </x:c>
      <x:c r="B473" s="94" t="str">
        <x:v>PROC-0456</x:v>
      </x:c>
      <x:c r="C473" s="108" t="n">
        <x:v>46105.415972222225</x:v>
      </x:c>
      <x:c r="D473" s="93" t="n">
        <x:v>46105</x:v>
      </x:c>
      <x:c r="E473" s="94" t="str">
        <x:v>Google Ads</x:v>
      </x:c>
      <x:c r="F473" s="94" t="str">
        <x:v>美国</x:v>
      </x:c>
      <x:c r="G473" s="94" t="str">
        <x:v>购物广告</x:v>
      </x:c>
      <x:c r="H473" s="94" t="str">
        <x:v>SKU-0029</x:v>
      </x:c>
      <x:c r="I473" s="94" t="str">
        <x:v>运动健康</x:v>
      </x:c>
      <x:c r="J473" s="94" t="str">
        <x:v>运动耳机 I</x:v>
      </x:c>
      <x:c r="K473" s="97" t="n">
        <x:v>146.21</x:v>
      </x:c>
      <x:c r="L473" s="95" t="n">
        <x:v>1</x:v>
      </x:c>
      <x:c r="M473" s="97" t="n">
        <x:f>ROUND(K473*L473,2)</x:f>
        <x:v>146.21</x:v>
      </x:c>
      <x:c r="N473" s="109" t="n">
        <x:v>0.08</x:v>
      </x:c>
      <x:c r="O473" s="97" t="n">
        <x:f>ROUND(M473*N473,2)</x:f>
        <x:v>11.7</x:v>
      </x:c>
      <x:c r="P473" s="94" t="str">
        <x:v>已退款</x:v>
      </x:c>
      <x:c r="Q473" s="97" t="n">
        <x:f>IF(P473="已退款",M473,0)</x:f>
        <x:v>146.21</x:v>
      </x:c>
      <x:c r="R473" s="97" t="n">
        <x:f>IF(P473="已退款",O473,0)</x:f>
        <x:v>11.7</x:v>
      </x:c>
      <x:c r="S473" s="97" t="n">
        <x:f>O473-R473</x:f>
        <x:v>0</x:v>
      </x:c>
      <x:c r="T473" s="94" t="n">
        <x:v>0</x:v>
      </x:c>
      <x:c r="U473" s="94" t="str">
        <x:v>模拟：Amazon Associates订单回传</x:v>
      </x:c>
    </x:row>
    <x:row r="474">
      <x:c r="A474" s="92" t="str">
        <x:v>AMZ-ORD-00473</x:v>
      </x:c>
      <x:c r="B474" s="94" t="str">
        <x:v>PROC-0457</x:v>
      </x:c>
      <x:c r="C474" s="108" t="n">
        <x:v>46109.43680555555</x:v>
      </x:c>
      <x:c r="D474" s="93" t="n">
        <x:v>46105</x:v>
      </x:c>
      <x:c r="E474" s="94" t="str">
        <x:v>Microsoft Ads</x:v>
      </x:c>
      <x:c r="F474" s="94" t="str">
        <x:v>英国</x:v>
      </x:c>
      <x:c r="G474" s="94" t="str">
        <x:v>通用搜索</x:v>
      </x:c>
      <x:c r="H474" s="94" t="str">
        <x:v>SKU-0027</x:v>
      </x:c>
      <x:c r="I474" s="94" t="str">
        <x:v>运动健康</x:v>
      </x:c>
      <x:c r="J474" s="94" t="str">
        <x:v>户外背包 G</x:v>
      </x:c>
      <x:c r="K474" s="97" t="n">
        <x:v>157.83</x:v>
      </x:c>
      <x:c r="L474" s="95" t="n">
        <x:v>1</x:v>
      </x:c>
      <x:c r="M474" s="97" t="n">
        <x:f>ROUND(K474*L474,2)</x:f>
        <x:v>157.83</x:v>
      </x:c>
      <x:c r="N474" s="109" t="n">
        <x:v>0.08</x:v>
      </x:c>
      <x:c r="O474" s="97" t="n">
        <x:f>ROUND(M474*N474,2)</x:f>
        <x:v>12.63</x:v>
      </x:c>
      <x:c r="P474" s="94" t="str">
        <x:v>已确认</x:v>
      </x:c>
      <x:c r="Q474" s="97" t="n">
        <x:f>IF(P474="已退款",M474,0)</x:f>
        <x:v>0</x:v>
      </x:c>
      <x:c r="R474" s="97" t="n">
        <x:f>IF(P474="已退款",O474,0)</x:f>
        <x:v>0</x:v>
      </x:c>
      <x:c r="S474" s="97" t="n">
        <x:f>O474-R474</x:f>
        <x:v>12.63</x:v>
      </x:c>
      <x:c r="T474" s="94" t="n">
        <x:v>4</x:v>
      </x:c>
      <x:c r="U474" s="94" t="str">
        <x:v>模拟：Amazon Associates订单回传</x:v>
      </x:c>
    </x:row>
    <x:row r="475">
      <x:c r="A475" s="92" t="str">
        <x:v>AMZ-ORD-00474</x:v>
      </x:c>
      <x:c r="B475" s="94" t="str">
        <x:v>PROC-0458</x:v>
      </x:c>
      <x:c r="C475" s="108" t="n">
        <x:v>46106.56597222222</x:v>
      </x:c>
      <x:c r="D475" s="93" t="n">
        <x:v>46105</x:v>
      </x:c>
      <x:c r="E475" s="94" t="str">
        <x:v>Google Ads</x:v>
      </x:c>
      <x:c r="F475" s="94" t="str">
        <x:v>美国</x:v>
      </x:c>
      <x:c r="G475" s="94" t="str">
        <x:v>购物广告</x:v>
      </x:c>
      <x:c r="H475" s="94" t="str">
        <x:v>SKU-0001</x:v>
      </x:c>
      <x:c r="I475" s="94" t="str">
        <x:v>电子产品</x:v>
      </x:c>
      <x:c r="J475" s="94" t="str">
        <x:v>无线耳机 A</x:v>
      </x:c>
      <x:c r="K475" s="97" t="n">
        <x:v>729.16</x:v>
      </x:c>
      <x:c r="L475" s="95" t="n">
        <x:v>1</x:v>
      </x:c>
      <x:c r="M475" s="97" t="n">
        <x:f>ROUND(K475*L475,2)</x:f>
        <x:v>729.16</x:v>
      </x:c>
      <x:c r="N475" s="109" t="n">
        <x:v>0.05</x:v>
      </x:c>
      <x:c r="O475" s="97" t="n">
        <x:f>ROUND(M475*N475,2)</x:f>
        <x:v>36.46</x:v>
      </x:c>
      <x:c r="P475" s="94" t="str">
        <x:v>已确认</x:v>
      </x:c>
      <x:c r="Q475" s="97" t="n">
        <x:f>IF(P475="已退款",M475,0)</x:f>
        <x:v>0</x:v>
      </x:c>
      <x:c r="R475" s="97" t="n">
        <x:f>IF(P475="已退款",O475,0)</x:f>
        <x:v>0</x:v>
      </x:c>
      <x:c r="S475" s="97" t="n">
        <x:f>O475-R475</x:f>
        <x:v>36.46</x:v>
      </x:c>
      <x:c r="T475" s="94" t="n">
        <x:v>1</x:v>
      </x:c>
      <x:c r="U475" s="94" t="str">
        <x:v>模拟：Amazon Associates订单回传</x:v>
      </x:c>
    </x:row>
    <x:row r="476">
      <x:c r="A476" s="92" t="str">
        <x:v>AMZ-ORD-00475</x:v>
      </x:c>
      <x:c r="B476" s="94" t="str">
        <x:v>PROC-0459</x:v>
      </x:c>
      <x:c r="C476" s="108" t="n">
        <x:v>46105.74791666667</x:v>
      </x:c>
      <x:c r="D476" s="93" t="n">
        <x:v>46105</x:v>
      </x:c>
      <x:c r="E476" s="94" t="str">
        <x:v>Google Ads</x:v>
      </x:c>
      <x:c r="F476" s="94" t="str">
        <x:v>英国</x:v>
      </x:c>
      <x:c r="G476" s="94" t="str">
        <x:v>品牌搜索</x:v>
      </x:c>
      <x:c r="H476" s="94" t="str">
        <x:v>SKU-0037</x:v>
      </x:c>
      <x:c r="I476" s="94" t="str">
        <x:v>美妆个护</x:v>
      </x:c>
      <x:c r="J476" s="94" t="str">
        <x:v>美容仪 G</x:v>
      </x:c>
      <x:c r="K476" s="97" t="n">
        <x:v>73.92</x:v>
      </x:c>
      <x:c r="L476" s="95" t="n">
        <x:v>3</x:v>
      </x:c>
      <x:c r="M476" s="97" t="n">
        <x:f>ROUND(K476*L476,2)</x:f>
        <x:v>221.76</x:v>
      </x:c>
      <x:c r="N476" s="109" t="n">
        <x:v>0.1</x:v>
      </x:c>
      <x:c r="O476" s="97" t="n">
        <x:f>ROUND(M476*N476,2)</x:f>
        <x:v>22.18</x:v>
      </x:c>
      <x:c r="P476" s="94" t="str">
        <x:v>待确认</x:v>
      </x:c>
      <x:c r="Q476" s="97" t="n">
        <x:f>IF(P476="已退款",M476,0)</x:f>
        <x:v>0</x:v>
      </x:c>
      <x:c r="R476" s="97" t="n">
        <x:f>IF(P476="已退款",O476,0)</x:f>
        <x:v>0</x:v>
      </x:c>
      <x:c r="S476" s="97" t="n">
        <x:f>O476-R476</x:f>
        <x:v>22.18</x:v>
      </x:c>
      <x:c r="T476" s="94" t="n">
        <x:v>0</x:v>
      </x:c>
      <x:c r="U476" s="94" t="str">
        <x:v>模拟：Amazon Associates订单回传</x:v>
      </x:c>
    </x:row>
    <x:row r="477">
      <x:c r="A477" s="92" t="str">
        <x:v>AMZ-ORD-00476</x:v>
      </x:c>
      <x:c r="B477" s="94" t="str">
        <x:v>PROC-0460</x:v>
      </x:c>
      <x:c r="C477" s="108" t="n">
        <x:v>46110.70486111111</x:v>
      </x:c>
      <x:c r="D477" s="93" t="n">
        <x:v>46106</x:v>
      </x:c>
      <x:c r="E477" s="94" t="str">
        <x:v>Google Ads</x:v>
      </x:c>
      <x:c r="F477" s="94" t="str">
        <x:v>英国</x:v>
      </x:c>
      <x:c r="G477" s="94" t="str">
        <x:v>通用搜索</x:v>
      </x:c>
      <x:c r="H477" s="94" t="str">
        <x:v>SKU-0011</x:v>
      </x:c>
      <x:c r="I477" s="94" t="str">
        <x:v>家居生活</x:v>
      </x:c>
      <x:c r="J477" s="94" t="str">
        <x:v>空气净化器 A</x:v>
      </x:c>
      <x:c r="K477" s="97" t="n">
        <x:v>179.04</x:v>
      </x:c>
      <x:c r="L477" s="95" t="n">
        <x:v>1</x:v>
      </x:c>
      <x:c r="M477" s="97" t="n">
        <x:f>ROUND(K477*L477,2)</x:f>
        <x:v>179.04</x:v>
      </x:c>
      <x:c r="N477" s="109" t="n">
        <x:v>0.07</x:v>
      </x:c>
      <x:c r="O477" s="97" t="n">
        <x:f>ROUND(M477*N477,2)</x:f>
        <x:v>12.53</x:v>
      </x:c>
      <x:c r="P477" s="94" t="str">
        <x:v>已确认</x:v>
      </x:c>
      <x:c r="Q477" s="97" t="n">
        <x:f>IF(P477="已退款",M477,0)</x:f>
        <x:v>0</x:v>
      </x:c>
      <x:c r="R477" s="97" t="n">
        <x:f>IF(P477="已退款",O477,0)</x:f>
        <x:v>0</x:v>
      </x:c>
      <x:c r="S477" s="97" t="n">
        <x:f>O477-R477</x:f>
        <x:v>12.53</x:v>
      </x:c>
      <x:c r="T477" s="94" t="n">
        <x:v>4</x:v>
      </x:c>
      <x:c r="U477" s="94" t="str">
        <x:v>模拟：Amazon Associates订单回传</x:v>
      </x:c>
    </x:row>
    <x:row r="478">
      <x:c r="A478" s="92" t="str">
        <x:v>AMZ-ORD-00477</x:v>
      </x:c>
      <x:c r="B478" s="94" t="str">
        <x:v>PROC-0461</x:v>
      </x:c>
      <x:c r="C478" s="108" t="n">
        <x:v>46108.51597222222</x:v>
      </x:c>
      <x:c r="D478" s="93" t="n">
        <x:v>46106</x:v>
      </x:c>
      <x:c r="E478" s="94" t="str">
        <x:v>Google Ads</x:v>
      </x:c>
      <x:c r="F478" s="94" t="str">
        <x:v>美国</x:v>
      </x:c>
      <x:c r="G478" s="94" t="str">
        <x:v>竞品搜索</x:v>
      </x:c>
      <x:c r="H478" s="94" t="str">
        <x:v>SKU-0050</x:v>
      </x:c>
      <x:c r="I478" s="94" t="str">
        <x:v>办公学习</x:v>
      </x:c>
      <x:c r="J478" s="94" t="str">
        <x:v>静音鼠标 J</x:v>
      </x:c>
      <x:c r="K478" s="97" t="n">
        <x:v>248.27</x:v>
      </x:c>
      <x:c r="L478" s="95" t="n">
        <x:v>1</x:v>
      </x:c>
      <x:c r="M478" s="97" t="n">
        <x:f>ROUND(K478*L478,2)</x:f>
        <x:v>248.27</x:v>
      </x:c>
      <x:c r="N478" s="109" t="n">
        <x:v>0.07</x:v>
      </x:c>
      <x:c r="O478" s="97" t="n">
        <x:f>ROUND(M478*N478,2)</x:f>
        <x:v>17.38</x:v>
      </x:c>
      <x:c r="P478" s="94" t="str">
        <x:v>已确认</x:v>
      </x:c>
      <x:c r="Q478" s="97" t="n">
        <x:f>IF(P478="已退款",M478,0)</x:f>
        <x:v>0</x:v>
      </x:c>
      <x:c r="R478" s="97" t="n">
        <x:f>IF(P478="已退款",O478,0)</x:f>
        <x:v>0</x:v>
      </x:c>
      <x:c r="S478" s="97" t="n">
        <x:f>O478-R478</x:f>
        <x:v>17.38</x:v>
      </x:c>
      <x:c r="T478" s="94" t="n">
        <x:v>2</x:v>
      </x:c>
      <x:c r="U478" s="94" t="str">
        <x:v>模拟：Amazon Associates订单回传</x:v>
      </x:c>
    </x:row>
    <x:row r="479">
      <x:c r="A479" s="92" t="str">
        <x:v>AMZ-ORD-00478</x:v>
      </x:c>
      <x:c r="B479" s="94" t="str">
        <x:v>PROC-0462</x:v>
      </x:c>
      <x:c r="C479" s="108" t="n">
        <x:v>46107.44861111111</x:v>
      </x:c>
      <x:c r="D479" s="93" t="n">
        <x:v>46106</x:v>
      </x:c>
      <x:c r="E479" s="94" t="str">
        <x:v>Google Ads</x:v>
      </x:c>
      <x:c r="F479" s="94" t="str">
        <x:v>日本</x:v>
      </x:c>
      <x:c r="G479" s="94" t="str">
        <x:v>品牌搜索</x:v>
      </x:c>
      <x:c r="H479" s="94" t="str">
        <x:v>SKU-0009</x:v>
      </x:c>
      <x:c r="I479" s="94" t="str">
        <x:v>电子产品</x:v>
      </x:c>
      <x:c r="J479" s="94" t="str">
        <x:v>电子阅读器 I</x:v>
      </x:c>
      <x:c r="K479" s="97" t="n">
        <x:v>721.06</x:v>
      </x:c>
      <x:c r="L479" s="95" t="n">
        <x:v>1</x:v>
      </x:c>
      <x:c r="M479" s="97" t="n">
        <x:f>ROUND(K479*L479,2)</x:f>
        <x:v>721.06</x:v>
      </x:c>
      <x:c r="N479" s="109" t="n">
        <x:v>0.05</x:v>
      </x:c>
      <x:c r="O479" s="97" t="n">
        <x:f>ROUND(M479*N479,2)</x:f>
        <x:v>36.05</x:v>
      </x:c>
      <x:c r="P479" s="94" t="str">
        <x:v>已确认</x:v>
      </x:c>
      <x:c r="Q479" s="97" t="n">
        <x:f>IF(P479="已退款",M479,0)</x:f>
        <x:v>0</x:v>
      </x:c>
      <x:c r="R479" s="97" t="n">
        <x:f>IF(P479="已退款",O479,0)</x:f>
        <x:v>0</x:v>
      </x:c>
      <x:c r="S479" s="97" t="n">
        <x:f>O479-R479</x:f>
        <x:v>36.05</x:v>
      </x:c>
      <x:c r="T479" s="94" t="n">
        <x:v>1</x:v>
      </x:c>
      <x:c r="U479" s="94" t="str">
        <x:v>模拟：Amazon Associates订单回传</x:v>
      </x:c>
    </x:row>
    <x:row r="480">
      <x:c r="A480" s="92" t="str">
        <x:v>AMZ-ORD-00479</x:v>
      </x:c>
      <x:c r="B480" s="94" t="str">
        <x:v>PROC-0463</x:v>
      </x:c>
      <x:c r="C480" s="108" t="n">
        <x:v>46107.81319444445</x:v>
      </x:c>
      <x:c r="D480" s="93" t="n">
        <x:v>46106</x:v>
      </x:c>
      <x:c r="E480" s="94" t="str">
        <x:v>Microsoft Ads</x:v>
      </x:c>
      <x:c r="F480" s="94" t="str">
        <x:v>美国</x:v>
      </x:c>
      <x:c r="G480" s="94" t="str">
        <x:v>通用搜索</x:v>
      </x:c>
      <x:c r="H480" s="94" t="str">
        <x:v>SKU-0012</x:v>
      </x:c>
      <x:c r="I480" s="94" t="str">
        <x:v>家居生活</x:v>
      </x:c>
      <x:c r="J480" s="94" t="str">
        <x:v>咖啡机 B</x:v>
      </x:c>
      <x:c r="K480" s="97" t="n">
        <x:v>205.87</x:v>
      </x:c>
      <x:c r="L480" s="95" t="n">
        <x:v>1</x:v>
      </x:c>
      <x:c r="M480" s="97" t="n">
        <x:f>ROUND(K480*L480,2)</x:f>
        <x:v>205.87</x:v>
      </x:c>
      <x:c r="N480" s="109" t="n">
        <x:v>0.07</x:v>
      </x:c>
      <x:c r="O480" s="97" t="n">
        <x:f>ROUND(M480*N480,2)</x:f>
        <x:v>14.41</x:v>
      </x:c>
      <x:c r="P480" s="94" t="str">
        <x:v>已确认</x:v>
      </x:c>
      <x:c r="Q480" s="97" t="n">
        <x:f>IF(P480="已退款",M480,0)</x:f>
        <x:v>0</x:v>
      </x:c>
      <x:c r="R480" s="97" t="n">
        <x:f>IF(P480="已退款",O480,0)</x:f>
        <x:v>0</x:v>
      </x:c>
      <x:c r="S480" s="97" t="n">
        <x:f>O480-R480</x:f>
        <x:v>14.41</x:v>
      </x:c>
      <x:c r="T480" s="94" t="n">
        <x:v>1</x:v>
      </x:c>
      <x:c r="U480" s="94" t="str">
        <x:v>模拟：Amazon Associates订单回传</x:v>
      </x:c>
    </x:row>
    <x:row r="481">
      <x:c r="A481" s="92" t="str">
        <x:v>AMZ-ORD-00480</x:v>
      </x:c>
      <x:c r="B481" s="94" t="str">
        <x:v>PROC-0464</x:v>
      </x:c>
      <x:c r="C481" s="108" t="n">
        <x:v>46110.65138888889</x:v>
      </x:c>
      <x:c r="D481" s="93" t="n">
        <x:v>46106</x:v>
      </x:c>
      <x:c r="E481" s="94" t="str">
        <x:v>Google Ads</x:v>
      </x:c>
      <x:c r="F481" s="94" t="str">
        <x:v>美国</x:v>
      </x:c>
      <x:c r="G481" s="94" t="str">
        <x:v>购物广告</x:v>
      </x:c>
      <x:c r="H481" s="94" t="str">
        <x:v>SKU-0025</x:v>
      </x:c>
      <x:c r="I481" s="94" t="str">
        <x:v>运动健康</x:v>
      </x:c>
      <x:c r="J481" s="94" t="str">
        <x:v>跑步机配件 E</x:v>
      </x:c>
      <x:c r="K481" s="97" t="n">
        <x:v>223.6</x:v>
      </x:c>
      <x:c r="L481" s="95" t="n">
        <x:v>1</x:v>
      </x:c>
      <x:c r="M481" s="97" t="n">
        <x:f>ROUND(K481*L481,2)</x:f>
        <x:v>223.6</x:v>
      </x:c>
      <x:c r="N481" s="109" t="n">
        <x:v>0.08</x:v>
      </x:c>
      <x:c r="O481" s="97" t="n">
        <x:f>ROUND(M481*N481,2)</x:f>
        <x:v>17.89</x:v>
      </x:c>
      <x:c r="P481" s="94" t="str">
        <x:v>已确认</x:v>
      </x:c>
      <x:c r="Q481" s="97" t="n">
        <x:f>IF(P481="已退款",M481,0)</x:f>
        <x:v>0</x:v>
      </x:c>
      <x:c r="R481" s="97" t="n">
        <x:f>IF(P481="已退款",O481,0)</x:f>
        <x:v>0</x:v>
      </x:c>
      <x:c r="S481" s="97" t="n">
        <x:f>O481-R481</x:f>
        <x:v>17.89</x:v>
      </x:c>
      <x:c r="T481" s="94" t="n">
        <x:v>4</x:v>
      </x:c>
      <x:c r="U481" s="94" t="str">
        <x:v>模拟：Amazon Associates订单回传</x:v>
      </x:c>
    </x:row>
    <x:row r="482">
      <x:c r="A482" s="92" t="str">
        <x:v>AMZ-ORD-00481</x:v>
      </x:c>
      <x:c r="B482" s="94" t="str">
        <x:v>PROC-0465</x:v>
      </x:c>
      <x:c r="C482" s="108" t="n">
        <x:v>46110.57152777778</x:v>
      </x:c>
      <x:c r="D482" s="93" t="n">
        <x:v>46106</x:v>
      </x:c>
      <x:c r="E482" s="94" t="str">
        <x:v>Google Ads</x:v>
      </x:c>
      <x:c r="F482" s="94" t="str">
        <x:v>英国</x:v>
      </x:c>
      <x:c r="G482" s="94" t="str">
        <x:v>购物广告</x:v>
      </x:c>
      <x:c r="H482" s="94" t="str">
        <x:v>SKU-0015</x:v>
      </x:c>
      <x:c r="I482" s="94" t="str">
        <x:v>家居生活</x:v>
      </x:c>
      <x:c r="J482" s="94" t="str">
        <x:v>床品套装 E</x:v>
      </x:c>
      <x:c r="K482" s="97" t="n">
        <x:v>172.63</x:v>
      </x:c>
      <x:c r="L482" s="95" t="n">
        <x:v>1</x:v>
      </x:c>
      <x:c r="M482" s="97" t="n">
        <x:f>ROUND(K482*L482,2)</x:f>
        <x:v>172.63</x:v>
      </x:c>
      <x:c r="N482" s="109" t="n">
        <x:v>0.07</x:v>
      </x:c>
      <x:c r="O482" s="97" t="n">
        <x:f>ROUND(M482*N482,2)</x:f>
        <x:v>12.08</x:v>
      </x:c>
      <x:c r="P482" s="94" t="str">
        <x:v>已退款</x:v>
      </x:c>
      <x:c r="Q482" s="97" t="n">
        <x:f>IF(P482="已退款",M482,0)</x:f>
        <x:v>172.63</x:v>
      </x:c>
      <x:c r="R482" s="97" t="n">
        <x:f>IF(P482="已退款",O482,0)</x:f>
        <x:v>12.08</x:v>
      </x:c>
      <x:c r="S482" s="97" t="n">
        <x:f>O482-R482</x:f>
        <x:v>0</x:v>
      </x:c>
      <x:c r="T482" s="94" t="n">
        <x:v>4</x:v>
      </x:c>
      <x:c r="U482" s="94" t="str">
        <x:v>模拟：Amazon Associates订单回传</x:v>
      </x:c>
    </x:row>
    <x:row r="483">
      <x:c r="A483" s="92" t="str">
        <x:v>AMZ-ORD-00482</x:v>
      </x:c>
      <x:c r="B483" s="94" t="str">
        <x:v>PROC-0466</x:v>
      </x:c>
      <x:c r="C483" s="108" t="n">
        <x:v>46108.55763888889</x:v>
      </x:c>
      <x:c r="D483" s="93" t="n">
        <x:v>46107</x:v>
      </x:c>
      <x:c r="E483" s="94" t="str">
        <x:v>Microsoft Ads</x:v>
      </x:c>
      <x:c r="F483" s="94" t="str">
        <x:v>德国</x:v>
      </x:c>
      <x:c r="G483" s="94" t="str">
        <x:v>通用搜索</x:v>
      </x:c>
      <x:c r="H483" s="94" t="str">
        <x:v>SKU-0024</x:v>
      </x:c>
      <x:c r="I483" s="94" t="str">
        <x:v>运动健康</x:v>
      </x:c>
      <x:c r="J483" s="94" t="str">
        <x:v>筋膜枪 D</x:v>
      </x:c>
      <x:c r="K483" s="97" t="n">
        <x:v>134.71</x:v>
      </x:c>
      <x:c r="L483" s="95" t="n">
        <x:v>1</x:v>
      </x:c>
      <x:c r="M483" s="97" t="n">
        <x:f>ROUND(K483*L483,2)</x:f>
        <x:v>134.71</x:v>
      </x:c>
      <x:c r="N483" s="109" t="n">
        <x:v>0.08</x:v>
      </x:c>
      <x:c r="O483" s="97" t="n">
        <x:f>ROUND(M483*N483,2)</x:f>
        <x:v>10.78</x:v>
      </x:c>
      <x:c r="P483" s="94" t="str">
        <x:v>已确认</x:v>
      </x:c>
      <x:c r="Q483" s="97" t="n">
        <x:f>IF(P483="已退款",M483,0)</x:f>
        <x:v>0</x:v>
      </x:c>
      <x:c r="R483" s="97" t="n">
        <x:f>IF(P483="已退款",O483,0)</x:f>
        <x:v>0</x:v>
      </x:c>
      <x:c r="S483" s="97" t="n">
        <x:f>O483-R483</x:f>
        <x:v>10.78</x:v>
      </x:c>
      <x:c r="T483" s="94" t="n">
        <x:v>1</x:v>
      </x:c>
      <x:c r="U483" s="94" t="str">
        <x:v>模拟：Amazon Associates订单回传</x:v>
      </x:c>
    </x:row>
    <x:row r="484">
      <x:c r="A484" s="92" t="str">
        <x:v>AMZ-ORD-00483</x:v>
      </x:c>
      <x:c r="B484" s="94" t="str">
        <x:v>PROC-0467</x:v>
      </x:c>
      <x:c r="C484" s="108" t="n">
        <x:v>46110.845138888886</x:v>
      </x:c>
      <x:c r="D484" s="93" t="n">
        <x:v>46107</x:v>
      </x:c>
      <x:c r="E484" s="94" t="str">
        <x:v>Google Ads</x:v>
      </x:c>
      <x:c r="F484" s="94" t="str">
        <x:v>日本</x:v>
      </x:c>
      <x:c r="G484" s="94" t="str">
        <x:v>通用搜索</x:v>
      </x:c>
      <x:c r="H484" s="94" t="str">
        <x:v>SKU-0021</x:v>
      </x:c>
      <x:c r="I484" s="94" t="str">
        <x:v>运动健康</x:v>
      </x:c>
      <x:c r="J484" s="94" t="str">
        <x:v>智能手表 A</x:v>
      </x:c>
      <x:c r="K484" s="97" t="n">
        <x:v>149.16</x:v>
      </x:c>
      <x:c r="L484" s="95" t="n">
        <x:v>1</x:v>
      </x:c>
      <x:c r="M484" s="97" t="n">
        <x:f>ROUND(K484*L484,2)</x:f>
        <x:v>149.16</x:v>
      </x:c>
      <x:c r="N484" s="109" t="n">
        <x:v>0.08</x:v>
      </x:c>
      <x:c r="O484" s="97" t="n">
        <x:f>ROUND(M484*N484,2)</x:f>
        <x:v>11.93</x:v>
      </x:c>
      <x:c r="P484" s="94" t="str">
        <x:v>已确认</x:v>
      </x:c>
      <x:c r="Q484" s="97" t="n">
        <x:f>IF(P484="已退款",M484,0)</x:f>
        <x:v>0</x:v>
      </x:c>
      <x:c r="R484" s="97" t="n">
        <x:f>IF(P484="已退款",O484,0)</x:f>
        <x:v>0</x:v>
      </x:c>
      <x:c r="S484" s="97" t="n">
        <x:f>O484-R484</x:f>
        <x:v>11.93</x:v>
      </x:c>
      <x:c r="T484" s="94" t="n">
        <x:v>3</x:v>
      </x:c>
      <x:c r="U484" s="94" t="str">
        <x:v>模拟：Amazon Associates订单回传</x:v>
      </x:c>
    </x:row>
    <x:row r="485">
      <x:c r="A485" s="92" t="str">
        <x:v>AMZ-ORD-00484</x:v>
      </x:c>
      <x:c r="B485" s="94" t="str">
        <x:v>PROC-0470</x:v>
      </x:c>
      <x:c r="C485" s="108" t="n">
        <x:v>46107.822916666664</x:v>
      </x:c>
      <x:c r="D485" s="93" t="n">
        <x:v>46107</x:v>
      </x:c>
      <x:c r="E485" s="94" t="str">
        <x:v>Microsoft Ads</x:v>
      </x:c>
      <x:c r="F485" s="94" t="str">
        <x:v>美国</x:v>
      </x:c>
      <x:c r="G485" s="94" t="str">
        <x:v>通用搜索</x:v>
      </x:c>
      <x:c r="H485" s="94" t="str">
        <x:v>SKU-0004</x:v>
      </x:c>
      <x:c r="I485" s="94" t="str">
        <x:v>电子产品</x:v>
      </x:c>
      <x:c r="J485" s="94" t="str">
        <x:v>机械键盘 D</x:v>
      </x:c>
      <x:c r="K485" s="97" t="n">
        <x:v>243.55</x:v>
      </x:c>
      <x:c r="L485" s="95" t="n">
        <x:v>1</x:v>
      </x:c>
      <x:c r="M485" s="97" t="n">
        <x:f>ROUND(K485*L485,2)</x:f>
        <x:v>243.55</x:v>
      </x:c>
      <x:c r="N485" s="109" t="n">
        <x:v>0.05</x:v>
      </x:c>
      <x:c r="O485" s="97" t="n">
        <x:f>ROUND(M485*N485,2)</x:f>
        <x:v>12.18</x:v>
      </x:c>
      <x:c r="P485" s="94" t="str">
        <x:v>已确认</x:v>
      </x:c>
      <x:c r="Q485" s="97" t="n">
        <x:f>IF(P485="已退款",M485,0)</x:f>
        <x:v>0</x:v>
      </x:c>
      <x:c r="R485" s="97" t="n">
        <x:f>IF(P485="已退款",O485,0)</x:f>
        <x:v>0</x:v>
      </x:c>
      <x:c r="S485" s="97" t="n">
        <x:f>O485-R485</x:f>
        <x:v>12.18</x:v>
      </x:c>
      <x:c r="T485" s="94" t="n">
        <x:v>0</x:v>
      </x:c>
      <x:c r="U485" s="94" t="str">
        <x:v>模拟：Amazon Associates订单回传</x:v>
      </x:c>
    </x:row>
    <x:row r="486">
      <x:c r="A486" s="92" t="str">
        <x:v>AMZ-ORD-00485</x:v>
      </x:c>
      <x:c r="B486" s="94" t="str">
        <x:v>PROC-0471</x:v>
      </x:c>
      <x:c r="C486" s="108" t="n">
        <x:v>46112.6125</x:v>
      </x:c>
      <x:c r="D486" s="93" t="n">
        <x:v>46108</x:v>
      </x:c>
      <x:c r="E486" s="94" t="str">
        <x:v>Microsoft Ads</x:v>
      </x:c>
      <x:c r="F486" s="94" t="str">
        <x:v>英国</x:v>
      </x:c>
      <x:c r="G486" s="94" t="str">
        <x:v>购物广告</x:v>
      </x:c>
      <x:c r="H486" s="94" t="str">
        <x:v>SKU-0049</x:v>
      </x:c>
      <x:c r="I486" s="94" t="str">
        <x:v>办公学习</x:v>
      </x:c>
      <x:c r="J486" s="94" t="str">
        <x:v>移动白板 I</x:v>
      </x:c>
      <x:c r="K486" s="97" t="n">
        <x:v>160.47</x:v>
      </x:c>
      <x:c r="L486" s="95" t="n">
        <x:v>1</x:v>
      </x:c>
      <x:c r="M486" s="97" t="n">
        <x:f>ROUND(K486*L486,2)</x:f>
        <x:v>160.47</x:v>
      </x:c>
      <x:c r="N486" s="109" t="n">
        <x:v>0.07</x:v>
      </x:c>
      <x:c r="O486" s="97" t="n">
        <x:f>ROUND(M486*N486,2)</x:f>
        <x:v>11.23</x:v>
      </x:c>
      <x:c r="P486" s="94" t="str">
        <x:v>已确认</x:v>
      </x:c>
      <x:c r="Q486" s="97" t="n">
        <x:f>IF(P486="已退款",M486,0)</x:f>
        <x:v>0</x:v>
      </x:c>
      <x:c r="R486" s="97" t="n">
        <x:f>IF(P486="已退款",O486,0)</x:f>
        <x:v>0</x:v>
      </x:c>
      <x:c r="S486" s="97" t="n">
        <x:f>O486-R486</x:f>
        <x:v>11.23</x:v>
      </x:c>
      <x:c r="T486" s="94" t="n">
        <x:v>4</x:v>
      </x:c>
      <x:c r="U486" s="94" t="str">
        <x:v>模拟：Amazon Associates订单回传</x:v>
      </x:c>
    </x:row>
    <x:row r="487">
      <x:c r="A487" s="92" t="str">
        <x:v>AMZ-ORD-00486</x:v>
      </x:c>
      <x:c r="B487" s="94" t="str">
        <x:v>PROC-0472</x:v>
      </x:c>
      <x:c r="C487" s="108" t="n">
        <x:v>46109.353472222225</x:v>
      </x:c>
      <x:c r="D487" s="93" t="n">
        <x:v>46108</x:v>
      </x:c>
      <x:c r="E487" s="94" t="str">
        <x:v>Microsoft Ads</x:v>
      </x:c>
      <x:c r="F487" s="94" t="str">
        <x:v>美国</x:v>
      </x:c>
      <x:c r="G487" s="94" t="str">
        <x:v>通用搜索</x:v>
      </x:c>
      <x:c r="H487" s="94" t="str">
        <x:v>SKU-0031</x:v>
      </x:c>
      <x:c r="I487" s="94" t="str">
        <x:v>美妆个护</x:v>
      </x:c>
      <x:c r="J487" s="94" t="str">
        <x:v>洁面仪 A</x:v>
      </x:c>
      <x:c r="K487" s="97" t="n">
        <x:v>84.94</x:v>
      </x:c>
      <x:c r="L487" s="95" t="n">
        <x:v>1</x:v>
      </x:c>
      <x:c r="M487" s="97" t="n">
        <x:f>ROUND(K487*L487,2)</x:f>
        <x:v>84.94</x:v>
      </x:c>
      <x:c r="N487" s="109" t="n">
        <x:v>0.1</x:v>
      </x:c>
      <x:c r="O487" s="97" t="n">
        <x:f>ROUND(M487*N487,2)</x:f>
        <x:v>8.49</x:v>
      </x:c>
      <x:c r="P487" s="94" t="str">
        <x:v>已确认</x:v>
      </x:c>
      <x:c r="Q487" s="97" t="n">
        <x:f>IF(P487="已退款",M487,0)</x:f>
        <x:v>0</x:v>
      </x:c>
      <x:c r="R487" s="97" t="n">
        <x:f>IF(P487="已退款",O487,0)</x:f>
        <x:v>0</x:v>
      </x:c>
      <x:c r="S487" s="97" t="n">
        <x:f>O487-R487</x:f>
        <x:v>8.49</x:v>
      </x:c>
      <x:c r="T487" s="94" t="n">
        <x:v>1</x:v>
      </x:c>
      <x:c r="U487" s="94" t="str">
        <x:v>模拟：Amazon Associates订单回传</x:v>
      </x:c>
    </x:row>
    <x:row r="488">
      <x:c r="A488" s="92" t="str">
        <x:v>AMZ-ORD-00487</x:v>
      </x:c>
      <x:c r="B488" s="94" t="str">
        <x:v>PROC-0473</x:v>
      </x:c>
      <x:c r="C488" s="108" t="n">
        <x:v>46112.58125</x:v>
      </x:c>
      <x:c r="D488" s="93" t="n">
        <x:v>46108</x:v>
      </x:c>
      <x:c r="E488" s="94" t="str">
        <x:v>Google Ads</x:v>
      </x:c>
      <x:c r="F488" s="94" t="str">
        <x:v>美国</x:v>
      </x:c>
      <x:c r="G488" s="94" t="str">
        <x:v>购物广告</x:v>
      </x:c>
      <x:c r="H488" s="94" t="str">
        <x:v>SKU-0040</x:v>
      </x:c>
      <x:c r="I488" s="94" t="str">
        <x:v>美妆个护</x:v>
      </x:c>
      <x:c r="J488" s="94" t="str">
        <x:v>旅行护理套装 J</x:v>
      </x:c>
      <x:c r="K488" s="97" t="n">
        <x:v>123.18</x:v>
      </x:c>
      <x:c r="L488" s="95" t="n">
        <x:v>1</x:v>
      </x:c>
      <x:c r="M488" s="97" t="n">
        <x:f>ROUND(K488*L488,2)</x:f>
        <x:v>123.18</x:v>
      </x:c>
      <x:c r="N488" s="109" t="n">
        <x:v>0.1</x:v>
      </x:c>
      <x:c r="O488" s="97" t="n">
        <x:f>ROUND(M488*N488,2)</x:f>
        <x:v>12.32</x:v>
      </x:c>
      <x:c r="P488" s="94" t="str">
        <x:v>已确认</x:v>
      </x:c>
      <x:c r="Q488" s="97" t="n">
        <x:f>IF(P488="已退款",M488,0)</x:f>
        <x:v>0</x:v>
      </x:c>
      <x:c r="R488" s="97" t="n">
        <x:f>IF(P488="已退款",O488,0)</x:f>
        <x:v>0</x:v>
      </x:c>
      <x:c r="S488" s="97" t="n">
        <x:f>O488-R488</x:f>
        <x:v>12.32</x:v>
      </x:c>
      <x:c r="T488" s="94" t="n">
        <x:v>4</x:v>
      </x:c>
      <x:c r="U488" s="94" t="str">
        <x:v>模拟：Amazon Associates订单回传</x:v>
      </x:c>
    </x:row>
    <x:row r="489">
      <x:c r="A489" s="92" t="str">
        <x:v>AMZ-ORD-00488</x:v>
      </x:c>
      <x:c r="B489" s="94" t="str">
        <x:v>PROC-0475</x:v>
      </x:c>
      <x:c r="C489" s="108" t="n">
        <x:v>46110.80972222222</x:v>
      </x:c>
      <x:c r="D489" s="93" t="n">
        <x:v>46108</x:v>
      </x:c>
      <x:c r="E489" s="94" t="str">
        <x:v>Microsoft Ads</x:v>
      </x:c>
      <x:c r="F489" s="94" t="str">
        <x:v>日本</x:v>
      </x:c>
      <x:c r="G489" s="94" t="str">
        <x:v>通用搜索</x:v>
      </x:c>
      <x:c r="H489" s="94" t="str">
        <x:v>SKU-0036</x:v>
      </x:c>
      <x:c r="I489" s="94" t="str">
        <x:v>美妆个护</x:v>
      </x:c>
      <x:c r="J489" s="94" t="str">
        <x:v>剃须刀 F</x:v>
      </x:c>
      <x:c r="K489" s="97" t="n">
        <x:v>129.99</x:v>
      </x:c>
      <x:c r="L489" s="95" t="n">
        <x:v>1</x:v>
      </x:c>
      <x:c r="M489" s="97" t="n">
        <x:f>ROUND(K489*L489,2)</x:f>
        <x:v>129.99</x:v>
      </x:c>
      <x:c r="N489" s="109" t="n">
        <x:v>0.1</x:v>
      </x:c>
      <x:c r="O489" s="97" t="n">
        <x:f>ROUND(M489*N489,2)</x:f>
        <x:v>13</x:v>
      </x:c>
      <x:c r="P489" s="94" t="str">
        <x:v>已确认</x:v>
      </x:c>
      <x:c r="Q489" s="97" t="n">
        <x:f>IF(P489="已退款",M489,0)</x:f>
        <x:v>0</x:v>
      </x:c>
      <x:c r="R489" s="97" t="n">
        <x:f>IF(P489="已退款",O489,0)</x:f>
        <x:v>0</x:v>
      </x:c>
      <x:c r="S489" s="97" t="n">
        <x:f>O489-R489</x:f>
        <x:v>13</x:v>
      </x:c>
      <x:c r="T489" s="94" t="n">
        <x:v>2</x:v>
      </x:c>
      <x:c r="U489" s="94" t="str">
        <x:v>模拟：Amazon Associates订单回传</x:v>
      </x:c>
    </x:row>
    <x:row r="490">
      <x:c r="A490" s="92" t="str">
        <x:v>AMZ-ORD-00489</x:v>
      </x:c>
      <x:c r="B490" s="94" t="str">
        <x:v>PROC-0478</x:v>
      </x:c>
      <x:c r="C490" s="108" t="n">
        <x:v>46110.770833333336</x:v>
      </x:c>
      <x:c r="D490" s="93" t="n">
        <x:v>46109</x:v>
      </x:c>
      <x:c r="E490" s="94" t="str">
        <x:v>Google Ads</x:v>
      </x:c>
      <x:c r="F490" s="94" t="str">
        <x:v>德国</x:v>
      </x:c>
      <x:c r="G490" s="94" t="str">
        <x:v>品牌搜索</x:v>
      </x:c>
      <x:c r="H490" s="94" t="str">
        <x:v>SKU-0041</x:v>
      </x:c>
      <x:c r="I490" s="94" t="str">
        <x:v>办公学习</x:v>
      </x:c>
      <x:c r="J490" s="94" t="str">
        <x:v>桌面升降台 A</x:v>
      </x:c>
      <x:c r="K490" s="97" t="n">
        <x:v>88.72</x:v>
      </x:c>
      <x:c r="L490" s="95" t="n">
        <x:v>1</x:v>
      </x:c>
      <x:c r="M490" s="97" t="n">
        <x:f>ROUND(K490*L490,2)</x:f>
        <x:v>88.72</x:v>
      </x:c>
      <x:c r="N490" s="109" t="n">
        <x:v>0.07</x:v>
      </x:c>
      <x:c r="O490" s="97" t="n">
        <x:f>ROUND(M490*N490,2)</x:f>
        <x:v>6.21</x:v>
      </x:c>
      <x:c r="P490" s="94" t="str">
        <x:v>已确认</x:v>
      </x:c>
      <x:c r="Q490" s="97" t="n">
        <x:f>IF(P490="已退款",M490,0)</x:f>
        <x:v>0</x:v>
      </x:c>
      <x:c r="R490" s="97" t="n">
        <x:f>IF(P490="已退款",O490,0)</x:f>
        <x:v>0</x:v>
      </x:c>
      <x:c r="S490" s="97" t="n">
        <x:f>O490-R490</x:f>
        <x:v>6.21</x:v>
      </x:c>
      <x:c r="T490" s="94" t="n">
        <x:v>1</x:v>
      </x:c>
      <x:c r="U490" s="94" t="str">
        <x:v>模拟：Amazon Associates订单回传</x:v>
      </x:c>
    </x:row>
    <x:row r="491">
      <x:c r="A491" s="92" t="str">
        <x:v>AMZ-ORD-00490</x:v>
      </x:c>
      <x:c r="B491" s="94" t="str">
        <x:v>PROC-0478</x:v>
      </x:c>
      <x:c r="C491" s="108" t="n">
        <x:v>46113.61944444444</x:v>
      </x:c>
      <x:c r="D491" s="93" t="n">
        <x:v>46109</x:v>
      </x:c>
      <x:c r="E491" s="94" t="str">
        <x:v>Google Ads</x:v>
      </x:c>
      <x:c r="F491" s="94" t="str">
        <x:v>德国</x:v>
      </x:c>
      <x:c r="G491" s="94" t="str">
        <x:v>品牌搜索</x:v>
      </x:c>
      <x:c r="H491" s="94" t="str">
        <x:v>SKU-0024</x:v>
      </x:c>
      <x:c r="I491" s="94" t="str">
        <x:v>运动健康</x:v>
      </x:c>
      <x:c r="J491" s="94" t="str">
        <x:v>筋膜枪 D</x:v>
      </x:c>
      <x:c r="K491" s="97" t="n">
        <x:v>174.97</x:v>
      </x:c>
      <x:c r="L491" s="95" t="n">
        <x:v>1</x:v>
      </x:c>
      <x:c r="M491" s="97" t="n">
        <x:f>ROUND(K491*L491,2)</x:f>
        <x:v>174.97</x:v>
      </x:c>
      <x:c r="N491" s="109" t="n">
        <x:v>0.08</x:v>
      </x:c>
      <x:c r="O491" s="97" t="n">
        <x:f>ROUND(M491*N491,2)</x:f>
        <x:v>14</x:v>
      </x:c>
      <x:c r="P491" s="94" t="str">
        <x:v>已确认</x:v>
      </x:c>
      <x:c r="Q491" s="97" t="n">
        <x:f>IF(P491="已退款",M491,0)</x:f>
        <x:v>0</x:v>
      </x:c>
      <x:c r="R491" s="97" t="n">
        <x:f>IF(P491="已退款",O491,0)</x:f>
        <x:v>0</x:v>
      </x:c>
      <x:c r="S491" s="97" t="n">
        <x:f>O491-R491</x:f>
        <x:v>14</x:v>
      </x:c>
      <x:c r="T491" s="94" t="n">
        <x:v>4</x:v>
      </x:c>
      <x:c r="U491" s="94" t="str">
        <x:v>模拟：Amazon Associates订单回传</x:v>
      </x:c>
    </x:row>
    <x:row r="492">
      <x:c r="A492" s="92" t="str">
        <x:v>AMZ-ORD-00491</x:v>
      </x:c>
      <x:c r="B492" s="94" t="str">
        <x:v>PROC-0479</x:v>
      </x:c>
      <x:c r="C492" s="108" t="n">
        <x:v>46112.756944444445</x:v>
      </x:c>
      <x:c r="D492" s="93" t="n">
        <x:v>46109</x:v>
      </x:c>
      <x:c r="E492" s="94" t="str">
        <x:v>Google Ads</x:v>
      </x:c>
      <x:c r="F492" s="94" t="str">
        <x:v>日本</x:v>
      </x:c>
      <x:c r="G492" s="94" t="str">
        <x:v>品牌搜索</x:v>
      </x:c>
      <x:c r="H492" s="94" t="str">
        <x:v>SKU-0014</x:v>
      </x:c>
      <x:c r="I492" s="94" t="str">
        <x:v>家居生活</x:v>
      </x:c>
      <x:c r="J492" s="94" t="str">
        <x:v>扫地机器人 D</x:v>
      </x:c>
      <x:c r="K492" s="97" t="n">
        <x:v>312.88</x:v>
      </x:c>
      <x:c r="L492" s="95" t="n">
        <x:v>1</x:v>
      </x:c>
      <x:c r="M492" s="97" t="n">
        <x:f>ROUND(K492*L492,2)</x:f>
        <x:v>312.88</x:v>
      </x:c>
      <x:c r="N492" s="109" t="n">
        <x:v>0.07</x:v>
      </x:c>
      <x:c r="O492" s="97" t="n">
        <x:f>ROUND(M492*N492,2)</x:f>
        <x:v>21.9</x:v>
      </x:c>
      <x:c r="P492" s="94" t="str">
        <x:v>已确认</x:v>
      </x:c>
      <x:c r="Q492" s="97" t="n">
        <x:f>IF(P492="已退款",M492,0)</x:f>
        <x:v>0</x:v>
      </x:c>
      <x:c r="R492" s="97" t="n">
        <x:f>IF(P492="已退款",O492,0)</x:f>
        <x:v>0</x:v>
      </x:c>
      <x:c r="S492" s="97" t="n">
        <x:f>O492-R492</x:f>
        <x:v>21.9</x:v>
      </x:c>
      <x:c r="T492" s="94" t="n">
        <x:v>3</x:v>
      </x:c>
      <x:c r="U492" s="94" t="str">
        <x:v>模拟：Amazon Associates订单回传</x:v>
      </x:c>
    </x:row>
    <x:row r="493">
      <x:c r="A493" s="92" t="str">
        <x:v>AMZ-ORD-00492</x:v>
      </x:c>
      <x:c r="B493" s="94" t="str">
        <x:v>PROC-0480</x:v>
      </x:c>
      <x:c r="C493" s="108" t="n">
        <x:v>46110.78611111111</x:v>
      </x:c>
      <x:c r="D493" s="93" t="n">
        <x:v>46109</x:v>
      </x:c>
      <x:c r="E493" s="94" t="str">
        <x:v>Microsoft Ads</x:v>
      </x:c>
      <x:c r="F493" s="94" t="str">
        <x:v>美国</x:v>
      </x:c>
      <x:c r="G493" s="94" t="str">
        <x:v>通用搜索</x:v>
      </x:c>
      <x:c r="H493" s="94" t="str">
        <x:v>SKU-0049</x:v>
      </x:c>
      <x:c r="I493" s="94" t="str">
        <x:v>办公学习</x:v>
      </x:c>
      <x:c r="J493" s="94" t="str">
        <x:v>移动白板 I</x:v>
      </x:c>
      <x:c r="K493" s="97" t="n">
        <x:v>239.33</x:v>
      </x:c>
      <x:c r="L493" s="95" t="n">
        <x:v>2</x:v>
      </x:c>
      <x:c r="M493" s="97" t="n">
        <x:f>ROUND(K493*L493,2)</x:f>
        <x:v>478.66</x:v>
      </x:c>
      <x:c r="N493" s="109" t="n">
        <x:v>0.07</x:v>
      </x:c>
      <x:c r="O493" s="97" t="n">
        <x:f>ROUND(M493*N493,2)</x:f>
        <x:v>33.51</x:v>
      </x:c>
      <x:c r="P493" s="94" t="str">
        <x:v>已确认</x:v>
      </x:c>
      <x:c r="Q493" s="97" t="n">
        <x:f>IF(P493="已退款",M493,0)</x:f>
        <x:v>0</x:v>
      </x:c>
      <x:c r="R493" s="97" t="n">
        <x:f>IF(P493="已退款",O493,0)</x:f>
        <x:v>0</x:v>
      </x:c>
      <x:c r="S493" s="97" t="n">
        <x:f>O493-R493</x:f>
        <x:v>33.51</x:v>
      </x:c>
      <x:c r="T493" s="94" t="n">
        <x:v>1</x:v>
      </x:c>
      <x:c r="U493" s="94" t="str">
        <x:v>模拟：Amazon Associates订单回传</x:v>
      </x:c>
    </x:row>
    <x:row r="494">
      <x:c r="A494" s="92" t="str">
        <x:v>AMZ-ORD-00493</x:v>
      </x:c>
      <x:c r="B494" s="94" t="str">
        <x:v>PROC-0481</x:v>
      </x:c>
      <x:c r="C494" s="108" t="n">
        <x:v>46111.34652777778</x:v>
      </x:c>
      <x:c r="D494" s="93" t="n">
        <x:v>46109</x:v>
      </x:c>
      <x:c r="E494" s="94" t="str">
        <x:v>Microsoft Ads</x:v>
      </x:c>
      <x:c r="F494" s="94" t="str">
        <x:v>英国</x:v>
      </x:c>
      <x:c r="G494" s="94" t="str">
        <x:v>竞品搜索</x:v>
      </x:c>
      <x:c r="H494" s="94" t="str">
        <x:v>SKU-0017</x:v>
      </x:c>
      <x:c r="I494" s="94" t="str">
        <x:v>家居生活</x:v>
      </x:c>
      <x:c r="J494" s="94" t="str">
        <x:v>落地灯 G</x:v>
      </x:c>
      <x:c r="K494" s="97" t="n">
        <x:v>156.18</x:v>
      </x:c>
      <x:c r="L494" s="95" t="n">
        <x:v>2</x:v>
      </x:c>
      <x:c r="M494" s="97" t="n">
        <x:f>ROUND(K494*L494,2)</x:f>
        <x:v>312.36</x:v>
      </x:c>
      <x:c r="N494" s="109" t="n">
        <x:v>0.07</x:v>
      </x:c>
      <x:c r="O494" s="97" t="n">
        <x:f>ROUND(M494*N494,2)</x:f>
        <x:v>21.87</x:v>
      </x:c>
      <x:c r="P494" s="94" t="str">
        <x:v>已确认</x:v>
      </x:c>
      <x:c r="Q494" s="97" t="n">
        <x:f>IF(P494="已退款",M494,0)</x:f>
        <x:v>0</x:v>
      </x:c>
      <x:c r="R494" s="97" t="n">
        <x:f>IF(P494="已退款",O494,0)</x:f>
        <x:v>0</x:v>
      </x:c>
      <x:c r="S494" s="97" t="n">
        <x:f>O494-R494</x:f>
        <x:v>21.87</x:v>
      </x:c>
      <x:c r="T494" s="94" t="n">
        <x:v>2</x:v>
      </x:c>
      <x:c r="U494" s="94" t="str">
        <x:v>模拟：Amazon Associates订单回传</x:v>
      </x:c>
    </x:row>
    <x:row r="495">
      <x:c r="A495" s="92" t="str">
        <x:v>AMZ-ORD-00494</x:v>
      </x:c>
      <x:c r="B495" s="94" t="str">
        <x:v>PROC-0482</x:v>
      </x:c>
      <x:c r="C495" s="108" t="n">
        <x:v>46111.61736111111</x:v>
      </x:c>
      <x:c r="D495" s="93" t="n">
        <x:v>46110</x:v>
      </x:c>
      <x:c r="E495" s="94" t="str">
        <x:v>Google Ads</x:v>
      </x:c>
      <x:c r="F495" s="94" t="str">
        <x:v>美国</x:v>
      </x:c>
      <x:c r="G495" s="94" t="str">
        <x:v>购物广告</x:v>
      </x:c>
      <x:c r="H495" s="94" t="str">
        <x:v>SKU-0009</x:v>
      </x:c>
      <x:c r="I495" s="94" t="str">
        <x:v>电子产品</x:v>
      </x:c>
      <x:c r="J495" s="94" t="str">
        <x:v>电子阅读器 I</x:v>
      </x:c>
      <x:c r="K495" s="97" t="n">
        <x:v>676.61</x:v>
      </x:c>
      <x:c r="L495" s="95" t="n">
        <x:v>1</x:v>
      </x:c>
      <x:c r="M495" s="97" t="n">
        <x:f>ROUND(K495*L495,2)</x:f>
        <x:v>676.61</x:v>
      </x:c>
      <x:c r="N495" s="109" t="n">
        <x:v>0.05</x:v>
      </x:c>
      <x:c r="O495" s="97" t="n">
        <x:f>ROUND(M495*N495,2)</x:f>
        <x:v>33.83</x:v>
      </x:c>
      <x:c r="P495" s="94" t="str">
        <x:v>已确认</x:v>
      </x:c>
      <x:c r="Q495" s="97" t="n">
        <x:f>IF(P495="已退款",M495,0)</x:f>
        <x:v>0</x:v>
      </x:c>
      <x:c r="R495" s="97" t="n">
        <x:f>IF(P495="已退款",O495,0)</x:f>
        <x:v>0</x:v>
      </x:c>
      <x:c r="S495" s="97" t="n">
        <x:f>O495-R495</x:f>
        <x:v>33.83</x:v>
      </x:c>
      <x:c r="T495" s="94" t="n">
        <x:v>1</x:v>
      </x:c>
      <x:c r="U495" s="94" t="str">
        <x:v>模拟：Amazon Associates订单回传</x:v>
      </x:c>
    </x:row>
    <x:row r="496">
      <x:c r="A496" s="92" t="str">
        <x:v>AMZ-ORD-00495</x:v>
      </x:c>
      <x:c r="B496" s="94" t="str">
        <x:v>PROC-0483</x:v>
      </x:c>
      <x:c r="C496" s="108" t="n">
        <x:v>46111.433333333334</x:v>
      </x:c>
      <x:c r="D496" s="93" t="n">
        <x:v>46110</x:v>
      </x:c>
      <x:c r="E496" s="94" t="str">
        <x:v>Microsoft Ads</x:v>
      </x:c>
      <x:c r="F496" s="94" t="str">
        <x:v>英国</x:v>
      </x:c>
      <x:c r="G496" s="94" t="str">
        <x:v>购物广告</x:v>
      </x:c>
      <x:c r="H496" s="94" t="str">
        <x:v>SKU-0011</x:v>
      </x:c>
      <x:c r="I496" s="94" t="str">
        <x:v>家居生活</x:v>
      </x:c>
      <x:c r="J496" s="94" t="str">
        <x:v>空气净化器 A</x:v>
      </x:c>
      <x:c r="K496" s="97" t="n">
        <x:v>167.94</x:v>
      </x:c>
      <x:c r="L496" s="95" t="n">
        <x:v>1</x:v>
      </x:c>
      <x:c r="M496" s="97" t="n">
        <x:f>ROUND(K496*L496,2)</x:f>
        <x:v>167.94</x:v>
      </x:c>
      <x:c r="N496" s="109" t="n">
        <x:v>0.07</x:v>
      </x:c>
      <x:c r="O496" s="97" t="n">
        <x:f>ROUND(M496*N496,2)</x:f>
        <x:v>11.76</x:v>
      </x:c>
      <x:c r="P496" s="94" t="str">
        <x:v>已确认</x:v>
      </x:c>
      <x:c r="Q496" s="97" t="n">
        <x:f>IF(P496="已退款",M496,0)</x:f>
        <x:v>0</x:v>
      </x:c>
      <x:c r="R496" s="97" t="n">
        <x:f>IF(P496="已退款",O496,0)</x:f>
        <x:v>0</x:v>
      </x:c>
      <x:c r="S496" s="97" t="n">
        <x:f>O496-R496</x:f>
        <x:v>11.76</x:v>
      </x:c>
      <x:c r="T496" s="94" t="n">
        <x:v>1</x:v>
      </x:c>
      <x:c r="U496" s="94" t="str">
        <x:v>模拟：Amazon Associates订单回传</x:v>
      </x:c>
    </x:row>
    <x:row r="497">
      <x:c r="A497" s="92" t="str">
        <x:v>AMZ-ORD-00496</x:v>
      </x:c>
      <x:c r="B497" s="94" t="str">
        <x:v>PROC-0484</x:v>
      </x:c>
      <x:c r="C497" s="108" t="n">
        <x:v>46113.55972222222</x:v>
      </x:c>
      <x:c r="D497" s="93" t="n">
        <x:v>46110</x:v>
      </x:c>
      <x:c r="E497" s="94" t="str">
        <x:v>Microsoft Ads</x:v>
      </x:c>
      <x:c r="F497" s="94" t="str">
        <x:v>美国</x:v>
      </x:c>
      <x:c r="G497" s="94" t="str">
        <x:v>通用搜索</x:v>
      </x:c>
      <x:c r="H497" s="94" t="str">
        <x:v>SKU-0032</x:v>
      </x:c>
      <x:c r="I497" s="94" t="str">
        <x:v>美妆个护</x:v>
      </x:c>
      <x:c r="J497" s="94" t="str">
        <x:v>吹风机 B</x:v>
      </x:c>
      <x:c r="K497" s="97" t="n">
        <x:v>77.66</x:v>
      </x:c>
      <x:c r="L497" s="95" t="n">
        <x:v>1</x:v>
      </x:c>
      <x:c r="M497" s="97" t="n">
        <x:f>ROUND(K497*L497,2)</x:f>
        <x:v>77.66</x:v>
      </x:c>
      <x:c r="N497" s="109" t="n">
        <x:v>0.1</x:v>
      </x:c>
      <x:c r="O497" s="97" t="n">
        <x:f>ROUND(M497*N497,2)</x:f>
        <x:v>7.77</x:v>
      </x:c>
      <x:c r="P497" s="94" t="str">
        <x:v>已确认</x:v>
      </x:c>
      <x:c r="Q497" s="97" t="n">
        <x:f>IF(P497="已退款",M497,0)</x:f>
        <x:v>0</x:v>
      </x:c>
      <x:c r="R497" s="97" t="n">
        <x:f>IF(P497="已退款",O497,0)</x:f>
        <x:v>0</x:v>
      </x:c>
      <x:c r="S497" s="97" t="n">
        <x:f>O497-R497</x:f>
        <x:v>7.77</x:v>
      </x:c>
      <x:c r="T497" s="94" t="n">
        <x:v>3</x:v>
      </x:c>
      <x:c r="U497" s="94" t="str">
        <x:v>模拟：Amazon Associates订单回传</x:v>
      </x:c>
    </x:row>
    <x:row r="498">
      <x:c r="A498" s="92" t="str">
        <x:v>AMZ-ORD-00497</x:v>
      </x:c>
      <x:c r="B498" s="94" t="str">
        <x:v>PROC-0485</x:v>
      </x:c>
      <x:c r="C498" s="108" t="n">
        <x:v>46114.44513888889</x:v>
      </x:c>
      <x:c r="D498" s="93" t="n">
        <x:v>46110</x:v>
      </x:c>
      <x:c r="E498" s="94" t="str">
        <x:v>Microsoft Ads</x:v>
      </x:c>
      <x:c r="F498" s="94" t="str">
        <x:v>美国</x:v>
      </x:c>
      <x:c r="G498" s="94" t="str">
        <x:v>通用搜索</x:v>
      </x:c>
      <x:c r="H498" s="94" t="str">
        <x:v>SKU-0002</x:v>
      </x:c>
      <x:c r="I498" s="94" t="str">
        <x:v>电子产品</x:v>
      </x:c>
      <x:c r="J498" s="94" t="str">
        <x:v>便携显示器 B</x:v>
      </x:c>
      <x:c r="K498" s="97" t="n">
        <x:v>726.34</x:v>
      </x:c>
      <x:c r="L498" s="95" t="n">
        <x:v>1</x:v>
      </x:c>
      <x:c r="M498" s="97" t="n">
        <x:f>ROUND(K498*L498,2)</x:f>
        <x:v>726.34</x:v>
      </x:c>
      <x:c r="N498" s="109" t="n">
        <x:v>0.05</x:v>
      </x:c>
      <x:c r="O498" s="97" t="n">
        <x:f>ROUND(M498*N498,2)</x:f>
        <x:v>36.32</x:v>
      </x:c>
      <x:c r="P498" s="94" t="str">
        <x:v>已确认</x:v>
      </x:c>
      <x:c r="Q498" s="97" t="n">
        <x:f>IF(P498="已退款",M498,0)</x:f>
        <x:v>0</x:v>
      </x:c>
      <x:c r="R498" s="97" t="n">
        <x:f>IF(P498="已退款",O498,0)</x:f>
        <x:v>0</x:v>
      </x:c>
      <x:c r="S498" s="97" t="n">
        <x:f>O498-R498</x:f>
        <x:v>36.32</x:v>
      </x:c>
      <x:c r="T498" s="94" t="n">
        <x:v>4</x:v>
      </x:c>
      <x:c r="U498" s="94" t="str">
        <x:v>模拟：Amazon Associates订单回传</x:v>
      </x:c>
    </x:row>
    <x:row r="499">
      <x:c r="A499" s="92" t="str">
        <x:v>AMZ-ORD-00498</x:v>
      </x:c>
      <x:c r="B499" s="94" t="str">
        <x:v>PROC-0487</x:v>
      </x:c>
      <x:c r="C499" s="108" t="n">
        <x:v>46111.71388888889</x:v>
      </x:c>
      <x:c r="D499" s="93" t="n">
        <x:v>46110</x:v>
      </x:c>
      <x:c r="E499" s="94" t="str">
        <x:v>Google Ads</x:v>
      </x:c>
      <x:c r="F499" s="94" t="str">
        <x:v>日本</x:v>
      </x:c>
      <x:c r="G499" s="94" t="str">
        <x:v>购物广告</x:v>
      </x:c>
      <x:c r="H499" s="94" t="str">
        <x:v>SKU-0020</x:v>
      </x:c>
      <x:c r="I499" s="94" t="str">
        <x:v>家居生活</x:v>
      </x:c>
      <x:c r="J499" s="94" t="str">
        <x:v>智能门锁 J</x:v>
      </x:c>
      <x:c r="K499" s="97" t="n">
        <x:v>152.81</x:v>
      </x:c>
      <x:c r="L499" s="95" t="n">
        <x:v>1</x:v>
      </x:c>
      <x:c r="M499" s="97" t="n">
        <x:f>ROUND(K499*L499,2)</x:f>
        <x:v>152.81</x:v>
      </x:c>
      <x:c r="N499" s="109" t="n">
        <x:v>0.07</x:v>
      </x:c>
      <x:c r="O499" s="97" t="n">
        <x:f>ROUND(M499*N499,2)</x:f>
        <x:v>10.7</x:v>
      </x:c>
      <x:c r="P499" s="94" t="str">
        <x:v>已确认</x:v>
      </x:c>
      <x:c r="Q499" s="97" t="n">
        <x:f>IF(P499="已退款",M499,0)</x:f>
        <x:v>0</x:v>
      </x:c>
      <x:c r="R499" s="97" t="n">
        <x:f>IF(P499="已退款",O499,0)</x:f>
        <x:v>0</x:v>
      </x:c>
      <x:c r="S499" s="97" t="n">
        <x:f>O499-R499</x:f>
        <x:v>10.7</x:v>
      </x:c>
      <x:c r="T499" s="94" t="n">
        <x:v>1</x:v>
      </x:c>
      <x:c r="U499" s="94" t="str">
        <x:v>模拟：Amazon Associates订单回传</x:v>
      </x:c>
    </x:row>
    <x:row r="500">
      <x:c r="A500" s="92" t="str">
        <x:v>AMZ-ORD-00499</x:v>
      </x:c>
      <x:c r="B500" s="94" t="str">
        <x:v>PROC-0487</x:v>
      </x:c>
      <x:c r="C500" s="108" t="n">
        <x:v>46110.88333333333</x:v>
      </x:c>
      <x:c r="D500" s="93" t="n">
        <x:v>46110</x:v>
      </x:c>
      <x:c r="E500" s="94" t="str">
        <x:v>Google Ads</x:v>
      </x:c>
      <x:c r="F500" s="94" t="str">
        <x:v>日本</x:v>
      </x:c>
      <x:c r="G500" s="94" t="str">
        <x:v>购物广告</x:v>
      </x:c>
      <x:c r="H500" s="94" t="str">
        <x:v>SKU-0021</x:v>
      </x:c>
      <x:c r="I500" s="94" t="str">
        <x:v>运动健康</x:v>
      </x:c>
      <x:c r="J500" s="94" t="str">
        <x:v>智能手表 A</x:v>
      </x:c>
      <x:c r="K500" s="97" t="n">
        <x:v>84.61</x:v>
      </x:c>
      <x:c r="L500" s="95" t="n">
        <x:v>1</x:v>
      </x:c>
      <x:c r="M500" s="97" t="n">
        <x:f>ROUND(K500*L500,2)</x:f>
        <x:v>84.61</x:v>
      </x:c>
      <x:c r="N500" s="109" t="n">
        <x:v>0.08</x:v>
      </x:c>
      <x:c r="O500" s="97" t="n">
        <x:f>ROUND(M500*N500,2)</x:f>
        <x:v>6.77</x:v>
      </x:c>
      <x:c r="P500" s="94" t="str">
        <x:v>已确认</x:v>
      </x:c>
      <x:c r="Q500" s="97" t="n">
        <x:f>IF(P500="已退款",M500,0)</x:f>
        <x:v>0</x:v>
      </x:c>
      <x:c r="R500" s="97" t="n">
        <x:f>IF(P500="已退款",O500,0)</x:f>
        <x:v>0</x:v>
      </x:c>
      <x:c r="S500" s="97" t="n">
        <x:f>O500-R500</x:f>
        <x:v>6.77</x:v>
      </x:c>
      <x:c r="T500" s="94" t="n">
        <x:v>0</x:v>
      </x:c>
      <x:c r="U500" s="94" t="str">
        <x:v>模拟：Amazon Associates订单回传</x:v>
      </x:c>
    </x:row>
    <x:row r="501">
      <x:c r="A501" s="92" t="str">
        <x:v>AMZ-ORD-00500</x:v>
      </x:c>
      <x:c r="B501" s="94" t="str">
        <x:v>PROC-0491</x:v>
      </x:c>
      <x:c r="C501" s="108" t="n">
        <x:v>46113.63680555556</x:v>
      </x:c>
      <x:c r="D501" s="93" t="n">
        <x:v>46111</x:v>
      </x:c>
      <x:c r="E501" s="94" t="str">
        <x:v>Google Ads</x:v>
      </x:c>
      <x:c r="F501" s="94" t="str">
        <x:v>美国</x:v>
      </x:c>
      <x:c r="G501" s="94" t="str">
        <x:v>购物广告</x:v>
      </x:c>
      <x:c r="H501" s="94" t="str">
        <x:v>SKU-0014</x:v>
      </x:c>
      <x:c r="I501" s="94" t="str">
        <x:v>家居生活</x:v>
      </x:c>
      <x:c r="J501" s="94" t="str">
        <x:v>扫地机器人 D</x:v>
      </x:c>
      <x:c r="K501" s="97" t="n">
        <x:v>177.03</x:v>
      </x:c>
      <x:c r="L501" s="95" t="n">
        <x:v>1</x:v>
      </x:c>
      <x:c r="M501" s="97" t="n">
        <x:f>ROUND(K501*L501,2)</x:f>
        <x:v>177.03</x:v>
      </x:c>
      <x:c r="N501" s="109" t="n">
        <x:v>0.07</x:v>
      </x:c>
      <x:c r="O501" s="97" t="n">
        <x:f>ROUND(M501*N501,2)</x:f>
        <x:v>12.39</x:v>
      </x:c>
      <x:c r="P501" s="94" t="str">
        <x:v>已确认</x:v>
      </x:c>
      <x:c r="Q501" s="97" t="n">
        <x:f>IF(P501="已退款",M501,0)</x:f>
        <x:v>0</x:v>
      </x:c>
      <x:c r="R501" s="97" t="n">
        <x:f>IF(P501="已退款",O501,0)</x:f>
        <x:v>0</x:v>
      </x:c>
      <x:c r="S501" s="97" t="n">
        <x:f>O501-R501</x:f>
        <x:v>12.39</x:v>
      </x:c>
      <x:c r="T501" s="94" t="n">
        <x:v>2</x:v>
      </x:c>
      <x:c r="U501" s="94" t="str">
        <x:v>模拟：Amazon Associates订单回传</x:v>
      </x:c>
    </x:row>
    <x:row r="502">
      <x:c r="A502" s="92" t="str">
        <x:v>AMZ-ORD-00501</x:v>
      </x:c>
      <x:c r="B502" s="94" t="str">
        <x:v>PROC-0492</x:v>
      </x:c>
      <x:c r="C502" s="108" t="n">
        <x:v>46113.575694444444</x:v>
      </x:c>
      <x:c r="D502" s="93" t="n">
        <x:v>46111</x:v>
      </x:c>
      <x:c r="E502" s="94" t="str">
        <x:v>Microsoft Ads</x:v>
      </x:c>
      <x:c r="F502" s="94" t="str">
        <x:v>美国</x:v>
      </x:c>
      <x:c r="G502" s="94" t="str">
        <x:v>购物广告</x:v>
      </x:c>
      <x:c r="H502" s="94" t="str">
        <x:v>SKU-0024</x:v>
      </x:c>
      <x:c r="I502" s="94" t="str">
        <x:v>运动健康</x:v>
      </x:c>
      <x:c r="J502" s="94" t="str">
        <x:v>筋膜枪 D</x:v>
      </x:c>
      <x:c r="K502" s="97" t="n">
        <x:v>202.35</x:v>
      </x:c>
      <x:c r="L502" s="95" t="n">
        <x:v>1</x:v>
      </x:c>
      <x:c r="M502" s="97" t="n">
        <x:f>ROUND(K502*L502,2)</x:f>
        <x:v>202.35</x:v>
      </x:c>
      <x:c r="N502" s="109" t="n">
        <x:v>0.08</x:v>
      </x:c>
      <x:c r="O502" s="97" t="n">
        <x:f>ROUND(M502*N502,2)</x:f>
        <x:v>16.19</x:v>
      </x:c>
      <x:c r="P502" s="94" t="str">
        <x:v>已确认</x:v>
      </x:c>
      <x:c r="Q502" s="97" t="n">
        <x:f>IF(P502="已退款",M502,0)</x:f>
        <x:v>0</x:v>
      </x:c>
      <x:c r="R502" s="97" t="n">
        <x:f>IF(P502="已退款",O502,0)</x:f>
        <x:v>0</x:v>
      </x:c>
      <x:c r="S502" s="97" t="n">
        <x:f>O502-R502</x:f>
        <x:v>16.19</x:v>
      </x:c>
      <x:c r="T502" s="94" t="n">
        <x:v>2</x:v>
      </x:c>
      <x:c r="U502" s="94" t="str">
        <x:v>模拟：Amazon Associates订单回传</x:v>
      </x:c>
    </x:row>
    <x:row r="503">
      <x:c r="A503" s="92" t="str">
        <x:v>AMZ-ORD-00502</x:v>
      </x:c>
      <x:c r="B503" s="94" t="str">
        <x:v>PROC-0493</x:v>
      </x:c>
      <x:c r="C503" s="108" t="n">
        <x:v>46116.90833333333</x:v>
      </x:c>
      <x:c r="D503" s="93" t="n">
        <x:v>46112</x:v>
      </x:c>
      <x:c r="E503" s="94" t="str">
        <x:v>Google Ads</x:v>
      </x:c>
      <x:c r="F503" s="94" t="str">
        <x:v>德国</x:v>
      </x:c>
      <x:c r="G503" s="94" t="str">
        <x:v>通用搜索</x:v>
      </x:c>
      <x:c r="H503" s="94" t="str">
        <x:v>SKU-0011</x:v>
      </x:c>
      <x:c r="I503" s="94" t="str">
        <x:v>家居生活</x:v>
      </x:c>
      <x:c r="J503" s="94" t="str">
        <x:v>空气净化器 A</x:v>
      </x:c>
      <x:c r="K503" s="97" t="n">
        <x:v>297.73</x:v>
      </x:c>
      <x:c r="L503" s="95" t="n">
        <x:v>1</x:v>
      </x:c>
      <x:c r="M503" s="97" t="n">
        <x:f>ROUND(K503*L503,2)</x:f>
        <x:v>297.73</x:v>
      </x:c>
      <x:c r="N503" s="109" t="n">
        <x:v>0.07</x:v>
      </x:c>
      <x:c r="O503" s="97" t="n">
        <x:f>ROUND(M503*N503,2)</x:f>
        <x:v>20.84</x:v>
      </x:c>
      <x:c r="P503" s="94" t="str">
        <x:v>已确认</x:v>
      </x:c>
      <x:c r="Q503" s="97" t="n">
        <x:f>IF(P503="已退款",M503,0)</x:f>
        <x:v>0</x:v>
      </x:c>
      <x:c r="R503" s="97" t="n">
        <x:f>IF(P503="已退款",O503,0)</x:f>
        <x:v>0</x:v>
      </x:c>
      <x:c r="S503" s="97" t="n">
        <x:f>O503-R503</x:f>
        <x:v>20.84</x:v>
      </x:c>
      <x:c r="T503" s="94" t="n">
        <x:v>4</x:v>
      </x:c>
      <x:c r="U503" s="94" t="str">
        <x:v>模拟：Amazon Associates订单回传</x:v>
      </x:c>
    </x:row>
    <x:row r="504">
      <x:c r="A504" s="92" t="str">
        <x:v>AMZ-ORD-00503</x:v>
      </x:c>
      <x:c r="B504" s="94" t="str">
        <x:v>PROC-0494</x:v>
      </x:c>
      <x:c r="C504" s="108" t="n">
        <x:v>46112.77222222222</x:v>
      </x:c>
      <x:c r="D504" s="93" t="n">
        <x:v>46112</x:v>
      </x:c>
      <x:c r="E504" s="94" t="str">
        <x:v>Google Ads</x:v>
      </x:c>
      <x:c r="F504" s="94" t="str">
        <x:v>英国</x:v>
      </x:c>
      <x:c r="G504" s="94" t="str">
        <x:v>品牌搜索</x:v>
      </x:c>
      <x:c r="H504" s="94" t="str">
        <x:v>SKU-0016</x:v>
      </x:c>
      <x:c r="I504" s="94" t="str">
        <x:v>家居生活</x:v>
      </x:c>
      <x:c r="J504" s="94" t="str">
        <x:v>厨师机 F</x:v>
      </x:c>
      <x:c r="K504" s="97" t="n">
        <x:v>179.68</x:v>
      </x:c>
      <x:c r="L504" s="95" t="n">
        <x:v>1</x:v>
      </x:c>
      <x:c r="M504" s="97" t="n">
        <x:f>ROUND(K504*L504,2)</x:f>
        <x:v>179.68</x:v>
      </x:c>
      <x:c r="N504" s="109" t="n">
        <x:v>0.07</x:v>
      </x:c>
      <x:c r="O504" s="97" t="n">
        <x:f>ROUND(M504*N504,2)</x:f>
        <x:v>12.58</x:v>
      </x:c>
      <x:c r="P504" s="94" t="str">
        <x:v>已确认</x:v>
      </x:c>
      <x:c r="Q504" s="97" t="n">
        <x:f>IF(P504="已退款",M504,0)</x:f>
        <x:v>0</x:v>
      </x:c>
      <x:c r="R504" s="97" t="n">
        <x:f>IF(P504="已退款",O504,0)</x:f>
        <x:v>0</x:v>
      </x:c>
      <x:c r="S504" s="97" t="n">
        <x:f>O504-R504</x:f>
        <x:v>12.58</x:v>
      </x:c>
      <x:c r="T504" s="94" t="n">
        <x:v>0</x:v>
      </x:c>
      <x:c r="U504" s="94" t="str">
        <x:v>模拟：Amazon Associates订单回传</x:v>
      </x:c>
    </x:row>
    <x:row r="505">
      <x:c r="A505" s="92" t="str">
        <x:v>AMZ-ORD-00504</x:v>
      </x:c>
      <x:c r="B505" s="94" t="str">
        <x:v>PROC-0496</x:v>
      </x:c>
      <x:c r="C505" s="108" t="n">
        <x:v>46113.48819444444</x:v>
      </x:c>
      <x:c r="D505" s="93" t="n">
        <x:v>46112</x:v>
      </x:c>
      <x:c r="E505" s="94" t="str">
        <x:v>Google Ads</x:v>
      </x:c>
      <x:c r="F505" s="94" t="str">
        <x:v>美国</x:v>
      </x:c>
      <x:c r="G505" s="94" t="str">
        <x:v>竞品搜索</x:v>
      </x:c>
      <x:c r="H505" s="94" t="str">
        <x:v>SKU-0022</x:v>
      </x:c>
      <x:c r="I505" s="94" t="str">
        <x:v>运动健康</x:v>
      </x:c>
      <x:c r="J505" s="94" t="str">
        <x:v>瑜伽套装 B</x:v>
      </x:c>
      <x:c r="K505" s="97" t="n">
        <x:v>109.71</x:v>
      </x:c>
      <x:c r="L505" s="95" t="n">
        <x:v>1</x:v>
      </x:c>
      <x:c r="M505" s="97" t="n">
        <x:f>ROUND(K505*L505,2)</x:f>
        <x:v>109.71</x:v>
      </x:c>
      <x:c r="N505" s="109" t="n">
        <x:v>0.08</x:v>
      </x:c>
      <x:c r="O505" s="97" t="n">
        <x:f>ROUND(M505*N505,2)</x:f>
        <x:v>8.78</x:v>
      </x:c>
      <x:c r="P505" s="94" t="str">
        <x:v>已确认</x:v>
      </x:c>
      <x:c r="Q505" s="97" t="n">
        <x:f>IF(P505="已退款",M505,0)</x:f>
        <x:v>0</x:v>
      </x:c>
      <x:c r="R505" s="97" t="n">
        <x:f>IF(P505="已退款",O505,0)</x:f>
        <x:v>0</x:v>
      </x:c>
      <x:c r="S505" s="97" t="n">
        <x:f>O505-R505</x:f>
        <x:v>8.78</x:v>
      </x:c>
      <x:c r="T505" s="94" t="n">
        <x:v>1</x:v>
      </x:c>
      <x:c r="U505" s="94" t="str">
        <x:v>模拟：Amazon Associates订单回传</x:v>
      </x:c>
    </x:row>
    <x:row r="506">
      <x:c r="A506" s="92" t="str">
        <x:v>AMZ-ORD-00505</x:v>
      </x:c>
      <x:c r="B506" s="94" t="str">
        <x:v>PROC-0497</x:v>
      </x:c>
      <x:c r="C506" s="108" t="n">
        <x:v>46113.393055555556</x:v>
      </x:c>
      <x:c r="D506" s="93" t="n">
        <x:v>46112</x:v>
      </x:c>
      <x:c r="E506" s="94" t="str">
        <x:v>Google Ads</x:v>
      </x:c>
      <x:c r="F506" s="94" t="str">
        <x:v>美国</x:v>
      </x:c>
      <x:c r="G506" s="94" t="str">
        <x:v>通用搜索</x:v>
      </x:c>
      <x:c r="H506" s="94" t="str">
        <x:v>SKU-0006</x:v>
      </x:c>
      <x:c r="I506" s="94" t="str">
        <x:v>电子产品</x:v>
      </x:c>
      <x:c r="J506" s="94" t="str">
        <x:v>迷你投影仪 F</x:v>
      </x:c>
      <x:c r="K506" s="97" t="n">
        <x:v>640.98</x:v>
      </x:c>
      <x:c r="L506" s="95" t="n">
        <x:v>1</x:v>
      </x:c>
      <x:c r="M506" s="97" t="n">
        <x:f>ROUND(K506*L506,2)</x:f>
        <x:v>640.98</x:v>
      </x:c>
      <x:c r="N506" s="109" t="n">
        <x:v>0.05</x:v>
      </x:c>
      <x:c r="O506" s="97" t="n">
        <x:f>ROUND(M506*N506,2)</x:f>
        <x:v>32.05</x:v>
      </x:c>
      <x:c r="P506" s="94" t="str">
        <x:v>已确认</x:v>
      </x:c>
      <x:c r="Q506" s="97" t="n">
        <x:f>IF(P506="已退款",M506,0)</x:f>
        <x:v>0</x:v>
      </x:c>
      <x:c r="R506" s="97" t="n">
        <x:f>IF(P506="已退款",O506,0)</x:f>
        <x:v>0</x:v>
      </x:c>
      <x:c r="S506" s="97" t="n">
        <x:f>O506-R506</x:f>
        <x:v>32.05</x:v>
      </x:c>
      <x:c r="T506" s="94" t="n">
        <x:v>1</x:v>
      </x:c>
      <x:c r="U506" s="94" t="str">
        <x:v>模拟：Amazon Associates订单回传</x:v>
      </x:c>
    </x:row>
    <x:row r="507">
      <x:c r="A507" s="92" t="str">
        <x:v>AMZ-ORD-00506</x:v>
      </x:c>
      <x:c r="B507" s="94" t="str">
        <x:v>PROC-0498</x:v>
      </x:c>
      <x:c r="C507" s="108" t="n">
        <x:v>46113.64166666667</x:v>
      </x:c>
      <x:c r="D507" s="93" t="n">
        <x:v>46112</x:v>
      </x:c>
      <x:c r="E507" s="94" t="str">
        <x:v>Microsoft Ads</x:v>
      </x:c>
      <x:c r="F507" s="94" t="str">
        <x:v>日本</x:v>
      </x:c>
      <x:c r="G507" s="94" t="str">
        <x:v>通用搜索</x:v>
      </x:c>
      <x:c r="H507" s="94" t="str">
        <x:v>SKU-0025</x:v>
      </x:c>
      <x:c r="I507" s="94" t="str">
        <x:v>运动健康</x:v>
      </x:c>
      <x:c r="J507" s="94" t="str">
        <x:v>跑步机配件 E</x:v>
      </x:c>
      <x:c r="K507" s="97" t="n">
        <x:v>78.78</x:v>
      </x:c>
      <x:c r="L507" s="95" t="n">
        <x:v>1</x:v>
      </x:c>
      <x:c r="M507" s="97" t="n">
        <x:f>ROUND(K507*L507,2)</x:f>
        <x:v>78.78</x:v>
      </x:c>
      <x:c r="N507" s="109" t="n">
        <x:v>0.08</x:v>
      </x:c>
      <x:c r="O507" s="97" t="n">
        <x:f>ROUND(M507*N507,2)</x:f>
        <x:v>6.3</x:v>
      </x:c>
      <x:c r="P507" s="94" t="str">
        <x:v>已确认</x:v>
      </x:c>
      <x:c r="Q507" s="97" t="n">
        <x:f>IF(P507="已退款",M507,0)</x:f>
        <x:v>0</x:v>
      </x:c>
      <x:c r="R507" s="97" t="n">
        <x:f>IF(P507="已退款",O507,0)</x:f>
        <x:v>0</x:v>
      </x:c>
      <x:c r="S507" s="97" t="n">
        <x:f>O507-R507</x:f>
        <x:v>6.3</x:v>
      </x:c>
      <x:c r="T507" s="94" t="n">
        <x:v>1</x:v>
      </x:c>
      <x:c r="U507" s="94" t="str">
        <x:v>模拟：Amazon Associates订单回传</x:v>
      </x:c>
    </x:row>
    <x:row r="508">
      <x:c r="A508" s="92" t="str">
        <x:v>AMZ-ORD-00507</x:v>
      </x:c>
      <x:c r="B508" s="94" t="str">
        <x:v>PROC-0499</x:v>
      </x:c>
      <x:c r="C508" s="108" t="n">
        <x:v>46117.54513888889</x:v>
      </x:c>
      <x:c r="D508" s="93" t="n">
        <x:v>46113</x:v>
      </x:c>
      <x:c r="E508" s="94" t="str">
        <x:v>Google Ads</x:v>
      </x:c>
      <x:c r="F508" s="94" t="str">
        <x:v>美国</x:v>
      </x:c>
      <x:c r="G508" s="94" t="str">
        <x:v>购物广告</x:v>
      </x:c>
      <x:c r="H508" s="94" t="str">
        <x:v>SKU-0049</x:v>
      </x:c>
      <x:c r="I508" s="94" t="str">
        <x:v>办公学习</x:v>
      </x:c>
      <x:c r="J508" s="94" t="str">
        <x:v>移动白板 I</x:v>
      </x:c>
      <x:c r="K508" s="97" t="n">
        <x:v>126.39</x:v>
      </x:c>
      <x:c r="L508" s="95" t="n">
        <x:v>1</x:v>
      </x:c>
      <x:c r="M508" s="97" t="n">
        <x:f>ROUND(K508*L508,2)</x:f>
        <x:v>126.39</x:v>
      </x:c>
      <x:c r="N508" s="109" t="n">
        <x:v>0.07</x:v>
      </x:c>
      <x:c r="O508" s="97" t="n">
        <x:f>ROUND(M508*N508,2)</x:f>
        <x:v>8.85</x:v>
      </x:c>
      <x:c r="P508" s="94" t="str">
        <x:v>已确认</x:v>
      </x:c>
      <x:c r="Q508" s="97" t="n">
        <x:f>IF(P508="已退款",M508,0)</x:f>
        <x:v>0</x:v>
      </x:c>
      <x:c r="R508" s="97" t="n">
        <x:f>IF(P508="已退款",O508,0)</x:f>
        <x:v>0</x:v>
      </x:c>
      <x:c r="S508" s="97" t="n">
        <x:f>O508-R508</x:f>
        <x:v>8.85</x:v>
      </x:c>
      <x:c r="T508" s="94" t="n">
        <x:v>4</x:v>
      </x:c>
      <x:c r="U508" s="94" t="str">
        <x:v>模拟：Amazon Associates订单回传</x:v>
      </x:c>
    </x:row>
    <x:row r="509">
      <x:c r="A509" s="92" t="str">
        <x:v>AMZ-ORD-00508</x:v>
      </x:c>
      <x:c r="B509" s="94" t="str">
        <x:v>PROC-0501</x:v>
      </x:c>
      <x:c r="C509" s="108" t="n">
        <x:v>46113.46875</x:v>
      </x:c>
      <x:c r="D509" s="93" t="n">
        <x:v>46113</x:v>
      </x:c>
      <x:c r="E509" s="94" t="str">
        <x:v>Google Ads</x:v>
      </x:c>
      <x:c r="F509" s="94" t="str">
        <x:v>美国</x:v>
      </x:c>
      <x:c r="G509" s="94" t="str">
        <x:v>品牌搜索</x:v>
      </x:c>
      <x:c r="H509" s="94" t="str">
        <x:v>SKU-0047</x:v>
      </x:c>
      <x:c r="I509" s="94" t="str">
        <x:v>办公学习</x:v>
      </x:c>
      <x:c r="J509" s="94" t="str">
        <x:v>标签打印机 G</x:v>
      </x:c>
      <x:c r="K509" s="97" t="n">
        <x:v>244.48</x:v>
      </x:c>
      <x:c r="L509" s="95" t="n">
        <x:v>1</x:v>
      </x:c>
      <x:c r="M509" s="97" t="n">
        <x:f>ROUND(K509*L509,2)</x:f>
        <x:v>244.48</x:v>
      </x:c>
      <x:c r="N509" s="109" t="n">
        <x:v>0.07</x:v>
      </x:c>
      <x:c r="O509" s="97" t="n">
        <x:f>ROUND(M509*N509,2)</x:f>
        <x:v>17.11</x:v>
      </x:c>
      <x:c r="P509" s="94" t="str">
        <x:v>已确认</x:v>
      </x:c>
      <x:c r="Q509" s="97" t="n">
        <x:f>IF(P509="已退款",M509,0)</x:f>
        <x:v>0</x:v>
      </x:c>
      <x:c r="R509" s="97" t="n">
        <x:f>IF(P509="已退款",O509,0)</x:f>
        <x:v>0</x:v>
      </x:c>
      <x:c r="S509" s="97" t="n">
        <x:f>O509-R509</x:f>
        <x:v>17.11</x:v>
      </x:c>
      <x:c r="T509" s="94" t="n">
        <x:v>0</x:v>
      </x:c>
      <x:c r="U509" s="94" t="str">
        <x:v>模拟：Amazon Associates订单回传</x:v>
      </x:c>
    </x:row>
    <x:row r="510">
      <x:c r="A510" s="92" t="str">
        <x:v>AMZ-ORD-00509</x:v>
      </x:c>
      <x:c r="B510" s="94" t="str">
        <x:v>PROC-0501</x:v>
      </x:c>
      <x:c r="C510" s="108" t="n">
        <x:v>46116.345138888886</x:v>
      </x:c>
      <x:c r="D510" s="93" t="n">
        <x:v>46113</x:v>
      </x:c>
      <x:c r="E510" s="94" t="str">
        <x:v>Google Ads</x:v>
      </x:c>
      <x:c r="F510" s="94" t="str">
        <x:v>美国</x:v>
      </x:c>
      <x:c r="G510" s="94" t="str">
        <x:v>品牌搜索</x:v>
      </x:c>
      <x:c r="H510" s="94" t="str">
        <x:v>SKU-0022</x:v>
      </x:c>
      <x:c r="I510" s="94" t="str">
        <x:v>运动健康</x:v>
      </x:c>
      <x:c r="J510" s="94" t="str">
        <x:v>瑜伽套装 B</x:v>
      </x:c>
      <x:c r="K510" s="97" t="n">
        <x:v>225.69</x:v>
      </x:c>
      <x:c r="L510" s="95" t="n">
        <x:v>1</x:v>
      </x:c>
      <x:c r="M510" s="97" t="n">
        <x:f>ROUND(K510*L510,2)</x:f>
        <x:v>225.69</x:v>
      </x:c>
      <x:c r="N510" s="109" t="n">
        <x:v>0.08</x:v>
      </x:c>
      <x:c r="O510" s="97" t="n">
        <x:f>ROUND(M510*N510,2)</x:f>
        <x:v>18.06</x:v>
      </x:c>
      <x:c r="P510" s="94" t="str">
        <x:v>已确认</x:v>
      </x:c>
      <x:c r="Q510" s="97" t="n">
        <x:f>IF(P510="已退款",M510,0)</x:f>
        <x:v>0</x:v>
      </x:c>
      <x:c r="R510" s="97" t="n">
        <x:f>IF(P510="已退款",O510,0)</x:f>
        <x:v>0</x:v>
      </x:c>
      <x:c r="S510" s="97" t="n">
        <x:f>O510-R510</x:f>
        <x:v>18.06</x:v>
      </x:c>
      <x:c r="T510" s="94" t="n">
        <x:v>3</x:v>
      </x:c>
      <x:c r="U510" s="94" t="str">
        <x:v>模拟：Amazon Associates订单回传</x:v>
      </x:c>
    </x:row>
    <x:row r="511">
      <x:c r="A511" s="92" t="str">
        <x:v>AMZ-ORD-00510</x:v>
      </x:c>
      <x:c r="B511" s="94" t="str">
        <x:v>PROC-0503</x:v>
      </x:c>
      <x:c r="C511" s="108" t="n">
        <x:v>46117.83819444444</x:v>
      </x:c>
      <x:c r="D511" s="93" t="n">
        <x:v>46113</x:v>
      </x:c>
      <x:c r="E511" s="94" t="str">
        <x:v>Google Ads</x:v>
      </x:c>
      <x:c r="F511" s="94" t="str">
        <x:v>美国</x:v>
      </x:c>
      <x:c r="G511" s="94" t="str">
        <x:v>品牌搜索</x:v>
      </x:c>
      <x:c r="H511" s="94" t="str">
        <x:v>SKU-0005</x:v>
      </x:c>
      <x:c r="I511" s="94" t="str">
        <x:v>电子产品</x:v>
      </x:c>
      <x:c r="J511" s="94" t="str">
        <x:v>降噪耳机 E</x:v>
      </x:c>
      <x:c r="K511" s="97" t="n">
        <x:v>621.61</x:v>
      </x:c>
      <x:c r="L511" s="95" t="n">
        <x:v>1</x:v>
      </x:c>
      <x:c r="M511" s="97" t="n">
        <x:f>ROUND(K511*L511,2)</x:f>
        <x:v>621.61</x:v>
      </x:c>
      <x:c r="N511" s="109" t="n">
        <x:v>0.05</x:v>
      </x:c>
      <x:c r="O511" s="97" t="n">
        <x:f>ROUND(M511*N511,2)</x:f>
        <x:v>31.08</x:v>
      </x:c>
      <x:c r="P511" s="94" t="str">
        <x:v>已确认</x:v>
      </x:c>
      <x:c r="Q511" s="97" t="n">
        <x:f>IF(P511="已退款",M511,0)</x:f>
        <x:v>0</x:v>
      </x:c>
      <x:c r="R511" s="97" t="n">
        <x:f>IF(P511="已退款",O511,0)</x:f>
        <x:v>0</x:v>
      </x:c>
      <x:c r="S511" s="97" t="n">
        <x:f>O511-R511</x:f>
        <x:v>31.08</x:v>
      </x:c>
      <x:c r="T511" s="94" t="n">
        <x:v>4</x:v>
      </x:c>
      <x:c r="U511" s="94" t="str">
        <x:v>模拟：Amazon Associates订单回传</x:v>
      </x:c>
    </x:row>
    <x:row r="512">
      <x:c r="A512" s="92" t="str">
        <x:v>AMZ-ORD-00511</x:v>
      </x:c>
      <x:c r="B512" s="94" t="str">
        <x:v>PROC-0506</x:v>
      </x:c>
      <x:c r="C512" s="108" t="n">
        <x:v>46114.83194444444</x:v>
      </x:c>
      <x:c r="D512" s="93" t="n">
        <x:v>46114</x:v>
      </x:c>
      <x:c r="E512" s="94" t="str">
        <x:v>Google Ads</x:v>
      </x:c>
      <x:c r="F512" s="94" t="str">
        <x:v>美国</x:v>
      </x:c>
      <x:c r="G512" s="94" t="str">
        <x:v>通用搜索</x:v>
      </x:c>
      <x:c r="H512" s="94" t="str">
        <x:v>SKU-0015</x:v>
      </x:c>
      <x:c r="I512" s="94" t="str">
        <x:v>家居生活</x:v>
      </x:c>
      <x:c r="J512" s="94" t="str">
        <x:v>床品套装 E</x:v>
      </x:c>
      <x:c r="K512" s="97" t="n">
        <x:v>255.34</x:v>
      </x:c>
      <x:c r="L512" s="95" t="n">
        <x:v>1</x:v>
      </x:c>
      <x:c r="M512" s="97" t="n">
        <x:f>ROUND(K512*L512,2)</x:f>
        <x:v>255.34</x:v>
      </x:c>
      <x:c r="N512" s="109" t="n">
        <x:v>0.07</x:v>
      </x:c>
      <x:c r="O512" s="97" t="n">
        <x:f>ROUND(M512*N512,2)</x:f>
        <x:v>17.87</x:v>
      </x:c>
      <x:c r="P512" s="94" t="str">
        <x:v>已确认</x:v>
      </x:c>
      <x:c r="Q512" s="97" t="n">
        <x:f>IF(P512="已退款",M512,0)</x:f>
        <x:v>0</x:v>
      </x:c>
      <x:c r="R512" s="97" t="n">
        <x:f>IF(P512="已退款",O512,0)</x:f>
        <x:v>0</x:v>
      </x:c>
      <x:c r="S512" s="97" t="n">
        <x:f>O512-R512</x:f>
        <x:v>17.87</x:v>
      </x:c>
      <x:c r="T512" s="94" t="n">
        <x:v>0</x:v>
      </x:c>
      <x:c r="U512" s="94" t="str">
        <x:v>模拟：Amazon Associates订单回传</x:v>
      </x:c>
    </x:row>
    <x:row r="513">
      <x:c r="A513" s="92" t="str">
        <x:v>AMZ-ORD-00512</x:v>
      </x:c>
      <x:c r="B513" s="94" t="str">
        <x:v>PROC-0507</x:v>
      </x:c>
      <x:c r="C513" s="108" t="n">
        <x:v>46114.59305555555</x:v>
      </x:c>
      <x:c r="D513" s="93" t="n">
        <x:v>46114</x:v>
      </x:c>
      <x:c r="E513" s="94" t="str">
        <x:v>Google Ads</x:v>
      </x:c>
      <x:c r="F513" s="94" t="str">
        <x:v>美国</x:v>
      </x:c>
      <x:c r="G513" s="94" t="str">
        <x:v>通用搜索</x:v>
      </x:c>
      <x:c r="H513" s="94" t="str">
        <x:v>SKU-0012</x:v>
      </x:c>
      <x:c r="I513" s="94" t="str">
        <x:v>家居生活</x:v>
      </x:c>
      <x:c r="J513" s="94" t="str">
        <x:v>咖啡机 B</x:v>
      </x:c>
      <x:c r="K513" s="97" t="n">
        <x:v>297.46</x:v>
      </x:c>
      <x:c r="L513" s="95" t="n">
        <x:v>1</x:v>
      </x:c>
      <x:c r="M513" s="97" t="n">
        <x:f>ROUND(K513*L513,2)</x:f>
        <x:v>297.46</x:v>
      </x:c>
      <x:c r="N513" s="109" t="n">
        <x:v>0.07</x:v>
      </x:c>
      <x:c r="O513" s="97" t="n">
        <x:f>ROUND(M513*N513,2)</x:f>
        <x:v>20.82</x:v>
      </x:c>
      <x:c r="P513" s="94" t="str">
        <x:v>已确认</x:v>
      </x:c>
      <x:c r="Q513" s="97" t="n">
        <x:f>IF(P513="已退款",M513,0)</x:f>
        <x:v>0</x:v>
      </x:c>
      <x:c r="R513" s="97" t="n">
        <x:f>IF(P513="已退款",O513,0)</x:f>
        <x:v>0</x:v>
      </x:c>
      <x:c r="S513" s="97" t="n">
        <x:f>O513-R513</x:f>
        <x:v>20.82</x:v>
      </x:c>
      <x:c r="T513" s="94" t="n">
        <x:v>0</x:v>
      </x:c>
      <x:c r="U513" s="94" t="str">
        <x:v>模拟：Amazon Associates订单回传</x:v>
      </x:c>
    </x:row>
    <x:row r="514">
      <x:c r="A514" s="92" t="str">
        <x:v>AMZ-ORD-00513</x:v>
      </x:c>
      <x:c r="B514" s="94" t="str">
        <x:v>PROC-0508</x:v>
      </x:c>
      <x:c r="C514" s="108" t="n">
        <x:v>46114.46041666667</x:v>
      </x:c>
      <x:c r="D514" s="93" t="n">
        <x:v>46114</x:v>
      </x:c>
      <x:c r="E514" s="94" t="str">
        <x:v>Google Ads</x:v>
      </x:c>
      <x:c r="F514" s="94" t="str">
        <x:v>美国</x:v>
      </x:c>
      <x:c r="G514" s="94" t="str">
        <x:v>购物广告</x:v>
      </x:c>
      <x:c r="H514" s="94" t="str">
        <x:v>SKU-0032</x:v>
      </x:c>
      <x:c r="I514" s="94" t="str">
        <x:v>美妆个护</x:v>
      </x:c>
      <x:c r="J514" s="94" t="str">
        <x:v>吹风机 B</x:v>
      </x:c>
      <x:c r="K514" s="97" t="n">
        <x:v>60.28</x:v>
      </x:c>
      <x:c r="L514" s="95" t="n">
        <x:v>1</x:v>
      </x:c>
      <x:c r="M514" s="97" t="n">
        <x:f>ROUND(K514*L514,2)</x:f>
        <x:v>60.28</x:v>
      </x:c>
      <x:c r="N514" s="109" t="n">
        <x:v>0.1</x:v>
      </x:c>
      <x:c r="O514" s="97" t="n">
        <x:f>ROUND(M514*N514,2)</x:f>
        <x:v>6.03</x:v>
      </x:c>
      <x:c r="P514" s="94" t="str">
        <x:v>已确认</x:v>
      </x:c>
      <x:c r="Q514" s="97" t="n">
        <x:f>IF(P514="已退款",M514,0)</x:f>
        <x:v>0</x:v>
      </x:c>
      <x:c r="R514" s="97" t="n">
        <x:f>IF(P514="已退款",O514,0)</x:f>
        <x:v>0</x:v>
      </x:c>
      <x:c r="S514" s="97" t="n">
        <x:f>O514-R514</x:f>
        <x:v>6.03</x:v>
      </x:c>
      <x:c r="T514" s="94" t="n">
        <x:v>0</x:v>
      </x:c>
      <x:c r="U514" s="94" t="str">
        <x:v>模拟：Amazon Associates订单回传</x:v>
      </x:c>
    </x:row>
    <x:row r="515">
      <x:c r="A515" s="92" t="str">
        <x:v>AMZ-ORD-00514</x:v>
      </x:c>
      <x:c r="B515" s="94" t="str">
        <x:v>PROC-0509</x:v>
      </x:c>
      <x:c r="C515" s="108" t="n">
        <x:v>46114.89375</x:v>
      </x:c>
      <x:c r="D515" s="93" t="n">
        <x:v>46114</x:v>
      </x:c>
      <x:c r="E515" s="94" t="str">
        <x:v>Google Ads</x:v>
      </x:c>
      <x:c r="F515" s="94" t="str">
        <x:v>德国</x:v>
      </x:c>
      <x:c r="G515" s="94" t="str">
        <x:v>购物广告</x:v>
      </x:c>
      <x:c r="H515" s="94" t="str">
        <x:v>SKU-0033</x:v>
      </x:c>
      <x:c r="I515" s="94" t="str">
        <x:v>美妆个护</x:v>
      </x:c>
      <x:c r="J515" s="94" t="str">
        <x:v>护肤套装 C</x:v>
      </x:c>
      <x:c r="K515" s="97" t="n">
        <x:v>137.94</x:v>
      </x:c>
      <x:c r="L515" s="95" t="n">
        <x:v>1</x:v>
      </x:c>
      <x:c r="M515" s="97" t="n">
        <x:f>ROUND(K515*L515,2)</x:f>
        <x:v>137.94</x:v>
      </x:c>
      <x:c r="N515" s="109" t="n">
        <x:v>0.1</x:v>
      </x:c>
      <x:c r="O515" s="97" t="n">
        <x:f>ROUND(M515*N515,2)</x:f>
        <x:v>13.79</x:v>
      </x:c>
      <x:c r="P515" s="94" t="str">
        <x:v>已确认</x:v>
      </x:c>
      <x:c r="Q515" s="97" t="n">
        <x:f>IF(P515="已退款",M515,0)</x:f>
        <x:v>0</x:v>
      </x:c>
      <x:c r="R515" s="97" t="n">
        <x:f>IF(P515="已退款",O515,0)</x:f>
        <x:v>0</x:v>
      </x:c>
      <x:c r="S515" s="97" t="n">
        <x:f>O515-R515</x:f>
        <x:v>13.79</x:v>
      </x:c>
      <x:c r="T515" s="94" t="n">
        <x:v>0</x:v>
      </x:c>
      <x:c r="U515" s="94" t="str">
        <x:v>模拟：Amazon Associates订单回传</x:v>
      </x:c>
    </x:row>
    <x:row r="516">
      <x:c r="A516" s="92" t="str">
        <x:v>AMZ-ORD-00515</x:v>
      </x:c>
      <x:c r="B516" s="94" t="str">
        <x:v>PROC-0510</x:v>
      </x:c>
      <x:c r="C516" s="108" t="n">
        <x:v>46117.364583333336</x:v>
      </x:c>
      <x:c r="D516" s="93" t="n">
        <x:v>46115</x:v>
      </x:c>
      <x:c r="E516" s="94" t="str">
        <x:v>Google Ads</x:v>
      </x:c>
      <x:c r="F516" s="94" t="str">
        <x:v>美国</x:v>
      </x:c>
      <x:c r="G516" s="94" t="str">
        <x:v>通用搜索</x:v>
      </x:c>
      <x:c r="H516" s="94" t="str">
        <x:v>SKU-0004</x:v>
      </x:c>
      <x:c r="I516" s="94" t="str">
        <x:v>电子产品</x:v>
      </x:c>
      <x:c r="J516" s="94" t="str">
        <x:v>机械键盘 D</x:v>
      </x:c>
      <x:c r="K516" s="97" t="n">
        <x:v>628.42</x:v>
      </x:c>
      <x:c r="L516" s="95" t="n">
        <x:v>1</x:v>
      </x:c>
      <x:c r="M516" s="97" t="n">
        <x:f>ROUND(K516*L516,2)</x:f>
        <x:v>628.42</x:v>
      </x:c>
      <x:c r="N516" s="109" t="n">
        <x:v>0.05</x:v>
      </x:c>
      <x:c r="O516" s="97" t="n">
        <x:f>ROUND(M516*N516,2)</x:f>
        <x:v>31.42</x:v>
      </x:c>
      <x:c r="P516" s="94" t="str">
        <x:v>已确认</x:v>
      </x:c>
      <x:c r="Q516" s="97" t="n">
        <x:f>IF(P516="已退款",M516,0)</x:f>
        <x:v>0</x:v>
      </x:c>
      <x:c r="R516" s="97" t="n">
        <x:f>IF(P516="已退款",O516,0)</x:f>
        <x:v>0</x:v>
      </x:c>
      <x:c r="S516" s="97" t="n">
        <x:f>O516-R516</x:f>
        <x:v>31.42</x:v>
      </x:c>
      <x:c r="T516" s="94" t="n">
        <x:v>2</x:v>
      </x:c>
      <x:c r="U516" s="94" t="str">
        <x:v>模拟：Amazon Associates订单回传</x:v>
      </x:c>
    </x:row>
    <x:row r="517">
      <x:c r="A517" s="92" t="str">
        <x:v>AMZ-ORD-00516</x:v>
      </x:c>
      <x:c r="B517" s="94" t="str">
        <x:v>PROC-0511</x:v>
      </x:c>
      <x:c r="C517" s="108" t="n">
        <x:v>46117.34583333333</x:v>
      </x:c>
      <x:c r="D517" s="93" t="n">
        <x:v>46115</x:v>
      </x:c>
      <x:c r="E517" s="94" t="str">
        <x:v>Microsoft Ads</x:v>
      </x:c>
      <x:c r="F517" s="94" t="str">
        <x:v>英国</x:v>
      </x:c>
      <x:c r="G517" s="94" t="str">
        <x:v>购物广告</x:v>
      </x:c>
      <x:c r="H517" s="94" t="str">
        <x:v>SKU-0018</x:v>
      </x:c>
      <x:c r="I517" s="94" t="str">
        <x:v>家居生活</x:v>
      </x:c>
      <x:c r="J517" s="94" t="str">
        <x:v>收纳组合 H</x:v>
      </x:c>
      <x:c r="K517" s="97" t="n">
        <x:v>292.53</x:v>
      </x:c>
      <x:c r="L517" s="95" t="n">
        <x:v>2</x:v>
      </x:c>
      <x:c r="M517" s="97" t="n">
        <x:f>ROUND(K517*L517,2)</x:f>
        <x:v>585.06</x:v>
      </x:c>
      <x:c r="N517" s="109" t="n">
        <x:v>0.07</x:v>
      </x:c>
      <x:c r="O517" s="97" t="n">
        <x:f>ROUND(M517*N517,2)</x:f>
        <x:v>40.95</x:v>
      </x:c>
      <x:c r="P517" s="94" t="str">
        <x:v>已确认</x:v>
      </x:c>
      <x:c r="Q517" s="97" t="n">
        <x:f>IF(P517="已退款",M517,0)</x:f>
        <x:v>0</x:v>
      </x:c>
      <x:c r="R517" s="97" t="n">
        <x:f>IF(P517="已退款",O517,0)</x:f>
        <x:v>0</x:v>
      </x:c>
      <x:c r="S517" s="97" t="n">
        <x:f>O517-R517</x:f>
        <x:v>40.95</x:v>
      </x:c>
      <x:c r="T517" s="94" t="n">
        <x:v>2</x:v>
      </x:c>
      <x:c r="U517" s="94" t="str">
        <x:v>模拟：Amazon Associates订单回传</x:v>
      </x:c>
    </x:row>
    <x:row r="518">
      <x:c r="A518" s="92" t="str">
        <x:v>AMZ-ORD-00517</x:v>
      </x:c>
      <x:c r="B518" s="94" t="str">
        <x:v>PROC-0512</x:v>
      </x:c>
      <x:c r="C518" s="108" t="n">
        <x:v>46117.845138888886</x:v>
      </x:c>
      <x:c r="D518" s="93" t="n">
        <x:v>46115</x:v>
      </x:c>
      <x:c r="E518" s="94" t="str">
        <x:v>Microsoft Ads</x:v>
      </x:c>
      <x:c r="F518" s="94" t="str">
        <x:v>美国</x:v>
      </x:c>
      <x:c r="G518" s="94" t="str">
        <x:v>通用搜索</x:v>
      </x:c>
      <x:c r="H518" s="94" t="str">
        <x:v>SKU-0004</x:v>
      </x:c>
      <x:c r="I518" s="94" t="str">
        <x:v>电子产品</x:v>
      </x:c>
      <x:c r="J518" s="94" t="str">
        <x:v>机械键盘 D</x:v>
      </x:c>
      <x:c r="K518" s="97" t="n">
        <x:v>304.83</x:v>
      </x:c>
      <x:c r="L518" s="95" t="n">
        <x:v>1</x:v>
      </x:c>
      <x:c r="M518" s="97" t="n">
        <x:f>ROUND(K518*L518,2)</x:f>
        <x:v>304.83</x:v>
      </x:c>
      <x:c r="N518" s="109" t="n">
        <x:v>0.05</x:v>
      </x:c>
      <x:c r="O518" s="97" t="n">
        <x:f>ROUND(M518*N518,2)</x:f>
        <x:v>15.24</x:v>
      </x:c>
      <x:c r="P518" s="94" t="str">
        <x:v>已确认</x:v>
      </x:c>
      <x:c r="Q518" s="97" t="n">
        <x:f>IF(P518="已退款",M518,0)</x:f>
        <x:v>0</x:v>
      </x:c>
      <x:c r="R518" s="97" t="n">
        <x:f>IF(P518="已退款",O518,0)</x:f>
        <x:v>0</x:v>
      </x:c>
      <x:c r="S518" s="97" t="n">
        <x:f>O518-R518</x:f>
        <x:v>15.24</x:v>
      </x:c>
      <x:c r="T518" s="94" t="n">
        <x:v>2</x:v>
      </x:c>
      <x:c r="U518" s="94" t="str">
        <x:v>模拟：Amazon Associates订单回传</x:v>
      </x:c>
    </x:row>
    <x:row r="519">
      <x:c r="A519" s="92" t="str">
        <x:v>AMZ-ORD-00518</x:v>
      </x:c>
      <x:c r="B519" s="94" t="str">
        <x:v>PROC-0513</x:v>
      </x:c>
      <x:c r="C519" s="108" t="n">
        <x:v>46118.48472222222</x:v>
      </x:c>
      <x:c r="D519" s="93" t="n">
        <x:v>46115</x:v>
      </x:c>
      <x:c r="E519" s="94" t="str">
        <x:v>Microsoft Ads</x:v>
      </x:c>
      <x:c r="F519" s="94" t="str">
        <x:v>美国</x:v>
      </x:c>
      <x:c r="G519" s="94" t="str">
        <x:v>购物广告</x:v>
      </x:c>
      <x:c r="H519" s="94" t="str">
        <x:v>SKU-0026</x:v>
      </x:c>
      <x:c r="I519" s="94" t="str">
        <x:v>运动健康</x:v>
      </x:c>
      <x:c r="J519" s="94" t="str">
        <x:v>骑行头盔 F</x:v>
      </x:c>
      <x:c r="K519" s="97" t="n">
        <x:v>73.07</x:v>
      </x:c>
      <x:c r="L519" s="95" t="n">
        <x:v>1</x:v>
      </x:c>
      <x:c r="M519" s="97" t="n">
        <x:f>ROUND(K519*L519,2)</x:f>
        <x:v>73.07</x:v>
      </x:c>
      <x:c r="N519" s="109" t="n">
        <x:v>0.08</x:v>
      </x:c>
      <x:c r="O519" s="97" t="n">
        <x:f>ROUND(M519*N519,2)</x:f>
        <x:v>5.85</x:v>
      </x:c>
      <x:c r="P519" s="94" t="str">
        <x:v>已确认</x:v>
      </x:c>
      <x:c r="Q519" s="97" t="n">
        <x:f>IF(P519="已退款",M519,0)</x:f>
        <x:v>0</x:v>
      </x:c>
      <x:c r="R519" s="97" t="n">
        <x:f>IF(P519="已退款",O519,0)</x:f>
        <x:v>0</x:v>
      </x:c>
      <x:c r="S519" s="97" t="n">
        <x:f>O519-R519</x:f>
        <x:v>5.85</x:v>
      </x:c>
      <x:c r="T519" s="94" t="n">
        <x:v>3</x:v>
      </x:c>
      <x:c r="U519" s="94" t="str">
        <x:v>模拟：Amazon Associates订单回传</x:v>
      </x:c>
    </x:row>
    <x:row r="520">
      <x:c r="A520" s="92" t="str">
        <x:v>AMZ-ORD-00519</x:v>
      </x:c>
      <x:c r="B520" s="94" t="str">
        <x:v>PROC-0515</x:v>
      </x:c>
      <x:c r="C520" s="108" t="n">
        <x:v>46116.768055555556</x:v>
      </x:c>
      <x:c r="D520" s="93" t="n">
        <x:v>46116</x:v>
      </x:c>
      <x:c r="E520" s="94" t="str">
        <x:v>Google Ads</x:v>
      </x:c>
      <x:c r="F520" s="94" t="str">
        <x:v>日本</x:v>
      </x:c>
      <x:c r="G520" s="94" t="str">
        <x:v>通用搜索</x:v>
      </x:c>
      <x:c r="H520" s="94" t="str">
        <x:v>SKU-0009</x:v>
      </x:c>
      <x:c r="I520" s="94" t="str">
        <x:v>电子产品</x:v>
      </x:c>
      <x:c r="J520" s="94" t="str">
        <x:v>电子阅读器 I</x:v>
      </x:c>
      <x:c r="K520" s="97" t="n">
        <x:v>349.49</x:v>
      </x:c>
      <x:c r="L520" s="95" t="n">
        <x:v>1</x:v>
      </x:c>
      <x:c r="M520" s="97" t="n">
        <x:f>ROUND(K520*L520,2)</x:f>
        <x:v>349.49</x:v>
      </x:c>
      <x:c r="N520" s="109" t="n">
        <x:v>0.05</x:v>
      </x:c>
      <x:c r="O520" s="97" t="n">
        <x:f>ROUND(M520*N520,2)</x:f>
        <x:v>17.47</x:v>
      </x:c>
      <x:c r="P520" s="94" t="str">
        <x:v>已确认</x:v>
      </x:c>
      <x:c r="Q520" s="97" t="n">
        <x:f>IF(P520="已退款",M520,0)</x:f>
        <x:v>0</x:v>
      </x:c>
      <x:c r="R520" s="97" t="n">
        <x:f>IF(P520="已退款",O520,0)</x:f>
        <x:v>0</x:v>
      </x:c>
      <x:c r="S520" s="97" t="n">
        <x:f>O520-R520</x:f>
        <x:v>17.47</x:v>
      </x:c>
      <x:c r="T520" s="94" t="n">
        <x:v>0</x:v>
      </x:c>
      <x:c r="U520" s="94" t="str">
        <x:v>模拟：Amazon Associates订单回传</x:v>
      </x:c>
    </x:row>
    <x:row r="521">
      <x:c r="A521" s="92" t="str">
        <x:v>AMZ-ORD-00520</x:v>
      </x:c>
      <x:c r="B521" s="94" t="str">
        <x:v>PROC-0516</x:v>
      </x:c>
      <x:c r="C521" s="108" t="n">
        <x:v>46119.654861111114</x:v>
      </x:c>
      <x:c r="D521" s="93" t="n">
        <x:v>46116</x:v>
      </x:c>
      <x:c r="E521" s="94" t="str">
        <x:v>Google Ads</x:v>
      </x:c>
      <x:c r="F521" s="94" t="str">
        <x:v>美国</x:v>
      </x:c>
      <x:c r="G521" s="94" t="str">
        <x:v>购物广告</x:v>
      </x:c>
      <x:c r="H521" s="94" t="str">
        <x:v>SKU-0042</x:v>
      </x:c>
      <x:c r="I521" s="94" t="str">
        <x:v>办公学习</x:v>
      </x:c>
      <x:c r="J521" s="94" t="str">
        <x:v>护眼台灯 B</x:v>
      </x:c>
      <x:c r="K521" s="97" t="n">
        <x:v>121.77</x:v>
      </x:c>
      <x:c r="L521" s="95" t="n">
        <x:v>1</x:v>
      </x:c>
      <x:c r="M521" s="97" t="n">
        <x:f>ROUND(K521*L521,2)</x:f>
        <x:v>121.77</x:v>
      </x:c>
      <x:c r="N521" s="109" t="n">
        <x:v>0.07</x:v>
      </x:c>
      <x:c r="O521" s="97" t="n">
        <x:f>ROUND(M521*N521,2)</x:f>
        <x:v>8.52</x:v>
      </x:c>
      <x:c r="P521" s="94" t="str">
        <x:v>已确认</x:v>
      </x:c>
      <x:c r="Q521" s="97" t="n">
        <x:f>IF(P521="已退款",M521,0)</x:f>
        <x:v>0</x:v>
      </x:c>
      <x:c r="R521" s="97" t="n">
        <x:f>IF(P521="已退款",O521,0)</x:f>
        <x:v>0</x:v>
      </x:c>
      <x:c r="S521" s="97" t="n">
        <x:f>O521-R521</x:f>
        <x:v>8.52</x:v>
      </x:c>
      <x:c r="T521" s="94" t="n">
        <x:v>3</x:v>
      </x:c>
      <x:c r="U521" s="94" t="str">
        <x:v>模拟：Amazon Associates订单回传</x:v>
      </x:c>
    </x:row>
    <x:row r="522">
      <x:c r="A522" s="92" t="str">
        <x:v>AMZ-ORD-00521</x:v>
      </x:c>
      <x:c r="B522" s="94" t="str">
        <x:v>PROC-0518</x:v>
      </x:c>
      <x:c r="C522" s="108" t="n">
        <x:v>46118.62847222222</x:v>
      </x:c>
      <x:c r="D522" s="93" t="n">
        <x:v>46116</x:v>
      </x:c>
      <x:c r="E522" s="94" t="str">
        <x:v>Microsoft Ads</x:v>
      </x:c>
      <x:c r="F522" s="94" t="str">
        <x:v>美国</x:v>
      </x:c>
      <x:c r="G522" s="94" t="str">
        <x:v>购物广告</x:v>
      </x:c>
      <x:c r="H522" s="94" t="str">
        <x:v>SKU-0001</x:v>
      </x:c>
      <x:c r="I522" s="94" t="str">
        <x:v>电子产品</x:v>
      </x:c>
      <x:c r="J522" s="94" t="str">
        <x:v>无线耳机 A</x:v>
      </x:c>
      <x:c r="K522" s="97" t="n">
        <x:v>697.08</x:v>
      </x:c>
      <x:c r="L522" s="95" t="n">
        <x:v>1</x:v>
      </x:c>
      <x:c r="M522" s="97" t="n">
        <x:f>ROUND(K522*L522,2)</x:f>
        <x:v>697.08</x:v>
      </x:c>
      <x:c r="N522" s="109" t="n">
        <x:v>0.05</x:v>
      </x:c>
      <x:c r="O522" s="97" t="n">
        <x:f>ROUND(M522*N522,2)</x:f>
        <x:v>34.85</x:v>
      </x:c>
      <x:c r="P522" s="94" t="str">
        <x:v>已确认</x:v>
      </x:c>
      <x:c r="Q522" s="97" t="n">
        <x:f>IF(P522="已退款",M522,0)</x:f>
        <x:v>0</x:v>
      </x:c>
      <x:c r="R522" s="97" t="n">
        <x:f>IF(P522="已退款",O522,0)</x:f>
        <x:v>0</x:v>
      </x:c>
      <x:c r="S522" s="97" t="n">
        <x:f>O522-R522</x:f>
        <x:v>34.85</x:v>
      </x:c>
      <x:c r="T522" s="94" t="n">
        <x:v>2</x:v>
      </x:c>
      <x:c r="U522" s="94" t="str">
        <x:v>模拟：Amazon Associates订单回传</x:v>
      </x:c>
    </x:row>
    <x:row r="523">
      <x:c r="A523" s="92" t="str">
        <x:v>AMZ-ORD-00522</x:v>
      </x:c>
      <x:c r="B523" s="94" t="str">
        <x:v>PROC-0519</x:v>
      </x:c>
      <x:c r="C523" s="108" t="n">
        <x:v>46116.836805555555</x:v>
      </x:c>
      <x:c r="D523" s="93" t="n">
        <x:v>46116</x:v>
      </x:c>
      <x:c r="E523" s="94" t="str">
        <x:v>Google Ads</x:v>
      </x:c>
      <x:c r="F523" s="94" t="str">
        <x:v>德国</x:v>
      </x:c>
      <x:c r="G523" s="94" t="str">
        <x:v>通用搜索</x:v>
      </x:c>
      <x:c r="H523" s="94" t="str">
        <x:v>SKU-0010</x:v>
      </x:c>
      <x:c r="I523" s="94" t="str">
        <x:v>电子产品</x:v>
      </x:c>
      <x:c r="J523" s="94" t="str">
        <x:v>多口扩展坞 J</x:v>
      </x:c>
      <x:c r="K523" s="97" t="n">
        <x:v>762.51</x:v>
      </x:c>
      <x:c r="L523" s="95" t="n">
        <x:v>1</x:v>
      </x:c>
      <x:c r="M523" s="97" t="n">
        <x:f>ROUND(K523*L523,2)</x:f>
        <x:v>762.51</x:v>
      </x:c>
      <x:c r="N523" s="109" t="n">
        <x:v>0.05</x:v>
      </x:c>
      <x:c r="O523" s="97" t="n">
        <x:f>ROUND(M523*N523,2)</x:f>
        <x:v>38.13</x:v>
      </x:c>
      <x:c r="P523" s="94" t="str">
        <x:v>已确认</x:v>
      </x:c>
      <x:c r="Q523" s="97" t="n">
        <x:f>IF(P523="已退款",M523,0)</x:f>
        <x:v>0</x:v>
      </x:c>
      <x:c r="R523" s="97" t="n">
        <x:f>IF(P523="已退款",O523,0)</x:f>
        <x:v>0</x:v>
      </x:c>
      <x:c r="S523" s="97" t="n">
        <x:f>O523-R523</x:f>
        <x:v>38.13</x:v>
      </x:c>
      <x:c r="T523" s="94" t="n">
        <x:v>0</x:v>
      </x:c>
      <x:c r="U523" s="94" t="str">
        <x:v>模拟：Amazon Associates订单回传</x:v>
      </x:c>
    </x:row>
    <x:row r="524">
      <x:c r="A524" s="92" t="str">
        <x:v>AMZ-ORD-00523</x:v>
      </x:c>
      <x:c r="B524" s="94" t="str">
        <x:v>PROC-0520</x:v>
      </x:c>
      <x:c r="C524" s="108" t="n">
        <x:v>46118.845138888886</x:v>
      </x:c>
      <x:c r="D524" s="93" t="n">
        <x:v>46116</x:v>
      </x:c>
      <x:c r="E524" s="94" t="str">
        <x:v>Microsoft Ads</x:v>
      </x:c>
      <x:c r="F524" s="94" t="str">
        <x:v>美国</x:v>
      </x:c>
      <x:c r="G524" s="94" t="str">
        <x:v>品牌搜索</x:v>
      </x:c>
      <x:c r="H524" s="94" t="str">
        <x:v>SKU-0033</x:v>
      </x:c>
      <x:c r="I524" s="94" t="str">
        <x:v>美妆个护</x:v>
      </x:c>
      <x:c r="J524" s="94" t="str">
        <x:v>护肤套装 C</x:v>
      </x:c>
      <x:c r="K524" s="97" t="n">
        <x:v>38.71</x:v>
      </x:c>
      <x:c r="L524" s="95" t="n">
        <x:v>1</x:v>
      </x:c>
      <x:c r="M524" s="97" t="n">
        <x:f>ROUND(K524*L524,2)</x:f>
        <x:v>38.71</x:v>
      </x:c>
      <x:c r="N524" s="109" t="n">
        <x:v>0.1</x:v>
      </x:c>
      <x:c r="O524" s="97" t="n">
        <x:f>ROUND(M524*N524,2)</x:f>
        <x:v>3.87</x:v>
      </x:c>
      <x:c r="P524" s="94" t="str">
        <x:v>已确认</x:v>
      </x:c>
      <x:c r="Q524" s="97" t="n">
        <x:f>IF(P524="已退款",M524,0)</x:f>
        <x:v>0</x:v>
      </x:c>
      <x:c r="R524" s="97" t="n">
        <x:f>IF(P524="已退款",O524,0)</x:f>
        <x:v>0</x:v>
      </x:c>
      <x:c r="S524" s="97" t="n">
        <x:f>O524-R524</x:f>
        <x:v>3.87</x:v>
      </x:c>
      <x:c r="T524" s="94" t="n">
        <x:v>2</x:v>
      </x:c>
      <x:c r="U524" s="94" t="str">
        <x:v>模拟：Amazon Associates订单回传</x:v>
      </x:c>
    </x:row>
    <x:row r="525">
      <x:c r="A525" s="92" t="str">
        <x:v>AMZ-ORD-00524</x:v>
      </x:c>
      <x:c r="B525" s="94" t="str">
        <x:v>PROC-0520</x:v>
      </x:c>
      <x:c r="C525" s="108" t="n">
        <x:v>46118.7</x:v>
      </x:c>
      <x:c r="D525" s="93" t="n">
        <x:v>46116</x:v>
      </x:c>
      <x:c r="E525" s="94" t="str">
        <x:v>Microsoft Ads</x:v>
      </x:c>
      <x:c r="F525" s="94" t="str">
        <x:v>美国</x:v>
      </x:c>
      <x:c r="G525" s="94" t="str">
        <x:v>品牌搜索</x:v>
      </x:c>
      <x:c r="H525" s="94" t="str">
        <x:v>SKU-0049</x:v>
      </x:c>
      <x:c r="I525" s="94" t="str">
        <x:v>办公学习</x:v>
      </x:c>
      <x:c r="J525" s="94" t="str">
        <x:v>移动白板 I</x:v>
      </x:c>
      <x:c r="K525" s="97" t="n">
        <x:v>193.04</x:v>
      </x:c>
      <x:c r="L525" s="95" t="n">
        <x:v>1</x:v>
      </x:c>
      <x:c r="M525" s="97" t="n">
        <x:f>ROUND(K525*L525,2)</x:f>
        <x:v>193.04</x:v>
      </x:c>
      <x:c r="N525" s="109" t="n">
        <x:v>0.07</x:v>
      </x:c>
      <x:c r="O525" s="97" t="n">
        <x:f>ROUND(M525*N525,2)</x:f>
        <x:v>13.51</x:v>
      </x:c>
      <x:c r="P525" s="94" t="str">
        <x:v>已确认</x:v>
      </x:c>
      <x:c r="Q525" s="97" t="n">
        <x:f>IF(P525="已退款",M525,0)</x:f>
        <x:v>0</x:v>
      </x:c>
      <x:c r="R525" s="97" t="n">
        <x:f>IF(P525="已退款",O525,0)</x:f>
        <x:v>0</x:v>
      </x:c>
      <x:c r="S525" s="97" t="n">
        <x:f>O525-R525</x:f>
        <x:v>13.51</x:v>
      </x:c>
      <x:c r="T525" s="94" t="n">
        <x:v>2</x:v>
      </x:c>
      <x:c r="U525" s="94" t="str">
        <x:v>模拟：Amazon Associates订单回传</x:v>
      </x:c>
    </x:row>
    <x:row r="526">
      <x:c r="A526" s="92" t="str">
        <x:v>AMZ-ORD-00525</x:v>
      </x:c>
      <x:c r="B526" s="94" t="str">
        <x:v>PROC-0524</x:v>
      </x:c>
      <x:c r="C526" s="108" t="n">
        <x:v>46120.59444444445</x:v>
      </x:c>
      <x:c r="D526" s="93" t="n">
        <x:v>46117</x:v>
      </x:c>
      <x:c r="E526" s="94" t="str">
        <x:v>Microsoft Ads</x:v>
      </x:c>
      <x:c r="F526" s="94" t="str">
        <x:v>日本</x:v>
      </x:c>
      <x:c r="G526" s="94" t="str">
        <x:v>通用搜索</x:v>
      </x:c>
      <x:c r="H526" s="94" t="str">
        <x:v>SKU-0009</x:v>
      </x:c>
      <x:c r="I526" s="94" t="str">
        <x:v>电子产品</x:v>
      </x:c>
      <x:c r="J526" s="94" t="str">
        <x:v>电子阅读器 I</x:v>
      </x:c>
      <x:c r="K526" s="97" t="n">
        <x:v>454.55</x:v>
      </x:c>
      <x:c r="L526" s="95" t="n">
        <x:v>1</x:v>
      </x:c>
      <x:c r="M526" s="97" t="n">
        <x:f>ROUND(K526*L526,2)</x:f>
        <x:v>454.55</x:v>
      </x:c>
      <x:c r="N526" s="109" t="n">
        <x:v>0.05</x:v>
      </x:c>
      <x:c r="O526" s="97" t="n">
        <x:f>ROUND(M526*N526,2)</x:f>
        <x:v>22.73</x:v>
      </x:c>
      <x:c r="P526" s="94" t="str">
        <x:v>已确认</x:v>
      </x:c>
      <x:c r="Q526" s="97" t="n">
        <x:f>IF(P526="已退款",M526,0)</x:f>
        <x:v>0</x:v>
      </x:c>
      <x:c r="R526" s="97" t="n">
        <x:f>IF(P526="已退款",O526,0)</x:f>
        <x:v>0</x:v>
      </x:c>
      <x:c r="S526" s="97" t="n">
        <x:f>O526-R526</x:f>
        <x:v>22.73</x:v>
      </x:c>
      <x:c r="T526" s="94" t="n">
        <x:v>3</x:v>
      </x:c>
      <x:c r="U526" s="94" t="str">
        <x:v>模拟：Amazon Associates订单回传</x:v>
      </x:c>
    </x:row>
    <x:row r="527">
      <x:c r="A527" s="92" t="str">
        <x:v>AMZ-ORD-00526</x:v>
      </x:c>
      <x:c r="B527" s="94" t="str">
        <x:v>PROC-0525</x:v>
      </x:c>
      <x:c r="C527" s="108" t="n">
        <x:v>46118.788194444445</x:v>
      </x:c>
      <x:c r="D527" s="93" t="n">
        <x:v>46117</x:v>
      </x:c>
      <x:c r="E527" s="94" t="str">
        <x:v>Google Ads</x:v>
      </x:c>
      <x:c r="F527" s="94" t="str">
        <x:v>美国</x:v>
      </x:c>
      <x:c r="G527" s="94" t="str">
        <x:v>品牌搜索</x:v>
      </x:c>
      <x:c r="H527" s="94" t="str">
        <x:v>SKU-0047</x:v>
      </x:c>
      <x:c r="I527" s="94" t="str">
        <x:v>办公学习</x:v>
      </x:c>
      <x:c r="J527" s="94" t="str">
        <x:v>标签打印机 G</x:v>
      </x:c>
      <x:c r="K527" s="97" t="n">
        <x:v>106.22</x:v>
      </x:c>
      <x:c r="L527" s="95" t="n">
        <x:v>2</x:v>
      </x:c>
      <x:c r="M527" s="97" t="n">
        <x:f>ROUND(K527*L527,2)</x:f>
        <x:v>212.44</x:v>
      </x:c>
      <x:c r="N527" s="109" t="n">
        <x:v>0.07</x:v>
      </x:c>
      <x:c r="O527" s="97" t="n">
        <x:f>ROUND(M527*N527,2)</x:f>
        <x:v>14.87</x:v>
      </x:c>
      <x:c r="P527" s="94" t="str">
        <x:v>已确认</x:v>
      </x:c>
      <x:c r="Q527" s="97" t="n">
        <x:f>IF(P527="已退款",M527,0)</x:f>
        <x:v>0</x:v>
      </x:c>
      <x:c r="R527" s="97" t="n">
        <x:f>IF(P527="已退款",O527,0)</x:f>
        <x:v>0</x:v>
      </x:c>
      <x:c r="S527" s="97" t="n">
        <x:f>O527-R527</x:f>
        <x:v>14.87</x:v>
      </x:c>
      <x:c r="T527" s="94" t="n">
        <x:v>1</x:v>
      </x:c>
      <x:c r="U527" s="94" t="str">
        <x:v>模拟：Amazon Associates订单回传</x:v>
      </x:c>
    </x:row>
    <x:row r="528">
      <x:c r="A528" s="92" t="str">
        <x:v>AMZ-ORD-00527</x:v>
      </x:c>
      <x:c r="B528" s="94" t="str">
        <x:v>PROC-0525</x:v>
      </x:c>
      <x:c r="C528" s="108" t="n">
        <x:v>46119.76388888889</x:v>
      </x:c>
      <x:c r="D528" s="93" t="n">
        <x:v>46117</x:v>
      </x:c>
      <x:c r="E528" s="94" t="str">
        <x:v>Google Ads</x:v>
      </x:c>
      <x:c r="F528" s="94" t="str">
        <x:v>美国</x:v>
      </x:c>
      <x:c r="G528" s="94" t="str">
        <x:v>品牌搜索</x:v>
      </x:c>
      <x:c r="H528" s="94" t="str">
        <x:v>SKU-0008</x:v>
      </x:c>
      <x:c r="I528" s="94" t="str">
        <x:v>电子产品</x:v>
      </x:c>
      <x:c r="J528" s="94" t="str">
        <x:v>Wi-Fi路由器 H</x:v>
      </x:c>
      <x:c r="K528" s="97" t="n">
        <x:v>380.75</x:v>
      </x:c>
      <x:c r="L528" s="95" t="n">
        <x:v>1</x:v>
      </x:c>
      <x:c r="M528" s="97" t="n">
        <x:f>ROUND(K528*L528,2)</x:f>
        <x:v>380.75</x:v>
      </x:c>
      <x:c r="N528" s="109" t="n">
        <x:v>0.05</x:v>
      </x:c>
      <x:c r="O528" s="97" t="n">
        <x:f>ROUND(M528*N528,2)</x:f>
        <x:v>19.04</x:v>
      </x:c>
      <x:c r="P528" s="94" t="str">
        <x:v>已确认</x:v>
      </x:c>
      <x:c r="Q528" s="97" t="n">
        <x:f>IF(P528="已退款",M528,0)</x:f>
        <x:v>0</x:v>
      </x:c>
      <x:c r="R528" s="97" t="n">
        <x:f>IF(P528="已退款",O528,0)</x:f>
        <x:v>0</x:v>
      </x:c>
      <x:c r="S528" s="97" t="n">
        <x:f>O528-R528</x:f>
        <x:v>19.04</x:v>
      </x:c>
      <x:c r="T528" s="94" t="n">
        <x:v>2</x:v>
      </x:c>
      <x:c r="U528" s="94" t="str">
        <x:v>模拟：Amazon Associates订单回传</x:v>
      </x:c>
    </x:row>
    <x:row r="529">
      <x:c r="A529" s="92" t="str">
        <x:v>AMZ-ORD-00528</x:v>
      </x:c>
      <x:c r="B529" s="94" t="str">
        <x:v>PROC-0526</x:v>
      </x:c>
      <x:c r="C529" s="108" t="n">
        <x:v>46119.46388888889</x:v>
      </x:c>
      <x:c r="D529" s="93" t="n">
        <x:v>46118</x:v>
      </x:c>
      <x:c r="E529" s="94" t="str">
        <x:v>Google Ads</x:v>
      </x:c>
      <x:c r="F529" s="94" t="str">
        <x:v>德国</x:v>
      </x:c>
      <x:c r="G529" s="94" t="str">
        <x:v>购物广告</x:v>
      </x:c>
      <x:c r="H529" s="94" t="str">
        <x:v>SKU-0001</x:v>
      </x:c>
      <x:c r="I529" s="94" t="str">
        <x:v>电子产品</x:v>
      </x:c>
      <x:c r="J529" s="94" t="str">
        <x:v>无线耳机 A</x:v>
      </x:c>
      <x:c r="K529" s="97" t="n">
        <x:v>764.66</x:v>
      </x:c>
      <x:c r="L529" s="95" t="n">
        <x:v>1</x:v>
      </x:c>
      <x:c r="M529" s="97" t="n">
        <x:f>ROUND(K529*L529,2)</x:f>
        <x:v>764.66</x:v>
      </x:c>
      <x:c r="N529" s="109" t="n">
        <x:v>0.05</x:v>
      </x:c>
      <x:c r="O529" s="97" t="n">
        <x:f>ROUND(M529*N529,2)</x:f>
        <x:v>38.23</x:v>
      </x:c>
      <x:c r="P529" s="94" t="str">
        <x:v>已确认</x:v>
      </x:c>
      <x:c r="Q529" s="97" t="n">
        <x:f>IF(P529="已退款",M529,0)</x:f>
        <x:v>0</x:v>
      </x:c>
      <x:c r="R529" s="97" t="n">
        <x:f>IF(P529="已退款",O529,0)</x:f>
        <x:v>0</x:v>
      </x:c>
      <x:c r="S529" s="97" t="n">
        <x:f>O529-R529</x:f>
        <x:v>38.23</x:v>
      </x:c>
      <x:c r="T529" s="94" t="n">
        <x:v>1</x:v>
      </x:c>
      <x:c r="U529" s="94" t="str">
        <x:v>模拟：Amazon Associates订单回传</x:v>
      </x:c>
    </x:row>
    <x:row r="530">
      <x:c r="A530" s="92" t="str">
        <x:v>AMZ-ORD-00529</x:v>
      </x:c>
      <x:c r="B530" s="94" t="str">
        <x:v>PROC-0527</x:v>
      </x:c>
      <x:c r="C530" s="108" t="n">
        <x:v>46121.50625</x:v>
      </x:c>
      <x:c r="D530" s="93" t="n">
        <x:v>46118</x:v>
      </x:c>
      <x:c r="E530" s="94" t="str">
        <x:v>Google Ads</x:v>
      </x:c>
      <x:c r="F530" s="94" t="str">
        <x:v>英国</x:v>
      </x:c>
      <x:c r="G530" s="94" t="str">
        <x:v>品牌搜索</x:v>
      </x:c>
      <x:c r="H530" s="94" t="str">
        <x:v>SKU-0026</x:v>
      </x:c>
      <x:c r="I530" s="94" t="str">
        <x:v>运动健康</x:v>
      </x:c>
      <x:c r="J530" s="94" t="str">
        <x:v>骑行头盔 F</x:v>
      </x:c>
      <x:c r="K530" s="97" t="n">
        <x:v>144.44</x:v>
      </x:c>
      <x:c r="L530" s="95" t="n">
        <x:v>1</x:v>
      </x:c>
      <x:c r="M530" s="97" t="n">
        <x:f>ROUND(K530*L530,2)</x:f>
        <x:v>144.44</x:v>
      </x:c>
      <x:c r="N530" s="109" t="n">
        <x:v>0.08</x:v>
      </x:c>
      <x:c r="O530" s="97" t="n">
        <x:f>ROUND(M530*N530,2)</x:f>
        <x:v>11.56</x:v>
      </x:c>
      <x:c r="P530" s="94" t="str">
        <x:v>已确认</x:v>
      </x:c>
      <x:c r="Q530" s="97" t="n">
        <x:f>IF(P530="已退款",M530,0)</x:f>
        <x:v>0</x:v>
      </x:c>
      <x:c r="R530" s="97" t="n">
        <x:f>IF(P530="已退款",O530,0)</x:f>
        <x:v>0</x:v>
      </x:c>
      <x:c r="S530" s="97" t="n">
        <x:f>O530-R530</x:f>
        <x:v>11.56</x:v>
      </x:c>
      <x:c r="T530" s="94" t="n">
        <x:v>3</x:v>
      </x:c>
      <x:c r="U530" s="94" t="str">
        <x:v>模拟：Amazon Associates订单回传</x:v>
      </x:c>
    </x:row>
    <x:row r="531">
      <x:c r="A531" s="92" t="str">
        <x:v>AMZ-ORD-00530</x:v>
      </x:c>
      <x:c r="B531" s="94" t="str">
        <x:v>PROC-0528</x:v>
      </x:c>
      <x:c r="C531" s="108" t="n">
        <x:v>46122.33472222222</x:v>
      </x:c>
      <x:c r="D531" s="93" t="n">
        <x:v>46118</x:v>
      </x:c>
      <x:c r="E531" s="94" t="str">
        <x:v>Microsoft Ads</x:v>
      </x:c>
      <x:c r="F531" s="94" t="str">
        <x:v>美国</x:v>
      </x:c>
      <x:c r="G531" s="94" t="str">
        <x:v>购物广告</x:v>
      </x:c>
      <x:c r="H531" s="94" t="str">
        <x:v>SKU-0019</x:v>
      </x:c>
      <x:c r="I531" s="94" t="str">
        <x:v>家居生活</x:v>
      </x:c>
      <x:c r="J531" s="94" t="str">
        <x:v>无线吸尘器 I</x:v>
      </x:c>
      <x:c r="K531" s="97" t="n">
        <x:v>233.72</x:v>
      </x:c>
      <x:c r="L531" s="95" t="n">
        <x:v>1</x:v>
      </x:c>
      <x:c r="M531" s="97" t="n">
        <x:f>ROUND(K531*L531,2)</x:f>
        <x:v>233.72</x:v>
      </x:c>
      <x:c r="N531" s="109" t="n">
        <x:v>0.07</x:v>
      </x:c>
      <x:c r="O531" s="97" t="n">
        <x:f>ROUND(M531*N531,2)</x:f>
        <x:v>16.36</x:v>
      </x:c>
      <x:c r="P531" s="94" t="str">
        <x:v>已确认</x:v>
      </x:c>
      <x:c r="Q531" s="97" t="n">
        <x:f>IF(P531="已退款",M531,0)</x:f>
        <x:v>0</x:v>
      </x:c>
      <x:c r="R531" s="97" t="n">
        <x:f>IF(P531="已退款",O531,0)</x:f>
        <x:v>0</x:v>
      </x:c>
      <x:c r="S531" s="97" t="n">
        <x:f>O531-R531</x:f>
        <x:v>16.36</x:v>
      </x:c>
      <x:c r="T531" s="94" t="n">
        <x:v>4</x:v>
      </x:c>
      <x:c r="U531" s="94" t="str">
        <x:v>模拟：Amazon Associates订单回传</x:v>
      </x:c>
    </x:row>
    <x:row r="532">
      <x:c r="A532" s="92" t="str">
        <x:v>AMZ-ORD-00531</x:v>
      </x:c>
      <x:c r="B532" s="94" t="str">
        <x:v>PROC-0528</x:v>
      </x:c>
      <x:c r="C532" s="108" t="n">
        <x:v>46122.566666666666</x:v>
      </x:c>
      <x:c r="D532" s="93" t="n">
        <x:v>46118</x:v>
      </x:c>
      <x:c r="E532" s="94" t="str">
        <x:v>Microsoft Ads</x:v>
      </x:c>
      <x:c r="F532" s="94" t="str">
        <x:v>美国</x:v>
      </x:c>
      <x:c r="G532" s="94" t="str">
        <x:v>购物广告</x:v>
      </x:c>
      <x:c r="H532" s="94" t="str">
        <x:v>SKU-0008</x:v>
      </x:c>
      <x:c r="I532" s="94" t="str">
        <x:v>电子产品</x:v>
      </x:c>
      <x:c r="J532" s="94" t="str">
        <x:v>Wi-Fi路由器 H</x:v>
      </x:c>
      <x:c r="K532" s="97" t="n">
        <x:v>683.72</x:v>
      </x:c>
      <x:c r="L532" s="95" t="n">
        <x:v>1</x:v>
      </x:c>
      <x:c r="M532" s="97" t="n">
        <x:f>ROUND(K532*L532,2)</x:f>
        <x:v>683.72</x:v>
      </x:c>
      <x:c r="N532" s="109" t="n">
        <x:v>0.05</x:v>
      </x:c>
      <x:c r="O532" s="97" t="n">
        <x:f>ROUND(M532*N532,2)</x:f>
        <x:v>34.19</x:v>
      </x:c>
      <x:c r="P532" s="94" t="str">
        <x:v>待确认</x:v>
      </x:c>
      <x:c r="Q532" s="97" t="n">
        <x:f>IF(P532="已退款",M532,0)</x:f>
        <x:v>0</x:v>
      </x:c>
      <x:c r="R532" s="97" t="n">
        <x:f>IF(P532="已退款",O532,0)</x:f>
        <x:v>0</x:v>
      </x:c>
      <x:c r="S532" s="97" t="n">
        <x:f>O532-R532</x:f>
        <x:v>34.19</x:v>
      </x:c>
      <x:c r="T532" s="94" t="n">
        <x:v>4</x:v>
      </x:c>
      <x:c r="U532" s="94" t="str">
        <x:v>模拟：Amazon Associates订单回传</x:v>
      </x:c>
    </x:row>
    <x:row r="533">
      <x:c r="A533" s="92" t="str">
        <x:v>AMZ-ORD-00532</x:v>
      </x:c>
      <x:c r="B533" s="94" t="str">
        <x:v>PROC-0529</x:v>
      </x:c>
      <x:c r="C533" s="108" t="n">
        <x:v>46118.48055555556</x:v>
      </x:c>
      <x:c r="D533" s="93" t="n">
        <x:v>46118</x:v>
      </x:c>
      <x:c r="E533" s="94" t="str">
        <x:v>Microsoft Ads</x:v>
      </x:c>
      <x:c r="F533" s="94" t="str">
        <x:v>英国</x:v>
      </x:c>
      <x:c r="G533" s="94" t="str">
        <x:v>品牌搜索</x:v>
      </x:c>
      <x:c r="H533" s="94" t="str">
        <x:v>SKU-0039</x:v>
      </x:c>
      <x:c r="I533" s="94" t="str">
        <x:v>美妆个护</x:v>
      </x:c>
      <x:c r="J533" s="94" t="str">
        <x:v>按摩梳 I</x:v>
      </x:c>
      <x:c r="K533" s="97" t="n">
        <x:v>49.96</x:v>
      </x:c>
      <x:c r="L533" s="95" t="n">
        <x:v>2</x:v>
      </x:c>
      <x:c r="M533" s="97" t="n">
        <x:f>ROUND(K533*L533,2)</x:f>
        <x:v>99.92</x:v>
      </x:c>
      <x:c r="N533" s="109" t="n">
        <x:v>0.1</x:v>
      </x:c>
      <x:c r="O533" s="97" t="n">
        <x:f>ROUND(M533*N533,2)</x:f>
        <x:v>9.99</x:v>
      </x:c>
      <x:c r="P533" s="94" t="str">
        <x:v>已确认</x:v>
      </x:c>
      <x:c r="Q533" s="97" t="n">
        <x:f>IF(P533="已退款",M533,0)</x:f>
        <x:v>0</x:v>
      </x:c>
      <x:c r="R533" s="97" t="n">
        <x:f>IF(P533="已退款",O533,0)</x:f>
        <x:v>0</x:v>
      </x:c>
      <x:c r="S533" s="97" t="n">
        <x:f>O533-R533</x:f>
        <x:v>9.99</x:v>
      </x:c>
      <x:c r="T533" s="94" t="n">
        <x:v>0</x:v>
      </x:c>
      <x:c r="U533" s="94" t="str">
        <x:v>模拟：Amazon Associates订单回传</x:v>
      </x:c>
    </x:row>
    <x:row r="534">
      <x:c r="A534" s="92" t="str">
        <x:v>AMZ-ORD-00533</x:v>
      </x:c>
      <x:c r="B534" s="94" t="str">
        <x:v>PROC-0530</x:v>
      </x:c>
      <x:c r="C534" s="108" t="n">
        <x:v>46119.84305555555</x:v>
      </x:c>
      <x:c r="D534" s="93" t="n">
        <x:v>46118</x:v>
      </x:c>
      <x:c r="E534" s="94" t="str">
        <x:v>Google Ads</x:v>
      </x:c>
      <x:c r="F534" s="94" t="str">
        <x:v>美国</x:v>
      </x:c>
      <x:c r="G534" s="94" t="str">
        <x:v>通用搜索</x:v>
      </x:c>
      <x:c r="H534" s="94" t="str">
        <x:v>SKU-0050</x:v>
      </x:c>
      <x:c r="I534" s="94" t="str">
        <x:v>办公学习</x:v>
      </x:c>
      <x:c r="J534" s="94" t="str">
        <x:v>静音鼠标 J</x:v>
      </x:c>
      <x:c r="K534" s="97" t="n">
        <x:v>159.28</x:v>
      </x:c>
      <x:c r="L534" s="95" t="n">
        <x:v>3</x:v>
      </x:c>
      <x:c r="M534" s="97" t="n">
        <x:f>ROUND(K534*L534,2)</x:f>
        <x:v>477.84</x:v>
      </x:c>
      <x:c r="N534" s="109" t="n">
        <x:v>0.07</x:v>
      </x:c>
      <x:c r="O534" s="97" t="n">
        <x:f>ROUND(M534*N534,2)</x:f>
        <x:v>33.45</x:v>
      </x:c>
      <x:c r="P534" s="94" t="str">
        <x:v>已确认</x:v>
      </x:c>
      <x:c r="Q534" s="97" t="n">
        <x:f>IF(P534="已退款",M534,0)</x:f>
        <x:v>0</x:v>
      </x:c>
      <x:c r="R534" s="97" t="n">
        <x:f>IF(P534="已退款",O534,0)</x:f>
        <x:v>0</x:v>
      </x:c>
      <x:c r="S534" s="97" t="n">
        <x:f>O534-R534</x:f>
        <x:v>33.45</x:v>
      </x:c>
      <x:c r="T534" s="94" t="n">
        <x:v>1</x:v>
      </x:c>
      <x:c r="U534" s="94" t="str">
        <x:v>模拟：Amazon Associates订单回传</x:v>
      </x:c>
    </x:row>
    <x:row r="535">
      <x:c r="A535" s="92" t="str">
        <x:v>AMZ-ORD-00534</x:v>
      </x:c>
      <x:c r="B535" s="94" t="str">
        <x:v>PROC-0531</x:v>
      </x:c>
      <x:c r="C535" s="108" t="n">
        <x:v>46121.87291666667</x:v>
      </x:c>
      <x:c r="D535" s="93" t="n">
        <x:v>46118</x:v>
      </x:c>
      <x:c r="E535" s="94" t="str">
        <x:v>Google Ads</x:v>
      </x:c>
      <x:c r="F535" s="94" t="str">
        <x:v>日本</x:v>
      </x:c>
      <x:c r="G535" s="94" t="str">
        <x:v>通用搜索</x:v>
      </x:c>
      <x:c r="H535" s="94" t="str">
        <x:v>SKU-0001</x:v>
      </x:c>
      <x:c r="I535" s="94" t="str">
        <x:v>电子产品</x:v>
      </x:c>
      <x:c r="J535" s="94" t="str">
        <x:v>无线耳机 A</x:v>
      </x:c>
      <x:c r="K535" s="97" t="n">
        <x:v>776.01</x:v>
      </x:c>
      <x:c r="L535" s="95" t="n">
        <x:v>3</x:v>
      </x:c>
      <x:c r="M535" s="97" t="n">
        <x:f>ROUND(K535*L535,2)</x:f>
        <x:v>2328.03</x:v>
      </x:c>
      <x:c r="N535" s="109" t="n">
        <x:v>0.05</x:v>
      </x:c>
      <x:c r="O535" s="97" t="n">
        <x:f>ROUND(M535*N535,2)</x:f>
        <x:v>116.4</x:v>
      </x:c>
      <x:c r="P535" s="94" t="str">
        <x:v>已退款</x:v>
      </x:c>
      <x:c r="Q535" s="97" t="n">
        <x:f>IF(P535="已退款",M535,0)</x:f>
        <x:v>2328.03</x:v>
      </x:c>
      <x:c r="R535" s="97" t="n">
        <x:f>IF(P535="已退款",O535,0)</x:f>
        <x:v>116.4</x:v>
      </x:c>
      <x:c r="S535" s="97" t="n">
        <x:f>O535-R535</x:f>
        <x:v>0</x:v>
      </x:c>
      <x:c r="T535" s="94" t="n">
        <x:v>3</x:v>
      </x:c>
      <x:c r="U535" s="94" t="str">
        <x:v>模拟：Amazon Associates订单回传</x:v>
      </x:c>
    </x:row>
    <x:row r="536">
      <x:c r="A536" s="92" t="str">
        <x:v>AMZ-ORD-00535</x:v>
      </x:c>
      <x:c r="B536" s="94" t="str">
        <x:v>PROC-0533</x:v>
      </x:c>
      <x:c r="C536" s="108" t="n">
        <x:v>46123.802777777775</x:v>
      </x:c>
      <x:c r="D536" s="93" t="n">
        <x:v>46119</x:v>
      </x:c>
      <x:c r="E536" s="94" t="str">
        <x:v>Google Ads</x:v>
      </x:c>
      <x:c r="F536" s="94" t="str">
        <x:v>美国</x:v>
      </x:c>
      <x:c r="G536" s="94" t="str">
        <x:v>品牌搜索</x:v>
      </x:c>
      <x:c r="H536" s="94" t="str">
        <x:v>SKU-0011</x:v>
      </x:c>
      <x:c r="I536" s="94" t="str">
        <x:v>家居生活</x:v>
      </x:c>
      <x:c r="J536" s="94" t="str">
        <x:v>空气净化器 A</x:v>
      </x:c>
      <x:c r="K536" s="97" t="n">
        <x:v>126.31</x:v>
      </x:c>
      <x:c r="L536" s="95" t="n">
        <x:v>1</x:v>
      </x:c>
      <x:c r="M536" s="97" t="n">
        <x:f>ROUND(K536*L536,2)</x:f>
        <x:v>126.31</x:v>
      </x:c>
      <x:c r="N536" s="109" t="n">
        <x:v>0.07</x:v>
      </x:c>
      <x:c r="O536" s="97" t="n">
        <x:f>ROUND(M536*N536,2)</x:f>
        <x:v>8.84</x:v>
      </x:c>
      <x:c r="P536" s="94" t="str">
        <x:v>已确认</x:v>
      </x:c>
      <x:c r="Q536" s="97" t="n">
        <x:f>IF(P536="已退款",M536,0)</x:f>
        <x:v>0</x:v>
      </x:c>
      <x:c r="R536" s="97" t="n">
        <x:f>IF(P536="已退款",O536,0)</x:f>
        <x:v>0</x:v>
      </x:c>
      <x:c r="S536" s="97" t="n">
        <x:f>O536-R536</x:f>
        <x:v>8.84</x:v>
      </x:c>
      <x:c r="T536" s="94" t="n">
        <x:v>4</x:v>
      </x:c>
      <x:c r="U536" s="94" t="str">
        <x:v>模拟：Amazon Associates订单回传</x:v>
      </x:c>
    </x:row>
    <x:row r="537">
      <x:c r="A537" s="92" t="str">
        <x:v>AMZ-ORD-00536</x:v>
      </x:c>
      <x:c r="B537" s="94" t="str">
        <x:v>PROC-0533</x:v>
      </x:c>
      <x:c r="C537" s="108" t="n">
        <x:v>46119.649305555555</x:v>
      </x:c>
      <x:c r="D537" s="93" t="n">
        <x:v>46119</x:v>
      </x:c>
      <x:c r="E537" s="94" t="str">
        <x:v>Google Ads</x:v>
      </x:c>
      <x:c r="F537" s="94" t="str">
        <x:v>美国</x:v>
      </x:c>
      <x:c r="G537" s="94" t="str">
        <x:v>品牌搜索</x:v>
      </x:c>
      <x:c r="H537" s="94" t="str">
        <x:v>SKU-0032</x:v>
      </x:c>
      <x:c r="I537" s="94" t="str">
        <x:v>美妆个护</x:v>
      </x:c>
      <x:c r="J537" s="94" t="str">
        <x:v>吹风机 B</x:v>
      </x:c>
      <x:c r="K537" s="97" t="n">
        <x:v>134.47</x:v>
      </x:c>
      <x:c r="L537" s="95" t="n">
        <x:v>1</x:v>
      </x:c>
      <x:c r="M537" s="97" t="n">
        <x:f>ROUND(K537*L537,2)</x:f>
        <x:v>134.47</x:v>
      </x:c>
      <x:c r="N537" s="109" t="n">
        <x:v>0.1</x:v>
      </x:c>
      <x:c r="O537" s="97" t="n">
        <x:f>ROUND(M537*N537,2)</x:f>
        <x:v>13.45</x:v>
      </x:c>
      <x:c r="P537" s="94" t="str">
        <x:v>已确认</x:v>
      </x:c>
      <x:c r="Q537" s="97" t="n">
        <x:f>IF(P537="已退款",M537,0)</x:f>
        <x:v>0</x:v>
      </x:c>
      <x:c r="R537" s="97" t="n">
        <x:f>IF(P537="已退款",O537,0)</x:f>
        <x:v>0</x:v>
      </x:c>
      <x:c r="S537" s="97" t="n">
        <x:f>O537-R537</x:f>
        <x:v>13.45</x:v>
      </x:c>
      <x:c r="T537" s="94" t="n">
        <x:v>0</x:v>
      </x:c>
      <x:c r="U537" s="94" t="str">
        <x:v>模拟：Amazon Associates订单回传</x:v>
      </x:c>
    </x:row>
    <x:row r="538">
      <x:c r="A538" s="92" t="str">
        <x:v>AMZ-ORD-00537</x:v>
      </x:c>
      <x:c r="B538" s="94" t="str">
        <x:v>PROC-0534</x:v>
      </x:c>
      <x:c r="C538" s="108" t="n">
        <x:v>46122.540972222225</x:v>
      </x:c>
      <x:c r="D538" s="93" t="n">
        <x:v>46119</x:v>
      </x:c>
      <x:c r="E538" s="94" t="str">
        <x:v>Google Ads</x:v>
      </x:c>
      <x:c r="F538" s="94" t="str">
        <x:v>美国</x:v>
      </x:c>
      <x:c r="G538" s="94" t="str">
        <x:v>通用搜索</x:v>
      </x:c>
      <x:c r="H538" s="94" t="str">
        <x:v>SKU-0044</x:v>
      </x:c>
      <x:c r="I538" s="94" t="str">
        <x:v>办公学习</x:v>
      </x:c>
      <x:c r="J538" s="94" t="str">
        <x:v>数字笔记本 D</x:v>
      </x:c>
      <x:c r="K538" s="97" t="n">
        <x:v>55.16</x:v>
      </x:c>
      <x:c r="L538" s="95" t="n">
        <x:v>1</x:v>
      </x:c>
      <x:c r="M538" s="97" t="n">
        <x:f>ROUND(K538*L538,2)</x:f>
        <x:v>55.16</x:v>
      </x:c>
      <x:c r="N538" s="109" t="n">
        <x:v>0.07</x:v>
      </x:c>
      <x:c r="O538" s="97" t="n">
        <x:f>ROUND(M538*N538,2)</x:f>
        <x:v>3.86</x:v>
      </x:c>
      <x:c r="P538" s="94" t="str">
        <x:v>待确认</x:v>
      </x:c>
      <x:c r="Q538" s="97" t="n">
        <x:f>IF(P538="已退款",M538,0)</x:f>
        <x:v>0</x:v>
      </x:c>
      <x:c r="R538" s="97" t="n">
        <x:f>IF(P538="已退款",O538,0)</x:f>
        <x:v>0</x:v>
      </x:c>
      <x:c r="S538" s="97" t="n">
        <x:f>O538-R538</x:f>
        <x:v>3.86</x:v>
      </x:c>
      <x:c r="T538" s="94" t="n">
        <x:v>3</x:v>
      </x:c>
      <x:c r="U538" s="94" t="str">
        <x:v>模拟：Amazon Associates订单回传</x:v>
      </x:c>
    </x:row>
    <x:row r="539">
      <x:c r="A539" s="92" t="str">
        <x:v>AMZ-ORD-00538</x:v>
      </x:c>
      <x:c r="B539" s="94" t="str">
        <x:v>PROC-0535</x:v>
      </x:c>
      <x:c r="C539" s="108" t="n">
        <x:v>46123.82986111111</x:v>
      </x:c>
      <x:c r="D539" s="93" t="n">
        <x:v>46119</x:v>
      </x:c>
      <x:c r="E539" s="94" t="str">
        <x:v>Google Ads</x:v>
      </x:c>
      <x:c r="F539" s="94" t="str">
        <x:v>美国</x:v>
      </x:c>
      <x:c r="G539" s="94" t="str">
        <x:v>竞品搜索</x:v>
      </x:c>
      <x:c r="H539" s="94" t="str">
        <x:v>SKU-0046</x:v>
      </x:c>
      <x:c r="I539" s="94" t="str">
        <x:v>办公学习</x:v>
      </x:c>
      <x:c r="J539" s="94" t="str">
        <x:v>高清摄像头 F</x:v>
      </x:c>
      <x:c r="K539" s="97" t="n">
        <x:v>110.5</x:v>
      </x:c>
      <x:c r="L539" s="95" t="n">
        <x:v>1</x:v>
      </x:c>
      <x:c r="M539" s="97" t="n">
        <x:f>ROUND(K539*L539,2)</x:f>
        <x:v>110.5</x:v>
      </x:c>
      <x:c r="N539" s="109" t="n">
        <x:v>0.07</x:v>
      </x:c>
      <x:c r="O539" s="97" t="n">
        <x:f>ROUND(M539*N539,2)</x:f>
        <x:v>7.74</x:v>
      </x:c>
      <x:c r="P539" s="94" t="str">
        <x:v>已确认</x:v>
      </x:c>
      <x:c r="Q539" s="97" t="n">
        <x:f>IF(P539="已退款",M539,0)</x:f>
        <x:v>0</x:v>
      </x:c>
      <x:c r="R539" s="97" t="n">
        <x:f>IF(P539="已退款",O539,0)</x:f>
        <x:v>0</x:v>
      </x:c>
      <x:c r="S539" s="97" t="n">
        <x:f>O539-R539</x:f>
        <x:v>7.74</x:v>
      </x:c>
      <x:c r="T539" s="94" t="n">
        <x:v>4</x:v>
      </x:c>
      <x:c r="U539" s="94" t="str">
        <x:v>模拟：Amazon Associates订单回传</x:v>
      </x:c>
    </x:row>
    <x:row r="540">
      <x:c r="A540" s="92" t="str">
        <x:v>AMZ-ORD-00539</x:v>
      </x:c>
      <x:c r="B540" s="94" t="str">
        <x:v>PROC-0537</x:v>
      </x:c>
      <x:c r="C540" s="108" t="n">
        <x:v>46121.62708333333</x:v>
      </x:c>
      <x:c r="D540" s="93" t="n">
        <x:v>46120</x:v>
      </x:c>
      <x:c r="E540" s="94" t="str">
        <x:v>Microsoft Ads</x:v>
      </x:c>
      <x:c r="F540" s="94" t="str">
        <x:v>日本</x:v>
      </x:c>
      <x:c r="G540" s="94" t="str">
        <x:v>购物广告</x:v>
      </x:c>
      <x:c r="H540" s="94" t="str">
        <x:v>SKU-0012</x:v>
      </x:c>
      <x:c r="I540" s="94" t="str">
        <x:v>家居生活</x:v>
      </x:c>
      <x:c r="J540" s="94" t="str">
        <x:v>咖啡机 B</x:v>
      </x:c>
      <x:c r="K540" s="97" t="n">
        <x:v>204.71</x:v>
      </x:c>
      <x:c r="L540" s="95" t="n">
        <x:v>1</x:v>
      </x:c>
      <x:c r="M540" s="97" t="n">
        <x:f>ROUND(K540*L540,2)</x:f>
        <x:v>204.71</x:v>
      </x:c>
      <x:c r="N540" s="109" t="n">
        <x:v>0.07</x:v>
      </x:c>
      <x:c r="O540" s="97" t="n">
        <x:f>ROUND(M540*N540,2)</x:f>
        <x:v>14.33</x:v>
      </x:c>
      <x:c r="P540" s="94" t="str">
        <x:v>已确认</x:v>
      </x:c>
      <x:c r="Q540" s="97" t="n">
        <x:f>IF(P540="已退款",M540,0)</x:f>
        <x:v>0</x:v>
      </x:c>
      <x:c r="R540" s="97" t="n">
        <x:f>IF(P540="已退款",O540,0)</x:f>
        <x:v>0</x:v>
      </x:c>
      <x:c r="S540" s="97" t="n">
        <x:f>O540-R540</x:f>
        <x:v>14.33</x:v>
      </x:c>
      <x:c r="T540" s="94" t="n">
        <x:v>1</x:v>
      </x:c>
      <x:c r="U540" s="94" t="str">
        <x:v>模拟：Amazon Associates订单回传</x:v>
      </x:c>
    </x:row>
    <x:row r="541">
      <x:c r="A541" s="92" t="str">
        <x:v>AMZ-ORD-00540</x:v>
      </x:c>
      <x:c r="B541" s="94" t="str">
        <x:v>PROC-0537</x:v>
      </x:c>
      <x:c r="C541" s="108" t="n">
        <x:v>46121.69236111111</x:v>
      </x:c>
      <x:c r="D541" s="93" t="n">
        <x:v>46120</x:v>
      </x:c>
      <x:c r="E541" s="94" t="str">
        <x:v>Microsoft Ads</x:v>
      </x:c>
      <x:c r="F541" s="94" t="str">
        <x:v>日本</x:v>
      </x:c>
      <x:c r="G541" s="94" t="str">
        <x:v>购物广告</x:v>
      </x:c>
      <x:c r="H541" s="94" t="str">
        <x:v>SKU-0018</x:v>
      </x:c>
      <x:c r="I541" s="94" t="str">
        <x:v>家居生活</x:v>
      </x:c>
      <x:c r="J541" s="94" t="str">
        <x:v>收纳组合 H</x:v>
      </x:c>
      <x:c r="K541" s="97" t="n">
        <x:v>214.65</x:v>
      </x:c>
      <x:c r="L541" s="95" t="n">
        <x:v>2</x:v>
      </x:c>
      <x:c r="M541" s="97" t="n">
        <x:f>ROUND(K541*L541,2)</x:f>
        <x:v>429.3</x:v>
      </x:c>
      <x:c r="N541" s="109" t="n">
        <x:v>0.07</x:v>
      </x:c>
      <x:c r="O541" s="97" t="n">
        <x:f>ROUND(M541*N541,2)</x:f>
        <x:v>30.05</x:v>
      </x:c>
      <x:c r="P541" s="94" t="str">
        <x:v>已确认</x:v>
      </x:c>
      <x:c r="Q541" s="97" t="n">
        <x:f>IF(P541="已退款",M541,0)</x:f>
        <x:v>0</x:v>
      </x:c>
      <x:c r="R541" s="97" t="n">
        <x:f>IF(P541="已退款",O541,0)</x:f>
        <x:v>0</x:v>
      </x:c>
      <x:c r="S541" s="97" t="n">
        <x:f>O541-R541</x:f>
        <x:v>30.05</x:v>
      </x:c>
      <x:c r="T541" s="94" t="n">
        <x:v>1</x:v>
      </x:c>
      <x:c r="U541" s="94" t="str">
        <x:v>模拟：Amazon Associates订单回传</x:v>
      </x:c>
    </x:row>
    <x:row r="542">
      <x:c r="A542" s="92" t="str">
        <x:v>AMZ-ORD-00541</x:v>
      </x:c>
      <x:c r="B542" s="94" t="str">
        <x:v>PROC-0538</x:v>
      </x:c>
      <x:c r="C542" s="108" t="n">
        <x:v>46122.625</x:v>
      </x:c>
      <x:c r="D542" s="93" t="n">
        <x:v>46120</x:v>
      </x:c>
      <x:c r="E542" s="94" t="str">
        <x:v>Google Ads</x:v>
      </x:c>
      <x:c r="F542" s="94" t="str">
        <x:v>德国</x:v>
      </x:c>
      <x:c r="G542" s="94" t="str">
        <x:v>通用搜索</x:v>
      </x:c>
      <x:c r="H542" s="94" t="str">
        <x:v>SKU-0023</x:v>
      </x:c>
      <x:c r="I542" s="94" t="str">
        <x:v>运动健康</x:v>
      </x:c>
      <x:c r="J542" s="94" t="str">
        <x:v>可调哑铃 C</x:v>
      </x:c>
      <x:c r="K542" s="97" t="n">
        <x:v>125.52</x:v>
      </x:c>
      <x:c r="L542" s="95" t="n">
        <x:v>1</x:v>
      </x:c>
      <x:c r="M542" s="97" t="n">
        <x:f>ROUND(K542*L542,2)</x:f>
        <x:v>125.52</x:v>
      </x:c>
      <x:c r="N542" s="109" t="n">
        <x:v>0.08</x:v>
      </x:c>
      <x:c r="O542" s="97" t="n">
        <x:f>ROUND(M542*N542,2)</x:f>
        <x:v>10.04</x:v>
      </x:c>
      <x:c r="P542" s="94" t="str">
        <x:v>已确认</x:v>
      </x:c>
      <x:c r="Q542" s="97" t="n">
        <x:f>IF(P542="已退款",M542,0)</x:f>
        <x:v>0</x:v>
      </x:c>
      <x:c r="R542" s="97" t="n">
        <x:f>IF(P542="已退款",O542,0)</x:f>
        <x:v>0</x:v>
      </x:c>
      <x:c r="S542" s="97" t="n">
        <x:f>O542-R542</x:f>
        <x:v>10.04</x:v>
      </x:c>
      <x:c r="T542" s="94" t="n">
        <x:v>2</x:v>
      </x:c>
      <x:c r="U542" s="94" t="str">
        <x:v>模拟：Amazon Associates订单回传</x:v>
      </x:c>
    </x:row>
    <x:row r="543">
      <x:c r="A543" s="92" t="str">
        <x:v>AMZ-ORD-00542</x:v>
      </x:c>
      <x:c r="B543" s="94" t="str">
        <x:v>PROC-0539</x:v>
      </x:c>
      <x:c r="C543" s="108" t="n">
        <x:v>46123.88680555556</x:v>
      </x:c>
      <x:c r="D543" s="93" t="n">
        <x:v>46120</x:v>
      </x:c>
      <x:c r="E543" s="94" t="str">
        <x:v>Microsoft Ads</x:v>
      </x:c>
      <x:c r="F543" s="94" t="str">
        <x:v>英国</x:v>
      </x:c>
      <x:c r="G543" s="94" t="str">
        <x:v>购物广告</x:v>
      </x:c>
      <x:c r="H543" s="94" t="str">
        <x:v>SKU-0021</x:v>
      </x:c>
      <x:c r="I543" s="94" t="str">
        <x:v>运动健康</x:v>
      </x:c>
      <x:c r="J543" s="94" t="str">
        <x:v>智能手表 A</x:v>
      </x:c>
      <x:c r="K543" s="97" t="n">
        <x:v>94.05</x:v>
      </x:c>
      <x:c r="L543" s="95" t="n">
        <x:v>1</x:v>
      </x:c>
      <x:c r="M543" s="97" t="n">
        <x:f>ROUND(K543*L543,2)</x:f>
        <x:v>94.05</x:v>
      </x:c>
      <x:c r="N543" s="109" t="n">
        <x:v>0.08</x:v>
      </x:c>
      <x:c r="O543" s="97" t="n">
        <x:f>ROUND(M543*N543,2)</x:f>
        <x:v>7.52</x:v>
      </x:c>
      <x:c r="P543" s="94" t="str">
        <x:v>已确认</x:v>
      </x:c>
      <x:c r="Q543" s="97" t="n">
        <x:f>IF(P543="已退款",M543,0)</x:f>
        <x:v>0</x:v>
      </x:c>
      <x:c r="R543" s="97" t="n">
        <x:f>IF(P543="已退款",O543,0)</x:f>
        <x:v>0</x:v>
      </x:c>
      <x:c r="S543" s="97" t="n">
        <x:f>O543-R543</x:f>
        <x:v>7.52</x:v>
      </x:c>
      <x:c r="T543" s="94" t="n">
        <x:v>3</x:v>
      </x:c>
      <x:c r="U543" s="94" t="str">
        <x:v>模拟：Amazon Associates订单回传</x:v>
      </x:c>
    </x:row>
    <x:row r="544">
      <x:c r="A544" s="92" t="str">
        <x:v>AMZ-ORD-00543</x:v>
      </x:c>
      <x:c r="B544" s="94" t="str">
        <x:v>PROC-0541</x:v>
      </x:c>
      <x:c r="C544" s="108" t="n">
        <x:v>46124.89791666667</x:v>
      </x:c>
      <x:c r="D544" s="93" t="n">
        <x:v>46120</x:v>
      </x:c>
      <x:c r="E544" s="94" t="str">
        <x:v>Google Ads</x:v>
      </x:c>
      <x:c r="F544" s="94" t="str">
        <x:v>英国</x:v>
      </x:c>
      <x:c r="G544" s="94" t="str">
        <x:v>购物广告</x:v>
      </x:c>
      <x:c r="H544" s="94" t="str">
        <x:v>SKU-0030</x:v>
      </x:c>
      <x:c r="I544" s="94" t="str">
        <x:v>运动健康</x:v>
      </x:c>
      <x:c r="J544" s="94" t="str">
        <x:v>露营套装 J</x:v>
      </x:c>
      <x:c r="K544" s="97" t="n">
        <x:v>205.9</x:v>
      </x:c>
      <x:c r="L544" s="95" t="n">
        <x:v>1</x:v>
      </x:c>
      <x:c r="M544" s="97" t="n">
        <x:f>ROUND(K544*L544,2)</x:f>
        <x:v>205.9</x:v>
      </x:c>
      <x:c r="N544" s="109" t="n">
        <x:v>0.08</x:v>
      </x:c>
      <x:c r="O544" s="97" t="n">
        <x:f>ROUND(M544*N544,2)</x:f>
        <x:v>16.47</x:v>
      </x:c>
      <x:c r="P544" s="94" t="str">
        <x:v>已确认</x:v>
      </x:c>
      <x:c r="Q544" s="97" t="n">
        <x:f>IF(P544="已退款",M544,0)</x:f>
        <x:v>0</x:v>
      </x:c>
      <x:c r="R544" s="97" t="n">
        <x:f>IF(P544="已退款",O544,0)</x:f>
        <x:v>0</x:v>
      </x:c>
      <x:c r="S544" s="97" t="n">
        <x:f>O544-R544</x:f>
        <x:v>16.47</x:v>
      </x:c>
      <x:c r="T544" s="94" t="n">
        <x:v>4</x:v>
      </x:c>
      <x:c r="U544" s="94" t="str">
        <x:v>模拟：Amazon Associates订单回传</x:v>
      </x:c>
    </x:row>
    <x:row r="545">
      <x:c r="A545" s="92" t="str">
        <x:v>AMZ-ORD-00544</x:v>
      </x:c>
      <x:c r="B545" s="94" t="str">
        <x:v>PROC-0542</x:v>
      </x:c>
      <x:c r="C545" s="108" t="n">
        <x:v>46124.37777777778</x:v>
      </x:c>
      <x:c r="D545" s="93" t="n">
        <x:v>46120</x:v>
      </x:c>
      <x:c r="E545" s="94" t="str">
        <x:v>Google Ads</x:v>
      </x:c>
      <x:c r="F545" s="94" t="str">
        <x:v>英国</x:v>
      </x:c>
      <x:c r="G545" s="94" t="str">
        <x:v>通用搜索</x:v>
      </x:c>
      <x:c r="H545" s="94" t="str">
        <x:v>SKU-0026</x:v>
      </x:c>
      <x:c r="I545" s="94" t="str">
        <x:v>运动健康</x:v>
      </x:c>
      <x:c r="J545" s="94" t="str">
        <x:v>骑行头盔 F</x:v>
      </x:c>
      <x:c r="K545" s="97" t="n">
        <x:v>103.21</x:v>
      </x:c>
      <x:c r="L545" s="95" t="n">
        <x:v>2</x:v>
      </x:c>
      <x:c r="M545" s="97" t="n">
        <x:f>ROUND(K545*L545,2)</x:f>
        <x:v>206.42</x:v>
      </x:c>
      <x:c r="N545" s="109" t="n">
        <x:v>0.08</x:v>
      </x:c>
      <x:c r="O545" s="97" t="n">
        <x:f>ROUND(M545*N545,2)</x:f>
        <x:v>16.51</x:v>
      </x:c>
      <x:c r="P545" s="94" t="str">
        <x:v>已确认</x:v>
      </x:c>
      <x:c r="Q545" s="97" t="n">
        <x:f>IF(P545="已退款",M545,0)</x:f>
        <x:v>0</x:v>
      </x:c>
      <x:c r="R545" s="97" t="n">
        <x:f>IF(P545="已退款",O545,0)</x:f>
        <x:v>0</x:v>
      </x:c>
      <x:c r="S545" s="97" t="n">
        <x:f>O545-R545</x:f>
        <x:v>16.51</x:v>
      </x:c>
      <x:c r="T545" s="94" t="n">
        <x:v>4</x:v>
      </x:c>
      <x:c r="U545" s="94" t="str">
        <x:v>模拟：Amazon Associates订单回传</x:v>
      </x:c>
    </x:row>
    <x:row r="546">
      <x:c r="A546" s="92" t="str">
        <x:v>AMZ-ORD-00545</x:v>
      </x:c>
      <x:c r="B546" s="94" t="str">
        <x:v>PROC-0543</x:v>
      </x:c>
      <x:c r="C546" s="108" t="n">
        <x:v>46123.57361111111</x:v>
      </x:c>
      <x:c r="D546" s="93" t="n">
        <x:v>46121</x:v>
      </x:c>
      <x:c r="E546" s="94" t="str">
        <x:v>Google Ads</x:v>
      </x:c>
      <x:c r="F546" s="94" t="str">
        <x:v>美国</x:v>
      </x:c>
      <x:c r="G546" s="94" t="str">
        <x:v>通用搜索</x:v>
      </x:c>
      <x:c r="H546" s="94" t="str">
        <x:v>SKU-0009</x:v>
      </x:c>
      <x:c r="I546" s="94" t="str">
        <x:v>电子产品</x:v>
      </x:c>
      <x:c r="J546" s="94" t="str">
        <x:v>电子阅读器 I</x:v>
      </x:c>
      <x:c r="K546" s="97" t="n">
        <x:v>420.01</x:v>
      </x:c>
      <x:c r="L546" s="95" t="n">
        <x:v>1</x:v>
      </x:c>
      <x:c r="M546" s="97" t="n">
        <x:f>ROUND(K546*L546,2)</x:f>
        <x:v>420.01</x:v>
      </x:c>
      <x:c r="N546" s="109" t="n">
        <x:v>0.05</x:v>
      </x:c>
      <x:c r="O546" s="97" t="n">
        <x:f>ROUND(M546*N546,2)</x:f>
        <x:v>21</x:v>
      </x:c>
      <x:c r="P546" s="94" t="str">
        <x:v>已确认</x:v>
      </x:c>
      <x:c r="Q546" s="97" t="n">
        <x:f>IF(P546="已退款",M546,0)</x:f>
        <x:v>0</x:v>
      </x:c>
      <x:c r="R546" s="97" t="n">
        <x:f>IF(P546="已退款",O546,0)</x:f>
        <x:v>0</x:v>
      </x:c>
      <x:c r="S546" s="97" t="n">
        <x:f>O546-R546</x:f>
        <x:v>21</x:v>
      </x:c>
      <x:c r="T546" s="94" t="n">
        <x:v>2</x:v>
      </x:c>
      <x:c r="U546" s="94" t="str">
        <x:v>模拟：Amazon Associates订单回传</x:v>
      </x:c>
    </x:row>
    <x:row r="547">
      <x:c r="A547" s="92" t="str">
        <x:v>AMZ-ORD-00546</x:v>
      </x:c>
      <x:c r="B547" s="94" t="str">
        <x:v>PROC-0546</x:v>
      </x:c>
      <x:c r="C547" s="108" t="n">
        <x:v>46125.83263888889</x:v>
      </x:c>
      <x:c r="D547" s="93" t="n">
        <x:v>46121</x:v>
      </x:c>
      <x:c r="E547" s="94" t="str">
        <x:v>Microsoft Ads</x:v>
      </x:c>
      <x:c r="F547" s="94" t="str">
        <x:v>美国</x:v>
      </x:c>
      <x:c r="G547" s="94" t="str">
        <x:v>通用搜索</x:v>
      </x:c>
      <x:c r="H547" s="94" t="str">
        <x:v>SKU-0045</x:v>
      </x:c>
      <x:c r="I547" s="94" t="str">
        <x:v>办公学习</x:v>
      </x:c>
      <x:c r="J547" s="94" t="str">
        <x:v>办公收纳 E</x:v>
      </x:c>
      <x:c r="K547" s="97" t="n">
        <x:v>221.25</x:v>
      </x:c>
      <x:c r="L547" s="95" t="n">
        <x:v>1</x:v>
      </x:c>
      <x:c r="M547" s="97" t="n">
        <x:f>ROUND(K547*L547,2)</x:f>
        <x:v>221.25</x:v>
      </x:c>
      <x:c r="N547" s="109" t="n">
        <x:v>0.07</x:v>
      </x:c>
      <x:c r="O547" s="97" t="n">
        <x:f>ROUND(M547*N547,2)</x:f>
        <x:v>15.49</x:v>
      </x:c>
      <x:c r="P547" s="94" t="str">
        <x:v>待确认</x:v>
      </x:c>
      <x:c r="Q547" s="97" t="n">
        <x:f>IF(P547="已退款",M547,0)</x:f>
        <x:v>0</x:v>
      </x:c>
      <x:c r="R547" s="97" t="n">
        <x:f>IF(P547="已退款",O547,0)</x:f>
        <x:v>0</x:v>
      </x:c>
      <x:c r="S547" s="97" t="n">
        <x:f>O547-R547</x:f>
        <x:v>15.49</x:v>
      </x:c>
      <x:c r="T547" s="94" t="n">
        <x:v>4</x:v>
      </x:c>
      <x:c r="U547" s="94" t="str">
        <x:v>模拟：Amazon Associates订单回传</x:v>
      </x:c>
    </x:row>
    <x:row r="548">
      <x:c r="A548" s="92" t="str">
        <x:v>AMZ-ORD-00547</x:v>
      </x:c>
      <x:c r="B548" s="94" t="str">
        <x:v>PROC-0547</x:v>
      </x:c>
      <x:c r="C548" s="108" t="n">
        <x:v>46122.37430555555</x:v>
      </x:c>
      <x:c r="D548" s="93" t="n">
        <x:v>46121</x:v>
      </x:c>
      <x:c r="E548" s="94" t="str">
        <x:v>Microsoft Ads</x:v>
      </x:c>
      <x:c r="F548" s="94" t="str">
        <x:v>英国</x:v>
      </x:c>
      <x:c r="G548" s="94" t="str">
        <x:v>购物广告</x:v>
      </x:c>
      <x:c r="H548" s="94" t="str">
        <x:v>SKU-0012</x:v>
      </x:c>
      <x:c r="I548" s="94" t="str">
        <x:v>家居生活</x:v>
      </x:c>
      <x:c r="J548" s="94" t="str">
        <x:v>咖啡机 B</x:v>
      </x:c>
      <x:c r="K548" s="97" t="n">
        <x:v>141.32</x:v>
      </x:c>
      <x:c r="L548" s="95" t="n">
        <x:v>1</x:v>
      </x:c>
      <x:c r="M548" s="97" t="n">
        <x:f>ROUND(K548*L548,2)</x:f>
        <x:v>141.32</x:v>
      </x:c>
      <x:c r="N548" s="109" t="n">
        <x:v>0.07</x:v>
      </x:c>
      <x:c r="O548" s="97" t="n">
        <x:f>ROUND(M548*N548,2)</x:f>
        <x:v>9.89</x:v>
      </x:c>
      <x:c r="P548" s="94" t="str">
        <x:v>已确认</x:v>
      </x:c>
      <x:c r="Q548" s="97" t="n">
        <x:f>IF(P548="已退款",M548,0)</x:f>
        <x:v>0</x:v>
      </x:c>
      <x:c r="R548" s="97" t="n">
        <x:f>IF(P548="已退款",O548,0)</x:f>
        <x:v>0</x:v>
      </x:c>
      <x:c r="S548" s="97" t="n">
        <x:f>O548-R548</x:f>
        <x:v>9.89</x:v>
      </x:c>
      <x:c r="T548" s="94" t="n">
        <x:v>1</x:v>
      </x:c>
      <x:c r="U548" s="94" t="str">
        <x:v>模拟：Amazon Associates订单回传</x:v>
      </x:c>
    </x:row>
    <x:row r="549">
      <x:c r="A549" s="92" t="str">
        <x:v>AMZ-ORD-00548</x:v>
      </x:c>
      <x:c r="B549" s="94" t="str">
        <x:v>PROC-0547</x:v>
      </x:c>
      <x:c r="C549" s="108" t="n">
        <x:v>46122.53194444445</x:v>
      </x:c>
      <x:c r="D549" s="93" t="n">
        <x:v>46121</x:v>
      </x:c>
      <x:c r="E549" s="94" t="str">
        <x:v>Microsoft Ads</x:v>
      </x:c>
      <x:c r="F549" s="94" t="str">
        <x:v>英国</x:v>
      </x:c>
      <x:c r="G549" s="94" t="str">
        <x:v>购物广告</x:v>
      </x:c>
      <x:c r="H549" s="94" t="str">
        <x:v>SKU-0006</x:v>
      </x:c>
      <x:c r="I549" s="94" t="str">
        <x:v>电子产品</x:v>
      </x:c>
      <x:c r="J549" s="94" t="str">
        <x:v>迷你投影仪 F</x:v>
      </x:c>
      <x:c r="K549" s="97" t="n">
        <x:v>244.34</x:v>
      </x:c>
      <x:c r="L549" s="95" t="n">
        <x:v>1</x:v>
      </x:c>
      <x:c r="M549" s="97" t="n">
        <x:f>ROUND(K549*L549,2)</x:f>
        <x:v>244.34</x:v>
      </x:c>
      <x:c r="N549" s="109" t="n">
        <x:v>0.05</x:v>
      </x:c>
      <x:c r="O549" s="97" t="n">
        <x:f>ROUND(M549*N549,2)</x:f>
        <x:v>12.22</x:v>
      </x:c>
      <x:c r="P549" s="94" t="str">
        <x:v>已确认</x:v>
      </x:c>
      <x:c r="Q549" s="97" t="n">
        <x:f>IF(P549="已退款",M549,0)</x:f>
        <x:v>0</x:v>
      </x:c>
      <x:c r="R549" s="97" t="n">
        <x:f>IF(P549="已退款",O549,0)</x:f>
        <x:v>0</x:v>
      </x:c>
      <x:c r="S549" s="97" t="n">
        <x:f>O549-R549</x:f>
        <x:v>12.22</x:v>
      </x:c>
      <x:c r="T549" s="94" t="n">
        <x:v>1</x:v>
      </x:c>
      <x:c r="U549" s="94" t="str">
        <x:v>模拟：Amazon Associates订单回传</x:v>
      </x:c>
    </x:row>
    <x:row r="550">
      <x:c r="A550" s="92" t="str">
        <x:v>AMZ-ORD-00549</x:v>
      </x:c>
      <x:c r="B550" s="94" t="str">
        <x:v>PROC-0548</x:v>
      </x:c>
      <x:c r="C550" s="108" t="n">
        <x:v>46122.495833333334</x:v>
      </x:c>
      <x:c r="D550" s="93" t="n">
        <x:v>46122</x:v>
      </x:c>
      <x:c r="E550" s="94" t="str">
        <x:v>Google Ads</x:v>
      </x:c>
      <x:c r="F550" s="94" t="str">
        <x:v>美国</x:v>
      </x:c>
      <x:c r="G550" s="94" t="str">
        <x:v>购物广告</x:v>
      </x:c>
      <x:c r="H550" s="94" t="str">
        <x:v>SKU-0013</x:v>
      </x:c>
      <x:c r="I550" s="94" t="str">
        <x:v>家居生活</x:v>
      </x:c>
      <x:c r="J550" s="94" t="str">
        <x:v>人体工学椅 C</x:v>
      </x:c>
      <x:c r="K550" s="97" t="n">
        <x:v>227.63</x:v>
      </x:c>
      <x:c r="L550" s="95" t="n">
        <x:v>1</x:v>
      </x:c>
      <x:c r="M550" s="97" t="n">
        <x:f>ROUND(K550*L550,2)</x:f>
        <x:v>227.63</x:v>
      </x:c>
      <x:c r="N550" s="109" t="n">
        <x:v>0.07</x:v>
      </x:c>
      <x:c r="O550" s="97" t="n">
        <x:f>ROUND(M550*N550,2)</x:f>
        <x:v>15.93</x:v>
      </x:c>
      <x:c r="P550" s="94" t="str">
        <x:v>已确认</x:v>
      </x:c>
      <x:c r="Q550" s="97" t="n">
        <x:f>IF(P550="已退款",M550,0)</x:f>
        <x:v>0</x:v>
      </x:c>
      <x:c r="R550" s="97" t="n">
        <x:f>IF(P550="已退款",O550,0)</x:f>
        <x:v>0</x:v>
      </x:c>
      <x:c r="S550" s="97" t="n">
        <x:f>O550-R550</x:f>
        <x:v>15.93</x:v>
      </x:c>
      <x:c r="T550" s="94" t="n">
        <x:v>0</x:v>
      </x:c>
      <x:c r="U550" s="94" t="str">
        <x:v>模拟：Amazon Associates订单回传</x:v>
      </x:c>
    </x:row>
    <x:row r="551">
      <x:c r="A551" s="92" t="str">
        <x:v>AMZ-ORD-00550</x:v>
      </x:c>
      <x:c r="B551" s="94" t="str">
        <x:v>PROC-0548</x:v>
      </x:c>
      <x:c r="C551" s="108" t="n">
        <x:v>46122.697222222225</x:v>
      </x:c>
      <x:c r="D551" s="93" t="n">
        <x:v>46122</x:v>
      </x:c>
      <x:c r="E551" s="94" t="str">
        <x:v>Google Ads</x:v>
      </x:c>
      <x:c r="F551" s="94" t="str">
        <x:v>美国</x:v>
      </x:c>
      <x:c r="G551" s="94" t="str">
        <x:v>购物广告</x:v>
      </x:c>
      <x:c r="H551" s="94" t="str">
        <x:v>SKU-0038</x:v>
      </x:c>
      <x:c r="I551" s="94" t="str">
        <x:v>美妆个护</x:v>
      </x:c>
      <x:c r="J551" s="94" t="str">
        <x:v>卷发棒 H</x:v>
      </x:c>
      <x:c r="K551" s="97" t="n">
        <x:v>75.95</x:v>
      </x:c>
      <x:c r="L551" s="95" t="n">
        <x:v>1</x:v>
      </x:c>
      <x:c r="M551" s="97" t="n">
        <x:f>ROUND(K551*L551,2)</x:f>
        <x:v>75.95</x:v>
      </x:c>
      <x:c r="N551" s="109" t="n">
        <x:v>0.1</x:v>
      </x:c>
      <x:c r="O551" s="97" t="n">
        <x:f>ROUND(M551*N551,2)</x:f>
        <x:v>7.6</x:v>
      </x:c>
      <x:c r="P551" s="94" t="str">
        <x:v>已确认</x:v>
      </x:c>
      <x:c r="Q551" s="97" t="n">
        <x:f>IF(P551="已退款",M551,0)</x:f>
        <x:v>0</x:v>
      </x:c>
      <x:c r="R551" s="97" t="n">
        <x:f>IF(P551="已退款",O551,0)</x:f>
        <x:v>0</x:v>
      </x:c>
      <x:c r="S551" s="97" t="n">
        <x:f>O551-R551</x:f>
        <x:v>7.6</x:v>
      </x:c>
      <x:c r="T551" s="94" t="n">
        <x:v>0</x:v>
      </x:c>
      <x:c r="U551" s="94" t="str">
        <x:v>模拟：Amazon Associates订单回传</x:v>
      </x:c>
    </x:row>
    <x:row r="552">
      <x:c r="A552" s="92" t="str">
        <x:v>AMZ-ORD-00551</x:v>
      </x:c>
      <x:c r="B552" s="94" t="str">
        <x:v>PROC-0550</x:v>
      </x:c>
      <x:c r="C552" s="108" t="n">
        <x:v>46122.683333333334</x:v>
      </x:c>
      <x:c r="D552" s="93" t="n">
        <x:v>46122</x:v>
      </x:c>
      <x:c r="E552" s="94" t="str">
        <x:v>Google Ads</x:v>
      </x:c>
      <x:c r="F552" s="94" t="str">
        <x:v>德国</x:v>
      </x:c>
      <x:c r="G552" s="94" t="str">
        <x:v>通用搜索</x:v>
      </x:c>
      <x:c r="H552" s="94" t="str">
        <x:v>SKU-0049</x:v>
      </x:c>
      <x:c r="I552" s="94" t="str">
        <x:v>办公学习</x:v>
      </x:c>
      <x:c r="J552" s="94" t="str">
        <x:v>移动白板 I</x:v>
      </x:c>
      <x:c r="K552" s="97" t="n">
        <x:v>211.08</x:v>
      </x:c>
      <x:c r="L552" s="95" t="n">
        <x:v>1</x:v>
      </x:c>
      <x:c r="M552" s="97" t="n">
        <x:f>ROUND(K552*L552,2)</x:f>
        <x:v>211.08</x:v>
      </x:c>
      <x:c r="N552" s="109" t="n">
        <x:v>0.07</x:v>
      </x:c>
      <x:c r="O552" s="97" t="n">
        <x:f>ROUND(M552*N552,2)</x:f>
        <x:v>14.78</x:v>
      </x:c>
      <x:c r="P552" s="94" t="str">
        <x:v>已确认</x:v>
      </x:c>
      <x:c r="Q552" s="97" t="n">
        <x:f>IF(P552="已退款",M552,0)</x:f>
        <x:v>0</x:v>
      </x:c>
      <x:c r="R552" s="97" t="n">
        <x:f>IF(P552="已退款",O552,0)</x:f>
        <x:v>0</x:v>
      </x:c>
      <x:c r="S552" s="97" t="n">
        <x:f>O552-R552</x:f>
        <x:v>14.78</x:v>
      </x:c>
      <x:c r="T552" s="94" t="n">
        <x:v>0</x:v>
      </x:c>
      <x:c r="U552" s="94" t="str">
        <x:v>模拟：Amazon Associates订单回传</x:v>
      </x:c>
    </x:row>
    <x:row r="553">
      <x:c r="A553" s="92" t="str">
        <x:v>AMZ-ORD-00552</x:v>
      </x:c>
      <x:c r="B553" s="94" t="str">
        <x:v>PROC-0551</x:v>
      </x:c>
      <x:c r="C553" s="108" t="n">
        <x:v>46125.61388888889</x:v>
      </x:c>
      <x:c r="D553" s="93" t="n">
        <x:v>46122</x:v>
      </x:c>
      <x:c r="E553" s="94" t="str">
        <x:v>Microsoft Ads</x:v>
      </x:c>
      <x:c r="F553" s="94" t="str">
        <x:v>美国</x:v>
      </x:c>
      <x:c r="G553" s="94" t="str">
        <x:v>购物广告</x:v>
      </x:c>
      <x:c r="H553" s="94" t="str">
        <x:v>SKU-0011</x:v>
      </x:c>
      <x:c r="I553" s="94" t="str">
        <x:v>家居生活</x:v>
      </x:c>
      <x:c r="J553" s="94" t="str">
        <x:v>空气净化器 A</x:v>
      </x:c>
      <x:c r="K553" s="97" t="n">
        <x:v>351.08</x:v>
      </x:c>
      <x:c r="L553" s="95" t="n">
        <x:v>1</x:v>
      </x:c>
      <x:c r="M553" s="97" t="n">
        <x:f>ROUND(K553*L553,2)</x:f>
        <x:v>351.08</x:v>
      </x:c>
      <x:c r="N553" s="109" t="n">
        <x:v>0.07</x:v>
      </x:c>
      <x:c r="O553" s="97" t="n">
        <x:f>ROUND(M553*N553,2)</x:f>
        <x:v>24.58</x:v>
      </x:c>
      <x:c r="P553" s="94" t="str">
        <x:v>已确认</x:v>
      </x:c>
      <x:c r="Q553" s="97" t="n">
        <x:f>IF(P553="已退款",M553,0)</x:f>
        <x:v>0</x:v>
      </x:c>
      <x:c r="R553" s="97" t="n">
        <x:f>IF(P553="已退款",O553,0)</x:f>
        <x:v>0</x:v>
      </x:c>
      <x:c r="S553" s="97" t="n">
        <x:f>O553-R553</x:f>
        <x:v>24.58</x:v>
      </x:c>
      <x:c r="T553" s="94" t="n">
        <x:v>3</x:v>
      </x:c>
      <x:c r="U553" s="94" t="str">
        <x:v>模拟：Amazon Associates订单回传</x:v>
      </x:c>
    </x:row>
    <x:row r="554">
      <x:c r="A554" s="92" t="str">
        <x:v>AMZ-ORD-00553</x:v>
      </x:c>
      <x:c r="B554" s="94" t="str">
        <x:v>PROC-0552</x:v>
      </x:c>
      <x:c r="C554" s="108" t="n">
        <x:v>46124.48333333333</x:v>
      </x:c>
      <x:c r="D554" s="93" t="n">
        <x:v>46122</x:v>
      </x:c>
      <x:c r="E554" s="94" t="str">
        <x:v>Microsoft Ads</x:v>
      </x:c>
      <x:c r="F554" s="94" t="str">
        <x:v>英国</x:v>
      </x:c>
      <x:c r="G554" s="94" t="str">
        <x:v>购物广告</x:v>
      </x:c>
      <x:c r="H554" s="94" t="str">
        <x:v>SKU-0050</x:v>
      </x:c>
      <x:c r="I554" s="94" t="str">
        <x:v>办公学习</x:v>
      </x:c>
      <x:c r="J554" s="94" t="str">
        <x:v>静音鼠标 J</x:v>
      </x:c>
      <x:c r="K554" s="97" t="n">
        <x:v>109.8</x:v>
      </x:c>
      <x:c r="L554" s="95" t="n">
        <x:v>2</x:v>
      </x:c>
      <x:c r="M554" s="97" t="n">
        <x:f>ROUND(K554*L554,2)</x:f>
        <x:v>219.6</x:v>
      </x:c>
      <x:c r="N554" s="109" t="n">
        <x:v>0.07</x:v>
      </x:c>
      <x:c r="O554" s="97" t="n">
        <x:f>ROUND(M554*N554,2)</x:f>
        <x:v>15.37</x:v>
      </x:c>
      <x:c r="P554" s="94" t="str">
        <x:v>已确认</x:v>
      </x:c>
      <x:c r="Q554" s="97" t="n">
        <x:f>IF(P554="已退款",M554,0)</x:f>
        <x:v>0</x:v>
      </x:c>
      <x:c r="R554" s="97" t="n">
        <x:f>IF(P554="已退款",O554,0)</x:f>
        <x:v>0</x:v>
      </x:c>
      <x:c r="S554" s="97" t="n">
        <x:f>O554-R554</x:f>
        <x:v>15.37</x:v>
      </x:c>
      <x:c r="T554" s="94" t="n">
        <x:v>2</x:v>
      </x:c>
      <x:c r="U554" s="94" t="str">
        <x:v>模拟：Amazon Associates订单回传</x:v>
      </x:c>
    </x:row>
    <x:row r="555">
      <x:c r="A555" s="92" t="str">
        <x:v>AMZ-ORD-00554</x:v>
      </x:c>
      <x:c r="B555" s="94" t="str">
        <x:v>PROC-0553</x:v>
      </x:c>
      <x:c r="C555" s="108" t="n">
        <x:v>46123.3625</x:v>
      </x:c>
      <x:c r="D555" s="93" t="n">
        <x:v>46122</x:v>
      </x:c>
      <x:c r="E555" s="94" t="str">
        <x:v>Google Ads</x:v>
      </x:c>
      <x:c r="F555" s="94" t="str">
        <x:v>美国</x:v>
      </x:c>
      <x:c r="G555" s="94" t="str">
        <x:v>通用搜索</x:v>
      </x:c>
      <x:c r="H555" s="94" t="str">
        <x:v>SKU-0018</x:v>
      </x:c>
      <x:c r="I555" s="94" t="str">
        <x:v>家居生活</x:v>
      </x:c>
      <x:c r="J555" s="94" t="str">
        <x:v>收纳组合 H</x:v>
      </x:c>
      <x:c r="K555" s="97" t="n">
        <x:v>333.99</x:v>
      </x:c>
      <x:c r="L555" s="95" t="n">
        <x:v>1</x:v>
      </x:c>
      <x:c r="M555" s="97" t="n">
        <x:f>ROUND(K555*L555,2)</x:f>
        <x:v>333.99</x:v>
      </x:c>
      <x:c r="N555" s="109" t="n">
        <x:v>0.07</x:v>
      </x:c>
      <x:c r="O555" s="97" t="n">
        <x:f>ROUND(M555*N555,2)</x:f>
        <x:v>23.38</x:v>
      </x:c>
      <x:c r="P555" s="94" t="str">
        <x:v>已确认</x:v>
      </x:c>
      <x:c r="Q555" s="97" t="n">
        <x:f>IF(P555="已退款",M555,0)</x:f>
        <x:v>0</x:v>
      </x:c>
      <x:c r="R555" s="97" t="n">
        <x:f>IF(P555="已退款",O555,0)</x:f>
        <x:v>0</x:v>
      </x:c>
      <x:c r="S555" s="97" t="n">
        <x:f>O555-R555</x:f>
        <x:v>23.38</x:v>
      </x:c>
      <x:c r="T555" s="94" t="n">
        <x:v>1</x:v>
      </x:c>
      <x:c r="U555" s="94" t="str">
        <x:v>模拟：Amazon Associates订单回传</x:v>
      </x:c>
    </x:row>
    <x:row r="556">
      <x:c r="A556" s="92" t="str">
        <x:v>AMZ-ORD-00555</x:v>
      </x:c>
      <x:c r="B556" s="94" t="str">
        <x:v>PROC-0554</x:v>
      </x:c>
      <x:c r="C556" s="108" t="n">
        <x:v>46125.623611111114</x:v>
      </x:c>
      <x:c r="D556" s="93" t="n">
        <x:v>46123</x:v>
      </x:c>
      <x:c r="E556" s="94" t="str">
        <x:v>Microsoft Ads</x:v>
      </x:c>
      <x:c r="F556" s="94" t="str">
        <x:v>英国</x:v>
      </x:c>
      <x:c r="G556" s="94" t="str">
        <x:v>购物广告</x:v>
      </x:c>
      <x:c r="H556" s="94" t="str">
        <x:v>SKU-0040</x:v>
      </x:c>
      <x:c r="I556" s="94" t="str">
        <x:v>美妆个护</x:v>
      </x:c>
      <x:c r="J556" s="94" t="str">
        <x:v>旅行护理套装 J</x:v>
      </x:c>
      <x:c r="K556" s="97" t="n">
        <x:v>39.92</x:v>
      </x:c>
      <x:c r="L556" s="95" t="n">
        <x:v>2</x:v>
      </x:c>
      <x:c r="M556" s="97" t="n">
        <x:f>ROUND(K556*L556,2)</x:f>
        <x:v>79.84</x:v>
      </x:c>
      <x:c r="N556" s="109" t="n">
        <x:v>0.1</x:v>
      </x:c>
      <x:c r="O556" s="97" t="n">
        <x:f>ROUND(M556*N556,2)</x:f>
        <x:v>7.98</x:v>
      </x:c>
      <x:c r="P556" s="94" t="str">
        <x:v>待确认</x:v>
      </x:c>
      <x:c r="Q556" s="97" t="n">
        <x:f>IF(P556="已退款",M556,0)</x:f>
        <x:v>0</x:v>
      </x:c>
      <x:c r="R556" s="97" t="n">
        <x:f>IF(P556="已退款",O556,0)</x:f>
        <x:v>0</x:v>
      </x:c>
      <x:c r="S556" s="97" t="n">
        <x:f>O556-R556</x:f>
        <x:v>7.98</x:v>
      </x:c>
      <x:c r="T556" s="94" t="n">
        <x:v>2</x:v>
      </x:c>
      <x:c r="U556" s="94" t="str">
        <x:v>模拟：Amazon Associates订单回传</x:v>
      </x:c>
    </x:row>
    <x:row r="557">
      <x:c r="A557" s="92" t="str">
        <x:v>AMZ-ORD-00556</x:v>
      </x:c>
      <x:c r="B557" s="94" t="str">
        <x:v>PROC-0556</x:v>
      </x:c>
      <x:c r="C557" s="108" t="n">
        <x:v>46124.60833333333</x:v>
      </x:c>
      <x:c r="D557" s="93" t="n">
        <x:v>46123</x:v>
      </x:c>
      <x:c r="E557" s="94" t="str">
        <x:v>Microsoft Ads</x:v>
      </x:c>
      <x:c r="F557" s="94" t="str">
        <x:v>美国</x:v>
      </x:c>
      <x:c r="G557" s="94" t="str">
        <x:v>购物广告</x:v>
      </x:c>
      <x:c r="H557" s="94" t="str">
        <x:v>SKU-0005</x:v>
      </x:c>
      <x:c r="I557" s="94" t="str">
        <x:v>电子产品</x:v>
      </x:c>
      <x:c r="J557" s="94" t="str">
        <x:v>降噪耳机 E</x:v>
      </x:c>
      <x:c r="K557" s="97" t="n">
        <x:v>342.48</x:v>
      </x:c>
      <x:c r="L557" s="95" t="n">
        <x:v>1</x:v>
      </x:c>
      <x:c r="M557" s="97" t="n">
        <x:f>ROUND(K557*L557,2)</x:f>
        <x:v>342.48</x:v>
      </x:c>
      <x:c r="N557" s="109" t="n">
        <x:v>0.05</x:v>
      </x:c>
      <x:c r="O557" s="97" t="n">
        <x:f>ROUND(M557*N557,2)</x:f>
        <x:v>17.12</x:v>
      </x:c>
      <x:c r="P557" s="94" t="str">
        <x:v>已确认</x:v>
      </x:c>
      <x:c r="Q557" s="97" t="n">
        <x:f>IF(P557="已退款",M557,0)</x:f>
        <x:v>0</x:v>
      </x:c>
      <x:c r="R557" s="97" t="n">
        <x:f>IF(P557="已退款",O557,0)</x:f>
        <x:v>0</x:v>
      </x:c>
      <x:c r="S557" s="97" t="n">
        <x:f>O557-R557</x:f>
        <x:v>17.12</x:v>
      </x:c>
      <x:c r="T557" s="94" t="n">
        <x:v>1</x:v>
      </x:c>
      <x:c r="U557" s="94" t="str">
        <x:v>模拟：Amazon Associates订单回传</x:v>
      </x:c>
    </x:row>
    <x:row r="558">
      <x:c r="A558" s="92" t="str">
        <x:v>AMZ-ORD-00557</x:v>
      </x:c>
      <x:c r="B558" s="94" t="str">
        <x:v>PROC-0557</x:v>
      </x:c>
      <x:c r="C558" s="108" t="n">
        <x:v>46126.347916666666</x:v>
      </x:c>
      <x:c r="D558" s="93" t="n">
        <x:v>46123</x:v>
      </x:c>
      <x:c r="E558" s="94" t="str">
        <x:v>Google Ads</x:v>
      </x:c>
      <x:c r="F558" s="94" t="str">
        <x:v>美国</x:v>
      </x:c>
      <x:c r="G558" s="94" t="str">
        <x:v>购物广告</x:v>
      </x:c>
      <x:c r="H558" s="94" t="str">
        <x:v>SKU-0049</x:v>
      </x:c>
      <x:c r="I558" s="94" t="str">
        <x:v>办公学习</x:v>
      </x:c>
      <x:c r="J558" s="94" t="str">
        <x:v>移动白板 I</x:v>
      </x:c>
      <x:c r="K558" s="97" t="n">
        <x:v>218.75</x:v>
      </x:c>
      <x:c r="L558" s="95" t="n">
        <x:v>1</x:v>
      </x:c>
      <x:c r="M558" s="97" t="n">
        <x:f>ROUND(K558*L558,2)</x:f>
        <x:v>218.75</x:v>
      </x:c>
      <x:c r="N558" s="109" t="n">
        <x:v>0.07</x:v>
      </x:c>
      <x:c r="O558" s="97" t="n">
        <x:f>ROUND(M558*N558,2)</x:f>
        <x:v>15.31</x:v>
      </x:c>
      <x:c r="P558" s="94" t="str">
        <x:v>已确认</x:v>
      </x:c>
      <x:c r="Q558" s="97" t="n">
        <x:f>IF(P558="已退款",M558,0)</x:f>
        <x:v>0</x:v>
      </x:c>
      <x:c r="R558" s="97" t="n">
        <x:f>IF(P558="已退款",O558,0)</x:f>
        <x:v>0</x:v>
      </x:c>
      <x:c r="S558" s="97" t="n">
        <x:f>O558-R558</x:f>
        <x:v>15.31</x:v>
      </x:c>
      <x:c r="T558" s="94" t="n">
        <x:v>3</x:v>
      </x:c>
      <x:c r="U558" s="94" t="str">
        <x:v>模拟：Amazon Associates订单回传</x:v>
      </x:c>
    </x:row>
    <x:row r="559">
      <x:c r="A559" s="92" t="str">
        <x:v>AMZ-ORD-00558</x:v>
      </x:c>
      <x:c r="B559" s="94" t="str">
        <x:v>PROC-0559</x:v>
      </x:c>
      <x:c r="C559" s="108" t="n">
        <x:v>46123.76944444444</x:v>
      </x:c>
      <x:c r="D559" s="93" t="n">
        <x:v>46123</x:v>
      </x:c>
      <x:c r="E559" s="94" t="str">
        <x:v>Microsoft Ads</x:v>
      </x:c>
      <x:c r="F559" s="94" t="str">
        <x:v>英国</x:v>
      </x:c>
      <x:c r="G559" s="94" t="str">
        <x:v>品牌搜索</x:v>
      </x:c>
      <x:c r="H559" s="94" t="str">
        <x:v>SKU-0032</x:v>
      </x:c>
      <x:c r="I559" s="94" t="str">
        <x:v>美妆个护</x:v>
      </x:c>
      <x:c r="J559" s="94" t="str">
        <x:v>吹风机 B</x:v>
      </x:c>
      <x:c r="K559" s="97" t="n">
        <x:v>65.73</x:v>
      </x:c>
      <x:c r="L559" s="95" t="n">
        <x:v>1</x:v>
      </x:c>
      <x:c r="M559" s="97" t="n">
        <x:f>ROUND(K559*L559,2)</x:f>
        <x:v>65.73</x:v>
      </x:c>
      <x:c r="N559" s="109" t="n">
        <x:v>0.1</x:v>
      </x:c>
      <x:c r="O559" s="97" t="n">
        <x:f>ROUND(M559*N559,2)</x:f>
        <x:v>6.57</x:v>
      </x:c>
      <x:c r="P559" s="94" t="str">
        <x:v>已确认</x:v>
      </x:c>
      <x:c r="Q559" s="97" t="n">
        <x:f>IF(P559="已退款",M559,0)</x:f>
        <x:v>0</x:v>
      </x:c>
      <x:c r="R559" s="97" t="n">
        <x:f>IF(P559="已退款",O559,0)</x:f>
        <x:v>0</x:v>
      </x:c>
      <x:c r="S559" s="97" t="n">
        <x:f>O559-R559</x:f>
        <x:v>6.57</x:v>
      </x:c>
      <x:c r="T559" s="94" t="n">
        <x:v>0</x:v>
      </x:c>
      <x:c r="U559" s="94" t="str">
        <x:v>模拟：Amazon Associates订单回传</x:v>
      </x:c>
    </x:row>
    <x:row r="560">
      <x:c r="A560" s="92" t="str">
        <x:v>AMZ-ORD-00559</x:v>
      </x:c>
      <x:c r="B560" s="94" t="str">
        <x:v>PROC-0559</x:v>
      </x:c>
      <x:c r="C560" s="108" t="n">
        <x:v>46125.42847222222</x:v>
      </x:c>
      <x:c r="D560" s="93" t="n">
        <x:v>46123</x:v>
      </x:c>
      <x:c r="E560" s="94" t="str">
        <x:v>Microsoft Ads</x:v>
      </x:c>
      <x:c r="F560" s="94" t="str">
        <x:v>英国</x:v>
      </x:c>
      <x:c r="G560" s="94" t="str">
        <x:v>品牌搜索</x:v>
      </x:c>
      <x:c r="H560" s="94" t="str">
        <x:v>SKU-0028</x:v>
      </x:c>
      <x:c r="I560" s="94" t="str">
        <x:v>运动健康</x:v>
      </x:c>
      <x:c r="J560" s="94" t="str">
        <x:v>体脂秤 H</x:v>
      </x:c>
      <x:c r="K560" s="97" t="n">
        <x:v>269.39</x:v>
      </x:c>
      <x:c r="L560" s="95" t="n">
        <x:v>1</x:v>
      </x:c>
      <x:c r="M560" s="97" t="n">
        <x:f>ROUND(K560*L560,2)</x:f>
        <x:v>269.39</x:v>
      </x:c>
      <x:c r="N560" s="109" t="n">
        <x:v>0.08</x:v>
      </x:c>
      <x:c r="O560" s="97" t="n">
        <x:f>ROUND(M560*N560,2)</x:f>
        <x:v>21.55</x:v>
      </x:c>
      <x:c r="P560" s="94" t="str">
        <x:v>待确认</x:v>
      </x:c>
      <x:c r="Q560" s="97" t="n">
        <x:f>IF(P560="已退款",M560,0)</x:f>
        <x:v>0</x:v>
      </x:c>
      <x:c r="R560" s="97" t="n">
        <x:f>IF(P560="已退款",O560,0)</x:f>
        <x:v>0</x:v>
      </x:c>
      <x:c r="S560" s="97" t="n">
        <x:f>O560-R560</x:f>
        <x:v>21.55</x:v>
      </x:c>
      <x:c r="T560" s="94" t="n">
        <x:v>2</x:v>
      </x:c>
      <x:c r="U560" s="94" t="str">
        <x:v>模拟：Amazon Associates订单回传</x:v>
      </x:c>
    </x:row>
    <x:row r="561">
      <x:c r="A561" s="92" t="str">
        <x:v>AMZ-ORD-00560</x:v>
      </x:c>
      <x:c r="B561" s="94" t="str">
        <x:v>PROC-0560</x:v>
      </x:c>
      <x:c r="C561" s="108" t="n">
        <x:v>46126.65694444445</x:v>
      </x:c>
      <x:c r="D561" s="93" t="n">
        <x:v>46124</x:v>
      </x:c>
      <x:c r="E561" s="94" t="str">
        <x:v>Google Ads</x:v>
      </x:c>
      <x:c r="F561" s="94" t="str">
        <x:v>美国</x:v>
      </x:c>
      <x:c r="G561" s="94" t="str">
        <x:v>通用搜索</x:v>
      </x:c>
      <x:c r="H561" s="94" t="str">
        <x:v>SKU-0042</x:v>
      </x:c>
      <x:c r="I561" s="94" t="str">
        <x:v>办公学习</x:v>
      </x:c>
      <x:c r="J561" s="94" t="str">
        <x:v>护眼台灯 B</x:v>
      </x:c>
      <x:c r="K561" s="97" t="n">
        <x:v>228.2</x:v>
      </x:c>
      <x:c r="L561" s="95" t="n">
        <x:v>1</x:v>
      </x:c>
      <x:c r="M561" s="97" t="n">
        <x:f>ROUND(K561*L561,2)</x:f>
        <x:v>228.2</x:v>
      </x:c>
      <x:c r="N561" s="109" t="n">
        <x:v>0.07</x:v>
      </x:c>
      <x:c r="O561" s="97" t="n">
        <x:f>ROUND(M561*N561,2)</x:f>
        <x:v>15.97</x:v>
      </x:c>
      <x:c r="P561" s="94" t="str">
        <x:v>已确认</x:v>
      </x:c>
      <x:c r="Q561" s="97" t="n">
        <x:f>IF(P561="已退款",M561,0)</x:f>
        <x:v>0</x:v>
      </x:c>
      <x:c r="R561" s="97" t="n">
        <x:f>IF(P561="已退款",O561,0)</x:f>
        <x:v>0</x:v>
      </x:c>
      <x:c r="S561" s="97" t="n">
        <x:f>O561-R561</x:f>
        <x:v>15.97</x:v>
      </x:c>
      <x:c r="T561" s="94" t="n">
        <x:v>2</x:v>
      </x:c>
      <x:c r="U561" s="94" t="str">
        <x:v>模拟：Amazon Associates订单回传</x:v>
      </x:c>
    </x:row>
    <x:row r="562">
      <x:c r="A562" s="92" t="str">
        <x:v>AMZ-ORD-00561</x:v>
      </x:c>
      <x:c r="B562" s="94" t="str">
        <x:v>PROC-0562</x:v>
      </x:c>
      <x:c r="C562" s="108" t="n">
        <x:v>46125.71805555555</x:v>
      </x:c>
      <x:c r="D562" s="93" t="n">
        <x:v>46124</x:v>
      </x:c>
      <x:c r="E562" s="94" t="str">
        <x:v>Google Ads</x:v>
      </x:c>
      <x:c r="F562" s="94" t="str">
        <x:v>德国</x:v>
      </x:c>
      <x:c r="G562" s="94" t="str">
        <x:v>购物广告</x:v>
      </x:c>
      <x:c r="H562" s="94" t="str">
        <x:v>SKU-0017</x:v>
      </x:c>
      <x:c r="I562" s="94" t="str">
        <x:v>家居生活</x:v>
      </x:c>
      <x:c r="J562" s="94" t="str">
        <x:v>落地灯 G</x:v>
      </x:c>
      <x:c r="K562" s="97" t="n">
        <x:v>106.4</x:v>
      </x:c>
      <x:c r="L562" s="95" t="n">
        <x:v>1</x:v>
      </x:c>
      <x:c r="M562" s="97" t="n">
        <x:f>ROUND(K562*L562,2)</x:f>
        <x:v>106.4</x:v>
      </x:c>
      <x:c r="N562" s="109" t="n">
        <x:v>0.07</x:v>
      </x:c>
      <x:c r="O562" s="97" t="n">
        <x:f>ROUND(M562*N562,2)</x:f>
        <x:v>7.45</x:v>
      </x:c>
      <x:c r="P562" s="94" t="str">
        <x:v>已确认</x:v>
      </x:c>
      <x:c r="Q562" s="97" t="n">
        <x:f>IF(P562="已退款",M562,0)</x:f>
        <x:v>0</x:v>
      </x:c>
      <x:c r="R562" s="97" t="n">
        <x:f>IF(P562="已退款",O562,0)</x:f>
        <x:v>0</x:v>
      </x:c>
      <x:c r="S562" s="97" t="n">
        <x:f>O562-R562</x:f>
        <x:v>7.45</x:v>
      </x:c>
      <x:c r="T562" s="94" t="n">
        <x:v>1</x:v>
      </x:c>
      <x:c r="U562" s="94" t="str">
        <x:v>模拟：Amazon Associates订单回传</x:v>
      </x:c>
    </x:row>
    <x:row r="563">
      <x:c r="A563" s="92" t="str">
        <x:v>AMZ-ORD-00562</x:v>
      </x:c>
      <x:c r="B563" s="94" t="str">
        <x:v>PROC-0563</x:v>
      </x:c>
      <x:c r="C563" s="108" t="n">
        <x:v>46124.82083333333</x:v>
      </x:c>
      <x:c r="D563" s="93" t="n">
        <x:v>46124</x:v>
      </x:c>
      <x:c r="E563" s="94" t="str">
        <x:v>Microsoft Ads</x:v>
      </x:c>
      <x:c r="F563" s="94" t="str">
        <x:v>美国</x:v>
      </x:c>
      <x:c r="G563" s="94" t="str">
        <x:v>购物广告</x:v>
      </x:c>
      <x:c r="H563" s="94" t="str">
        <x:v>SKU-0006</x:v>
      </x:c>
      <x:c r="I563" s="94" t="str">
        <x:v>电子产品</x:v>
      </x:c>
      <x:c r="J563" s="94" t="str">
        <x:v>迷你投影仪 F</x:v>
      </x:c>
      <x:c r="K563" s="97" t="n">
        <x:v>672.63</x:v>
      </x:c>
      <x:c r="L563" s="95" t="n">
        <x:v>1</x:v>
      </x:c>
      <x:c r="M563" s="97" t="n">
        <x:f>ROUND(K563*L563,2)</x:f>
        <x:v>672.63</x:v>
      </x:c>
      <x:c r="N563" s="109" t="n">
        <x:v>0.05</x:v>
      </x:c>
      <x:c r="O563" s="97" t="n">
        <x:f>ROUND(M563*N563,2)</x:f>
        <x:v>33.63</x:v>
      </x:c>
      <x:c r="P563" s="94" t="str">
        <x:v>已确认</x:v>
      </x:c>
      <x:c r="Q563" s="97" t="n">
        <x:f>IF(P563="已退款",M563,0)</x:f>
        <x:v>0</x:v>
      </x:c>
      <x:c r="R563" s="97" t="n">
        <x:f>IF(P563="已退款",O563,0)</x:f>
        <x:v>0</x:v>
      </x:c>
      <x:c r="S563" s="97" t="n">
        <x:f>O563-R563</x:f>
        <x:v>33.63</x:v>
      </x:c>
      <x:c r="T563" s="94" t="n">
        <x:v>0</x:v>
      </x:c>
      <x:c r="U563" s="94" t="str">
        <x:v>模拟：Amazon Associates订单回传</x:v>
      </x:c>
    </x:row>
    <x:row r="564">
      <x:c r="A564" s="92" t="str">
        <x:v>AMZ-ORD-00563</x:v>
      </x:c>
      <x:c r="B564" s="94" t="str">
        <x:v>PROC-0563</x:v>
      </x:c>
      <x:c r="C564" s="108" t="n">
        <x:v>46125.46805555555</x:v>
      </x:c>
      <x:c r="D564" s="93" t="n">
        <x:v>46124</x:v>
      </x:c>
      <x:c r="E564" s="94" t="str">
        <x:v>Microsoft Ads</x:v>
      </x:c>
      <x:c r="F564" s="94" t="str">
        <x:v>美国</x:v>
      </x:c>
      <x:c r="G564" s="94" t="str">
        <x:v>购物广告</x:v>
      </x:c>
      <x:c r="H564" s="94" t="str">
        <x:v>SKU-0034</x:v>
      </x:c>
      <x:c r="I564" s="94" t="str">
        <x:v>美妆个护</x:v>
      </x:c>
      <x:c r="J564" s="94" t="str">
        <x:v>电动牙刷 D</x:v>
      </x:c>
      <x:c r="K564" s="97" t="n">
        <x:v>121.08</x:v>
      </x:c>
      <x:c r="L564" s="95" t="n">
        <x:v>1</x:v>
      </x:c>
      <x:c r="M564" s="97" t="n">
        <x:f>ROUND(K564*L564,2)</x:f>
        <x:v>121.08</x:v>
      </x:c>
      <x:c r="N564" s="109" t="n">
        <x:v>0.1</x:v>
      </x:c>
      <x:c r="O564" s="97" t="n">
        <x:f>ROUND(M564*N564,2)</x:f>
        <x:v>12.11</x:v>
      </x:c>
      <x:c r="P564" s="94" t="str">
        <x:v>已确认</x:v>
      </x:c>
      <x:c r="Q564" s="97" t="n">
        <x:f>IF(P564="已退款",M564,0)</x:f>
        <x:v>0</x:v>
      </x:c>
      <x:c r="R564" s="97" t="n">
        <x:f>IF(P564="已退款",O564,0)</x:f>
        <x:v>0</x:v>
      </x:c>
      <x:c r="S564" s="97" t="n">
        <x:f>O564-R564</x:f>
        <x:v>12.11</x:v>
      </x:c>
      <x:c r="T564" s="94" t="n">
        <x:v>1</x:v>
      </x:c>
      <x:c r="U564" s="94" t="str">
        <x:v>模拟：Amazon Associates订单回传</x:v>
      </x:c>
    </x:row>
    <x:row r="565">
      <x:c r="A565" s="92" t="str">
        <x:v>AMZ-ORD-00564</x:v>
      </x:c>
      <x:c r="B565" s="94" t="str">
        <x:v>PROC-0564</x:v>
      </x:c>
      <x:c r="C565" s="108" t="n">
        <x:v>46125.49444444444</x:v>
      </x:c>
      <x:c r="D565" s="93" t="n">
        <x:v>46124</x:v>
      </x:c>
      <x:c r="E565" s="94" t="str">
        <x:v>Google Ads</x:v>
      </x:c>
      <x:c r="F565" s="94" t="str">
        <x:v>日本</x:v>
      </x:c>
      <x:c r="G565" s="94" t="str">
        <x:v>通用搜索</x:v>
      </x:c>
      <x:c r="H565" s="94" t="str">
        <x:v>SKU-0028</x:v>
      </x:c>
      <x:c r="I565" s="94" t="str">
        <x:v>运动健康</x:v>
      </x:c>
      <x:c r="J565" s="94" t="str">
        <x:v>体脂秤 H</x:v>
      </x:c>
      <x:c r="K565" s="97" t="n">
        <x:v>231.61</x:v>
      </x:c>
      <x:c r="L565" s="95" t="n">
        <x:v>1</x:v>
      </x:c>
      <x:c r="M565" s="97" t="n">
        <x:f>ROUND(K565*L565,2)</x:f>
        <x:v>231.61</x:v>
      </x:c>
      <x:c r="N565" s="109" t="n">
        <x:v>0.08</x:v>
      </x:c>
      <x:c r="O565" s="97" t="n">
        <x:f>ROUND(M565*N565,2)</x:f>
        <x:v>18.53</x:v>
      </x:c>
      <x:c r="P565" s="94" t="str">
        <x:v>已确认</x:v>
      </x:c>
      <x:c r="Q565" s="97" t="n">
        <x:f>IF(P565="已退款",M565,0)</x:f>
        <x:v>0</x:v>
      </x:c>
      <x:c r="R565" s="97" t="n">
        <x:f>IF(P565="已退款",O565,0)</x:f>
        <x:v>0</x:v>
      </x:c>
      <x:c r="S565" s="97" t="n">
        <x:f>O565-R565</x:f>
        <x:v>18.53</x:v>
      </x:c>
      <x:c r="T565" s="94" t="n">
        <x:v>1</x:v>
      </x:c>
      <x:c r="U565" s="94" t="str">
        <x:v>模拟：Amazon Associates订单回传</x:v>
      </x:c>
    </x:row>
    <x:row r="566">
      <x:c r="A566" s="92" t="str">
        <x:v>AMZ-ORD-00565</x:v>
      </x:c>
      <x:c r="B566" s="94" t="str">
        <x:v>PROC-0565</x:v>
      </x:c>
      <x:c r="C566" s="108" t="n">
        <x:v>46126.464583333334</x:v>
      </x:c>
      <x:c r="D566" s="93" t="n">
        <x:v>46125</x:v>
      </x:c>
      <x:c r="E566" s="94" t="str">
        <x:v>Microsoft Ads</x:v>
      </x:c>
      <x:c r="F566" s="94" t="str">
        <x:v>美国</x:v>
      </x:c>
      <x:c r="G566" s="94" t="str">
        <x:v>竞品搜索</x:v>
      </x:c>
      <x:c r="H566" s="94" t="str">
        <x:v>SKU-0041</x:v>
      </x:c>
      <x:c r="I566" s="94" t="str">
        <x:v>办公学习</x:v>
      </x:c>
      <x:c r="J566" s="94" t="str">
        <x:v>桌面升降台 A</x:v>
      </x:c>
      <x:c r="K566" s="97" t="n">
        <x:v>238.66</x:v>
      </x:c>
      <x:c r="L566" s="95" t="n">
        <x:v>1</x:v>
      </x:c>
      <x:c r="M566" s="97" t="n">
        <x:f>ROUND(K566*L566,2)</x:f>
        <x:v>238.66</x:v>
      </x:c>
      <x:c r="N566" s="109" t="n">
        <x:v>0.07</x:v>
      </x:c>
      <x:c r="O566" s="97" t="n">
        <x:f>ROUND(M566*N566,2)</x:f>
        <x:v>16.71</x:v>
      </x:c>
      <x:c r="P566" s="94" t="str">
        <x:v>已确认</x:v>
      </x:c>
      <x:c r="Q566" s="97" t="n">
        <x:f>IF(P566="已退款",M566,0)</x:f>
        <x:v>0</x:v>
      </x:c>
      <x:c r="R566" s="97" t="n">
        <x:f>IF(P566="已退款",O566,0)</x:f>
        <x:v>0</x:v>
      </x:c>
      <x:c r="S566" s="97" t="n">
        <x:f>O566-R566</x:f>
        <x:v>16.71</x:v>
      </x:c>
      <x:c r="T566" s="94" t="n">
        <x:v>1</x:v>
      </x:c>
      <x:c r="U566" s="94" t="str">
        <x:v>模拟：Amazon Associates订单回传</x:v>
      </x:c>
    </x:row>
    <x:row r="567">
      <x:c r="A567" s="92" t="str">
        <x:v>AMZ-ORD-00566</x:v>
      </x:c>
      <x:c r="B567" s="94" t="str">
        <x:v>PROC-0566</x:v>
      </x:c>
      <x:c r="C567" s="108" t="n">
        <x:v>46127.395833333336</x:v>
      </x:c>
      <x:c r="D567" s="93" t="n">
        <x:v>46125</x:v>
      </x:c>
      <x:c r="E567" s="94" t="str">
        <x:v>Google Ads</x:v>
      </x:c>
      <x:c r="F567" s="94" t="str">
        <x:v>德国</x:v>
      </x:c>
      <x:c r="G567" s="94" t="str">
        <x:v>购物广告</x:v>
      </x:c>
      <x:c r="H567" s="94" t="str">
        <x:v>SKU-0034</x:v>
      </x:c>
      <x:c r="I567" s="94" t="str">
        <x:v>美妆个护</x:v>
      </x:c>
      <x:c r="J567" s="94" t="str">
        <x:v>电动牙刷 D</x:v>
      </x:c>
      <x:c r="K567" s="97" t="n">
        <x:v>111.92</x:v>
      </x:c>
      <x:c r="L567" s="95" t="n">
        <x:v>1</x:v>
      </x:c>
      <x:c r="M567" s="97" t="n">
        <x:f>ROUND(K567*L567,2)</x:f>
        <x:v>111.92</x:v>
      </x:c>
      <x:c r="N567" s="109" t="n">
        <x:v>0.1</x:v>
      </x:c>
      <x:c r="O567" s="97" t="n">
        <x:f>ROUND(M567*N567,2)</x:f>
        <x:v>11.19</x:v>
      </x:c>
      <x:c r="P567" s="94" t="str">
        <x:v>已确认</x:v>
      </x:c>
      <x:c r="Q567" s="97" t="n">
        <x:f>IF(P567="已退款",M567,0)</x:f>
        <x:v>0</x:v>
      </x:c>
      <x:c r="R567" s="97" t="n">
        <x:f>IF(P567="已退款",O567,0)</x:f>
        <x:v>0</x:v>
      </x:c>
      <x:c r="S567" s="97" t="n">
        <x:f>O567-R567</x:f>
        <x:v>11.19</x:v>
      </x:c>
      <x:c r="T567" s="94" t="n">
        <x:v>2</x:v>
      </x:c>
      <x:c r="U567" s="94" t="str">
        <x:v>模拟：Amazon Associates订单回传</x:v>
      </x:c>
    </x:row>
    <x:row r="568">
      <x:c r="A568" s="92" t="str">
        <x:v>AMZ-ORD-00567</x:v>
      </x:c>
      <x:c r="B568" s="94" t="str">
        <x:v>PROC-0567</x:v>
      </x:c>
      <x:c r="C568" s="108" t="n">
        <x:v>46129.60555555556</x:v>
      </x:c>
      <x:c r="D568" s="93" t="n">
        <x:v>46125</x:v>
      </x:c>
      <x:c r="E568" s="94" t="str">
        <x:v>Microsoft Ads</x:v>
      </x:c>
      <x:c r="F568" s="94" t="str">
        <x:v>德国</x:v>
      </x:c>
      <x:c r="G568" s="94" t="str">
        <x:v>品牌搜索</x:v>
      </x:c>
      <x:c r="H568" s="94" t="str">
        <x:v>SKU-0018</x:v>
      </x:c>
      <x:c r="I568" s="94" t="str">
        <x:v>家居生活</x:v>
      </x:c>
      <x:c r="J568" s="94" t="str">
        <x:v>收纳组合 H</x:v>
      </x:c>
      <x:c r="K568" s="97" t="n">
        <x:v>106.01</x:v>
      </x:c>
      <x:c r="L568" s="95" t="n">
        <x:v>1</x:v>
      </x:c>
      <x:c r="M568" s="97" t="n">
        <x:f>ROUND(K568*L568,2)</x:f>
        <x:v>106.01</x:v>
      </x:c>
      <x:c r="N568" s="109" t="n">
        <x:v>0.07</x:v>
      </x:c>
      <x:c r="O568" s="97" t="n">
        <x:f>ROUND(M568*N568,2)</x:f>
        <x:v>7.42</x:v>
      </x:c>
      <x:c r="P568" s="94" t="str">
        <x:v>已确认</x:v>
      </x:c>
      <x:c r="Q568" s="97" t="n">
        <x:f>IF(P568="已退款",M568,0)</x:f>
        <x:v>0</x:v>
      </x:c>
      <x:c r="R568" s="97" t="n">
        <x:f>IF(P568="已退款",O568,0)</x:f>
        <x:v>0</x:v>
      </x:c>
      <x:c r="S568" s="97" t="n">
        <x:f>O568-R568</x:f>
        <x:v>7.42</x:v>
      </x:c>
      <x:c r="T568" s="94" t="n">
        <x:v>4</x:v>
      </x:c>
      <x:c r="U568" s="94" t="str">
        <x:v>模拟：Amazon Associates订单回传</x:v>
      </x:c>
    </x:row>
    <x:row r="569">
      <x:c r="A569" s="92" t="str">
        <x:v>AMZ-ORD-00568</x:v>
      </x:c>
      <x:c r="B569" s="94" t="str">
        <x:v>PROC-0567</x:v>
      </x:c>
      <x:c r="C569" s="108" t="n">
        <x:v>46127.55</x:v>
      </x:c>
      <x:c r="D569" s="93" t="n">
        <x:v>46125</x:v>
      </x:c>
      <x:c r="E569" s="94" t="str">
        <x:v>Microsoft Ads</x:v>
      </x:c>
      <x:c r="F569" s="94" t="str">
        <x:v>德国</x:v>
      </x:c>
      <x:c r="G569" s="94" t="str">
        <x:v>品牌搜索</x:v>
      </x:c>
      <x:c r="H569" s="94" t="str">
        <x:v>SKU-0005</x:v>
      </x:c>
      <x:c r="I569" s="94" t="str">
        <x:v>电子产品</x:v>
      </x:c>
      <x:c r="J569" s="94" t="str">
        <x:v>降噪耳机 E</x:v>
      </x:c>
      <x:c r="K569" s="97" t="n">
        <x:v>708.97</x:v>
      </x:c>
      <x:c r="L569" s="95" t="n">
        <x:v>1</x:v>
      </x:c>
      <x:c r="M569" s="97" t="n">
        <x:f>ROUND(K569*L569,2)</x:f>
        <x:v>708.97</x:v>
      </x:c>
      <x:c r="N569" s="109" t="n">
        <x:v>0.05</x:v>
      </x:c>
      <x:c r="O569" s="97" t="n">
        <x:f>ROUND(M569*N569,2)</x:f>
        <x:v>35.45</x:v>
      </x:c>
      <x:c r="P569" s="94" t="str">
        <x:v>已确认</x:v>
      </x:c>
      <x:c r="Q569" s="97" t="n">
        <x:f>IF(P569="已退款",M569,0)</x:f>
        <x:v>0</x:v>
      </x:c>
      <x:c r="R569" s="97" t="n">
        <x:f>IF(P569="已退款",O569,0)</x:f>
        <x:v>0</x:v>
      </x:c>
      <x:c r="S569" s="97" t="n">
        <x:f>O569-R569</x:f>
        <x:v>35.45</x:v>
      </x:c>
      <x:c r="T569" s="94" t="n">
        <x:v>2</x:v>
      </x:c>
      <x:c r="U569" s="94" t="str">
        <x:v>模拟：Amazon Associates订单回传</x:v>
      </x:c>
    </x:row>
    <x:row r="570">
      <x:c r="A570" s="92" t="str">
        <x:v>AMZ-ORD-00569</x:v>
      </x:c>
      <x:c r="B570" s="94" t="str">
        <x:v>PROC-0568</x:v>
      </x:c>
      <x:c r="C570" s="108" t="n">
        <x:v>46126.71527777778</x:v>
      </x:c>
      <x:c r="D570" s="93" t="n">
        <x:v>46125</x:v>
      </x:c>
      <x:c r="E570" s="94" t="str">
        <x:v>Microsoft Ads</x:v>
      </x:c>
      <x:c r="F570" s="94" t="str">
        <x:v>英国</x:v>
      </x:c>
      <x:c r="G570" s="94" t="str">
        <x:v>通用搜索</x:v>
      </x:c>
      <x:c r="H570" s="94" t="str">
        <x:v>SKU-0013</x:v>
      </x:c>
      <x:c r="I570" s="94" t="str">
        <x:v>家居生活</x:v>
      </x:c>
      <x:c r="J570" s="94" t="str">
        <x:v>人体工学椅 C</x:v>
      </x:c>
      <x:c r="K570" s="97" t="n">
        <x:v>274.22</x:v>
      </x:c>
      <x:c r="L570" s="95" t="n">
        <x:v>1</x:v>
      </x:c>
      <x:c r="M570" s="97" t="n">
        <x:f>ROUND(K570*L570,2)</x:f>
        <x:v>274.22</x:v>
      </x:c>
      <x:c r="N570" s="109" t="n">
        <x:v>0.07</x:v>
      </x:c>
      <x:c r="O570" s="97" t="n">
        <x:f>ROUND(M570*N570,2)</x:f>
        <x:v>19.2</x:v>
      </x:c>
      <x:c r="P570" s="94" t="str">
        <x:v>已确认</x:v>
      </x:c>
      <x:c r="Q570" s="97" t="n">
        <x:f>IF(P570="已退款",M570,0)</x:f>
        <x:v>0</x:v>
      </x:c>
      <x:c r="R570" s="97" t="n">
        <x:f>IF(P570="已退款",O570,0)</x:f>
        <x:v>0</x:v>
      </x:c>
      <x:c r="S570" s="97" t="n">
        <x:f>O570-R570</x:f>
        <x:v>19.2</x:v>
      </x:c>
      <x:c r="T570" s="94" t="n">
        <x:v>1</x:v>
      </x:c>
      <x:c r="U570" s="94" t="str">
        <x:v>模拟：Amazon Associates订单回传</x:v>
      </x:c>
    </x:row>
    <x:row r="571">
      <x:c r="A571" s="92" t="str">
        <x:v>AMZ-ORD-00570</x:v>
      </x:c>
      <x:c r="B571" s="94" t="str">
        <x:v>PROC-0570</x:v>
      </x:c>
      <x:c r="C571" s="108" t="n">
        <x:v>46125.4625</x:v>
      </x:c>
      <x:c r="D571" s="93" t="n">
        <x:v>46125</x:v>
      </x:c>
      <x:c r="E571" s="94" t="str">
        <x:v>Google Ads</x:v>
      </x:c>
      <x:c r="F571" s="94" t="str">
        <x:v>美国</x:v>
      </x:c>
      <x:c r="G571" s="94" t="str">
        <x:v>购物广告</x:v>
      </x:c>
      <x:c r="H571" s="94" t="str">
        <x:v>SKU-0005</x:v>
      </x:c>
      <x:c r="I571" s="94" t="str">
        <x:v>电子产品</x:v>
      </x:c>
      <x:c r="J571" s="94" t="str">
        <x:v>降噪耳机 E</x:v>
      </x:c>
      <x:c r="K571" s="97" t="n">
        <x:v>582.52</x:v>
      </x:c>
      <x:c r="L571" s="95" t="n">
        <x:v>1</x:v>
      </x:c>
      <x:c r="M571" s="97" t="n">
        <x:f>ROUND(K571*L571,2)</x:f>
        <x:v>582.52</x:v>
      </x:c>
      <x:c r="N571" s="109" t="n">
        <x:v>0.05</x:v>
      </x:c>
      <x:c r="O571" s="97" t="n">
        <x:f>ROUND(M571*N571,2)</x:f>
        <x:v>29.13</x:v>
      </x:c>
      <x:c r="P571" s="94" t="str">
        <x:v>已确认</x:v>
      </x:c>
      <x:c r="Q571" s="97" t="n">
        <x:f>IF(P571="已退款",M571,0)</x:f>
        <x:v>0</x:v>
      </x:c>
      <x:c r="R571" s="97" t="n">
        <x:f>IF(P571="已退款",O571,0)</x:f>
        <x:v>0</x:v>
      </x:c>
      <x:c r="S571" s="97" t="n">
        <x:f>O571-R571</x:f>
        <x:v>29.13</x:v>
      </x:c>
      <x:c r="T571" s="94" t="n">
        <x:v>0</x:v>
      </x:c>
      <x:c r="U571" s="94" t="str">
        <x:v>模拟：Amazon Associates订单回传</x:v>
      </x:c>
    </x:row>
    <x:row r="572">
      <x:c r="A572" s="92" t="str">
        <x:v>AMZ-ORD-00571</x:v>
      </x:c>
      <x:c r="B572" s="94" t="str">
        <x:v>PROC-0571</x:v>
      </x:c>
      <x:c r="C572" s="108" t="n">
        <x:v>46127.61597222222</x:v>
      </x:c>
      <x:c r="D572" s="93" t="n">
        <x:v>46126</x:v>
      </x:c>
      <x:c r="E572" s="94" t="str">
        <x:v>Microsoft Ads</x:v>
      </x:c>
      <x:c r="F572" s="94" t="str">
        <x:v>美国</x:v>
      </x:c>
      <x:c r="G572" s="94" t="str">
        <x:v>通用搜索</x:v>
      </x:c>
      <x:c r="H572" s="94" t="str">
        <x:v>SKU-0036</x:v>
      </x:c>
      <x:c r="I572" s="94" t="str">
        <x:v>美妆个护</x:v>
      </x:c>
      <x:c r="J572" s="94" t="str">
        <x:v>剃须刀 F</x:v>
      </x:c>
      <x:c r="K572" s="97" t="n">
        <x:v>84.36</x:v>
      </x:c>
      <x:c r="L572" s="95" t="n">
        <x:v>1</x:v>
      </x:c>
      <x:c r="M572" s="97" t="n">
        <x:f>ROUND(K572*L572,2)</x:f>
        <x:v>84.36</x:v>
      </x:c>
      <x:c r="N572" s="109" t="n">
        <x:v>0.1</x:v>
      </x:c>
      <x:c r="O572" s="97" t="n">
        <x:f>ROUND(M572*N572,2)</x:f>
        <x:v>8.44</x:v>
      </x:c>
      <x:c r="P572" s="94" t="str">
        <x:v>已确认</x:v>
      </x:c>
      <x:c r="Q572" s="97" t="n">
        <x:f>IF(P572="已退款",M572,0)</x:f>
        <x:v>0</x:v>
      </x:c>
      <x:c r="R572" s="97" t="n">
        <x:f>IF(P572="已退款",O572,0)</x:f>
        <x:v>0</x:v>
      </x:c>
      <x:c r="S572" s="97" t="n">
        <x:f>O572-R572</x:f>
        <x:v>8.44</x:v>
      </x:c>
      <x:c r="T572" s="94" t="n">
        <x:v>1</x:v>
      </x:c>
      <x:c r="U572" s="94" t="str">
        <x:v>模拟：Amazon Associates订单回传</x:v>
      </x:c>
    </x:row>
    <x:row r="573">
      <x:c r="A573" s="92" t="str">
        <x:v>AMZ-ORD-00572</x:v>
      </x:c>
      <x:c r="B573" s="94" t="str">
        <x:v>PROC-0572</x:v>
      </x:c>
      <x:c r="C573" s="108" t="n">
        <x:v>46126.43263888889</x:v>
      </x:c>
      <x:c r="D573" s="93" t="n">
        <x:v>46126</x:v>
      </x:c>
      <x:c r="E573" s="94" t="str">
        <x:v>Microsoft Ads</x:v>
      </x:c>
      <x:c r="F573" s="94" t="str">
        <x:v>日本</x:v>
      </x:c>
      <x:c r="G573" s="94" t="str">
        <x:v>品牌搜索</x:v>
      </x:c>
      <x:c r="H573" s="94" t="str">
        <x:v>SKU-0015</x:v>
      </x:c>
      <x:c r="I573" s="94" t="str">
        <x:v>家居生活</x:v>
      </x:c>
      <x:c r="J573" s="94" t="str">
        <x:v>床品套装 E</x:v>
      </x:c>
      <x:c r="K573" s="97" t="n">
        <x:v>166.56</x:v>
      </x:c>
      <x:c r="L573" s="95" t="n">
        <x:v>1</x:v>
      </x:c>
      <x:c r="M573" s="97" t="n">
        <x:f>ROUND(K573*L573,2)</x:f>
        <x:v>166.56</x:v>
      </x:c>
      <x:c r="N573" s="109" t="n">
        <x:v>0.07</x:v>
      </x:c>
      <x:c r="O573" s="97" t="n">
        <x:f>ROUND(M573*N573,2)</x:f>
        <x:v>11.66</x:v>
      </x:c>
      <x:c r="P573" s="94" t="str">
        <x:v>待确认</x:v>
      </x:c>
      <x:c r="Q573" s="97" t="n">
        <x:f>IF(P573="已退款",M573,0)</x:f>
        <x:v>0</x:v>
      </x:c>
      <x:c r="R573" s="97" t="n">
        <x:f>IF(P573="已退款",O573,0)</x:f>
        <x:v>0</x:v>
      </x:c>
      <x:c r="S573" s="97" t="n">
        <x:f>O573-R573</x:f>
        <x:v>11.66</x:v>
      </x:c>
      <x:c r="T573" s="94" t="n">
        <x:v>0</x:v>
      </x:c>
      <x:c r="U573" s="94" t="str">
        <x:v>模拟：Amazon Associates订单回传</x:v>
      </x:c>
    </x:row>
    <x:row r="574">
      <x:c r="A574" s="92" t="str">
        <x:v>AMZ-ORD-00573</x:v>
      </x:c>
      <x:c r="B574" s="94" t="str">
        <x:v>PROC-0572</x:v>
      </x:c>
      <x:c r="C574" s="108" t="n">
        <x:v>46127.61875</x:v>
      </x:c>
      <x:c r="D574" s="93" t="n">
        <x:v>46126</x:v>
      </x:c>
      <x:c r="E574" s="94" t="str">
        <x:v>Microsoft Ads</x:v>
      </x:c>
      <x:c r="F574" s="94" t="str">
        <x:v>日本</x:v>
      </x:c>
      <x:c r="G574" s="94" t="str">
        <x:v>品牌搜索</x:v>
      </x:c>
      <x:c r="H574" s="94" t="str">
        <x:v>SKU-0004</x:v>
      </x:c>
      <x:c r="I574" s="94" t="str">
        <x:v>电子产品</x:v>
      </x:c>
      <x:c r="J574" s="94" t="str">
        <x:v>机械键盘 D</x:v>
      </x:c>
      <x:c r="K574" s="97" t="n">
        <x:v>309.6</x:v>
      </x:c>
      <x:c r="L574" s="95" t="n">
        <x:v>1</x:v>
      </x:c>
      <x:c r="M574" s="97" t="n">
        <x:f>ROUND(K574*L574,2)</x:f>
        <x:v>309.6</x:v>
      </x:c>
      <x:c r="N574" s="109" t="n">
        <x:v>0.05</x:v>
      </x:c>
      <x:c r="O574" s="97" t="n">
        <x:f>ROUND(M574*N574,2)</x:f>
        <x:v>15.48</x:v>
      </x:c>
      <x:c r="P574" s="94" t="str">
        <x:v>已确认</x:v>
      </x:c>
      <x:c r="Q574" s="97" t="n">
        <x:f>IF(P574="已退款",M574,0)</x:f>
        <x:v>0</x:v>
      </x:c>
      <x:c r="R574" s="97" t="n">
        <x:f>IF(P574="已退款",O574,0)</x:f>
        <x:v>0</x:v>
      </x:c>
      <x:c r="S574" s="97" t="n">
        <x:f>O574-R574</x:f>
        <x:v>15.48</x:v>
      </x:c>
      <x:c r="T574" s="94" t="n">
        <x:v>1</x:v>
      </x:c>
      <x:c r="U574" s="94" t="str">
        <x:v>模拟：Amazon Associates订单回传</x:v>
      </x:c>
    </x:row>
    <x:row r="575">
      <x:c r="A575" s="92" t="str">
        <x:v>AMZ-ORD-00574</x:v>
      </x:c>
      <x:c r="B575" s="94" t="str">
        <x:v>PROC-0574</x:v>
      </x:c>
      <x:c r="C575" s="108" t="n">
        <x:v>46128.606944444444</x:v>
      </x:c>
      <x:c r="D575" s="93" t="n">
        <x:v>46126</x:v>
      </x:c>
      <x:c r="E575" s="94" t="str">
        <x:v>Microsoft Ads</x:v>
      </x:c>
      <x:c r="F575" s="94" t="str">
        <x:v>美国</x:v>
      </x:c>
      <x:c r="G575" s="94" t="str">
        <x:v>购物广告</x:v>
      </x:c>
      <x:c r="H575" s="94" t="str">
        <x:v>SKU-0037</x:v>
      </x:c>
      <x:c r="I575" s="94" t="str">
        <x:v>美妆个护</x:v>
      </x:c>
      <x:c r="J575" s="94" t="str">
        <x:v>美容仪 G</x:v>
      </x:c>
      <x:c r="K575" s="97" t="n">
        <x:v>140.02</x:v>
      </x:c>
      <x:c r="L575" s="95" t="n">
        <x:v>1</x:v>
      </x:c>
      <x:c r="M575" s="97" t="n">
        <x:f>ROUND(K575*L575,2)</x:f>
        <x:v>140.02</x:v>
      </x:c>
      <x:c r="N575" s="109" t="n">
        <x:v>0.1</x:v>
      </x:c>
      <x:c r="O575" s="97" t="n">
        <x:f>ROUND(M575*N575,2)</x:f>
        <x:v>14</x:v>
      </x:c>
      <x:c r="P575" s="94" t="str">
        <x:v>已确认</x:v>
      </x:c>
      <x:c r="Q575" s="97" t="n">
        <x:f>IF(P575="已退款",M575,0)</x:f>
        <x:v>0</x:v>
      </x:c>
      <x:c r="R575" s="97" t="n">
        <x:f>IF(P575="已退款",O575,0)</x:f>
        <x:v>0</x:v>
      </x:c>
      <x:c r="S575" s="97" t="n">
        <x:f>O575-R575</x:f>
        <x:v>14</x:v>
      </x:c>
      <x:c r="T575" s="94" t="n">
        <x:v>2</x:v>
      </x:c>
      <x:c r="U575" s="94" t="str">
        <x:v>模拟：Amazon Associates订单回传</x:v>
      </x:c>
    </x:row>
    <x:row r="576">
      <x:c r="A576" s="92" t="str">
        <x:v>AMZ-ORD-00575</x:v>
      </x:c>
      <x:c r="B576" s="94" t="str">
        <x:v>PROC-0574</x:v>
      </x:c>
      <x:c r="C576" s="108" t="n">
        <x:v>46126.78472222222</x:v>
      </x:c>
      <x:c r="D576" s="93" t="n">
        <x:v>46126</x:v>
      </x:c>
      <x:c r="E576" s="94" t="str">
        <x:v>Microsoft Ads</x:v>
      </x:c>
      <x:c r="F576" s="94" t="str">
        <x:v>美国</x:v>
      </x:c>
      <x:c r="G576" s="94" t="str">
        <x:v>购物广告</x:v>
      </x:c>
      <x:c r="H576" s="94" t="str">
        <x:v>SKU-0009</x:v>
      </x:c>
      <x:c r="I576" s="94" t="str">
        <x:v>电子产品</x:v>
      </x:c>
      <x:c r="J576" s="94" t="str">
        <x:v>电子阅读器 I</x:v>
      </x:c>
      <x:c r="K576" s="97" t="n">
        <x:v>608.57</x:v>
      </x:c>
      <x:c r="L576" s="95" t="n">
        <x:v>1</x:v>
      </x:c>
      <x:c r="M576" s="97" t="n">
        <x:f>ROUND(K576*L576,2)</x:f>
        <x:v>608.57</x:v>
      </x:c>
      <x:c r="N576" s="109" t="n">
        <x:v>0.05</x:v>
      </x:c>
      <x:c r="O576" s="97" t="n">
        <x:f>ROUND(M576*N576,2)</x:f>
        <x:v>30.43</x:v>
      </x:c>
      <x:c r="P576" s="94" t="str">
        <x:v>已确认</x:v>
      </x:c>
      <x:c r="Q576" s="97" t="n">
        <x:f>IF(P576="已退款",M576,0)</x:f>
        <x:v>0</x:v>
      </x:c>
      <x:c r="R576" s="97" t="n">
        <x:f>IF(P576="已退款",O576,0)</x:f>
        <x:v>0</x:v>
      </x:c>
      <x:c r="S576" s="97" t="n">
        <x:f>O576-R576</x:f>
        <x:v>30.43</x:v>
      </x:c>
      <x:c r="T576" s="94" t="n">
        <x:v>0</x:v>
      </x:c>
      <x:c r="U576" s="94" t="str">
        <x:v>模拟：Amazon Associates订单回传</x:v>
      </x:c>
    </x:row>
    <x:row r="577">
      <x:c r="A577" s="92" t="str">
        <x:v>AMZ-ORD-00576</x:v>
      </x:c>
      <x:c r="B577" s="94" t="str">
        <x:v>PROC-0575</x:v>
      </x:c>
      <x:c r="C577" s="108" t="n">
        <x:v>46130.44861111111</x:v>
      </x:c>
      <x:c r="D577" s="93" t="n">
        <x:v>46126</x:v>
      </x:c>
      <x:c r="E577" s="94" t="str">
        <x:v>Google Ads</x:v>
      </x:c>
      <x:c r="F577" s="94" t="str">
        <x:v>英国</x:v>
      </x:c>
      <x:c r="G577" s="94" t="str">
        <x:v>通用搜索</x:v>
      </x:c>
      <x:c r="H577" s="94" t="str">
        <x:v>SKU-0020</x:v>
      </x:c>
      <x:c r="I577" s="94" t="str">
        <x:v>家居生活</x:v>
      </x:c>
      <x:c r="J577" s="94" t="str">
        <x:v>智能门锁 J</x:v>
      </x:c>
      <x:c r="K577" s="97" t="n">
        <x:v>296.23</x:v>
      </x:c>
      <x:c r="L577" s="95" t="n">
        <x:v>1</x:v>
      </x:c>
      <x:c r="M577" s="97" t="n">
        <x:f>ROUND(K577*L577,2)</x:f>
        <x:v>296.23</x:v>
      </x:c>
      <x:c r="N577" s="109" t="n">
        <x:v>0.07</x:v>
      </x:c>
      <x:c r="O577" s="97" t="n">
        <x:f>ROUND(M577*N577,2)</x:f>
        <x:v>20.74</x:v>
      </x:c>
      <x:c r="P577" s="94" t="str">
        <x:v>已确认</x:v>
      </x:c>
      <x:c r="Q577" s="97" t="n">
        <x:f>IF(P577="已退款",M577,0)</x:f>
        <x:v>0</x:v>
      </x:c>
      <x:c r="R577" s="97" t="n">
        <x:f>IF(P577="已退款",O577,0)</x:f>
        <x:v>0</x:v>
      </x:c>
      <x:c r="S577" s="97" t="n">
        <x:f>O577-R577</x:f>
        <x:v>20.74</x:v>
      </x:c>
      <x:c r="T577" s="94" t="n">
        <x:v>4</x:v>
      </x:c>
      <x:c r="U577" s="94" t="str">
        <x:v>模拟：Amazon Associates订单回传</x:v>
      </x:c>
    </x:row>
    <x:row r="578">
      <x:c r="A578" s="92" t="str">
        <x:v>AMZ-ORD-00577</x:v>
      </x:c>
      <x:c r="B578" s="94" t="str">
        <x:v>PROC-0576</x:v>
      </x:c>
      <x:c r="C578" s="108" t="n">
        <x:v>46129.44027777778</x:v>
      </x:c>
      <x:c r="D578" s="93" t="n">
        <x:v>46127</x:v>
      </x:c>
      <x:c r="E578" s="94" t="str">
        <x:v>Google Ads</x:v>
      </x:c>
      <x:c r="F578" s="94" t="str">
        <x:v>美国</x:v>
      </x:c>
      <x:c r="G578" s="94" t="str">
        <x:v>购物广告</x:v>
      </x:c>
      <x:c r="H578" s="94" t="str">
        <x:v>SKU-0015</x:v>
      </x:c>
      <x:c r="I578" s="94" t="str">
        <x:v>家居生活</x:v>
      </x:c>
      <x:c r="J578" s="94" t="str">
        <x:v>床品套装 E</x:v>
      </x:c>
      <x:c r="K578" s="97" t="n">
        <x:v>104.44</x:v>
      </x:c>
      <x:c r="L578" s="95" t="n">
        <x:v>1</x:v>
      </x:c>
      <x:c r="M578" s="97" t="n">
        <x:f>ROUND(K578*L578,2)</x:f>
        <x:v>104.44</x:v>
      </x:c>
      <x:c r="N578" s="109" t="n">
        <x:v>0.07</x:v>
      </x:c>
      <x:c r="O578" s="97" t="n">
        <x:f>ROUND(M578*N578,2)</x:f>
        <x:v>7.31</x:v>
      </x:c>
      <x:c r="P578" s="94" t="str">
        <x:v>已确认</x:v>
      </x:c>
      <x:c r="Q578" s="97" t="n">
        <x:f>IF(P578="已退款",M578,0)</x:f>
        <x:v>0</x:v>
      </x:c>
      <x:c r="R578" s="97" t="n">
        <x:f>IF(P578="已退款",O578,0)</x:f>
        <x:v>0</x:v>
      </x:c>
      <x:c r="S578" s="97" t="n">
        <x:f>O578-R578</x:f>
        <x:v>7.31</x:v>
      </x:c>
      <x:c r="T578" s="94" t="n">
        <x:v>2</x:v>
      </x:c>
      <x:c r="U578" s="94" t="str">
        <x:v>模拟：Amazon Associates订单回传</x:v>
      </x:c>
    </x:row>
    <x:row r="579">
      <x:c r="A579" s="92" t="str">
        <x:v>AMZ-ORD-00578</x:v>
      </x:c>
      <x:c r="B579" s="94" t="str">
        <x:v>PROC-0577</x:v>
      </x:c>
      <x:c r="C579" s="108" t="n">
        <x:v>46130.66180555556</x:v>
      </x:c>
      <x:c r="D579" s="93" t="n">
        <x:v>46127</x:v>
      </x:c>
      <x:c r="E579" s="94" t="str">
        <x:v>Microsoft Ads</x:v>
      </x:c>
      <x:c r="F579" s="94" t="str">
        <x:v>德国</x:v>
      </x:c>
      <x:c r="G579" s="94" t="str">
        <x:v>通用搜索</x:v>
      </x:c>
      <x:c r="H579" s="94" t="str">
        <x:v>SKU-0021</x:v>
      </x:c>
      <x:c r="I579" s="94" t="str">
        <x:v>运动健康</x:v>
      </x:c>
      <x:c r="J579" s="94" t="str">
        <x:v>智能手表 A</x:v>
      </x:c>
      <x:c r="K579" s="97" t="n">
        <x:v>156.03</x:v>
      </x:c>
      <x:c r="L579" s="95" t="n">
        <x:v>1</x:v>
      </x:c>
      <x:c r="M579" s="97" t="n">
        <x:f>ROUND(K579*L579,2)</x:f>
        <x:v>156.03</x:v>
      </x:c>
      <x:c r="N579" s="109" t="n">
        <x:v>0.08</x:v>
      </x:c>
      <x:c r="O579" s="97" t="n">
        <x:f>ROUND(M579*N579,2)</x:f>
        <x:v>12.48</x:v>
      </x:c>
      <x:c r="P579" s="94" t="str">
        <x:v>已退款</x:v>
      </x:c>
      <x:c r="Q579" s="97" t="n">
        <x:f>IF(P579="已退款",M579,0)</x:f>
        <x:v>156.03</x:v>
      </x:c>
      <x:c r="R579" s="97" t="n">
        <x:f>IF(P579="已退款",O579,0)</x:f>
        <x:v>12.48</x:v>
      </x:c>
      <x:c r="S579" s="97" t="n">
        <x:f>O579-R579</x:f>
        <x:v>0</x:v>
      </x:c>
      <x:c r="T579" s="94" t="n">
        <x:v>3</x:v>
      </x:c>
      <x:c r="U579" s="94" t="str">
        <x:v>模拟：Amazon Associates订单回传</x:v>
      </x:c>
    </x:row>
    <x:row r="580">
      <x:c r="A580" s="92" t="str">
        <x:v>AMZ-ORD-00579</x:v>
      </x:c>
      <x:c r="B580" s="94" t="str">
        <x:v>PROC-0578</x:v>
      </x:c>
      <x:c r="C580" s="108" t="n">
        <x:v>46129.64722222222</x:v>
      </x:c>
      <x:c r="D580" s="93" t="n">
        <x:v>46127</x:v>
      </x:c>
      <x:c r="E580" s="94" t="str">
        <x:v>Google Ads</x:v>
      </x:c>
      <x:c r="F580" s="94" t="str">
        <x:v>美国</x:v>
      </x:c>
      <x:c r="G580" s="94" t="str">
        <x:v>通用搜索</x:v>
      </x:c>
      <x:c r="H580" s="94" t="str">
        <x:v>SKU-0044</x:v>
      </x:c>
      <x:c r="I580" s="94" t="str">
        <x:v>办公学习</x:v>
      </x:c>
      <x:c r="J580" s="94" t="str">
        <x:v>数字笔记本 D</x:v>
      </x:c>
      <x:c r="K580" s="97" t="n">
        <x:v>65.62</x:v>
      </x:c>
      <x:c r="L580" s="95" t="n">
        <x:v>1</x:v>
      </x:c>
      <x:c r="M580" s="97" t="n">
        <x:f>ROUND(K580*L580,2)</x:f>
        <x:v>65.62</x:v>
      </x:c>
      <x:c r="N580" s="109" t="n">
        <x:v>0.07</x:v>
      </x:c>
      <x:c r="O580" s="97" t="n">
        <x:f>ROUND(M580*N580,2)</x:f>
        <x:v>4.59</x:v>
      </x:c>
      <x:c r="P580" s="94" t="str">
        <x:v>已确认</x:v>
      </x:c>
      <x:c r="Q580" s="97" t="n">
        <x:f>IF(P580="已退款",M580,0)</x:f>
        <x:v>0</x:v>
      </x:c>
      <x:c r="R580" s="97" t="n">
        <x:f>IF(P580="已退款",O580,0)</x:f>
        <x:v>0</x:v>
      </x:c>
      <x:c r="S580" s="97" t="n">
        <x:f>O580-R580</x:f>
        <x:v>4.59</x:v>
      </x:c>
      <x:c r="T580" s="94" t="n">
        <x:v>2</x:v>
      </x:c>
      <x:c r="U580" s="94" t="str">
        <x:v>模拟：Amazon Associates订单回传</x:v>
      </x:c>
    </x:row>
    <x:row r="581">
      <x:c r="A581" s="92" t="str">
        <x:v>AMZ-ORD-00580</x:v>
      </x:c>
      <x:c r="B581" s="94" t="str">
        <x:v>PROC-0580</x:v>
      </x:c>
      <x:c r="C581" s="108" t="n">
        <x:v>46131.73402777778</x:v>
      </x:c>
      <x:c r="D581" s="93" t="n">
        <x:v>46127</x:v>
      </x:c>
      <x:c r="E581" s="94" t="str">
        <x:v>Google Ads</x:v>
      </x:c>
      <x:c r="F581" s="94" t="str">
        <x:v>日本</x:v>
      </x:c>
      <x:c r="G581" s="94" t="str">
        <x:v>通用搜索</x:v>
      </x:c>
      <x:c r="H581" s="94" t="str">
        <x:v>SKU-0042</x:v>
      </x:c>
      <x:c r="I581" s="94" t="str">
        <x:v>办公学习</x:v>
      </x:c>
      <x:c r="J581" s="94" t="str">
        <x:v>护眼台灯 B</x:v>
      </x:c>
      <x:c r="K581" s="97" t="n">
        <x:v>123.51</x:v>
      </x:c>
      <x:c r="L581" s="95" t="n">
        <x:v>1</x:v>
      </x:c>
      <x:c r="M581" s="97" t="n">
        <x:f>ROUND(K581*L581,2)</x:f>
        <x:v>123.51</x:v>
      </x:c>
      <x:c r="N581" s="109" t="n">
        <x:v>0.07</x:v>
      </x:c>
      <x:c r="O581" s="97" t="n">
        <x:f>ROUND(M581*N581,2)</x:f>
        <x:v>8.65</x:v>
      </x:c>
      <x:c r="P581" s="94" t="str">
        <x:v>已确认</x:v>
      </x:c>
      <x:c r="Q581" s="97" t="n">
        <x:f>IF(P581="已退款",M581,0)</x:f>
        <x:v>0</x:v>
      </x:c>
      <x:c r="R581" s="97" t="n">
        <x:f>IF(P581="已退款",O581,0)</x:f>
        <x:v>0</x:v>
      </x:c>
      <x:c r="S581" s="97" t="n">
        <x:f>O581-R581</x:f>
        <x:v>8.65</x:v>
      </x:c>
      <x:c r="T581" s="94" t="n">
        <x:v>4</x:v>
      </x:c>
      <x:c r="U581" s="94" t="str">
        <x:v>模拟：Amazon Associates订单回传</x:v>
      </x:c>
    </x:row>
    <x:row r="582">
      <x:c r="A582" s="92" t="str">
        <x:v>AMZ-ORD-00581</x:v>
      </x:c>
      <x:c r="B582" s="94" t="str">
        <x:v>PROC-0581</x:v>
      </x:c>
      <x:c r="C582" s="108" t="n">
        <x:v>46130.72777777778</x:v>
      </x:c>
      <x:c r="D582" s="93" t="n">
        <x:v>46127</x:v>
      </x:c>
      <x:c r="E582" s="94" t="str">
        <x:v>Microsoft Ads</x:v>
      </x:c>
      <x:c r="F582" s="94" t="str">
        <x:v>德国</x:v>
      </x:c>
      <x:c r="G582" s="94" t="str">
        <x:v>品牌搜索</x:v>
      </x:c>
      <x:c r="H582" s="94" t="str">
        <x:v>SKU-0037</x:v>
      </x:c>
      <x:c r="I582" s="94" t="str">
        <x:v>美妆个护</x:v>
      </x:c>
      <x:c r="J582" s="94" t="str">
        <x:v>美容仪 G</x:v>
      </x:c>
      <x:c r="K582" s="97" t="n">
        <x:v>116.17</x:v>
      </x:c>
      <x:c r="L582" s="95" t="n">
        <x:v>1</x:v>
      </x:c>
      <x:c r="M582" s="97" t="n">
        <x:f>ROUND(K582*L582,2)</x:f>
        <x:v>116.17</x:v>
      </x:c>
      <x:c r="N582" s="109" t="n">
        <x:v>0.1</x:v>
      </x:c>
      <x:c r="O582" s="97" t="n">
        <x:f>ROUND(M582*N582,2)</x:f>
        <x:v>11.62</x:v>
      </x:c>
      <x:c r="P582" s="94" t="str">
        <x:v>已确认</x:v>
      </x:c>
      <x:c r="Q582" s="97" t="n">
        <x:f>IF(P582="已退款",M582,0)</x:f>
        <x:v>0</x:v>
      </x:c>
      <x:c r="R582" s="97" t="n">
        <x:f>IF(P582="已退款",O582,0)</x:f>
        <x:v>0</x:v>
      </x:c>
      <x:c r="S582" s="97" t="n">
        <x:f>O582-R582</x:f>
        <x:v>11.62</x:v>
      </x:c>
      <x:c r="T582" s="94" t="n">
        <x:v>3</x:v>
      </x:c>
      <x:c r="U582" s="94" t="str">
        <x:v>模拟：Amazon Associates订单回传</x:v>
      </x:c>
    </x:row>
    <x:row r="583">
      <x:c r="A583" s="92" t="str">
        <x:v>AMZ-ORD-00582</x:v>
      </x:c>
      <x:c r="B583" s="94" t="str">
        <x:v>PROC-0581</x:v>
      </x:c>
      <x:c r="C583" s="108" t="n">
        <x:v>46129.71111111111</x:v>
      </x:c>
      <x:c r="D583" s="93" t="n">
        <x:v>46127</x:v>
      </x:c>
      <x:c r="E583" s="94" t="str">
        <x:v>Microsoft Ads</x:v>
      </x:c>
      <x:c r="F583" s="94" t="str">
        <x:v>德国</x:v>
      </x:c>
      <x:c r="G583" s="94" t="str">
        <x:v>品牌搜索</x:v>
      </x:c>
      <x:c r="H583" s="94" t="str">
        <x:v>SKU-0046</x:v>
      </x:c>
      <x:c r="I583" s="94" t="str">
        <x:v>办公学习</x:v>
      </x:c>
      <x:c r="J583" s="94" t="str">
        <x:v>高清摄像头 F</x:v>
      </x:c>
      <x:c r="K583" s="97" t="n">
        <x:v>115.29</x:v>
      </x:c>
      <x:c r="L583" s="95" t="n">
        <x:v>1</x:v>
      </x:c>
      <x:c r="M583" s="97" t="n">
        <x:f>ROUND(K583*L583,2)</x:f>
        <x:v>115.29</x:v>
      </x:c>
      <x:c r="N583" s="109" t="n">
        <x:v>0.07</x:v>
      </x:c>
      <x:c r="O583" s="97" t="n">
        <x:f>ROUND(M583*N583,2)</x:f>
        <x:v>8.07</x:v>
      </x:c>
      <x:c r="P583" s="94" t="str">
        <x:v>已确认</x:v>
      </x:c>
      <x:c r="Q583" s="97" t="n">
        <x:f>IF(P583="已退款",M583,0)</x:f>
        <x:v>0</x:v>
      </x:c>
      <x:c r="R583" s="97" t="n">
        <x:f>IF(P583="已退款",O583,0)</x:f>
        <x:v>0</x:v>
      </x:c>
      <x:c r="S583" s="97" t="n">
        <x:f>O583-R583</x:f>
        <x:v>8.07</x:v>
      </x:c>
      <x:c r="T583" s="94" t="n">
        <x:v>2</x:v>
      </x:c>
      <x:c r="U583" s="94" t="str">
        <x:v>模拟：Amazon Associates订单回传</x:v>
      </x:c>
    </x:row>
    <x:row r="584">
      <x:c r="A584" s="92" t="str">
        <x:v>AMZ-ORD-00583</x:v>
      </x:c>
      <x:c r="B584" s="94" t="str">
        <x:v>PROC-0582</x:v>
      </x:c>
      <x:c r="C584" s="108" t="n">
        <x:v>46129.631944444445</x:v>
      </x:c>
      <x:c r="D584" s="93" t="n">
        <x:v>46128</x:v>
      </x:c>
      <x:c r="E584" s="94" t="str">
        <x:v>Google Ads</x:v>
      </x:c>
      <x:c r="F584" s="94" t="str">
        <x:v>日本</x:v>
      </x:c>
      <x:c r="G584" s="94" t="str">
        <x:v>品牌搜索</x:v>
      </x:c>
      <x:c r="H584" s="94" t="str">
        <x:v>SKU-0031</x:v>
      </x:c>
      <x:c r="I584" s="94" t="str">
        <x:v>美妆个护</x:v>
      </x:c>
      <x:c r="J584" s="94" t="str">
        <x:v>洁面仪 A</x:v>
      </x:c>
      <x:c r="K584" s="97" t="n">
        <x:v>35.63</x:v>
      </x:c>
      <x:c r="L584" s="95" t="n">
        <x:v>1</x:v>
      </x:c>
      <x:c r="M584" s="97" t="n">
        <x:f>ROUND(K584*L584,2)</x:f>
        <x:v>35.63</x:v>
      </x:c>
      <x:c r="N584" s="109" t="n">
        <x:v>0.1</x:v>
      </x:c>
      <x:c r="O584" s="97" t="n">
        <x:f>ROUND(M584*N584,2)</x:f>
        <x:v>3.56</x:v>
      </x:c>
      <x:c r="P584" s="94" t="str">
        <x:v>已确认</x:v>
      </x:c>
      <x:c r="Q584" s="97" t="n">
        <x:f>IF(P584="已退款",M584,0)</x:f>
        <x:v>0</x:v>
      </x:c>
      <x:c r="R584" s="97" t="n">
        <x:f>IF(P584="已退款",O584,0)</x:f>
        <x:v>0</x:v>
      </x:c>
      <x:c r="S584" s="97" t="n">
        <x:f>O584-R584</x:f>
        <x:v>3.56</x:v>
      </x:c>
      <x:c r="T584" s="94" t="n">
        <x:v>1</x:v>
      </x:c>
      <x:c r="U584" s="94" t="str">
        <x:v>模拟：Amazon Associates订单回传</x:v>
      </x:c>
    </x:row>
    <x:row r="585">
      <x:c r="A585" s="92" t="str">
        <x:v>AMZ-ORD-00584</x:v>
      </x:c>
      <x:c r="B585" s="94" t="str">
        <x:v>PROC-0583</x:v>
      </x:c>
      <x:c r="C585" s="108" t="n">
        <x:v>46130.538194444445</x:v>
      </x:c>
      <x:c r="D585" s="93" t="n">
        <x:v>46128</x:v>
      </x:c>
      <x:c r="E585" s="94" t="str">
        <x:v>Google Ads</x:v>
      </x:c>
      <x:c r="F585" s="94" t="str">
        <x:v>美国</x:v>
      </x:c>
      <x:c r="G585" s="94" t="str">
        <x:v>购物广告</x:v>
      </x:c>
      <x:c r="H585" s="94" t="str">
        <x:v>SKU-0016</x:v>
      </x:c>
      <x:c r="I585" s="94" t="str">
        <x:v>家居生活</x:v>
      </x:c>
      <x:c r="J585" s="94" t="str">
        <x:v>厨师机 F</x:v>
      </x:c>
      <x:c r="K585" s="97" t="n">
        <x:v>160.23</x:v>
      </x:c>
      <x:c r="L585" s="95" t="n">
        <x:v>1</x:v>
      </x:c>
      <x:c r="M585" s="97" t="n">
        <x:f>ROUND(K585*L585,2)</x:f>
        <x:v>160.23</x:v>
      </x:c>
      <x:c r="N585" s="109" t="n">
        <x:v>0.07</x:v>
      </x:c>
      <x:c r="O585" s="97" t="n">
        <x:f>ROUND(M585*N585,2)</x:f>
        <x:v>11.22</x:v>
      </x:c>
      <x:c r="P585" s="94" t="str">
        <x:v>已确认</x:v>
      </x:c>
      <x:c r="Q585" s="97" t="n">
        <x:f>IF(P585="已退款",M585,0)</x:f>
        <x:v>0</x:v>
      </x:c>
      <x:c r="R585" s="97" t="n">
        <x:f>IF(P585="已退款",O585,0)</x:f>
        <x:v>0</x:v>
      </x:c>
      <x:c r="S585" s="97" t="n">
        <x:f>O585-R585</x:f>
        <x:v>11.22</x:v>
      </x:c>
      <x:c r="T585" s="94" t="n">
        <x:v>2</x:v>
      </x:c>
      <x:c r="U585" s="94" t="str">
        <x:v>模拟：Amazon Associates订单回传</x:v>
      </x:c>
    </x:row>
    <x:row r="586">
      <x:c r="A586" s="92" t="str">
        <x:v>AMZ-ORD-00585</x:v>
      </x:c>
      <x:c r="B586" s="94" t="str">
        <x:v>PROC-0583</x:v>
      </x:c>
      <x:c r="C586" s="108" t="n">
        <x:v>46131.63055555556</x:v>
      </x:c>
      <x:c r="D586" s="93" t="n">
        <x:v>46128</x:v>
      </x:c>
      <x:c r="E586" s="94" t="str">
        <x:v>Google Ads</x:v>
      </x:c>
      <x:c r="F586" s="94" t="str">
        <x:v>美国</x:v>
      </x:c>
      <x:c r="G586" s="94" t="str">
        <x:v>购物广告</x:v>
      </x:c>
      <x:c r="H586" s="94" t="str">
        <x:v>SKU-0027</x:v>
      </x:c>
      <x:c r="I586" s="94" t="str">
        <x:v>运动健康</x:v>
      </x:c>
      <x:c r="J586" s="94" t="str">
        <x:v>户外背包 G</x:v>
      </x:c>
      <x:c r="K586" s="97" t="n">
        <x:v>279.76</x:v>
      </x:c>
      <x:c r="L586" s="95" t="n">
        <x:v>1</x:v>
      </x:c>
      <x:c r="M586" s="97" t="n">
        <x:f>ROUND(K586*L586,2)</x:f>
        <x:v>279.76</x:v>
      </x:c>
      <x:c r="N586" s="109" t="n">
        <x:v>0.08</x:v>
      </x:c>
      <x:c r="O586" s="97" t="n">
        <x:f>ROUND(M586*N586,2)</x:f>
        <x:v>22.38</x:v>
      </x:c>
      <x:c r="P586" s="94" t="str">
        <x:v>已确认</x:v>
      </x:c>
      <x:c r="Q586" s="97" t="n">
        <x:f>IF(P586="已退款",M586,0)</x:f>
        <x:v>0</x:v>
      </x:c>
      <x:c r="R586" s="97" t="n">
        <x:f>IF(P586="已退款",O586,0)</x:f>
        <x:v>0</x:v>
      </x:c>
      <x:c r="S586" s="97" t="n">
        <x:f>O586-R586</x:f>
        <x:v>22.38</x:v>
      </x:c>
      <x:c r="T586" s="94" t="n">
        <x:v>3</x:v>
      </x:c>
      <x:c r="U586" s="94" t="str">
        <x:v>模拟：Amazon Associates订单回传</x:v>
      </x:c>
    </x:row>
    <x:row r="587">
      <x:c r="A587" s="92" t="str">
        <x:v>AMZ-ORD-00586</x:v>
      </x:c>
      <x:c r="B587" s="94" t="str">
        <x:v>PROC-0584</x:v>
      </x:c>
      <x:c r="C587" s="108" t="n">
        <x:v>46129.51527777778</x:v>
      </x:c>
      <x:c r="D587" s="93" t="n">
        <x:v>46128</x:v>
      </x:c>
      <x:c r="E587" s="94" t="str">
        <x:v>Microsoft Ads</x:v>
      </x:c>
      <x:c r="F587" s="94" t="str">
        <x:v>美国</x:v>
      </x:c>
      <x:c r="G587" s="94" t="str">
        <x:v>购物广告</x:v>
      </x:c>
      <x:c r="H587" s="94" t="str">
        <x:v>SKU-0024</x:v>
      </x:c>
      <x:c r="I587" s="94" t="str">
        <x:v>运动健康</x:v>
      </x:c>
      <x:c r="J587" s="94" t="str">
        <x:v>筋膜枪 D</x:v>
      </x:c>
      <x:c r="K587" s="97" t="n">
        <x:v>121.39</x:v>
      </x:c>
      <x:c r="L587" s="95" t="n">
        <x:v>3</x:v>
      </x:c>
      <x:c r="M587" s="97" t="n">
        <x:f>ROUND(K587*L587,2)</x:f>
        <x:v>364.17</x:v>
      </x:c>
      <x:c r="N587" s="109" t="n">
        <x:v>0.08</x:v>
      </x:c>
      <x:c r="O587" s="97" t="n">
        <x:f>ROUND(M587*N587,2)</x:f>
        <x:v>29.13</x:v>
      </x:c>
      <x:c r="P587" s="94" t="str">
        <x:v>已确认</x:v>
      </x:c>
      <x:c r="Q587" s="97" t="n">
        <x:f>IF(P587="已退款",M587,0)</x:f>
        <x:v>0</x:v>
      </x:c>
      <x:c r="R587" s="97" t="n">
        <x:f>IF(P587="已退款",O587,0)</x:f>
        <x:v>0</x:v>
      </x:c>
      <x:c r="S587" s="97" t="n">
        <x:f>O587-R587</x:f>
        <x:v>29.13</x:v>
      </x:c>
      <x:c r="T587" s="94" t="n">
        <x:v>1</x:v>
      </x:c>
      <x:c r="U587" s="94" t="str">
        <x:v>模拟：Amazon Associates订单回传</x:v>
      </x:c>
    </x:row>
    <x:row r="588">
      <x:c r="A588" s="92" t="str">
        <x:v>AMZ-ORD-00587</x:v>
      </x:c>
      <x:c r="B588" s="94" t="str">
        <x:v>PROC-0584</x:v>
      </x:c>
      <x:c r="C588" s="108" t="n">
        <x:v>46132.342361111114</x:v>
      </x:c>
      <x:c r="D588" s="93" t="n">
        <x:v>46128</x:v>
      </x:c>
      <x:c r="E588" s="94" t="str">
        <x:v>Microsoft Ads</x:v>
      </x:c>
      <x:c r="F588" s="94" t="str">
        <x:v>美国</x:v>
      </x:c>
      <x:c r="G588" s="94" t="str">
        <x:v>购物广告</x:v>
      </x:c>
      <x:c r="H588" s="94" t="str">
        <x:v>SKU-0035</x:v>
      </x:c>
      <x:c r="I588" s="94" t="str">
        <x:v>美妆个护</x:v>
      </x:c>
      <x:c r="J588" s="94" t="str">
        <x:v>香氛礼盒 E</x:v>
      </x:c>
      <x:c r="K588" s="97" t="n">
        <x:v>66.63</x:v>
      </x:c>
      <x:c r="L588" s="95" t="n">
        <x:v>1</x:v>
      </x:c>
      <x:c r="M588" s="97" t="n">
        <x:f>ROUND(K588*L588,2)</x:f>
        <x:v>66.63</x:v>
      </x:c>
      <x:c r="N588" s="109" t="n">
        <x:v>0.1</x:v>
      </x:c>
      <x:c r="O588" s="97" t="n">
        <x:f>ROUND(M588*N588,2)</x:f>
        <x:v>6.66</x:v>
      </x:c>
      <x:c r="P588" s="94" t="str">
        <x:v>已确认</x:v>
      </x:c>
      <x:c r="Q588" s="97" t="n">
        <x:f>IF(P588="已退款",M588,0)</x:f>
        <x:v>0</x:v>
      </x:c>
      <x:c r="R588" s="97" t="n">
        <x:f>IF(P588="已退款",O588,0)</x:f>
        <x:v>0</x:v>
      </x:c>
      <x:c r="S588" s="97" t="n">
        <x:f>O588-R588</x:f>
        <x:v>6.66</x:v>
      </x:c>
      <x:c r="T588" s="94" t="n">
        <x:v>4</x:v>
      </x:c>
      <x:c r="U588" s="94" t="str">
        <x:v>模拟：Amazon Associates订单回传</x:v>
      </x:c>
    </x:row>
    <x:row r="589">
      <x:c r="A589" s="92" t="str">
        <x:v>AMZ-ORD-00588</x:v>
      </x:c>
      <x:c r="B589" s="94" t="str">
        <x:v>PROC-0586</x:v>
      </x:c>
      <x:c r="C589" s="108" t="n">
        <x:v>46132.725694444445</x:v>
      </x:c>
      <x:c r="D589" s="93" t="n">
        <x:v>46128</x:v>
      </x:c>
      <x:c r="E589" s="94" t="str">
        <x:v>Google Ads</x:v>
      </x:c>
      <x:c r="F589" s="94" t="str">
        <x:v>美国</x:v>
      </x:c>
      <x:c r="G589" s="94" t="str">
        <x:v>竞品搜索</x:v>
      </x:c>
      <x:c r="H589" s="94" t="str">
        <x:v>SKU-0020</x:v>
      </x:c>
      <x:c r="I589" s="94" t="str">
        <x:v>家居生活</x:v>
      </x:c>
      <x:c r="J589" s="94" t="str">
        <x:v>智能门锁 J</x:v>
      </x:c>
      <x:c r="K589" s="97" t="n">
        <x:v>335.57</x:v>
      </x:c>
      <x:c r="L589" s="95" t="n">
        <x:v>1</x:v>
      </x:c>
      <x:c r="M589" s="97" t="n">
        <x:f>ROUND(K589*L589,2)</x:f>
        <x:v>335.57</x:v>
      </x:c>
      <x:c r="N589" s="109" t="n">
        <x:v>0.07</x:v>
      </x:c>
      <x:c r="O589" s="97" t="n">
        <x:f>ROUND(M589*N589,2)</x:f>
        <x:v>23.49</x:v>
      </x:c>
      <x:c r="P589" s="94" t="str">
        <x:v>已确认</x:v>
      </x:c>
      <x:c r="Q589" s="97" t="n">
        <x:f>IF(P589="已退款",M589,0)</x:f>
        <x:v>0</x:v>
      </x:c>
      <x:c r="R589" s="97" t="n">
        <x:f>IF(P589="已退款",O589,0)</x:f>
        <x:v>0</x:v>
      </x:c>
      <x:c r="S589" s="97" t="n">
        <x:f>O589-R589</x:f>
        <x:v>23.49</x:v>
      </x:c>
      <x:c r="T589" s="94" t="n">
        <x:v>4</x:v>
      </x:c>
      <x:c r="U589" s="94" t="str">
        <x:v>模拟：Amazon Associates订单回传</x:v>
      </x:c>
    </x:row>
    <x:row r="590">
      <x:c r="A590" s="92" t="str">
        <x:v>AMZ-ORD-00589</x:v>
      </x:c>
      <x:c r="B590" s="94" t="str">
        <x:v>PROC-0587</x:v>
      </x:c>
      <x:c r="C590" s="108" t="n">
        <x:v>46129.55625</x:v>
      </x:c>
      <x:c r="D590" s="93" t="n">
        <x:v>46129</x:v>
      </x:c>
      <x:c r="E590" s="94" t="str">
        <x:v>Microsoft Ads</x:v>
      </x:c>
      <x:c r="F590" s="94" t="str">
        <x:v>日本</x:v>
      </x:c>
      <x:c r="G590" s="94" t="str">
        <x:v>购物广告</x:v>
      </x:c>
      <x:c r="H590" s="94" t="str">
        <x:v>SKU-0003</x:v>
      </x:c>
      <x:c r="I590" s="94" t="str">
        <x:v>电子产品</x:v>
      </x:c>
      <x:c r="J590" s="94" t="str">
        <x:v>智能家居中枢 C</x:v>
      </x:c>
      <x:c r="K590" s="97" t="n">
        <x:v>533.8</x:v>
      </x:c>
      <x:c r="L590" s="95" t="n">
        <x:v>2</x:v>
      </x:c>
      <x:c r="M590" s="97" t="n">
        <x:f>ROUND(K590*L590,2)</x:f>
        <x:v>1067.6</x:v>
      </x:c>
      <x:c r="N590" s="109" t="n">
        <x:v>0.05</x:v>
      </x:c>
      <x:c r="O590" s="97" t="n">
        <x:f>ROUND(M590*N590,2)</x:f>
        <x:v>53.38</x:v>
      </x:c>
      <x:c r="P590" s="94" t="str">
        <x:v>已确认</x:v>
      </x:c>
      <x:c r="Q590" s="97" t="n">
        <x:f>IF(P590="已退款",M590,0)</x:f>
        <x:v>0</x:v>
      </x:c>
      <x:c r="R590" s="97" t="n">
        <x:f>IF(P590="已退款",O590,0)</x:f>
        <x:v>0</x:v>
      </x:c>
      <x:c r="S590" s="97" t="n">
        <x:f>O590-R590</x:f>
        <x:v>53.38</x:v>
      </x:c>
      <x:c r="T590" s="94" t="n">
        <x:v>0</x:v>
      </x:c>
      <x:c r="U590" s="94" t="str">
        <x:v>模拟：Amazon Associates订单回传</x:v>
      </x:c>
    </x:row>
    <x:row r="591">
      <x:c r="A591" s="92" t="str">
        <x:v>AMZ-ORD-00590</x:v>
      </x:c>
      <x:c r="B591" s="94" t="str">
        <x:v>PROC-0588</x:v>
      </x:c>
      <x:c r="C591" s="108" t="n">
        <x:v>46129.36875</x:v>
      </x:c>
      <x:c r="D591" s="93" t="n">
        <x:v>46129</x:v>
      </x:c>
      <x:c r="E591" s="94" t="str">
        <x:v>Microsoft Ads</x:v>
      </x:c>
      <x:c r="F591" s="94" t="str">
        <x:v>英国</x:v>
      </x:c>
      <x:c r="G591" s="94" t="str">
        <x:v>通用搜索</x:v>
      </x:c>
      <x:c r="H591" s="94" t="str">
        <x:v>SKU-0025</x:v>
      </x:c>
      <x:c r="I591" s="94" t="str">
        <x:v>运动健康</x:v>
      </x:c>
      <x:c r="J591" s="94" t="str">
        <x:v>跑步机配件 E</x:v>
      </x:c>
      <x:c r="K591" s="97" t="n">
        <x:v>119.39</x:v>
      </x:c>
      <x:c r="L591" s="95" t="n">
        <x:v>1</x:v>
      </x:c>
      <x:c r="M591" s="97" t="n">
        <x:f>ROUND(K591*L591,2)</x:f>
        <x:v>119.39</x:v>
      </x:c>
      <x:c r="N591" s="109" t="n">
        <x:v>0.08</x:v>
      </x:c>
      <x:c r="O591" s="97" t="n">
        <x:f>ROUND(M591*N591,2)</x:f>
        <x:v>9.55</x:v>
      </x:c>
      <x:c r="P591" s="94" t="str">
        <x:v>已退款</x:v>
      </x:c>
      <x:c r="Q591" s="97" t="n">
        <x:f>IF(P591="已退款",M591,0)</x:f>
        <x:v>119.39</x:v>
      </x:c>
      <x:c r="R591" s="97" t="n">
        <x:f>IF(P591="已退款",O591,0)</x:f>
        <x:v>9.55</x:v>
      </x:c>
      <x:c r="S591" s="97" t="n">
        <x:f>O591-R591</x:f>
        <x:v>0</x:v>
      </x:c>
      <x:c r="T591" s="94" t="n">
        <x:v>0</x:v>
      </x:c>
      <x:c r="U591" s="94" t="str">
        <x:v>模拟：Amazon Associates订单回传</x:v>
      </x:c>
    </x:row>
    <x:row r="592">
      <x:c r="A592" s="92" t="str">
        <x:v>AMZ-ORD-00591</x:v>
      </x:c>
      <x:c r="B592" s="94" t="str">
        <x:v>PROC-0590</x:v>
      </x:c>
      <x:c r="C592" s="108" t="n">
        <x:v>46129.87222222222</x:v>
      </x:c>
      <x:c r="D592" s="93" t="n">
        <x:v>46129</x:v>
      </x:c>
      <x:c r="E592" s="94" t="str">
        <x:v>Google Ads</x:v>
      </x:c>
      <x:c r="F592" s="94" t="str">
        <x:v>日本</x:v>
      </x:c>
      <x:c r="G592" s="94" t="str">
        <x:v>购物广告</x:v>
      </x:c>
      <x:c r="H592" s="94" t="str">
        <x:v>SKU-0017</x:v>
      </x:c>
      <x:c r="I592" s="94" t="str">
        <x:v>家居生活</x:v>
      </x:c>
      <x:c r="J592" s="94" t="str">
        <x:v>落地灯 G</x:v>
      </x:c>
      <x:c r="K592" s="97" t="n">
        <x:v>271.2</x:v>
      </x:c>
      <x:c r="L592" s="95" t="n">
        <x:v>2</x:v>
      </x:c>
      <x:c r="M592" s="97" t="n">
        <x:f>ROUND(K592*L592,2)</x:f>
        <x:v>542.4</x:v>
      </x:c>
      <x:c r="N592" s="109" t="n">
        <x:v>0.07</x:v>
      </x:c>
      <x:c r="O592" s="97" t="n">
        <x:f>ROUND(M592*N592,2)</x:f>
        <x:v>37.97</x:v>
      </x:c>
      <x:c r="P592" s="94" t="str">
        <x:v>已确认</x:v>
      </x:c>
      <x:c r="Q592" s="97" t="n">
        <x:f>IF(P592="已退款",M592,0)</x:f>
        <x:v>0</x:v>
      </x:c>
      <x:c r="R592" s="97" t="n">
        <x:f>IF(P592="已退款",O592,0)</x:f>
        <x:v>0</x:v>
      </x:c>
      <x:c r="S592" s="97" t="n">
        <x:f>O592-R592</x:f>
        <x:v>37.97</x:v>
      </x:c>
      <x:c r="T592" s="94" t="n">
        <x:v>0</x:v>
      </x:c>
      <x:c r="U592" s="94" t="str">
        <x:v>模拟：Amazon Associates订单回传</x:v>
      </x:c>
    </x:row>
    <x:row r="593">
      <x:c r="A593" s="92" t="str">
        <x:v>AMZ-ORD-00592</x:v>
      </x:c>
      <x:c r="B593" s="94" t="str">
        <x:v>PROC-0591</x:v>
      </x:c>
      <x:c r="C593" s="108" t="n">
        <x:v>46129.37847222222</x:v>
      </x:c>
      <x:c r="D593" s="93" t="n">
        <x:v>46129</x:v>
      </x:c>
      <x:c r="E593" s="94" t="str">
        <x:v>Google Ads</x:v>
      </x:c>
      <x:c r="F593" s="94" t="str">
        <x:v>英国</x:v>
      </x:c>
      <x:c r="G593" s="94" t="str">
        <x:v>品牌搜索</x:v>
      </x:c>
      <x:c r="H593" s="94" t="str">
        <x:v>SKU-0019</x:v>
      </x:c>
      <x:c r="I593" s="94" t="str">
        <x:v>家居生活</x:v>
      </x:c>
      <x:c r="J593" s="94" t="str">
        <x:v>无线吸尘器 I</x:v>
      </x:c>
      <x:c r="K593" s="97" t="n">
        <x:v>250</x:v>
      </x:c>
      <x:c r="L593" s="95" t="n">
        <x:v>1</x:v>
      </x:c>
      <x:c r="M593" s="97" t="n">
        <x:f>ROUND(K593*L593,2)</x:f>
        <x:v>250</x:v>
      </x:c>
      <x:c r="N593" s="109" t="n">
        <x:v>0.07</x:v>
      </x:c>
      <x:c r="O593" s="97" t="n">
        <x:f>ROUND(M593*N593,2)</x:f>
        <x:v>17.5</x:v>
      </x:c>
      <x:c r="P593" s="94" t="str">
        <x:v>已确认</x:v>
      </x:c>
      <x:c r="Q593" s="97" t="n">
        <x:f>IF(P593="已退款",M593,0)</x:f>
        <x:v>0</x:v>
      </x:c>
      <x:c r="R593" s="97" t="n">
        <x:f>IF(P593="已退款",O593,0)</x:f>
        <x:v>0</x:v>
      </x:c>
      <x:c r="S593" s="97" t="n">
        <x:f>O593-R593</x:f>
        <x:v>17.5</x:v>
      </x:c>
      <x:c r="T593" s="94" t="n">
        <x:v>0</x:v>
      </x:c>
      <x:c r="U593" s="94" t="str">
        <x:v>模拟：Amazon Associates订单回传</x:v>
      </x:c>
    </x:row>
    <x:row r="594">
      <x:c r="A594" s="92" t="str">
        <x:v>AMZ-ORD-00593</x:v>
      </x:c>
      <x:c r="B594" s="94" t="str">
        <x:v>PROC-0592</x:v>
      </x:c>
      <x:c r="C594" s="108" t="n">
        <x:v>46130.89861111111</x:v>
      </x:c>
      <x:c r="D594" s="93" t="n">
        <x:v>46129</x:v>
      </x:c>
      <x:c r="E594" s="94" t="str">
        <x:v>Google Ads</x:v>
      </x:c>
      <x:c r="F594" s="94" t="str">
        <x:v>美国</x:v>
      </x:c>
      <x:c r="G594" s="94" t="str">
        <x:v>通用搜索</x:v>
      </x:c>
      <x:c r="H594" s="94" t="str">
        <x:v>SKU-0001</x:v>
      </x:c>
      <x:c r="I594" s="94" t="str">
        <x:v>电子产品</x:v>
      </x:c>
      <x:c r="J594" s="94" t="str">
        <x:v>无线耳机 A</x:v>
      </x:c>
      <x:c r="K594" s="97" t="n">
        <x:v>370.94</x:v>
      </x:c>
      <x:c r="L594" s="95" t="n">
        <x:v>1</x:v>
      </x:c>
      <x:c r="M594" s="97" t="n">
        <x:f>ROUND(K594*L594,2)</x:f>
        <x:v>370.94</x:v>
      </x:c>
      <x:c r="N594" s="109" t="n">
        <x:v>0.05</x:v>
      </x:c>
      <x:c r="O594" s="97" t="n">
        <x:f>ROUND(M594*N594,2)</x:f>
        <x:v>18.55</x:v>
      </x:c>
      <x:c r="P594" s="94" t="str">
        <x:v>已确认</x:v>
      </x:c>
      <x:c r="Q594" s="97" t="n">
        <x:f>IF(P594="已退款",M594,0)</x:f>
        <x:v>0</x:v>
      </x:c>
      <x:c r="R594" s="97" t="n">
        <x:f>IF(P594="已退款",O594,0)</x:f>
        <x:v>0</x:v>
      </x:c>
      <x:c r="S594" s="97" t="n">
        <x:f>O594-R594</x:f>
        <x:v>18.55</x:v>
      </x:c>
      <x:c r="T594" s="94" t="n">
        <x:v>1</x:v>
      </x:c>
      <x:c r="U594" s="94" t="str">
        <x:v>模拟：Amazon Associates订单回传</x:v>
      </x:c>
    </x:row>
    <x:row r="595">
      <x:c r="A595" s="92" t="str">
        <x:v>AMZ-ORD-00594</x:v>
      </x:c>
      <x:c r="B595" s="94" t="str">
        <x:v>PROC-0593</x:v>
      </x:c>
      <x:c r="C595" s="108" t="n">
        <x:v>46133.46041666667</x:v>
      </x:c>
      <x:c r="D595" s="93" t="n">
        <x:v>46130</x:v>
      </x:c>
      <x:c r="E595" s="94" t="str">
        <x:v>Google Ads</x:v>
      </x:c>
      <x:c r="F595" s="94" t="str">
        <x:v>美国</x:v>
      </x:c>
      <x:c r="G595" s="94" t="str">
        <x:v>购物广告</x:v>
      </x:c>
      <x:c r="H595" s="94" t="str">
        <x:v>SKU-0014</x:v>
      </x:c>
      <x:c r="I595" s="94" t="str">
        <x:v>家居生活</x:v>
      </x:c>
      <x:c r="J595" s="94" t="str">
        <x:v>扫地机器人 D</x:v>
      </x:c>
      <x:c r="K595" s="97" t="n">
        <x:v>356.58</x:v>
      </x:c>
      <x:c r="L595" s="95" t="n">
        <x:v>1</x:v>
      </x:c>
      <x:c r="M595" s="97" t="n">
        <x:f>ROUND(K595*L595,2)</x:f>
        <x:v>356.58</x:v>
      </x:c>
      <x:c r="N595" s="109" t="n">
        <x:v>0.07</x:v>
      </x:c>
      <x:c r="O595" s="97" t="n">
        <x:f>ROUND(M595*N595,2)</x:f>
        <x:v>24.96</x:v>
      </x:c>
      <x:c r="P595" s="94" t="str">
        <x:v>已退款</x:v>
      </x:c>
      <x:c r="Q595" s="97" t="n">
        <x:f>IF(P595="已退款",M595,0)</x:f>
        <x:v>356.58</x:v>
      </x:c>
      <x:c r="R595" s="97" t="n">
        <x:f>IF(P595="已退款",O595,0)</x:f>
        <x:v>24.96</x:v>
      </x:c>
      <x:c r="S595" s="97" t="n">
        <x:f>O595-R595</x:f>
        <x:v>0</x:v>
      </x:c>
      <x:c r="T595" s="94" t="n">
        <x:v>3</x:v>
      </x:c>
      <x:c r="U595" s="94" t="str">
        <x:v>模拟：Amazon Associates订单回传</x:v>
      </x:c>
    </x:row>
    <x:row r="596">
      <x:c r="A596" s="92" t="str">
        <x:v>AMZ-ORD-00595</x:v>
      </x:c>
      <x:c r="B596" s="94" t="str">
        <x:v>PROC-0594</x:v>
      </x:c>
      <x:c r="C596" s="108" t="n">
        <x:v>46133.33888888889</x:v>
      </x:c>
      <x:c r="D596" s="93" t="n">
        <x:v>46130</x:v>
      </x:c>
      <x:c r="E596" s="94" t="str">
        <x:v>Google Ads</x:v>
      </x:c>
      <x:c r="F596" s="94" t="str">
        <x:v>美国</x:v>
      </x:c>
      <x:c r="G596" s="94" t="str">
        <x:v>品牌搜索</x:v>
      </x:c>
      <x:c r="H596" s="94" t="str">
        <x:v>SKU-0042</x:v>
      </x:c>
      <x:c r="I596" s="94" t="str">
        <x:v>办公学习</x:v>
      </x:c>
      <x:c r="J596" s="94" t="str">
        <x:v>护眼台灯 B</x:v>
      </x:c>
      <x:c r="K596" s="97" t="n">
        <x:v>190.38</x:v>
      </x:c>
      <x:c r="L596" s="95" t="n">
        <x:v>1</x:v>
      </x:c>
      <x:c r="M596" s="97" t="n">
        <x:f>ROUND(K596*L596,2)</x:f>
        <x:v>190.38</x:v>
      </x:c>
      <x:c r="N596" s="109" t="n">
        <x:v>0.07</x:v>
      </x:c>
      <x:c r="O596" s="97" t="n">
        <x:f>ROUND(M596*N596,2)</x:f>
        <x:v>13.33</x:v>
      </x:c>
      <x:c r="P596" s="94" t="str">
        <x:v>已确认</x:v>
      </x:c>
      <x:c r="Q596" s="97" t="n">
        <x:f>IF(P596="已退款",M596,0)</x:f>
        <x:v>0</x:v>
      </x:c>
      <x:c r="R596" s="97" t="n">
        <x:f>IF(P596="已退款",O596,0)</x:f>
        <x:v>0</x:v>
      </x:c>
      <x:c r="S596" s="97" t="n">
        <x:f>O596-R596</x:f>
        <x:v>13.33</x:v>
      </x:c>
      <x:c r="T596" s="94" t="n">
        <x:v>3</x:v>
      </x:c>
      <x:c r="U596" s="94" t="str">
        <x:v>模拟：Amazon Associates订单回传</x:v>
      </x:c>
    </x:row>
    <x:row r="597">
      <x:c r="A597" s="92" t="str">
        <x:v>AMZ-ORD-00596</x:v>
      </x:c>
      <x:c r="B597" s="94" t="str">
        <x:v>PROC-0595</x:v>
      </x:c>
      <x:c r="C597" s="108" t="n">
        <x:v>46130.82638888889</x:v>
      </x:c>
      <x:c r="D597" s="93" t="n">
        <x:v>46130</x:v>
      </x:c>
      <x:c r="E597" s="94" t="str">
        <x:v>Google Ads</x:v>
      </x:c>
      <x:c r="F597" s="94" t="str">
        <x:v>英国</x:v>
      </x:c>
      <x:c r="G597" s="94" t="str">
        <x:v>购物广告</x:v>
      </x:c>
      <x:c r="H597" s="94" t="str">
        <x:v>SKU-0042</x:v>
      </x:c>
      <x:c r="I597" s="94" t="str">
        <x:v>办公学习</x:v>
      </x:c>
      <x:c r="J597" s="94" t="str">
        <x:v>护眼台灯 B</x:v>
      </x:c>
      <x:c r="K597" s="97" t="n">
        <x:v>96.92</x:v>
      </x:c>
      <x:c r="L597" s="95" t="n">
        <x:v>1</x:v>
      </x:c>
      <x:c r="M597" s="97" t="n">
        <x:f>ROUND(K597*L597,2)</x:f>
        <x:v>96.92</x:v>
      </x:c>
      <x:c r="N597" s="109" t="n">
        <x:v>0.07</x:v>
      </x:c>
      <x:c r="O597" s="97" t="n">
        <x:f>ROUND(M597*N597,2)</x:f>
        <x:v>6.78</x:v>
      </x:c>
      <x:c r="P597" s="94" t="str">
        <x:v>已确认</x:v>
      </x:c>
      <x:c r="Q597" s="97" t="n">
        <x:f>IF(P597="已退款",M597,0)</x:f>
        <x:v>0</x:v>
      </x:c>
      <x:c r="R597" s="97" t="n">
        <x:f>IF(P597="已退款",O597,0)</x:f>
        <x:v>0</x:v>
      </x:c>
      <x:c r="S597" s="97" t="n">
        <x:f>O597-R597</x:f>
        <x:v>6.78</x:v>
      </x:c>
      <x:c r="T597" s="94" t="n">
        <x:v>0</x:v>
      </x:c>
      <x:c r="U597" s="94" t="str">
        <x:v>模拟：Amazon Associates订单回传</x:v>
      </x:c>
    </x:row>
    <x:row r="598">
      <x:c r="A598" s="92" t="str">
        <x:v>AMZ-ORD-00597</x:v>
      </x:c>
      <x:c r="B598" s="94" t="str">
        <x:v>PROC-0596</x:v>
      </x:c>
      <x:c r="C598" s="108" t="n">
        <x:v>46131.635416666664</x:v>
      </x:c>
      <x:c r="D598" s="93" t="n">
        <x:v>46130</x:v>
      </x:c>
      <x:c r="E598" s="94" t="str">
        <x:v>Microsoft Ads</x:v>
      </x:c>
      <x:c r="F598" s="94" t="str">
        <x:v>美国</x:v>
      </x:c>
      <x:c r="G598" s="94" t="str">
        <x:v>购物广告</x:v>
      </x:c>
      <x:c r="H598" s="94" t="str">
        <x:v>SKU-0008</x:v>
      </x:c>
      <x:c r="I598" s="94" t="str">
        <x:v>电子产品</x:v>
      </x:c>
      <x:c r="J598" s="94" t="str">
        <x:v>Wi-Fi路由器 H</x:v>
      </x:c>
      <x:c r="K598" s="97" t="n">
        <x:v>523.02</x:v>
      </x:c>
      <x:c r="L598" s="95" t="n">
        <x:v>1</x:v>
      </x:c>
      <x:c r="M598" s="97" t="n">
        <x:f>ROUND(K598*L598,2)</x:f>
        <x:v>523.02</x:v>
      </x:c>
      <x:c r="N598" s="109" t="n">
        <x:v>0.05</x:v>
      </x:c>
      <x:c r="O598" s="97" t="n">
        <x:f>ROUND(M598*N598,2)</x:f>
        <x:v>26.15</x:v>
      </x:c>
      <x:c r="P598" s="94" t="str">
        <x:v>已确认</x:v>
      </x:c>
      <x:c r="Q598" s="97" t="n">
        <x:f>IF(P598="已退款",M598,0)</x:f>
        <x:v>0</x:v>
      </x:c>
      <x:c r="R598" s="97" t="n">
        <x:f>IF(P598="已退款",O598,0)</x:f>
        <x:v>0</x:v>
      </x:c>
      <x:c r="S598" s="97" t="n">
        <x:f>O598-R598</x:f>
        <x:v>26.15</x:v>
      </x:c>
      <x:c r="T598" s="94" t="n">
        <x:v>1</x:v>
      </x:c>
      <x:c r="U598" s="94" t="str">
        <x:v>模拟：Amazon Associates订单回传</x:v>
      </x:c>
    </x:row>
    <x:row r="599">
      <x:c r="A599" s="92" t="str">
        <x:v>AMZ-ORD-00598</x:v>
      </x:c>
      <x:c r="B599" s="94" t="str">
        <x:v>PROC-0597</x:v>
      </x:c>
      <x:c r="C599" s="108" t="n">
        <x:v>46132.69027777778</x:v>
      </x:c>
      <x:c r="D599" s="93" t="n">
        <x:v>46130</x:v>
      </x:c>
      <x:c r="E599" s="94" t="str">
        <x:v>Microsoft Ads</x:v>
      </x:c>
      <x:c r="F599" s="94" t="str">
        <x:v>美国</x:v>
      </x:c>
      <x:c r="G599" s="94" t="str">
        <x:v>竞品搜索</x:v>
      </x:c>
      <x:c r="H599" s="94" t="str">
        <x:v>SKU-0009</x:v>
      </x:c>
      <x:c r="I599" s="94" t="str">
        <x:v>电子产品</x:v>
      </x:c>
      <x:c r="J599" s="94" t="str">
        <x:v>电子阅读器 I</x:v>
      </x:c>
      <x:c r="K599" s="97" t="n">
        <x:v>427.22</x:v>
      </x:c>
      <x:c r="L599" s="95" t="n">
        <x:v>1</x:v>
      </x:c>
      <x:c r="M599" s="97" t="n">
        <x:f>ROUND(K599*L599,2)</x:f>
        <x:v>427.22</x:v>
      </x:c>
      <x:c r="N599" s="109" t="n">
        <x:v>0.05</x:v>
      </x:c>
      <x:c r="O599" s="97" t="n">
        <x:f>ROUND(M599*N599,2)</x:f>
        <x:v>21.36</x:v>
      </x:c>
      <x:c r="P599" s="94" t="str">
        <x:v>已确认</x:v>
      </x:c>
      <x:c r="Q599" s="97" t="n">
        <x:f>IF(P599="已退款",M599,0)</x:f>
        <x:v>0</x:v>
      </x:c>
      <x:c r="R599" s="97" t="n">
        <x:f>IF(P599="已退款",O599,0)</x:f>
        <x:v>0</x:v>
      </x:c>
      <x:c r="S599" s="97" t="n">
        <x:f>O599-R599</x:f>
        <x:v>21.36</x:v>
      </x:c>
      <x:c r="T599" s="94" t="n">
        <x:v>2</x:v>
      </x:c>
      <x:c r="U599" s="94" t="str">
        <x:v>模拟：Amazon Associates订单回传</x:v>
      </x:c>
    </x:row>
    <x:row r="600">
      <x:c r="A600" s="92" t="str">
        <x:v>AMZ-ORD-00599</x:v>
      </x:c>
      <x:c r="B600" s="94" t="str">
        <x:v>PROC-0598</x:v>
      </x:c>
      <x:c r="C600" s="108" t="n">
        <x:v>46132.83541666667</x:v>
      </x:c>
      <x:c r="D600" s="93" t="n">
        <x:v>46131</x:v>
      </x:c>
      <x:c r="E600" s="94" t="str">
        <x:v>Microsoft Ads</x:v>
      </x:c>
      <x:c r="F600" s="94" t="str">
        <x:v>美国</x:v>
      </x:c>
      <x:c r="G600" s="94" t="str">
        <x:v>购物广告</x:v>
      </x:c>
      <x:c r="H600" s="94" t="str">
        <x:v>SKU-0014</x:v>
      </x:c>
      <x:c r="I600" s="94" t="str">
        <x:v>家居生活</x:v>
      </x:c>
      <x:c r="J600" s="94" t="str">
        <x:v>扫地机器人 D</x:v>
      </x:c>
      <x:c r="K600" s="97" t="n">
        <x:v>323.56</x:v>
      </x:c>
      <x:c r="L600" s="95" t="n">
        <x:v>1</x:v>
      </x:c>
      <x:c r="M600" s="97" t="n">
        <x:f>ROUND(K600*L600,2)</x:f>
        <x:v>323.56</x:v>
      </x:c>
      <x:c r="N600" s="109" t="n">
        <x:v>0.07</x:v>
      </x:c>
      <x:c r="O600" s="97" t="n">
        <x:f>ROUND(M600*N600,2)</x:f>
        <x:v>22.65</x:v>
      </x:c>
      <x:c r="P600" s="94" t="str">
        <x:v>已确认</x:v>
      </x:c>
      <x:c r="Q600" s="97" t="n">
        <x:f>IF(P600="已退款",M600,0)</x:f>
        <x:v>0</x:v>
      </x:c>
      <x:c r="R600" s="97" t="n">
        <x:f>IF(P600="已退款",O600,0)</x:f>
        <x:v>0</x:v>
      </x:c>
      <x:c r="S600" s="97" t="n">
        <x:f>O600-R600</x:f>
        <x:v>22.65</x:v>
      </x:c>
      <x:c r="T600" s="94" t="n">
        <x:v>1</x:v>
      </x:c>
      <x:c r="U600" s="94" t="str">
        <x:v>模拟：Amazon Associates订单回传</x:v>
      </x:c>
    </x:row>
    <x:row r="601">
      <x:c r="A601" s="92" t="str">
        <x:v>AMZ-ORD-00600</x:v>
      </x:c>
      <x:c r="B601" s="94" t="str">
        <x:v>PROC-0599</x:v>
      </x:c>
      <x:c r="C601" s="108" t="n">
        <x:v>46133.64236111111</x:v>
      </x:c>
      <x:c r="D601" s="93" t="n">
        <x:v>46131</x:v>
      </x:c>
      <x:c r="E601" s="94" t="str">
        <x:v>Microsoft Ads</x:v>
      </x:c>
      <x:c r="F601" s="94" t="str">
        <x:v>德国</x:v>
      </x:c>
      <x:c r="G601" s="94" t="str">
        <x:v>购物广告</x:v>
      </x:c>
      <x:c r="H601" s="94" t="str">
        <x:v>SKU-0035</x:v>
      </x:c>
      <x:c r="I601" s="94" t="str">
        <x:v>美妆个护</x:v>
      </x:c>
      <x:c r="J601" s="94" t="str">
        <x:v>香氛礼盒 E</x:v>
      </x:c>
      <x:c r="K601" s="97" t="n">
        <x:v>91.67</x:v>
      </x:c>
      <x:c r="L601" s="95" t="n">
        <x:v>1</x:v>
      </x:c>
      <x:c r="M601" s="97" t="n">
        <x:f>ROUND(K601*L601,2)</x:f>
        <x:v>91.67</x:v>
      </x:c>
      <x:c r="N601" s="109" t="n">
        <x:v>0.1</x:v>
      </x:c>
      <x:c r="O601" s="97" t="n">
        <x:f>ROUND(M601*N601,2)</x:f>
        <x:v>9.17</x:v>
      </x:c>
      <x:c r="P601" s="94" t="str">
        <x:v>已确认</x:v>
      </x:c>
      <x:c r="Q601" s="97" t="n">
        <x:f>IF(P601="已退款",M601,0)</x:f>
        <x:v>0</x:v>
      </x:c>
      <x:c r="R601" s="97" t="n">
        <x:f>IF(P601="已退款",O601,0)</x:f>
        <x:v>0</x:v>
      </x:c>
      <x:c r="S601" s="97" t="n">
        <x:f>O601-R601</x:f>
        <x:v>9.17</x:v>
      </x:c>
      <x:c r="T601" s="94" t="n">
        <x:v>2</x:v>
      </x:c>
      <x:c r="U601" s="94" t="str">
        <x:v>模拟：Amazon Associates订单回传</x:v>
      </x:c>
    </x:row>
    <x:row r="602">
      <x:c r="A602" s="92" t="str">
        <x:v>AMZ-ORD-00601</x:v>
      </x:c>
      <x:c r="B602" s="94" t="str">
        <x:v>PROC-0600</x:v>
      </x:c>
      <x:c r="C602" s="108" t="n">
        <x:v>46135.438888888886</x:v>
      </x:c>
      <x:c r="D602" s="93" t="n">
        <x:v>46131</x:v>
      </x:c>
      <x:c r="E602" s="94" t="str">
        <x:v>Google Ads</x:v>
      </x:c>
      <x:c r="F602" s="94" t="str">
        <x:v>日本</x:v>
      </x:c>
      <x:c r="G602" s="94" t="str">
        <x:v>购物广告</x:v>
      </x:c>
      <x:c r="H602" s="94" t="str">
        <x:v>SKU-0035</x:v>
      </x:c>
      <x:c r="I602" s="94" t="str">
        <x:v>美妆个护</x:v>
      </x:c>
      <x:c r="J602" s="94" t="str">
        <x:v>香氛礼盒 E</x:v>
      </x:c>
      <x:c r="K602" s="97" t="n">
        <x:v>86.2</x:v>
      </x:c>
      <x:c r="L602" s="95" t="n">
        <x:v>1</x:v>
      </x:c>
      <x:c r="M602" s="97" t="n">
        <x:f>ROUND(K602*L602,2)</x:f>
        <x:v>86.2</x:v>
      </x:c>
      <x:c r="N602" s="109" t="n">
        <x:v>0.1</x:v>
      </x:c>
      <x:c r="O602" s="97" t="n">
        <x:f>ROUND(M602*N602,2)</x:f>
        <x:v>8.62</x:v>
      </x:c>
      <x:c r="P602" s="94" t="str">
        <x:v>已确认</x:v>
      </x:c>
      <x:c r="Q602" s="97" t="n">
        <x:f>IF(P602="已退款",M602,0)</x:f>
        <x:v>0</x:v>
      </x:c>
      <x:c r="R602" s="97" t="n">
        <x:f>IF(P602="已退款",O602,0)</x:f>
        <x:v>0</x:v>
      </x:c>
      <x:c r="S602" s="97" t="n">
        <x:f>O602-R602</x:f>
        <x:v>8.62</x:v>
      </x:c>
      <x:c r="T602" s="94" t="n">
        <x:v>4</x:v>
      </x:c>
      <x:c r="U602" s="94" t="str">
        <x:v>模拟：Amazon Associates订单回传</x:v>
      </x:c>
    </x:row>
    <x:row r="603">
      <x:c r="A603" s="92" t="str">
        <x:v>AMZ-ORD-00602</x:v>
      </x:c>
      <x:c r="B603" s="94" t="str">
        <x:v>PROC-0601</x:v>
      </x:c>
      <x:c r="C603" s="108" t="n">
        <x:v>46132.85833333333</x:v>
      </x:c>
      <x:c r="D603" s="93" t="n">
        <x:v>46131</x:v>
      </x:c>
      <x:c r="E603" s="94" t="str">
        <x:v>Google Ads</x:v>
      </x:c>
      <x:c r="F603" s="94" t="str">
        <x:v>英国</x:v>
      </x:c>
      <x:c r="G603" s="94" t="str">
        <x:v>竞品搜索</x:v>
      </x:c>
      <x:c r="H603" s="94" t="str">
        <x:v>SKU-0015</x:v>
      </x:c>
      <x:c r="I603" s="94" t="str">
        <x:v>家居生活</x:v>
      </x:c>
      <x:c r="J603" s="94" t="str">
        <x:v>床品套装 E</x:v>
      </x:c>
      <x:c r="K603" s="97" t="n">
        <x:v>215.86</x:v>
      </x:c>
      <x:c r="L603" s="95" t="n">
        <x:v>1</x:v>
      </x:c>
      <x:c r="M603" s="97" t="n">
        <x:f>ROUND(K603*L603,2)</x:f>
        <x:v>215.86</x:v>
      </x:c>
      <x:c r="N603" s="109" t="n">
        <x:v>0.07</x:v>
      </x:c>
      <x:c r="O603" s="97" t="n">
        <x:f>ROUND(M603*N603,2)</x:f>
        <x:v>15.11</x:v>
      </x:c>
      <x:c r="P603" s="94" t="str">
        <x:v>已确认</x:v>
      </x:c>
      <x:c r="Q603" s="97" t="n">
        <x:f>IF(P603="已退款",M603,0)</x:f>
        <x:v>0</x:v>
      </x:c>
      <x:c r="R603" s="97" t="n">
        <x:f>IF(P603="已退款",O603,0)</x:f>
        <x:v>0</x:v>
      </x:c>
      <x:c r="S603" s="97" t="n">
        <x:f>O603-R603</x:f>
        <x:v>15.11</x:v>
      </x:c>
      <x:c r="T603" s="94" t="n">
        <x:v>1</x:v>
      </x:c>
      <x:c r="U603" s="94" t="str">
        <x:v>模拟：Amazon Associates订单回传</x:v>
      </x:c>
    </x:row>
    <x:row r="604">
      <x:c r="A604" s="92" t="str">
        <x:v>AMZ-ORD-00603</x:v>
      </x:c>
      <x:c r="B604" s="94" t="str">
        <x:v>PROC-0603</x:v>
      </x:c>
      <x:c r="C604" s="108" t="n">
        <x:v>46133.64791666667</x:v>
      </x:c>
      <x:c r="D604" s="93" t="n">
        <x:v>46131</x:v>
      </x:c>
      <x:c r="E604" s="94" t="str">
        <x:v>Google Ads</x:v>
      </x:c>
      <x:c r="F604" s="94" t="str">
        <x:v>德国</x:v>
      </x:c>
      <x:c r="G604" s="94" t="str">
        <x:v>竞品搜索</x:v>
      </x:c>
      <x:c r="H604" s="94" t="str">
        <x:v>SKU-0043</x:v>
      </x:c>
      <x:c r="I604" s="94" t="str">
        <x:v>办公学习</x:v>
      </x:c>
      <x:c r="J604" s="94" t="str">
        <x:v>会议麦克风 C</x:v>
      </x:c>
      <x:c r="K604" s="97" t="n">
        <x:v>91.16</x:v>
      </x:c>
      <x:c r="L604" s="95" t="n">
        <x:v>1</x:v>
      </x:c>
      <x:c r="M604" s="97" t="n">
        <x:f>ROUND(K604*L604,2)</x:f>
        <x:v>91.16</x:v>
      </x:c>
      <x:c r="N604" s="109" t="n">
        <x:v>0.07</x:v>
      </x:c>
      <x:c r="O604" s="97" t="n">
        <x:f>ROUND(M604*N604,2)</x:f>
        <x:v>6.38</x:v>
      </x:c>
      <x:c r="P604" s="94" t="str">
        <x:v>已确认</x:v>
      </x:c>
      <x:c r="Q604" s="97" t="n">
        <x:f>IF(P604="已退款",M604,0)</x:f>
        <x:v>0</x:v>
      </x:c>
      <x:c r="R604" s="97" t="n">
        <x:f>IF(P604="已退款",O604,0)</x:f>
        <x:v>0</x:v>
      </x:c>
      <x:c r="S604" s="97" t="n">
        <x:f>O604-R604</x:f>
        <x:v>6.38</x:v>
      </x:c>
      <x:c r="T604" s="94" t="n">
        <x:v>2</x:v>
      </x:c>
      <x:c r="U604" s="94" t="str">
        <x:v>模拟：Amazon Associates订单回传</x:v>
      </x:c>
    </x:row>
    <x:row r="605">
      <x:c r="A605" s="92" t="str">
        <x:v>AMZ-ORD-00604</x:v>
      </x:c>
      <x:c r="B605" s="94" t="str">
        <x:v>PROC-0606</x:v>
      </x:c>
      <x:c r="C605" s="108" t="n">
        <x:v>46136.504166666666</x:v>
      </x:c>
      <x:c r="D605" s="93" t="n">
        <x:v>46132</x:v>
      </x:c>
      <x:c r="E605" s="94" t="str">
        <x:v>Google Ads</x:v>
      </x:c>
      <x:c r="F605" s="94" t="str">
        <x:v>美国</x:v>
      </x:c>
      <x:c r="G605" s="94" t="str">
        <x:v>购物广告</x:v>
      </x:c>
      <x:c r="H605" s="94" t="str">
        <x:v>SKU-0049</x:v>
      </x:c>
      <x:c r="I605" s="94" t="str">
        <x:v>办公学习</x:v>
      </x:c>
      <x:c r="J605" s="94" t="str">
        <x:v>移动白板 I</x:v>
      </x:c>
      <x:c r="K605" s="97" t="n">
        <x:v>106.89</x:v>
      </x:c>
      <x:c r="L605" s="95" t="n">
        <x:v>1</x:v>
      </x:c>
      <x:c r="M605" s="97" t="n">
        <x:f>ROUND(K605*L605,2)</x:f>
        <x:v>106.89</x:v>
      </x:c>
      <x:c r="N605" s="109" t="n">
        <x:v>0.07</x:v>
      </x:c>
      <x:c r="O605" s="97" t="n">
        <x:f>ROUND(M605*N605,2)</x:f>
        <x:v>7.48</x:v>
      </x:c>
      <x:c r="P605" s="94" t="str">
        <x:v>已确认</x:v>
      </x:c>
      <x:c r="Q605" s="97" t="n">
        <x:f>IF(P605="已退款",M605,0)</x:f>
        <x:v>0</x:v>
      </x:c>
      <x:c r="R605" s="97" t="n">
        <x:f>IF(P605="已退款",O605,0)</x:f>
        <x:v>0</x:v>
      </x:c>
      <x:c r="S605" s="97" t="n">
        <x:f>O605-R605</x:f>
        <x:v>7.48</x:v>
      </x:c>
      <x:c r="T605" s="94" t="n">
        <x:v>4</x:v>
      </x:c>
      <x:c r="U605" s="94" t="str">
        <x:v>模拟：Amazon Associates订单回传</x:v>
      </x:c>
    </x:row>
    <x:row r="606">
      <x:c r="A606" s="92" t="str">
        <x:v>AMZ-ORD-00605</x:v>
      </x:c>
      <x:c r="B606" s="94" t="str">
        <x:v>PROC-0607</x:v>
      </x:c>
      <x:c r="C606" s="108" t="n">
        <x:v>46135.62152777778</x:v>
      </x:c>
      <x:c r="D606" s="93" t="n">
        <x:v>46132</x:v>
      </x:c>
      <x:c r="E606" s="94" t="str">
        <x:v>Microsoft Ads</x:v>
      </x:c>
      <x:c r="F606" s="94" t="str">
        <x:v>英国</x:v>
      </x:c>
      <x:c r="G606" s="94" t="str">
        <x:v>品牌搜索</x:v>
      </x:c>
      <x:c r="H606" s="94" t="str">
        <x:v>SKU-0050</x:v>
      </x:c>
      <x:c r="I606" s="94" t="str">
        <x:v>办公学习</x:v>
      </x:c>
      <x:c r="J606" s="94" t="str">
        <x:v>静音鼠标 J</x:v>
      </x:c>
      <x:c r="K606" s="97" t="n">
        <x:v>112.72</x:v>
      </x:c>
      <x:c r="L606" s="95" t="n">
        <x:v>3</x:v>
      </x:c>
      <x:c r="M606" s="97" t="n">
        <x:f>ROUND(K606*L606,2)</x:f>
        <x:v>338.16</x:v>
      </x:c>
      <x:c r="N606" s="109" t="n">
        <x:v>0.07</x:v>
      </x:c>
      <x:c r="O606" s="97" t="n">
        <x:f>ROUND(M606*N606,2)</x:f>
        <x:v>23.67</x:v>
      </x:c>
      <x:c r="P606" s="94" t="str">
        <x:v>已确认</x:v>
      </x:c>
      <x:c r="Q606" s="97" t="n">
        <x:f>IF(P606="已退款",M606,0)</x:f>
        <x:v>0</x:v>
      </x:c>
      <x:c r="R606" s="97" t="n">
        <x:f>IF(P606="已退款",O606,0)</x:f>
        <x:v>0</x:v>
      </x:c>
      <x:c r="S606" s="97" t="n">
        <x:f>O606-R606</x:f>
        <x:v>23.67</x:v>
      </x:c>
      <x:c r="T606" s="94" t="n">
        <x:v>3</x:v>
      </x:c>
      <x:c r="U606" s="94" t="str">
        <x:v>模拟：Amazon Associates订单回传</x:v>
      </x:c>
    </x:row>
    <x:row r="607">
      <x:c r="A607" s="92" t="str">
        <x:v>AMZ-ORD-00606</x:v>
      </x:c>
      <x:c r="B607" s="94" t="str">
        <x:v>PROC-0607</x:v>
      </x:c>
      <x:c r="C607" s="108" t="n">
        <x:v>46134.805555555555</x:v>
      </x:c>
      <x:c r="D607" s="93" t="n">
        <x:v>46132</x:v>
      </x:c>
      <x:c r="E607" s="94" t="str">
        <x:v>Microsoft Ads</x:v>
      </x:c>
      <x:c r="F607" s="94" t="str">
        <x:v>英国</x:v>
      </x:c>
      <x:c r="G607" s="94" t="str">
        <x:v>品牌搜索</x:v>
      </x:c>
      <x:c r="H607" s="94" t="str">
        <x:v>SKU-0022</x:v>
      </x:c>
      <x:c r="I607" s="94" t="str">
        <x:v>运动健康</x:v>
      </x:c>
      <x:c r="J607" s="94" t="str">
        <x:v>瑜伽套装 B</x:v>
      </x:c>
      <x:c r="K607" s="97" t="n">
        <x:v>175.74</x:v>
      </x:c>
      <x:c r="L607" s="95" t="n">
        <x:v>1</x:v>
      </x:c>
      <x:c r="M607" s="97" t="n">
        <x:f>ROUND(K607*L607,2)</x:f>
        <x:v>175.74</x:v>
      </x:c>
      <x:c r="N607" s="109" t="n">
        <x:v>0.08</x:v>
      </x:c>
      <x:c r="O607" s="97" t="n">
        <x:f>ROUND(M607*N607,2)</x:f>
        <x:v>14.06</x:v>
      </x:c>
      <x:c r="P607" s="94" t="str">
        <x:v>已确认</x:v>
      </x:c>
      <x:c r="Q607" s="97" t="n">
        <x:f>IF(P607="已退款",M607,0)</x:f>
        <x:v>0</x:v>
      </x:c>
      <x:c r="R607" s="97" t="n">
        <x:f>IF(P607="已退款",O607,0)</x:f>
        <x:v>0</x:v>
      </x:c>
      <x:c r="S607" s="97" t="n">
        <x:f>O607-R607</x:f>
        <x:v>14.06</x:v>
      </x:c>
      <x:c r="T607" s="94" t="n">
        <x:v>2</x:v>
      </x:c>
      <x:c r="U607" s="94" t="str">
        <x:v>模拟：Amazon Associates订单回传</x:v>
      </x:c>
    </x:row>
    <x:row r="608">
      <x:c r="A608" s="92" t="str">
        <x:v>AMZ-ORD-00607</x:v>
      </x:c>
      <x:c r="B608" s="94" t="str">
        <x:v>PROC-0609</x:v>
      </x:c>
      <x:c r="C608" s="108" t="n">
        <x:v>46135.51458333333</x:v>
      </x:c>
      <x:c r="D608" s="93" t="n">
        <x:v>46133</x:v>
      </x:c>
      <x:c r="E608" s="94" t="str">
        <x:v>Google Ads</x:v>
      </x:c>
      <x:c r="F608" s="94" t="str">
        <x:v>美国</x:v>
      </x:c>
      <x:c r="G608" s="94" t="str">
        <x:v>品牌搜索</x:v>
      </x:c>
      <x:c r="H608" s="94" t="str">
        <x:v>SKU-0005</x:v>
      </x:c>
      <x:c r="I608" s="94" t="str">
        <x:v>电子产品</x:v>
      </x:c>
      <x:c r="J608" s="94" t="str">
        <x:v>降噪耳机 E</x:v>
      </x:c>
      <x:c r="K608" s="97" t="n">
        <x:v>330.91</x:v>
      </x:c>
      <x:c r="L608" s="95" t="n">
        <x:v>1</x:v>
      </x:c>
      <x:c r="M608" s="97" t="n">
        <x:f>ROUND(K608*L608,2)</x:f>
        <x:v>330.91</x:v>
      </x:c>
      <x:c r="N608" s="109" t="n">
        <x:v>0.05</x:v>
      </x:c>
      <x:c r="O608" s="97" t="n">
        <x:f>ROUND(M608*N608,2)</x:f>
        <x:v>16.55</x:v>
      </x:c>
      <x:c r="P608" s="94" t="str">
        <x:v>已确认</x:v>
      </x:c>
      <x:c r="Q608" s="97" t="n">
        <x:f>IF(P608="已退款",M608,0)</x:f>
        <x:v>0</x:v>
      </x:c>
      <x:c r="R608" s="97" t="n">
        <x:f>IF(P608="已退款",O608,0)</x:f>
        <x:v>0</x:v>
      </x:c>
      <x:c r="S608" s="97" t="n">
        <x:f>O608-R608</x:f>
        <x:v>16.55</x:v>
      </x:c>
      <x:c r="T608" s="94" t="n">
        <x:v>2</x:v>
      </x:c>
      <x:c r="U608" s="94" t="str">
        <x:v>模拟：Amazon Associates订单回传</x:v>
      </x:c>
    </x:row>
    <x:row r="609">
      <x:c r="A609" s="92" t="str">
        <x:v>AMZ-ORD-00608</x:v>
      </x:c>
      <x:c r="B609" s="94" t="str">
        <x:v>PROC-0610</x:v>
      </x:c>
      <x:c r="C609" s="108" t="n">
        <x:v>46135.36736111111</x:v>
      </x:c>
      <x:c r="D609" s="93" t="n">
        <x:v>46133</x:v>
      </x:c>
      <x:c r="E609" s="94" t="str">
        <x:v>Microsoft Ads</x:v>
      </x:c>
      <x:c r="F609" s="94" t="str">
        <x:v>美国</x:v>
      </x:c>
      <x:c r="G609" s="94" t="str">
        <x:v>通用搜索</x:v>
      </x:c>
      <x:c r="H609" s="94" t="str">
        <x:v>SKU-0024</x:v>
      </x:c>
      <x:c r="I609" s="94" t="str">
        <x:v>运动健康</x:v>
      </x:c>
      <x:c r="J609" s="94" t="str">
        <x:v>筋膜枪 D</x:v>
      </x:c>
      <x:c r="K609" s="97" t="n">
        <x:v>240.99</x:v>
      </x:c>
      <x:c r="L609" s="95" t="n">
        <x:v>1</x:v>
      </x:c>
      <x:c r="M609" s="97" t="n">
        <x:f>ROUND(K609*L609,2)</x:f>
        <x:v>240.99</x:v>
      </x:c>
      <x:c r="N609" s="109" t="n">
        <x:v>0.08</x:v>
      </x:c>
      <x:c r="O609" s="97" t="n">
        <x:f>ROUND(M609*N609,2)</x:f>
        <x:v>19.28</x:v>
      </x:c>
      <x:c r="P609" s="94" t="str">
        <x:v>已确认</x:v>
      </x:c>
      <x:c r="Q609" s="97" t="n">
        <x:f>IF(P609="已退款",M609,0)</x:f>
        <x:v>0</x:v>
      </x:c>
      <x:c r="R609" s="97" t="n">
        <x:f>IF(P609="已退款",O609,0)</x:f>
        <x:v>0</x:v>
      </x:c>
      <x:c r="S609" s="97" t="n">
        <x:f>O609-R609</x:f>
        <x:v>19.28</x:v>
      </x:c>
      <x:c r="T609" s="94" t="n">
        <x:v>2</x:v>
      </x:c>
      <x:c r="U609" s="94" t="str">
        <x:v>模拟：Amazon Associates订单回传</x:v>
      </x:c>
    </x:row>
    <x:row r="610">
      <x:c r="A610" s="92" t="str">
        <x:v>AMZ-ORD-00609</x:v>
      </x:c>
      <x:c r="B610" s="94" t="str">
        <x:v>PROC-0611</x:v>
      </x:c>
      <x:c r="C610" s="108" t="n">
        <x:v>46135.688888888886</x:v>
      </x:c>
      <x:c r="D610" s="93" t="n">
        <x:v>46133</x:v>
      </x:c>
      <x:c r="E610" s="94" t="str">
        <x:v>Google Ads</x:v>
      </x:c>
      <x:c r="F610" s="94" t="str">
        <x:v>美国</x:v>
      </x:c>
      <x:c r="G610" s="94" t="str">
        <x:v>品牌搜索</x:v>
      </x:c>
      <x:c r="H610" s="94" t="str">
        <x:v>SKU-0039</x:v>
      </x:c>
      <x:c r="I610" s="94" t="str">
        <x:v>美妆个护</x:v>
      </x:c>
      <x:c r="J610" s="94" t="str">
        <x:v>按摩梳 I</x:v>
      </x:c>
      <x:c r="K610" s="97" t="n">
        <x:v>66.01</x:v>
      </x:c>
      <x:c r="L610" s="95" t="n">
        <x:v>1</x:v>
      </x:c>
      <x:c r="M610" s="97" t="n">
        <x:f>ROUND(K610*L610,2)</x:f>
        <x:v>66.01</x:v>
      </x:c>
      <x:c r="N610" s="109" t="n">
        <x:v>0.1</x:v>
      </x:c>
      <x:c r="O610" s="97" t="n">
        <x:f>ROUND(M610*N610,2)</x:f>
        <x:v>6.6</x:v>
      </x:c>
      <x:c r="P610" s="94" t="str">
        <x:v>已确认</x:v>
      </x:c>
      <x:c r="Q610" s="97" t="n">
        <x:f>IF(P610="已退款",M610,0)</x:f>
        <x:v>0</x:v>
      </x:c>
      <x:c r="R610" s="97" t="n">
        <x:f>IF(P610="已退款",O610,0)</x:f>
        <x:v>0</x:v>
      </x:c>
      <x:c r="S610" s="97" t="n">
        <x:f>O610-R610</x:f>
        <x:v>6.6</x:v>
      </x:c>
      <x:c r="T610" s="94" t="n">
        <x:v>2</x:v>
      </x:c>
      <x:c r="U610" s="94" t="str">
        <x:v>模拟：Amazon Associates订单回传</x:v>
      </x:c>
    </x:row>
    <x:row r="611">
      <x:c r="A611" s="92" t="str">
        <x:v>AMZ-ORD-00610</x:v>
      </x:c>
      <x:c r="B611" s="94" t="str">
        <x:v>PROC-0611</x:v>
      </x:c>
      <x:c r="C611" s="108" t="n">
        <x:v>46136.472916666666</x:v>
      </x:c>
      <x:c r="D611" s="93" t="n">
        <x:v>46133</x:v>
      </x:c>
      <x:c r="E611" s="94" t="str">
        <x:v>Google Ads</x:v>
      </x:c>
      <x:c r="F611" s="94" t="str">
        <x:v>美国</x:v>
      </x:c>
      <x:c r="G611" s="94" t="str">
        <x:v>品牌搜索</x:v>
      </x:c>
      <x:c r="H611" s="94" t="str">
        <x:v>SKU-0017</x:v>
      </x:c>
      <x:c r="I611" s="94" t="str">
        <x:v>家居生活</x:v>
      </x:c>
      <x:c r="J611" s="94" t="str">
        <x:v>落地灯 G</x:v>
      </x:c>
      <x:c r="K611" s="97" t="n">
        <x:v>178.59</x:v>
      </x:c>
      <x:c r="L611" s="95" t="n">
        <x:v>1</x:v>
      </x:c>
      <x:c r="M611" s="97" t="n">
        <x:f>ROUND(K611*L611,2)</x:f>
        <x:v>178.59</x:v>
      </x:c>
      <x:c r="N611" s="109" t="n">
        <x:v>0.07</x:v>
      </x:c>
      <x:c r="O611" s="97" t="n">
        <x:f>ROUND(M611*N611,2)</x:f>
        <x:v>12.5</x:v>
      </x:c>
      <x:c r="P611" s="94" t="str">
        <x:v>已确认</x:v>
      </x:c>
      <x:c r="Q611" s="97" t="n">
        <x:f>IF(P611="已退款",M611,0)</x:f>
        <x:v>0</x:v>
      </x:c>
      <x:c r="R611" s="97" t="n">
        <x:f>IF(P611="已退款",O611,0)</x:f>
        <x:v>0</x:v>
      </x:c>
      <x:c r="S611" s="97" t="n">
        <x:f>O611-R611</x:f>
        <x:v>12.5</x:v>
      </x:c>
      <x:c r="T611" s="94" t="n">
        <x:v>3</x:v>
      </x:c>
      <x:c r="U611" s="94" t="str">
        <x:v>模拟：Amazon Associates订单回传</x:v>
      </x:c>
    </x:row>
    <x:row r="612">
      <x:c r="A612" s="92" t="str">
        <x:v>AMZ-ORD-00611</x:v>
      </x:c>
      <x:c r="B612" s="94" t="str">
        <x:v>PROC-0612</x:v>
      </x:c>
      <x:c r="C612" s="108" t="n">
        <x:v>46133.825694444444</x:v>
      </x:c>
      <x:c r="D612" s="93" t="n">
        <x:v>46133</x:v>
      </x:c>
      <x:c r="E612" s="94" t="str">
        <x:v>Microsoft Ads</x:v>
      </x:c>
      <x:c r="F612" s="94" t="str">
        <x:v>美国</x:v>
      </x:c>
      <x:c r="G612" s="94" t="str">
        <x:v>品牌搜索</x:v>
      </x:c>
      <x:c r="H612" s="94" t="str">
        <x:v>SKU-0024</x:v>
      </x:c>
      <x:c r="I612" s="94" t="str">
        <x:v>运动健康</x:v>
      </x:c>
      <x:c r="J612" s="94" t="str">
        <x:v>筋膜枪 D</x:v>
      </x:c>
      <x:c r="K612" s="97" t="n">
        <x:v>266.17</x:v>
      </x:c>
      <x:c r="L612" s="95" t="n">
        <x:v>1</x:v>
      </x:c>
      <x:c r="M612" s="97" t="n">
        <x:f>ROUND(K612*L612,2)</x:f>
        <x:v>266.17</x:v>
      </x:c>
      <x:c r="N612" s="109" t="n">
        <x:v>0.08</x:v>
      </x:c>
      <x:c r="O612" s="97" t="n">
        <x:f>ROUND(M612*N612,2)</x:f>
        <x:v>21.29</x:v>
      </x:c>
      <x:c r="P612" s="94" t="str">
        <x:v>已确认</x:v>
      </x:c>
      <x:c r="Q612" s="97" t="n">
        <x:f>IF(P612="已退款",M612,0)</x:f>
        <x:v>0</x:v>
      </x:c>
      <x:c r="R612" s="97" t="n">
        <x:f>IF(P612="已退款",O612,0)</x:f>
        <x:v>0</x:v>
      </x:c>
      <x:c r="S612" s="97" t="n">
        <x:f>O612-R612</x:f>
        <x:v>21.29</x:v>
      </x:c>
      <x:c r="T612" s="94" t="n">
        <x:v>0</x:v>
      </x:c>
      <x:c r="U612" s="94" t="str">
        <x:v>模拟：Amazon Associates订单回传</x:v>
      </x:c>
    </x:row>
    <x:row r="613">
      <x:c r="A613" s="92" t="str">
        <x:v>AMZ-ORD-00612</x:v>
      </x:c>
      <x:c r="B613" s="94" t="str">
        <x:v>PROC-0612</x:v>
      </x:c>
      <x:c r="C613" s="108" t="n">
        <x:v>46133.91458333333</x:v>
      </x:c>
      <x:c r="D613" s="93" t="n">
        <x:v>46133</x:v>
      </x:c>
      <x:c r="E613" s="94" t="str">
        <x:v>Microsoft Ads</x:v>
      </x:c>
      <x:c r="F613" s="94" t="str">
        <x:v>美国</x:v>
      </x:c>
      <x:c r="G613" s="94" t="str">
        <x:v>品牌搜索</x:v>
      </x:c>
      <x:c r="H613" s="94" t="str">
        <x:v>SKU-0040</x:v>
      </x:c>
      <x:c r="I613" s="94" t="str">
        <x:v>美妆个护</x:v>
      </x:c>
      <x:c r="J613" s="94" t="str">
        <x:v>旅行护理套装 J</x:v>
      </x:c>
      <x:c r="K613" s="97" t="n">
        <x:v>50.53</x:v>
      </x:c>
      <x:c r="L613" s="95" t="n">
        <x:v>2</x:v>
      </x:c>
      <x:c r="M613" s="97" t="n">
        <x:f>ROUND(K613*L613,2)</x:f>
        <x:v>101.06</x:v>
      </x:c>
      <x:c r="N613" s="109" t="n">
        <x:v>0.1</x:v>
      </x:c>
      <x:c r="O613" s="97" t="n">
        <x:f>ROUND(M613*N613,2)</x:f>
        <x:v>10.11</x:v>
      </x:c>
      <x:c r="P613" s="94" t="str">
        <x:v>已确认</x:v>
      </x:c>
      <x:c r="Q613" s="97" t="n">
        <x:f>IF(P613="已退款",M613,0)</x:f>
        <x:v>0</x:v>
      </x:c>
      <x:c r="R613" s="97" t="n">
        <x:f>IF(P613="已退款",O613,0)</x:f>
        <x:v>0</x:v>
      </x:c>
      <x:c r="S613" s="97" t="n">
        <x:f>O613-R613</x:f>
        <x:v>10.11</x:v>
      </x:c>
      <x:c r="T613" s="94" t="n">
        <x:v>0</x:v>
      </x:c>
      <x:c r="U613" s="94" t="str">
        <x:v>模拟：Amazon Associates订单回传</x:v>
      </x:c>
    </x:row>
    <x:row r="614">
      <x:c r="A614" s="92" t="str">
        <x:v>AMZ-ORD-00613</x:v>
      </x:c>
      <x:c r="B614" s="94" t="str">
        <x:v>PROC-0613</x:v>
      </x:c>
      <x:c r="C614" s="108" t="n">
        <x:v>46133.53333333333</x:v>
      </x:c>
      <x:c r="D614" s="93" t="n">
        <x:v>46133</x:v>
      </x:c>
      <x:c r="E614" s="94" t="str">
        <x:v>Google Ads</x:v>
      </x:c>
      <x:c r="F614" s="94" t="str">
        <x:v>美国</x:v>
      </x:c>
      <x:c r="G614" s="94" t="str">
        <x:v>竞品搜索</x:v>
      </x:c>
      <x:c r="H614" s="94" t="str">
        <x:v>SKU-0006</x:v>
      </x:c>
      <x:c r="I614" s="94" t="str">
        <x:v>电子产品</x:v>
      </x:c>
      <x:c r="J614" s="94" t="str">
        <x:v>迷你投影仪 F</x:v>
      </x:c>
      <x:c r="K614" s="97" t="n">
        <x:v>288.91</x:v>
      </x:c>
      <x:c r="L614" s="95" t="n">
        <x:v>1</x:v>
      </x:c>
      <x:c r="M614" s="97" t="n">
        <x:f>ROUND(K614*L614,2)</x:f>
        <x:v>288.91</x:v>
      </x:c>
      <x:c r="N614" s="109" t="n">
        <x:v>0.05</x:v>
      </x:c>
      <x:c r="O614" s="97" t="n">
        <x:f>ROUND(M614*N614,2)</x:f>
        <x:v>14.45</x:v>
      </x:c>
      <x:c r="P614" s="94" t="str">
        <x:v>已确认</x:v>
      </x:c>
      <x:c r="Q614" s="97" t="n">
        <x:f>IF(P614="已退款",M614,0)</x:f>
        <x:v>0</x:v>
      </x:c>
      <x:c r="R614" s="97" t="n">
        <x:f>IF(P614="已退款",O614,0)</x:f>
        <x:v>0</x:v>
      </x:c>
      <x:c r="S614" s="97" t="n">
        <x:f>O614-R614</x:f>
        <x:v>14.45</x:v>
      </x:c>
      <x:c r="T614" s="94" t="n">
        <x:v>0</x:v>
      </x:c>
      <x:c r="U614" s="94" t="str">
        <x:v>模拟：Amazon Associates订单回传</x:v>
      </x:c>
    </x:row>
    <x:row r="615">
      <x:c r="A615" s="92" t="str">
        <x:v>AMZ-ORD-00614</x:v>
      </x:c>
      <x:c r="B615" s="94" t="str">
        <x:v>PROC-0614</x:v>
      </x:c>
      <x:c r="C615" s="108" t="n">
        <x:v>46133.91388888889</x:v>
      </x:c>
      <x:c r="D615" s="93" t="n">
        <x:v>46133</x:v>
      </x:c>
      <x:c r="E615" s="94" t="str">
        <x:v>Google Ads</x:v>
      </x:c>
      <x:c r="F615" s="94" t="str">
        <x:v>美国</x:v>
      </x:c>
      <x:c r="G615" s="94" t="str">
        <x:v>品牌搜索</x:v>
      </x:c>
      <x:c r="H615" s="94" t="str">
        <x:v>SKU-0005</x:v>
      </x:c>
      <x:c r="I615" s="94" t="str">
        <x:v>电子产品</x:v>
      </x:c>
      <x:c r="J615" s="94" t="str">
        <x:v>降噪耳机 E</x:v>
      </x:c>
      <x:c r="K615" s="97" t="n">
        <x:v>621.72</x:v>
      </x:c>
      <x:c r="L615" s="95" t="n">
        <x:v>1</x:v>
      </x:c>
      <x:c r="M615" s="97" t="n">
        <x:f>ROUND(K615*L615,2)</x:f>
        <x:v>621.72</x:v>
      </x:c>
      <x:c r="N615" s="109" t="n">
        <x:v>0.05</x:v>
      </x:c>
      <x:c r="O615" s="97" t="n">
        <x:f>ROUND(M615*N615,2)</x:f>
        <x:v>31.09</x:v>
      </x:c>
      <x:c r="P615" s="94" t="str">
        <x:v>已确认</x:v>
      </x:c>
      <x:c r="Q615" s="97" t="n">
        <x:f>IF(P615="已退款",M615,0)</x:f>
        <x:v>0</x:v>
      </x:c>
      <x:c r="R615" s="97" t="n">
        <x:f>IF(P615="已退款",O615,0)</x:f>
        <x:v>0</x:v>
      </x:c>
      <x:c r="S615" s="97" t="n">
        <x:f>O615-R615</x:f>
        <x:v>31.09</x:v>
      </x:c>
      <x:c r="T615" s="94" t="n">
        <x:v>0</x:v>
      </x:c>
      <x:c r="U615" s="94" t="str">
        <x:v>模拟：Amazon Associates订单回传</x:v>
      </x:c>
    </x:row>
    <x:row r="616">
      <x:c r="A616" s="92" t="str">
        <x:v>AMZ-ORD-00615</x:v>
      </x:c>
      <x:c r="B616" s="94" t="str">
        <x:v>PROC-0614</x:v>
      </x:c>
      <x:c r="C616" s="108" t="n">
        <x:v>46135.47708333333</x:v>
      </x:c>
      <x:c r="D616" s="93" t="n">
        <x:v>46133</x:v>
      </x:c>
      <x:c r="E616" s="94" t="str">
        <x:v>Google Ads</x:v>
      </x:c>
      <x:c r="F616" s="94" t="str">
        <x:v>美国</x:v>
      </x:c>
      <x:c r="G616" s="94" t="str">
        <x:v>品牌搜索</x:v>
      </x:c>
      <x:c r="H616" s="94" t="str">
        <x:v>SKU-0044</x:v>
      </x:c>
      <x:c r="I616" s="94" t="str">
        <x:v>办公学习</x:v>
      </x:c>
      <x:c r="J616" s="94" t="str">
        <x:v>数字笔记本 D</x:v>
      </x:c>
      <x:c r="K616" s="97" t="n">
        <x:v>203.1</x:v>
      </x:c>
      <x:c r="L616" s="95" t="n">
        <x:v>2</x:v>
      </x:c>
      <x:c r="M616" s="97" t="n">
        <x:f>ROUND(K616*L616,2)</x:f>
        <x:v>406.2</x:v>
      </x:c>
      <x:c r="N616" s="109" t="n">
        <x:v>0.07</x:v>
      </x:c>
      <x:c r="O616" s="97" t="n">
        <x:f>ROUND(M616*N616,2)</x:f>
        <x:v>28.43</x:v>
      </x:c>
      <x:c r="P616" s="94" t="str">
        <x:v>已确认</x:v>
      </x:c>
      <x:c r="Q616" s="97" t="n">
        <x:f>IF(P616="已退款",M616,0)</x:f>
        <x:v>0</x:v>
      </x:c>
      <x:c r="R616" s="97" t="n">
        <x:f>IF(P616="已退款",O616,0)</x:f>
        <x:v>0</x:v>
      </x:c>
      <x:c r="S616" s="97" t="n">
        <x:f>O616-R616</x:f>
        <x:v>28.43</x:v>
      </x:c>
      <x:c r="T616" s="94" t="n">
        <x:v>2</x:v>
      </x:c>
      <x:c r="U616" s="94" t="str">
        <x:v>模拟：Amazon Associates订单回传</x:v>
      </x:c>
    </x:row>
    <x:row r="617">
      <x:c r="A617" s="92" t="str">
        <x:v>AMZ-ORD-00616</x:v>
      </x:c>
      <x:c r="B617" s="94" t="str">
        <x:v>PROC-0615</x:v>
      </x:c>
      <x:c r="C617" s="108" t="n">
        <x:v>46136.555555555555</x:v>
      </x:c>
      <x:c r="D617" s="93" t="n">
        <x:v>46134</x:v>
      </x:c>
      <x:c r="E617" s="94" t="str">
        <x:v>Google Ads</x:v>
      </x:c>
      <x:c r="F617" s="94" t="str">
        <x:v>美国</x:v>
      </x:c>
      <x:c r="G617" s="94" t="str">
        <x:v>通用搜索</x:v>
      </x:c>
      <x:c r="H617" s="94" t="str">
        <x:v>SKU-0024</x:v>
      </x:c>
      <x:c r="I617" s="94" t="str">
        <x:v>运动健康</x:v>
      </x:c>
      <x:c r="J617" s="94" t="str">
        <x:v>筋膜枪 D</x:v>
      </x:c>
      <x:c r="K617" s="97" t="n">
        <x:v>88.78</x:v>
      </x:c>
      <x:c r="L617" s="95" t="n">
        <x:v>3</x:v>
      </x:c>
      <x:c r="M617" s="97" t="n">
        <x:f>ROUND(K617*L617,2)</x:f>
        <x:v>266.34</x:v>
      </x:c>
      <x:c r="N617" s="109" t="n">
        <x:v>0.08</x:v>
      </x:c>
      <x:c r="O617" s="97" t="n">
        <x:f>ROUND(M617*N617,2)</x:f>
        <x:v>21.31</x:v>
      </x:c>
      <x:c r="P617" s="94" t="str">
        <x:v>已确认</x:v>
      </x:c>
      <x:c r="Q617" s="97" t="n">
        <x:f>IF(P617="已退款",M617,0)</x:f>
        <x:v>0</x:v>
      </x:c>
      <x:c r="R617" s="97" t="n">
        <x:f>IF(P617="已退款",O617,0)</x:f>
        <x:v>0</x:v>
      </x:c>
      <x:c r="S617" s="97" t="n">
        <x:f>O617-R617</x:f>
        <x:v>21.31</x:v>
      </x:c>
      <x:c r="T617" s="94" t="n">
        <x:v>2</x:v>
      </x:c>
      <x:c r="U617" s="94" t="str">
        <x:v>模拟：Amazon Associates订单回传</x:v>
      </x:c>
    </x:row>
    <x:row r="618">
      <x:c r="A618" s="92" t="str">
        <x:v>AMZ-ORD-00617</x:v>
      </x:c>
      <x:c r="B618" s="94" t="str">
        <x:v>PROC-0616</x:v>
      </x:c>
      <x:c r="C618" s="108" t="n">
        <x:v>46136.583333333336</x:v>
      </x:c>
      <x:c r="D618" s="93" t="n">
        <x:v>46134</x:v>
      </x:c>
      <x:c r="E618" s="94" t="str">
        <x:v>Google Ads</x:v>
      </x:c>
      <x:c r="F618" s="94" t="str">
        <x:v>美国</x:v>
      </x:c>
      <x:c r="G618" s="94" t="str">
        <x:v>购物广告</x:v>
      </x:c>
      <x:c r="H618" s="94" t="str">
        <x:v>SKU-0038</x:v>
      </x:c>
      <x:c r="I618" s="94" t="str">
        <x:v>美妆个护</x:v>
      </x:c>
      <x:c r="J618" s="94" t="str">
        <x:v>卷发棒 H</x:v>
      </x:c>
      <x:c r="K618" s="97" t="n">
        <x:v>140.48</x:v>
      </x:c>
      <x:c r="L618" s="95" t="n">
        <x:v>3</x:v>
      </x:c>
      <x:c r="M618" s="97" t="n">
        <x:f>ROUND(K618*L618,2)</x:f>
        <x:v>421.44</x:v>
      </x:c>
      <x:c r="N618" s="109" t="n">
        <x:v>0.1</x:v>
      </x:c>
      <x:c r="O618" s="97" t="n">
        <x:f>ROUND(M618*N618,2)</x:f>
        <x:v>42.14</x:v>
      </x:c>
      <x:c r="P618" s="94" t="str">
        <x:v>已确认</x:v>
      </x:c>
      <x:c r="Q618" s="97" t="n">
        <x:f>IF(P618="已退款",M618,0)</x:f>
        <x:v>0</x:v>
      </x:c>
      <x:c r="R618" s="97" t="n">
        <x:f>IF(P618="已退款",O618,0)</x:f>
        <x:v>0</x:v>
      </x:c>
      <x:c r="S618" s="97" t="n">
        <x:f>O618-R618</x:f>
        <x:v>42.14</x:v>
      </x:c>
      <x:c r="T618" s="94" t="n">
        <x:v>2</x:v>
      </x:c>
      <x:c r="U618" s="94" t="str">
        <x:v>模拟：Amazon Associates订单回传</x:v>
      </x:c>
    </x:row>
    <x:row r="619">
      <x:c r="A619" s="92" t="str">
        <x:v>AMZ-ORD-00618</x:v>
      </x:c>
      <x:c r="B619" s="94" t="str">
        <x:v>PROC-0617</x:v>
      </x:c>
      <x:c r="C619" s="108" t="n">
        <x:v>46138.70138888889</x:v>
      </x:c>
      <x:c r="D619" s="93" t="n">
        <x:v>46134</x:v>
      </x:c>
      <x:c r="E619" s="94" t="str">
        <x:v>Microsoft Ads</x:v>
      </x:c>
      <x:c r="F619" s="94" t="str">
        <x:v>德国</x:v>
      </x:c>
      <x:c r="G619" s="94" t="str">
        <x:v>通用搜索</x:v>
      </x:c>
      <x:c r="H619" s="94" t="str">
        <x:v>SKU-0033</x:v>
      </x:c>
      <x:c r="I619" s="94" t="str">
        <x:v>美妆个护</x:v>
      </x:c>
      <x:c r="J619" s="94" t="str">
        <x:v>护肤套装 C</x:v>
      </x:c>
      <x:c r="K619" s="97" t="n">
        <x:v>127.84</x:v>
      </x:c>
      <x:c r="L619" s="95" t="n">
        <x:v>1</x:v>
      </x:c>
      <x:c r="M619" s="97" t="n">
        <x:f>ROUND(K619*L619,2)</x:f>
        <x:v>127.84</x:v>
      </x:c>
      <x:c r="N619" s="109" t="n">
        <x:v>0.1</x:v>
      </x:c>
      <x:c r="O619" s="97" t="n">
        <x:f>ROUND(M619*N619,2)</x:f>
        <x:v>12.78</x:v>
      </x:c>
      <x:c r="P619" s="94" t="str">
        <x:v>已确认</x:v>
      </x:c>
      <x:c r="Q619" s="97" t="n">
        <x:f>IF(P619="已退款",M619,0)</x:f>
        <x:v>0</x:v>
      </x:c>
      <x:c r="R619" s="97" t="n">
        <x:f>IF(P619="已退款",O619,0)</x:f>
        <x:v>0</x:v>
      </x:c>
      <x:c r="S619" s="97" t="n">
        <x:f>O619-R619</x:f>
        <x:v>12.78</x:v>
      </x:c>
      <x:c r="T619" s="94" t="n">
        <x:v>4</x:v>
      </x:c>
      <x:c r="U619" s="94" t="str">
        <x:v>模拟：Amazon Associates订单回传</x:v>
      </x:c>
    </x:row>
    <x:row r="620">
      <x:c r="A620" s="92" t="str">
        <x:v>AMZ-ORD-00619</x:v>
      </x:c>
      <x:c r="B620" s="94" t="str">
        <x:v>PROC-0620</x:v>
      </x:c>
      <x:c r="C620" s="108" t="n">
        <x:v>46138.46944444445</x:v>
      </x:c>
      <x:c r="D620" s="93" t="n">
        <x:v>46135</x:v>
      </x:c>
      <x:c r="E620" s="94" t="str">
        <x:v>Google Ads</x:v>
      </x:c>
      <x:c r="F620" s="94" t="str">
        <x:v>英国</x:v>
      </x:c>
      <x:c r="G620" s="94" t="str">
        <x:v>品牌搜索</x:v>
      </x:c>
      <x:c r="H620" s="94" t="str">
        <x:v>SKU-0045</x:v>
      </x:c>
      <x:c r="I620" s="94" t="str">
        <x:v>办公学习</x:v>
      </x:c>
      <x:c r="J620" s="94" t="str">
        <x:v>办公收纳 E</x:v>
      </x:c>
      <x:c r="K620" s="97" t="n">
        <x:v>190.5</x:v>
      </x:c>
      <x:c r="L620" s="95" t="n">
        <x:v>1</x:v>
      </x:c>
      <x:c r="M620" s="97" t="n">
        <x:f>ROUND(K620*L620,2)</x:f>
        <x:v>190.5</x:v>
      </x:c>
      <x:c r="N620" s="109" t="n">
        <x:v>0.07</x:v>
      </x:c>
      <x:c r="O620" s="97" t="n">
        <x:f>ROUND(M620*N620,2)</x:f>
        <x:v>13.34</x:v>
      </x:c>
      <x:c r="P620" s="94" t="str">
        <x:v>已确认</x:v>
      </x:c>
      <x:c r="Q620" s="97" t="n">
        <x:f>IF(P620="已退款",M620,0)</x:f>
        <x:v>0</x:v>
      </x:c>
      <x:c r="R620" s="97" t="n">
        <x:f>IF(P620="已退款",O620,0)</x:f>
        <x:v>0</x:v>
      </x:c>
      <x:c r="S620" s="97" t="n">
        <x:f>O620-R620</x:f>
        <x:v>13.34</x:v>
      </x:c>
      <x:c r="T620" s="94" t="n">
        <x:v>3</x:v>
      </x:c>
      <x:c r="U620" s="94" t="str">
        <x:v>模拟：Amazon Associates订单回传</x:v>
      </x:c>
    </x:row>
    <x:row r="621">
      <x:c r="A621" s="92" t="str">
        <x:v>AMZ-ORD-00620</x:v>
      </x:c>
      <x:c r="B621" s="94" t="str">
        <x:v>PROC-0621</x:v>
      </x:c>
      <x:c r="C621" s="108" t="n">
        <x:v>46136.49375</x:v>
      </x:c>
      <x:c r="D621" s="93" t="n">
        <x:v>46135</x:v>
      </x:c>
      <x:c r="E621" s="94" t="str">
        <x:v>Google Ads</x:v>
      </x:c>
      <x:c r="F621" s="94" t="str">
        <x:v>美国</x:v>
      </x:c>
      <x:c r="G621" s="94" t="str">
        <x:v>购物广告</x:v>
      </x:c>
      <x:c r="H621" s="94" t="str">
        <x:v>SKU-0047</x:v>
      </x:c>
      <x:c r="I621" s="94" t="str">
        <x:v>办公学习</x:v>
      </x:c>
      <x:c r="J621" s="94" t="str">
        <x:v>标签打印机 G</x:v>
      </x:c>
      <x:c r="K621" s="97" t="n">
        <x:v>237.08</x:v>
      </x:c>
      <x:c r="L621" s="95" t="n">
        <x:v>1</x:v>
      </x:c>
      <x:c r="M621" s="97" t="n">
        <x:f>ROUND(K621*L621,2)</x:f>
        <x:v>237.08</x:v>
      </x:c>
      <x:c r="N621" s="109" t="n">
        <x:v>0.07</x:v>
      </x:c>
      <x:c r="O621" s="97" t="n">
        <x:f>ROUND(M621*N621,2)</x:f>
        <x:v>16.6</x:v>
      </x:c>
      <x:c r="P621" s="94" t="str">
        <x:v>已确认</x:v>
      </x:c>
      <x:c r="Q621" s="97" t="n">
        <x:f>IF(P621="已退款",M621,0)</x:f>
        <x:v>0</x:v>
      </x:c>
      <x:c r="R621" s="97" t="n">
        <x:f>IF(P621="已退款",O621,0)</x:f>
        <x:v>0</x:v>
      </x:c>
      <x:c r="S621" s="97" t="n">
        <x:f>O621-R621</x:f>
        <x:v>16.6</x:v>
      </x:c>
      <x:c r="T621" s="94" t="n">
        <x:v>1</x:v>
      </x:c>
      <x:c r="U621" s="94" t="str">
        <x:v>模拟：Amazon Associates订单回传</x:v>
      </x:c>
    </x:row>
    <x:row r="622">
      <x:c r="A622" s="92" t="str">
        <x:v>AMZ-ORD-00621</x:v>
      </x:c>
      <x:c r="B622" s="94" t="str">
        <x:v>PROC-0622</x:v>
      </x:c>
      <x:c r="C622" s="108" t="n">
        <x:v>46138.41875</x:v>
      </x:c>
      <x:c r="D622" s="93" t="n">
        <x:v>46135</x:v>
      </x:c>
      <x:c r="E622" s="94" t="str">
        <x:v>Google Ads</x:v>
      </x:c>
      <x:c r="F622" s="94" t="str">
        <x:v>美国</x:v>
      </x:c>
      <x:c r="G622" s="94" t="str">
        <x:v>竞品搜索</x:v>
      </x:c>
      <x:c r="H622" s="94" t="str">
        <x:v>SKU-0036</x:v>
      </x:c>
      <x:c r="I622" s="94" t="str">
        <x:v>美妆个护</x:v>
      </x:c>
      <x:c r="J622" s="94" t="str">
        <x:v>剃须刀 F</x:v>
      </x:c>
      <x:c r="K622" s="97" t="n">
        <x:v>139.54</x:v>
      </x:c>
      <x:c r="L622" s="95" t="n">
        <x:v>1</x:v>
      </x:c>
      <x:c r="M622" s="97" t="n">
        <x:f>ROUND(K622*L622,2)</x:f>
        <x:v>139.54</x:v>
      </x:c>
      <x:c r="N622" s="109" t="n">
        <x:v>0.1</x:v>
      </x:c>
      <x:c r="O622" s="97" t="n">
        <x:f>ROUND(M622*N622,2)</x:f>
        <x:v>13.95</x:v>
      </x:c>
      <x:c r="P622" s="94" t="str">
        <x:v>已确认</x:v>
      </x:c>
      <x:c r="Q622" s="97" t="n">
        <x:f>IF(P622="已退款",M622,0)</x:f>
        <x:v>0</x:v>
      </x:c>
      <x:c r="R622" s="97" t="n">
        <x:f>IF(P622="已退款",O622,0)</x:f>
        <x:v>0</x:v>
      </x:c>
      <x:c r="S622" s="97" t="n">
        <x:f>O622-R622</x:f>
        <x:v>13.95</x:v>
      </x:c>
      <x:c r="T622" s="94" t="n">
        <x:v>3</x:v>
      </x:c>
      <x:c r="U622" s="94" t="str">
        <x:v>模拟：Amazon Associates订单回传</x:v>
      </x:c>
    </x:row>
    <x:row r="623">
      <x:c r="A623" s="92" t="str">
        <x:v>AMZ-ORD-00622</x:v>
      </x:c>
      <x:c r="B623" s="94" t="str">
        <x:v>PROC-0623</x:v>
      </x:c>
      <x:c r="C623" s="108" t="n">
        <x:v>46135.40555555555</x:v>
      </x:c>
      <x:c r="D623" s="93" t="n">
        <x:v>46135</x:v>
      </x:c>
      <x:c r="E623" s="94" t="str">
        <x:v>Microsoft Ads</x:v>
      </x:c>
      <x:c r="F623" s="94" t="str">
        <x:v>英国</x:v>
      </x:c>
      <x:c r="G623" s="94" t="str">
        <x:v>购物广告</x:v>
      </x:c>
      <x:c r="H623" s="94" t="str">
        <x:v>SKU-0008</x:v>
      </x:c>
      <x:c r="I623" s="94" t="str">
        <x:v>电子产品</x:v>
      </x:c>
      <x:c r="J623" s="94" t="str">
        <x:v>Wi-Fi路由器 H</x:v>
      </x:c>
      <x:c r="K623" s="97" t="n">
        <x:v>351.42</x:v>
      </x:c>
      <x:c r="L623" s="95" t="n">
        <x:v>1</x:v>
      </x:c>
      <x:c r="M623" s="97" t="n">
        <x:f>ROUND(K623*L623,2)</x:f>
        <x:v>351.42</x:v>
      </x:c>
      <x:c r="N623" s="109" t="n">
        <x:v>0.05</x:v>
      </x:c>
      <x:c r="O623" s="97" t="n">
        <x:f>ROUND(M623*N623,2)</x:f>
        <x:v>17.57</x:v>
      </x:c>
      <x:c r="P623" s="94" t="str">
        <x:v>已确认</x:v>
      </x:c>
      <x:c r="Q623" s="97" t="n">
        <x:f>IF(P623="已退款",M623,0)</x:f>
        <x:v>0</x:v>
      </x:c>
      <x:c r="R623" s="97" t="n">
        <x:f>IF(P623="已退款",O623,0)</x:f>
        <x:v>0</x:v>
      </x:c>
      <x:c r="S623" s="97" t="n">
        <x:f>O623-R623</x:f>
        <x:v>17.57</x:v>
      </x:c>
      <x:c r="T623" s="94" t="n">
        <x:v>0</x:v>
      </x:c>
      <x:c r="U623" s="94" t="str">
        <x:v>模拟：Amazon Associates订单回传</x:v>
      </x:c>
    </x:row>
    <x:row r="624">
      <x:c r="A624" s="92" t="str">
        <x:v>AMZ-ORD-00623</x:v>
      </x:c>
      <x:c r="B624" s="94" t="str">
        <x:v>PROC-0624</x:v>
      </x:c>
      <x:c r="C624" s="108" t="n">
        <x:v>46137.87777777778</x:v>
      </x:c>
      <x:c r="D624" s="93" t="n">
        <x:v>46135</x:v>
      </x:c>
      <x:c r="E624" s="94" t="str">
        <x:v>Microsoft Ads</x:v>
      </x:c>
      <x:c r="F624" s="94" t="str">
        <x:v>英国</x:v>
      </x:c>
      <x:c r="G624" s="94" t="str">
        <x:v>通用搜索</x:v>
      </x:c>
      <x:c r="H624" s="94" t="str">
        <x:v>SKU-0003</x:v>
      </x:c>
      <x:c r="I624" s="94" t="str">
        <x:v>电子产品</x:v>
      </x:c>
      <x:c r="J624" s="94" t="str">
        <x:v>智能家居中枢 C</x:v>
      </x:c>
      <x:c r="K624" s="97" t="n">
        <x:v>582.54</x:v>
      </x:c>
      <x:c r="L624" s="95" t="n">
        <x:v>1</x:v>
      </x:c>
      <x:c r="M624" s="97" t="n">
        <x:f>ROUND(K624*L624,2)</x:f>
        <x:v>582.54</x:v>
      </x:c>
      <x:c r="N624" s="109" t="n">
        <x:v>0.05</x:v>
      </x:c>
      <x:c r="O624" s="97" t="n">
        <x:f>ROUND(M624*N624,2)</x:f>
        <x:v>29.13</x:v>
      </x:c>
      <x:c r="P624" s="94" t="str">
        <x:v>已确认</x:v>
      </x:c>
      <x:c r="Q624" s="97" t="n">
        <x:f>IF(P624="已退款",M624,0)</x:f>
        <x:v>0</x:v>
      </x:c>
      <x:c r="R624" s="97" t="n">
        <x:f>IF(P624="已退款",O624,0)</x:f>
        <x:v>0</x:v>
      </x:c>
      <x:c r="S624" s="97" t="n">
        <x:f>O624-R624</x:f>
        <x:v>29.13</x:v>
      </x:c>
      <x:c r="T624" s="94" t="n">
        <x:v>2</x:v>
      </x:c>
      <x:c r="U624" s="94" t="str">
        <x:v>模拟：Amazon Associates订单回传</x:v>
      </x:c>
    </x:row>
    <x:row r="625">
      <x:c r="A625" s="92" t="str">
        <x:v>AMZ-ORD-00624</x:v>
      </x:c>
      <x:c r="B625" s="94" t="str">
        <x:v>PROC-0625</x:v>
      </x:c>
      <x:c r="C625" s="108" t="n">
        <x:v>46135.74722222222</x:v>
      </x:c>
      <x:c r="D625" s="93" t="n">
        <x:v>46135</x:v>
      </x:c>
      <x:c r="E625" s="94" t="str">
        <x:v>Google Ads</x:v>
      </x:c>
      <x:c r="F625" s="94" t="str">
        <x:v>英国</x:v>
      </x:c>
      <x:c r="G625" s="94" t="str">
        <x:v>购物广告</x:v>
      </x:c>
      <x:c r="H625" s="94" t="str">
        <x:v>SKU-0027</x:v>
      </x:c>
      <x:c r="I625" s="94" t="str">
        <x:v>运动健康</x:v>
      </x:c>
      <x:c r="J625" s="94" t="str">
        <x:v>户外背包 G</x:v>
      </x:c>
      <x:c r="K625" s="97" t="n">
        <x:v>254.99</x:v>
      </x:c>
      <x:c r="L625" s="95" t="n">
        <x:v>1</x:v>
      </x:c>
      <x:c r="M625" s="97" t="n">
        <x:f>ROUND(K625*L625,2)</x:f>
        <x:v>254.99</x:v>
      </x:c>
      <x:c r="N625" s="109" t="n">
        <x:v>0.08</x:v>
      </x:c>
      <x:c r="O625" s="97" t="n">
        <x:f>ROUND(M625*N625,2)</x:f>
        <x:v>20.4</x:v>
      </x:c>
      <x:c r="P625" s="94" t="str">
        <x:v>待确认</x:v>
      </x:c>
      <x:c r="Q625" s="97" t="n">
        <x:f>IF(P625="已退款",M625,0)</x:f>
        <x:v>0</x:v>
      </x:c>
      <x:c r="R625" s="97" t="n">
        <x:f>IF(P625="已退款",O625,0)</x:f>
        <x:v>0</x:v>
      </x:c>
      <x:c r="S625" s="97" t="n">
        <x:f>O625-R625</x:f>
        <x:v>20.4</x:v>
      </x:c>
      <x:c r="T625" s="94" t="n">
        <x:v>0</x:v>
      </x:c>
      <x:c r="U625" s="94" t="str">
        <x:v>模拟：Amazon Associates订单回传</x:v>
      </x:c>
    </x:row>
    <x:row r="626">
      <x:c r="A626" s="92" t="str">
        <x:v>AMZ-ORD-00625</x:v>
      </x:c>
      <x:c r="B626" s="94" t="str">
        <x:v>PROC-0626</x:v>
      </x:c>
      <x:c r="C626" s="108" t="n">
        <x:v>46140.85833333333</x:v>
      </x:c>
      <x:c r="D626" s="93" t="n">
        <x:v>46136</x:v>
      </x:c>
      <x:c r="E626" s="94" t="str">
        <x:v>Microsoft Ads</x:v>
      </x:c>
      <x:c r="F626" s="94" t="str">
        <x:v>德国</x:v>
      </x:c>
      <x:c r="G626" s="94" t="str">
        <x:v>品牌搜索</x:v>
      </x:c>
      <x:c r="H626" s="94" t="str">
        <x:v>SKU-0006</x:v>
      </x:c>
      <x:c r="I626" s="94" t="str">
        <x:v>电子产品</x:v>
      </x:c>
      <x:c r="J626" s="94" t="str">
        <x:v>迷你投影仪 F</x:v>
      </x:c>
      <x:c r="K626" s="97" t="n">
        <x:v>511.63</x:v>
      </x:c>
      <x:c r="L626" s="95" t="n">
        <x:v>1</x:v>
      </x:c>
      <x:c r="M626" s="97" t="n">
        <x:f>ROUND(K626*L626,2)</x:f>
        <x:v>511.63</x:v>
      </x:c>
      <x:c r="N626" s="109" t="n">
        <x:v>0.05</x:v>
      </x:c>
      <x:c r="O626" s="97" t="n">
        <x:f>ROUND(M626*N626,2)</x:f>
        <x:v>25.58</x:v>
      </x:c>
      <x:c r="P626" s="94" t="str">
        <x:v>已确认</x:v>
      </x:c>
      <x:c r="Q626" s="97" t="n">
        <x:f>IF(P626="已退款",M626,0)</x:f>
        <x:v>0</x:v>
      </x:c>
      <x:c r="R626" s="97" t="n">
        <x:f>IF(P626="已退款",O626,0)</x:f>
        <x:v>0</x:v>
      </x:c>
      <x:c r="S626" s="97" t="n">
        <x:f>O626-R626</x:f>
        <x:v>25.58</x:v>
      </x:c>
      <x:c r="T626" s="94" t="n">
        <x:v>4</x:v>
      </x:c>
      <x:c r="U626" s="94" t="str">
        <x:v>模拟：Amazon Associates订单回传</x:v>
      </x:c>
    </x:row>
    <x:row r="627">
      <x:c r="A627" s="92" t="str">
        <x:v>AMZ-ORD-00626</x:v>
      </x:c>
      <x:c r="B627" s="94" t="str">
        <x:v>PROC-0628</x:v>
      </x:c>
      <x:c r="C627" s="108" t="n">
        <x:v>46138.34444444445</x:v>
      </x:c>
      <x:c r="D627" s="93" t="n">
        <x:v>46136</x:v>
      </x:c>
      <x:c r="E627" s="94" t="str">
        <x:v>Google Ads</x:v>
      </x:c>
      <x:c r="F627" s="94" t="str">
        <x:v>英国</x:v>
      </x:c>
      <x:c r="G627" s="94" t="str">
        <x:v>购物广告</x:v>
      </x:c>
      <x:c r="H627" s="94" t="str">
        <x:v>SKU-0022</x:v>
      </x:c>
      <x:c r="I627" s="94" t="str">
        <x:v>运动健康</x:v>
      </x:c>
      <x:c r="J627" s="94" t="str">
        <x:v>瑜伽套装 B</x:v>
      </x:c>
      <x:c r="K627" s="97" t="n">
        <x:v>241.4</x:v>
      </x:c>
      <x:c r="L627" s="95" t="n">
        <x:v>1</x:v>
      </x:c>
      <x:c r="M627" s="97" t="n">
        <x:f>ROUND(K627*L627,2)</x:f>
        <x:v>241.4</x:v>
      </x:c>
      <x:c r="N627" s="109" t="n">
        <x:v>0.08</x:v>
      </x:c>
      <x:c r="O627" s="97" t="n">
        <x:f>ROUND(M627*N627,2)</x:f>
        <x:v>19.31</x:v>
      </x:c>
      <x:c r="P627" s="94" t="str">
        <x:v>已确认</x:v>
      </x:c>
      <x:c r="Q627" s="97" t="n">
        <x:f>IF(P627="已退款",M627,0)</x:f>
        <x:v>0</x:v>
      </x:c>
      <x:c r="R627" s="97" t="n">
        <x:f>IF(P627="已退款",O627,0)</x:f>
        <x:v>0</x:v>
      </x:c>
      <x:c r="S627" s="97" t="n">
        <x:f>O627-R627</x:f>
        <x:v>19.31</x:v>
      </x:c>
      <x:c r="T627" s="94" t="n">
        <x:v>2</x:v>
      </x:c>
      <x:c r="U627" s="94" t="str">
        <x:v>模拟：Amazon Associates订单回传</x:v>
      </x:c>
    </x:row>
    <x:row r="628">
      <x:c r="A628" s="92" t="str">
        <x:v>AMZ-ORD-00627</x:v>
      </x:c>
      <x:c r="B628" s="94" t="str">
        <x:v>PROC-0628</x:v>
      </x:c>
      <x:c r="C628" s="108" t="n">
        <x:v>46137.62430555555</x:v>
      </x:c>
      <x:c r="D628" s="93" t="n">
        <x:v>46136</x:v>
      </x:c>
      <x:c r="E628" s="94" t="str">
        <x:v>Google Ads</x:v>
      </x:c>
      <x:c r="F628" s="94" t="str">
        <x:v>英国</x:v>
      </x:c>
      <x:c r="G628" s="94" t="str">
        <x:v>购物广告</x:v>
      </x:c>
      <x:c r="H628" s="94" t="str">
        <x:v>SKU-0014</x:v>
      </x:c>
      <x:c r="I628" s="94" t="str">
        <x:v>家居生活</x:v>
      </x:c>
      <x:c r="J628" s="94" t="str">
        <x:v>扫地机器人 D</x:v>
      </x:c>
      <x:c r="K628" s="97" t="n">
        <x:v>94.39</x:v>
      </x:c>
      <x:c r="L628" s="95" t="n">
        <x:v>2</x:v>
      </x:c>
      <x:c r="M628" s="97" t="n">
        <x:f>ROUND(K628*L628,2)</x:f>
        <x:v>188.78</x:v>
      </x:c>
      <x:c r="N628" s="109" t="n">
        <x:v>0.07</x:v>
      </x:c>
      <x:c r="O628" s="97" t="n">
        <x:f>ROUND(M628*N628,2)</x:f>
        <x:v>13.21</x:v>
      </x:c>
      <x:c r="P628" s="94" t="str">
        <x:v>已确认</x:v>
      </x:c>
      <x:c r="Q628" s="97" t="n">
        <x:f>IF(P628="已退款",M628,0)</x:f>
        <x:v>0</x:v>
      </x:c>
      <x:c r="R628" s="97" t="n">
        <x:f>IF(P628="已退款",O628,0)</x:f>
        <x:v>0</x:v>
      </x:c>
      <x:c r="S628" s="97" t="n">
        <x:f>O628-R628</x:f>
        <x:v>13.21</x:v>
      </x:c>
      <x:c r="T628" s="94" t="n">
        <x:v>1</x:v>
      </x:c>
      <x:c r="U628" s="94" t="str">
        <x:v>模拟：Amazon Associates订单回传</x:v>
      </x:c>
    </x:row>
    <x:row r="629">
      <x:c r="A629" s="92" t="str">
        <x:v>AMZ-ORD-00628</x:v>
      </x:c>
      <x:c r="B629" s="94" t="str">
        <x:v>PROC-0629</x:v>
      </x:c>
      <x:c r="C629" s="108" t="n">
        <x:v>46136.67916666667</x:v>
      </x:c>
      <x:c r="D629" s="93" t="n">
        <x:v>46136</x:v>
      </x:c>
      <x:c r="E629" s="94" t="str">
        <x:v>Google Ads</x:v>
      </x:c>
      <x:c r="F629" s="94" t="str">
        <x:v>英国</x:v>
      </x:c>
      <x:c r="G629" s="94" t="str">
        <x:v>品牌搜索</x:v>
      </x:c>
      <x:c r="H629" s="94" t="str">
        <x:v>SKU-0025</x:v>
      </x:c>
      <x:c r="I629" s="94" t="str">
        <x:v>运动健康</x:v>
      </x:c>
      <x:c r="J629" s="94" t="str">
        <x:v>跑步机配件 E</x:v>
      </x:c>
      <x:c r="K629" s="97" t="n">
        <x:v>274.84</x:v>
      </x:c>
      <x:c r="L629" s="95" t="n">
        <x:v>1</x:v>
      </x:c>
      <x:c r="M629" s="97" t="n">
        <x:f>ROUND(K629*L629,2)</x:f>
        <x:v>274.84</x:v>
      </x:c>
      <x:c r="N629" s="109" t="n">
        <x:v>0.08</x:v>
      </x:c>
      <x:c r="O629" s="97" t="n">
        <x:f>ROUND(M629*N629,2)</x:f>
        <x:v>21.99</x:v>
      </x:c>
      <x:c r="P629" s="94" t="str">
        <x:v>已确认</x:v>
      </x:c>
      <x:c r="Q629" s="97" t="n">
        <x:f>IF(P629="已退款",M629,0)</x:f>
        <x:v>0</x:v>
      </x:c>
      <x:c r="R629" s="97" t="n">
        <x:f>IF(P629="已退款",O629,0)</x:f>
        <x:v>0</x:v>
      </x:c>
      <x:c r="S629" s="97" t="n">
        <x:f>O629-R629</x:f>
        <x:v>21.99</x:v>
      </x:c>
      <x:c r="T629" s="94" t="n">
        <x:v>0</x:v>
      </x:c>
      <x:c r="U629" s="94" t="str">
        <x:v>模拟：Amazon Associates订单回传</x:v>
      </x:c>
    </x:row>
    <x:row r="630">
      <x:c r="A630" s="92" t="str">
        <x:v>AMZ-ORD-00629</x:v>
      </x:c>
      <x:c r="B630" s="94" t="str">
        <x:v>PROC-0630</x:v>
      </x:c>
      <x:c r="C630" s="108" t="n">
        <x:v>46140.62777777778</x:v>
      </x:c>
      <x:c r="D630" s="93" t="n">
        <x:v>46136</x:v>
      </x:c>
      <x:c r="E630" s="94" t="str">
        <x:v>Google Ads</x:v>
      </x:c>
      <x:c r="F630" s="94" t="str">
        <x:v>美国</x:v>
      </x:c>
      <x:c r="G630" s="94" t="str">
        <x:v>品牌搜索</x:v>
      </x:c>
      <x:c r="H630" s="94" t="str">
        <x:v>SKU-0004</x:v>
      </x:c>
      <x:c r="I630" s="94" t="str">
        <x:v>电子产品</x:v>
      </x:c>
      <x:c r="J630" s="94" t="str">
        <x:v>机械键盘 D</x:v>
      </x:c>
      <x:c r="K630" s="97" t="n">
        <x:v>545.09</x:v>
      </x:c>
      <x:c r="L630" s="95" t="n">
        <x:v>1</x:v>
      </x:c>
      <x:c r="M630" s="97" t="n">
        <x:f>ROUND(K630*L630,2)</x:f>
        <x:v>545.09</x:v>
      </x:c>
      <x:c r="N630" s="109" t="n">
        <x:v>0.05</x:v>
      </x:c>
      <x:c r="O630" s="97" t="n">
        <x:f>ROUND(M630*N630,2)</x:f>
        <x:v>27.25</x:v>
      </x:c>
      <x:c r="P630" s="94" t="str">
        <x:v>已确认</x:v>
      </x:c>
      <x:c r="Q630" s="97" t="n">
        <x:f>IF(P630="已退款",M630,0)</x:f>
        <x:v>0</x:v>
      </x:c>
      <x:c r="R630" s="97" t="n">
        <x:f>IF(P630="已退款",O630,0)</x:f>
        <x:v>0</x:v>
      </x:c>
      <x:c r="S630" s="97" t="n">
        <x:f>O630-R630</x:f>
        <x:v>27.25</x:v>
      </x:c>
      <x:c r="T630" s="94" t="n">
        <x:v>4</x:v>
      </x:c>
      <x:c r="U630" s="94" t="str">
        <x:v>模拟：Amazon Associates订单回传</x:v>
      </x:c>
    </x:row>
    <x:row r="631">
      <x:c r="A631" s="92" t="str">
        <x:v>AMZ-ORD-00630</x:v>
      </x:c>
      <x:c r="B631" s="94" t="str">
        <x:v>PROC-0631</x:v>
      </x:c>
      <x:c r="C631" s="108" t="n">
        <x:v>46141.57986111111</x:v>
      </x:c>
      <x:c r="D631" s="93" t="n">
        <x:v>46137</x:v>
      </x:c>
      <x:c r="E631" s="94" t="str">
        <x:v>Microsoft Ads</x:v>
      </x:c>
      <x:c r="F631" s="94" t="str">
        <x:v>英国</x:v>
      </x:c>
      <x:c r="G631" s="94" t="str">
        <x:v>品牌搜索</x:v>
      </x:c>
      <x:c r="H631" s="94" t="str">
        <x:v>SKU-0022</x:v>
      </x:c>
      <x:c r="I631" s="94" t="str">
        <x:v>运动健康</x:v>
      </x:c>
      <x:c r="J631" s="94" t="str">
        <x:v>瑜伽套装 B</x:v>
      </x:c>
      <x:c r="K631" s="97" t="n">
        <x:v>249.37</x:v>
      </x:c>
      <x:c r="L631" s="95" t="n">
        <x:v>1</x:v>
      </x:c>
      <x:c r="M631" s="97" t="n">
        <x:f>ROUND(K631*L631,2)</x:f>
        <x:v>249.37</x:v>
      </x:c>
      <x:c r="N631" s="109" t="n">
        <x:v>0.08</x:v>
      </x:c>
      <x:c r="O631" s="97" t="n">
        <x:f>ROUND(M631*N631,2)</x:f>
        <x:v>19.95</x:v>
      </x:c>
      <x:c r="P631" s="94" t="str">
        <x:v>已确认</x:v>
      </x:c>
      <x:c r="Q631" s="97" t="n">
        <x:f>IF(P631="已退款",M631,0)</x:f>
        <x:v>0</x:v>
      </x:c>
      <x:c r="R631" s="97" t="n">
        <x:f>IF(P631="已退款",O631,0)</x:f>
        <x:v>0</x:v>
      </x:c>
      <x:c r="S631" s="97" t="n">
        <x:f>O631-R631</x:f>
        <x:v>19.95</x:v>
      </x:c>
      <x:c r="T631" s="94" t="n">
        <x:v>4</x:v>
      </x:c>
      <x:c r="U631" s="94" t="str">
        <x:v>模拟：Amazon Associates订单回传</x:v>
      </x:c>
    </x:row>
    <x:row r="632">
      <x:c r="A632" s="92" t="str">
        <x:v>AMZ-ORD-00631</x:v>
      </x:c>
      <x:c r="B632" s="94" t="str">
        <x:v>PROC-0633</x:v>
      </x:c>
      <x:c r="C632" s="108" t="n">
        <x:v>46138.71388888889</x:v>
      </x:c>
      <x:c r="D632" s="93" t="n">
        <x:v>46137</x:v>
      </x:c>
      <x:c r="E632" s="94" t="str">
        <x:v>Google Ads</x:v>
      </x:c>
      <x:c r="F632" s="94" t="str">
        <x:v>英国</x:v>
      </x:c>
      <x:c r="G632" s="94" t="str">
        <x:v>购物广告</x:v>
      </x:c>
      <x:c r="H632" s="94" t="str">
        <x:v>SKU-0022</x:v>
      </x:c>
      <x:c r="I632" s="94" t="str">
        <x:v>运动健康</x:v>
      </x:c>
      <x:c r="J632" s="94" t="str">
        <x:v>瑜伽套装 B</x:v>
      </x:c>
      <x:c r="K632" s="97" t="n">
        <x:v>191.11</x:v>
      </x:c>
      <x:c r="L632" s="95" t="n">
        <x:v>1</x:v>
      </x:c>
      <x:c r="M632" s="97" t="n">
        <x:f>ROUND(K632*L632,2)</x:f>
        <x:v>191.11</x:v>
      </x:c>
      <x:c r="N632" s="109" t="n">
        <x:v>0.08</x:v>
      </x:c>
      <x:c r="O632" s="97" t="n">
        <x:f>ROUND(M632*N632,2)</x:f>
        <x:v>15.29</x:v>
      </x:c>
      <x:c r="P632" s="94" t="str">
        <x:v>已确认</x:v>
      </x:c>
      <x:c r="Q632" s="97" t="n">
        <x:f>IF(P632="已退款",M632,0)</x:f>
        <x:v>0</x:v>
      </x:c>
      <x:c r="R632" s="97" t="n">
        <x:f>IF(P632="已退款",O632,0)</x:f>
        <x:v>0</x:v>
      </x:c>
      <x:c r="S632" s="97" t="n">
        <x:f>O632-R632</x:f>
        <x:v>15.29</x:v>
      </x:c>
      <x:c r="T632" s="94" t="n">
        <x:v>1</x:v>
      </x:c>
      <x:c r="U632" s="94" t="str">
        <x:v>模拟：Amazon Associates订单回传</x:v>
      </x:c>
    </x:row>
    <x:row r="633">
      <x:c r="A633" s="92" t="str">
        <x:v>AMZ-ORD-00632</x:v>
      </x:c>
      <x:c r="B633" s="94" t="str">
        <x:v>PROC-0634</x:v>
      </x:c>
      <x:c r="C633" s="108" t="n">
        <x:v>46137.334027777775</x:v>
      </x:c>
      <x:c r="D633" s="93" t="n">
        <x:v>46137</x:v>
      </x:c>
      <x:c r="E633" s="94" t="str">
        <x:v>Google Ads</x:v>
      </x:c>
      <x:c r="F633" s="94" t="str">
        <x:v>美国</x:v>
      </x:c>
      <x:c r="G633" s="94" t="str">
        <x:v>通用搜索</x:v>
      </x:c>
      <x:c r="H633" s="94" t="str">
        <x:v>SKU-0007</x:v>
      </x:c>
      <x:c r="I633" s="94" t="str">
        <x:v>电子产品</x:v>
      </x:c>
      <x:c r="J633" s="94" t="str">
        <x:v>运动相机 G</x:v>
      </x:c>
      <x:c r="K633" s="97" t="n">
        <x:v>350.79</x:v>
      </x:c>
      <x:c r="L633" s="95" t="n">
        <x:v>1</x:v>
      </x:c>
      <x:c r="M633" s="97" t="n">
        <x:f>ROUND(K633*L633,2)</x:f>
        <x:v>350.79</x:v>
      </x:c>
      <x:c r="N633" s="109" t="n">
        <x:v>0.05</x:v>
      </x:c>
      <x:c r="O633" s="97" t="n">
        <x:f>ROUND(M633*N633,2)</x:f>
        <x:v>17.54</x:v>
      </x:c>
      <x:c r="P633" s="94" t="str">
        <x:v>已确认</x:v>
      </x:c>
      <x:c r="Q633" s="97" t="n">
        <x:f>IF(P633="已退款",M633,0)</x:f>
        <x:v>0</x:v>
      </x:c>
      <x:c r="R633" s="97" t="n">
        <x:f>IF(P633="已退款",O633,0)</x:f>
        <x:v>0</x:v>
      </x:c>
      <x:c r="S633" s="97" t="n">
        <x:f>O633-R633</x:f>
        <x:v>17.54</x:v>
      </x:c>
      <x:c r="T633" s="94" t="n">
        <x:v>0</x:v>
      </x:c>
      <x:c r="U633" s="94" t="str">
        <x:v>模拟：Amazon Associates订单回传</x:v>
      </x:c>
    </x:row>
    <x:row r="634">
      <x:c r="A634" s="92" t="str">
        <x:v>AMZ-ORD-00633</x:v>
      </x:c>
      <x:c r="B634" s="94" t="str">
        <x:v>PROC-0636</x:v>
      </x:c>
      <x:c r="C634" s="108" t="n">
        <x:v>46138.55416666667</x:v>
      </x:c>
      <x:c r="D634" s="93" t="n">
        <x:v>46137</x:v>
      </x:c>
      <x:c r="E634" s="94" t="str">
        <x:v>Google Ads</x:v>
      </x:c>
      <x:c r="F634" s="94" t="str">
        <x:v>德国</x:v>
      </x:c>
      <x:c r="G634" s="94" t="str">
        <x:v>通用搜索</x:v>
      </x:c>
      <x:c r="H634" s="94" t="str">
        <x:v>SKU-0024</x:v>
      </x:c>
      <x:c r="I634" s="94" t="str">
        <x:v>运动健康</x:v>
      </x:c>
      <x:c r="J634" s="94" t="str">
        <x:v>筋膜枪 D</x:v>
      </x:c>
      <x:c r="K634" s="97" t="n">
        <x:v>103.58</x:v>
      </x:c>
      <x:c r="L634" s="95" t="n">
        <x:v>2</x:v>
      </x:c>
      <x:c r="M634" s="97" t="n">
        <x:f>ROUND(K634*L634,2)</x:f>
        <x:v>207.16</x:v>
      </x:c>
      <x:c r="N634" s="109" t="n">
        <x:v>0.08</x:v>
      </x:c>
      <x:c r="O634" s="97" t="n">
        <x:f>ROUND(M634*N634,2)</x:f>
        <x:v>16.57</x:v>
      </x:c>
      <x:c r="P634" s="94" t="str">
        <x:v>已确认</x:v>
      </x:c>
      <x:c r="Q634" s="97" t="n">
        <x:f>IF(P634="已退款",M634,0)</x:f>
        <x:v>0</x:v>
      </x:c>
      <x:c r="R634" s="97" t="n">
        <x:f>IF(P634="已退款",O634,0)</x:f>
        <x:v>0</x:v>
      </x:c>
      <x:c r="S634" s="97" t="n">
        <x:f>O634-R634</x:f>
        <x:v>16.57</x:v>
      </x:c>
      <x:c r="T634" s="94" t="n">
        <x:v>1</x:v>
      </x:c>
      <x:c r="U634" s="94" t="str">
        <x:v>模拟：Amazon Associates订单回传</x:v>
      </x:c>
    </x:row>
    <x:row r="635">
      <x:c r="A635" s="92" t="str">
        <x:v>AMZ-ORD-00634</x:v>
      </x:c>
      <x:c r="B635" s="94" t="str">
        <x:v>PROC-0637</x:v>
      </x:c>
      <x:c r="C635" s="108" t="n">
        <x:v>46141.802083333336</x:v>
      </x:c>
      <x:c r="D635" s="93" t="n">
        <x:v>46138</x:v>
      </x:c>
      <x:c r="E635" s="94" t="str">
        <x:v>Google Ads</x:v>
      </x:c>
      <x:c r="F635" s="94" t="str">
        <x:v>美国</x:v>
      </x:c>
      <x:c r="G635" s="94" t="str">
        <x:v>购物广告</x:v>
      </x:c>
      <x:c r="H635" s="94" t="str">
        <x:v>SKU-0050</x:v>
      </x:c>
      <x:c r="I635" s="94" t="str">
        <x:v>办公学习</x:v>
      </x:c>
      <x:c r="J635" s="94" t="str">
        <x:v>静音鼠标 J</x:v>
      </x:c>
      <x:c r="K635" s="97" t="n">
        <x:v>133.04</x:v>
      </x:c>
      <x:c r="L635" s="95" t="n">
        <x:v>1</x:v>
      </x:c>
      <x:c r="M635" s="97" t="n">
        <x:f>ROUND(K635*L635,2)</x:f>
        <x:v>133.04</x:v>
      </x:c>
      <x:c r="N635" s="109" t="n">
        <x:v>0.07</x:v>
      </x:c>
      <x:c r="O635" s="97" t="n">
        <x:f>ROUND(M635*N635,2)</x:f>
        <x:v>9.31</x:v>
      </x:c>
      <x:c r="P635" s="94" t="str">
        <x:v>已确认</x:v>
      </x:c>
      <x:c r="Q635" s="97" t="n">
        <x:f>IF(P635="已退款",M635,0)</x:f>
        <x:v>0</x:v>
      </x:c>
      <x:c r="R635" s="97" t="n">
        <x:f>IF(P635="已退款",O635,0)</x:f>
        <x:v>0</x:v>
      </x:c>
      <x:c r="S635" s="97" t="n">
        <x:f>O635-R635</x:f>
        <x:v>9.31</x:v>
      </x:c>
      <x:c r="T635" s="94" t="n">
        <x:v>3</x:v>
      </x:c>
      <x:c r="U635" s="94" t="str">
        <x:v>模拟：Amazon Associates订单回传</x:v>
      </x:c>
    </x:row>
    <x:row r="636">
      <x:c r="A636" s="92" t="str">
        <x:v>AMZ-ORD-00635</x:v>
      </x:c>
      <x:c r="B636" s="94" t="str">
        <x:v>PROC-0638</x:v>
      </x:c>
      <x:c r="C636" s="108" t="n">
        <x:v>46141.85208333333</x:v>
      </x:c>
      <x:c r="D636" s="93" t="n">
        <x:v>46138</x:v>
      </x:c>
      <x:c r="E636" s="94" t="str">
        <x:v>Google Ads</x:v>
      </x:c>
      <x:c r="F636" s="94" t="str">
        <x:v>美国</x:v>
      </x:c>
      <x:c r="G636" s="94" t="str">
        <x:v>品牌搜索</x:v>
      </x:c>
      <x:c r="H636" s="94" t="str">
        <x:v>SKU-0023</x:v>
      </x:c>
      <x:c r="I636" s="94" t="str">
        <x:v>运动健康</x:v>
      </x:c>
      <x:c r="J636" s="94" t="str">
        <x:v>可调哑铃 C</x:v>
      </x:c>
      <x:c r="K636" s="97" t="n">
        <x:v>110.01</x:v>
      </x:c>
      <x:c r="L636" s="95" t="n">
        <x:v>2</x:v>
      </x:c>
      <x:c r="M636" s="97" t="n">
        <x:f>ROUND(K636*L636,2)</x:f>
        <x:v>220.02</x:v>
      </x:c>
      <x:c r="N636" s="109" t="n">
        <x:v>0.08</x:v>
      </x:c>
      <x:c r="O636" s="97" t="n">
        <x:f>ROUND(M636*N636,2)</x:f>
        <x:v>17.6</x:v>
      </x:c>
      <x:c r="P636" s="94" t="str">
        <x:v>已确认</x:v>
      </x:c>
      <x:c r="Q636" s="97" t="n">
        <x:f>IF(P636="已退款",M636,0)</x:f>
        <x:v>0</x:v>
      </x:c>
      <x:c r="R636" s="97" t="n">
        <x:f>IF(P636="已退款",O636,0)</x:f>
        <x:v>0</x:v>
      </x:c>
      <x:c r="S636" s="97" t="n">
        <x:f>O636-R636</x:f>
        <x:v>17.6</x:v>
      </x:c>
      <x:c r="T636" s="94" t="n">
        <x:v>3</x:v>
      </x:c>
      <x:c r="U636" s="94" t="str">
        <x:v>模拟：Amazon Associates订单回传</x:v>
      </x:c>
    </x:row>
    <x:row r="637">
      <x:c r="A637" s="92" t="str">
        <x:v>AMZ-ORD-00636</x:v>
      </x:c>
      <x:c r="B637" s="94" t="str">
        <x:v>PROC-0638</x:v>
      </x:c>
      <x:c r="C637" s="108" t="n">
        <x:v>46138.35763888889</x:v>
      </x:c>
      <x:c r="D637" s="93" t="n">
        <x:v>46138</x:v>
      </x:c>
      <x:c r="E637" s="94" t="str">
        <x:v>Google Ads</x:v>
      </x:c>
      <x:c r="F637" s="94" t="str">
        <x:v>美国</x:v>
      </x:c>
      <x:c r="G637" s="94" t="str">
        <x:v>品牌搜索</x:v>
      </x:c>
      <x:c r="H637" s="94" t="str">
        <x:v>SKU-0038</x:v>
      </x:c>
      <x:c r="I637" s="94" t="str">
        <x:v>美妆个护</x:v>
      </x:c>
      <x:c r="J637" s="94" t="str">
        <x:v>卷发棒 H</x:v>
      </x:c>
      <x:c r="K637" s="97" t="n">
        <x:v>110.18</x:v>
      </x:c>
      <x:c r="L637" s="95" t="n">
        <x:v>1</x:v>
      </x:c>
      <x:c r="M637" s="97" t="n">
        <x:f>ROUND(K637*L637,2)</x:f>
        <x:v>110.18</x:v>
      </x:c>
      <x:c r="N637" s="109" t="n">
        <x:v>0.1</x:v>
      </x:c>
      <x:c r="O637" s="97" t="n">
        <x:f>ROUND(M637*N637,2)</x:f>
        <x:v>11.02</x:v>
      </x:c>
      <x:c r="P637" s="94" t="str">
        <x:v>已确认</x:v>
      </x:c>
      <x:c r="Q637" s="97" t="n">
        <x:f>IF(P637="已退款",M637,0)</x:f>
        <x:v>0</x:v>
      </x:c>
      <x:c r="R637" s="97" t="n">
        <x:f>IF(P637="已退款",O637,0)</x:f>
        <x:v>0</x:v>
      </x:c>
      <x:c r="S637" s="97" t="n">
        <x:f>O637-R637</x:f>
        <x:v>11.02</x:v>
      </x:c>
      <x:c r="T637" s="94" t="n">
        <x:v>0</x:v>
      </x:c>
      <x:c r="U637" s="94" t="str">
        <x:v>模拟：Amazon Associates订单回传</x:v>
      </x:c>
    </x:row>
    <x:row r="638">
      <x:c r="A638" s="92" t="str">
        <x:v>AMZ-ORD-00637</x:v>
      </x:c>
      <x:c r="B638" s="94" t="str">
        <x:v>PROC-0639</x:v>
      </x:c>
      <x:c r="C638" s="108" t="n">
        <x:v>46138.74375</x:v>
      </x:c>
      <x:c r="D638" s="93" t="n">
        <x:v>46138</x:v>
      </x:c>
      <x:c r="E638" s="94" t="str">
        <x:v>Microsoft Ads</x:v>
      </x:c>
      <x:c r="F638" s="94" t="str">
        <x:v>美国</x:v>
      </x:c>
      <x:c r="G638" s="94" t="str">
        <x:v>购物广告</x:v>
      </x:c>
      <x:c r="H638" s="94" t="str">
        <x:v>SKU-0040</x:v>
      </x:c>
      <x:c r="I638" s="94" t="str">
        <x:v>美妆个护</x:v>
      </x:c>
      <x:c r="J638" s="94" t="str">
        <x:v>旅行护理套装 J</x:v>
      </x:c>
      <x:c r="K638" s="97" t="n">
        <x:v>84.76</x:v>
      </x:c>
      <x:c r="L638" s="95" t="n">
        <x:v>1</x:v>
      </x:c>
      <x:c r="M638" s="97" t="n">
        <x:f>ROUND(K638*L638,2)</x:f>
        <x:v>84.76</x:v>
      </x:c>
      <x:c r="N638" s="109" t="n">
        <x:v>0.1</x:v>
      </x:c>
      <x:c r="O638" s="97" t="n">
        <x:f>ROUND(M638*N638,2)</x:f>
        <x:v>8.48</x:v>
      </x:c>
      <x:c r="P638" s="94" t="str">
        <x:v>已确认</x:v>
      </x:c>
      <x:c r="Q638" s="97" t="n">
        <x:f>IF(P638="已退款",M638,0)</x:f>
        <x:v>0</x:v>
      </x:c>
      <x:c r="R638" s="97" t="n">
        <x:f>IF(P638="已退款",O638,0)</x:f>
        <x:v>0</x:v>
      </x:c>
      <x:c r="S638" s="97" t="n">
        <x:f>O638-R638</x:f>
        <x:v>8.48</x:v>
      </x:c>
      <x:c r="T638" s="94" t="n">
        <x:v>0</x:v>
      </x:c>
      <x:c r="U638" s="94" t="str">
        <x:v>模拟：Amazon Associates订单回传</x:v>
      </x:c>
    </x:row>
    <x:row r="639">
      <x:c r="A639" s="92" t="str">
        <x:v>AMZ-ORD-00638</x:v>
      </x:c>
      <x:c r="B639" s="94" t="str">
        <x:v>PROC-0639</x:v>
      </x:c>
      <x:c r="C639" s="108" t="n">
        <x:v>46142.674305555556</x:v>
      </x:c>
      <x:c r="D639" s="93" t="n">
        <x:v>46138</x:v>
      </x:c>
      <x:c r="E639" s="94" t="str">
        <x:v>Microsoft Ads</x:v>
      </x:c>
      <x:c r="F639" s="94" t="str">
        <x:v>美国</x:v>
      </x:c>
      <x:c r="G639" s="94" t="str">
        <x:v>购物广告</x:v>
      </x:c>
      <x:c r="H639" s="94" t="str">
        <x:v>SKU-0025</x:v>
      </x:c>
      <x:c r="I639" s="94" t="str">
        <x:v>运动健康</x:v>
      </x:c>
      <x:c r="J639" s="94" t="str">
        <x:v>跑步机配件 E</x:v>
      </x:c>
      <x:c r="K639" s="97" t="n">
        <x:v>194.01</x:v>
      </x:c>
      <x:c r="L639" s="95" t="n">
        <x:v>2</x:v>
      </x:c>
      <x:c r="M639" s="97" t="n">
        <x:f>ROUND(K639*L639,2)</x:f>
        <x:v>388.02</x:v>
      </x:c>
      <x:c r="N639" s="109" t="n">
        <x:v>0.08</x:v>
      </x:c>
      <x:c r="O639" s="97" t="n">
        <x:f>ROUND(M639*N639,2)</x:f>
        <x:v>31.04</x:v>
      </x:c>
      <x:c r="P639" s="94" t="str">
        <x:v>已确认</x:v>
      </x:c>
      <x:c r="Q639" s="97" t="n">
        <x:f>IF(P639="已退款",M639,0)</x:f>
        <x:v>0</x:v>
      </x:c>
      <x:c r="R639" s="97" t="n">
        <x:f>IF(P639="已退款",O639,0)</x:f>
        <x:v>0</x:v>
      </x:c>
      <x:c r="S639" s="97" t="n">
        <x:f>O639-R639</x:f>
        <x:v>31.04</x:v>
      </x:c>
      <x:c r="T639" s="94" t="n">
        <x:v>4</x:v>
      </x:c>
      <x:c r="U639" s="94" t="str">
        <x:v>模拟：Amazon Associates订单回传</x:v>
      </x:c>
    </x:row>
    <x:row r="640">
      <x:c r="A640" s="92" t="str">
        <x:v>AMZ-ORD-00639</x:v>
      </x:c>
      <x:c r="B640" s="94" t="str">
        <x:v>PROC-0640</x:v>
      </x:c>
      <x:c r="C640" s="108" t="n">
        <x:v>46141.57638888889</x:v>
      </x:c>
      <x:c r="D640" s="93" t="n">
        <x:v>46138</x:v>
      </x:c>
      <x:c r="E640" s="94" t="str">
        <x:v>Google Ads</x:v>
      </x:c>
      <x:c r="F640" s="94" t="str">
        <x:v>美国</x:v>
      </x:c>
      <x:c r="G640" s="94" t="str">
        <x:v>购物广告</x:v>
      </x:c>
      <x:c r="H640" s="94" t="str">
        <x:v>SKU-0033</x:v>
      </x:c>
      <x:c r="I640" s="94" t="str">
        <x:v>美妆个护</x:v>
      </x:c>
      <x:c r="J640" s="94" t="str">
        <x:v>护肤套装 C</x:v>
      </x:c>
      <x:c r="K640" s="97" t="n">
        <x:v>93.31</x:v>
      </x:c>
      <x:c r="L640" s="95" t="n">
        <x:v>2</x:v>
      </x:c>
      <x:c r="M640" s="97" t="n">
        <x:f>ROUND(K640*L640,2)</x:f>
        <x:v>186.62</x:v>
      </x:c>
      <x:c r="N640" s="109" t="n">
        <x:v>0.1</x:v>
      </x:c>
      <x:c r="O640" s="97" t="n">
        <x:f>ROUND(M640*N640,2)</x:f>
        <x:v>18.66</x:v>
      </x:c>
      <x:c r="P640" s="94" t="str">
        <x:v>已确认</x:v>
      </x:c>
      <x:c r="Q640" s="97" t="n">
        <x:f>IF(P640="已退款",M640,0)</x:f>
        <x:v>0</x:v>
      </x:c>
      <x:c r="R640" s="97" t="n">
        <x:f>IF(P640="已退款",O640,0)</x:f>
        <x:v>0</x:v>
      </x:c>
      <x:c r="S640" s="97" t="n">
        <x:f>O640-R640</x:f>
        <x:v>18.66</x:v>
      </x:c>
      <x:c r="T640" s="94" t="n">
        <x:v>3</x:v>
      </x:c>
      <x:c r="U640" s="94" t="str">
        <x:v>模拟：Amazon Associates订单回传</x:v>
      </x:c>
    </x:row>
    <x:row r="641">
      <x:c r="A641" s="92" t="str">
        <x:v>AMZ-ORD-00640</x:v>
      </x:c>
      <x:c r="B641" s="94" t="str">
        <x:v>PROC-0641</x:v>
      </x:c>
      <x:c r="C641" s="108" t="n">
        <x:v>46139.35625</x:v>
      </x:c>
      <x:c r="D641" s="93" t="n">
        <x:v>46138</x:v>
      </x:c>
      <x:c r="E641" s="94" t="str">
        <x:v>Google Ads</x:v>
      </x:c>
      <x:c r="F641" s="94" t="str">
        <x:v>美国</x:v>
      </x:c>
      <x:c r="G641" s="94" t="str">
        <x:v>品牌搜索</x:v>
      </x:c>
      <x:c r="H641" s="94" t="str">
        <x:v>SKU-0048</x:v>
      </x:c>
      <x:c r="I641" s="94" t="str">
        <x:v>办公学习</x:v>
      </x:c>
      <x:c r="J641" s="94" t="str">
        <x:v>阅读支架 H</x:v>
      </x:c>
      <x:c r="K641" s="97" t="n">
        <x:v>231.28</x:v>
      </x:c>
      <x:c r="L641" s="95" t="n">
        <x:v>1</x:v>
      </x:c>
      <x:c r="M641" s="97" t="n">
        <x:f>ROUND(K641*L641,2)</x:f>
        <x:v>231.28</x:v>
      </x:c>
      <x:c r="N641" s="109" t="n">
        <x:v>0.07</x:v>
      </x:c>
      <x:c r="O641" s="97" t="n">
        <x:f>ROUND(M641*N641,2)</x:f>
        <x:v>16.19</x:v>
      </x:c>
      <x:c r="P641" s="94" t="str">
        <x:v>已确认</x:v>
      </x:c>
      <x:c r="Q641" s="97" t="n">
        <x:f>IF(P641="已退款",M641,0)</x:f>
        <x:v>0</x:v>
      </x:c>
      <x:c r="R641" s="97" t="n">
        <x:f>IF(P641="已退款",O641,0)</x:f>
        <x:v>0</x:v>
      </x:c>
      <x:c r="S641" s="97" t="n">
        <x:f>O641-R641</x:f>
        <x:v>16.19</x:v>
      </x:c>
      <x:c r="T641" s="94" t="n">
        <x:v>1</x:v>
      </x:c>
      <x:c r="U641" s="94" t="str">
        <x:v>模拟：Amazon Associates订单回传</x:v>
      </x:c>
    </x:row>
    <x:row r="642">
      <x:c r="A642" s="92" t="str">
        <x:v>AMZ-ORD-00641</x:v>
      </x:c>
      <x:c r="B642" s="94" t="str">
        <x:v>PROC-0642</x:v>
      </x:c>
      <x:c r="C642" s="108" t="n">
        <x:v>46139.552777777775</x:v>
      </x:c>
      <x:c r="D642" s="93" t="n">
        <x:v>46139</x:v>
      </x:c>
      <x:c r="E642" s="94" t="str">
        <x:v>Google Ads</x:v>
      </x:c>
      <x:c r="F642" s="94" t="str">
        <x:v>美国</x:v>
      </x:c>
      <x:c r="G642" s="94" t="str">
        <x:v>通用搜索</x:v>
      </x:c>
      <x:c r="H642" s="94" t="str">
        <x:v>SKU-0035</x:v>
      </x:c>
      <x:c r="I642" s="94" t="str">
        <x:v>美妆个护</x:v>
      </x:c>
      <x:c r="J642" s="94" t="str">
        <x:v>香氛礼盒 E</x:v>
      </x:c>
      <x:c r="K642" s="97" t="n">
        <x:v>133.82</x:v>
      </x:c>
      <x:c r="L642" s="95" t="n">
        <x:v>1</x:v>
      </x:c>
      <x:c r="M642" s="97" t="n">
        <x:f>ROUND(K642*L642,2)</x:f>
        <x:v>133.82</x:v>
      </x:c>
      <x:c r="N642" s="109" t="n">
        <x:v>0.1</x:v>
      </x:c>
      <x:c r="O642" s="97" t="n">
        <x:f>ROUND(M642*N642,2)</x:f>
        <x:v>13.38</x:v>
      </x:c>
      <x:c r="P642" s="94" t="str">
        <x:v>已确认</x:v>
      </x:c>
      <x:c r="Q642" s="97" t="n">
        <x:f>IF(P642="已退款",M642,0)</x:f>
        <x:v>0</x:v>
      </x:c>
      <x:c r="R642" s="97" t="n">
        <x:f>IF(P642="已退款",O642,0)</x:f>
        <x:v>0</x:v>
      </x:c>
      <x:c r="S642" s="97" t="n">
        <x:f>O642-R642</x:f>
        <x:v>13.38</x:v>
      </x:c>
      <x:c r="T642" s="94" t="n">
        <x:v>0</x:v>
      </x:c>
      <x:c r="U642" s="94" t="str">
        <x:v>模拟：Amazon Associates订单回传</x:v>
      </x:c>
    </x:row>
    <x:row r="643">
      <x:c r="A643" s="92" t="str">
        <x:v>AMZ-ORD-00642</x:v>
      </x:c>
      <x:c r="B643" s="94" t="str">
        <x:v>PROC-0643</x:v>
      </x:c>
      <x:c r="C643" s="108" t="n">
        <x:v>46141.40972222222</x:v>
      </x:c>
      <x:c r="D643" s="93" t="n">
        <x:v>46139</x:v>
      </x:c>
      <x:c r="E643" s="94" t="str">
        <x:v>Google Ads</x:v>
      </x:c>
      <x:c r="F643" s="94" t="str">
        <x:v>日本</x:v>
      </x:c>
      <x:c r="G643" s="94" t="str">
        <x:v>通用搜索</x:v>
      </x:c>
      <x:c r="H643" s="94" t="str">
        <x:v>SKU-0038</x:v>
      </x:c>
      <x:c r="I643" s="94" t="str">
        <x:v>美妆个护</x:v>
      </x:c>
      <x:c r="J643" s="94" t="str">
        <x:v>卷发棒 H</x:v>
      </x:c>
      <x:c r="K643" s="97" t="n">
        <x:v>159.4</x:v>
      </x:c>
      <x:c r="L643" s="95" t="n">
        <x:v>1</x:v>
      </x:c>
      <x:c r="M643" s="97" t="n">
        <x:f>ROUND(K643*L643,2)</x:f>
        <x:v>159.4</x:v>
      </x:c>
      <x:c r="N643" s="109" t="n">
        <x:v>0.1</x:v>
      </x:c>
      <x:c r="O643" s="97" t="n">
        <x:f>ROUND(M643*N643,2)</x:f>
        <x:v>15.94</x:v>
      </x:c>
      <x:c r="P643" s="94" t="str">
        <x:v>已确认</x:v>
      </x:c>
      <x:c r="Q643" s="97" t="n">
        <x:f>IF(P643="已退款",M643,0)</x:f>
        <x:v>0</x:v>
      </x:c>
      <x:c r="R643" s="97" t="n">
        <x:f>IF(P643="已退款",O643,0)</x:f>
        <x:v>0</x:v>
      </x:c>
      <x:c r="S643" s="97" t="n">
        <x:f>O643-R643</x:f>
        <x:v>15.94</x:v>
      </x:c>
      <x:c r="T643" s="94" t="n">
        <x:v>2</x:v>
      </x:c>
      <x:c r="U643" s="94" t="str">
        <x:v>模拟：Amazon Associates订单回传</x:v>
      </x:c>
    </x:row>
    <x:row r="644">
      <x:c r="A644" s="92" t="str">
        <x:v>AMZ-ORD-00643</x:v>
      </x:c>
      <x:c r="B644" s="94" t="str">
        <x:v>PROC-0644</x:v>
      </x:c>
      <x:c r="C644" s="108" t="n">
        <x:v>46143.59166666667</x:v>
      </x:c>
      <x:c r="D644" s="93" t="n">
        <x:v>46139</x:v>
      </x:c>
      <x:c r="E644" s="94" t="str">
        <x:v>Google Ads</x:v>
      </x:c>
      <x:c r="F644" s="94" t="str">
        <x:v>英国</x:v>
      </x:c>
      <x:c r="G644" s="94" t="str">
        <x:v>通用搜索</x:v>
      </x:c>
      <x:c r="H644" s="94" t="str">
        <x:v>SKU-0024</x:v>
      </x:c>
      <x:c r="I644" s="94" t="str">
        <x:v>运动健康</x:v>
      </x:c>
      <x:c r="J644" s="94" t="str">
        <x:v>筋膜枪 D</x:v>
      </x:c>
      <x:c r="K644" s="97" t="n">
        <x:v>250.84</x:v>
      </x:c>
      <x:c r="L644" s="95" t="n">
        <x:v>1</x:v>
      </x:c>
      <x:c r="M644" s="97" t="n">
        <x:f>ROUND(K644*L644,2)</x:f>
        <x:v>250.84</x:v>
      </x:c>
      <x:c r="N644" s="109" t="n">
        <x:v>0.08</x:v>
      </x:c>
      <x:c r="O644" s="97" t="n">
        <x:f>ROUND(M644*N644,2)</x:f>
        <x:v>20.07</x:v>
      </x:c>
      <x:c r="P644" s="94" t="str">
        <x:v>已确认</x:v>
      </x:c>
      <x:c r="Q644" s="97" t="n">
        <x:f>IF(P644="已退款",M644,0)</x:f>
        <x:v>0</x:v>
      </x:c>
      <x:c r="R644" s="97" t="n">
        <x:f>IF(P644="已退款",O644,0)</x:f>
        <x:v>0</x:v>
      </x:c>
      <x:c r="S644" s="97" t="n">
        <x:f>O644-R644</x:f>
        <x:v>20.07</x:v>
      </x:c>
      <x:c r="T644" s="94" t="n">
        <x:v>4</x:v>
      </x:c>
      <x:c r="U644" s="94" t="str">
        <x:v>模拟：Amazon Associates订单回传</x:v>
      </x:c>
    </x:row>
    <x:row r="645">
      <x:c r="A645" s="92" t="str">
        <x:v>AMZ-ORD-00644</x:v>
      </x:c>
      <x:c r="B645" s="94" t="str">
        <x:v>PROC-0646</x:v>
      </x:c>
      <x:c r="C645" s="108" t="n">
        <x:v>46141.873611111114</x:v>
      </x:c>
      <x:c r="D645" s="93" t="n">
        <x:v>46139</x:v>
      </x:c>
      <x:c r="E645" s="94" t="str">
        <x:v>Microsoft Ads</x:v>
      </x:c>
      <x:c r="F645" s="94" t="str">
        <x:v>德国</x:v>
      </x:c>
      <x:c r="G645" s="94" t="str">
        <x:v>购物广告</x:v>
      </x:c>
      <x:c r="H645" s="94" t="str">
        <x:v>SKU-0031</x:v>
      </x:c>
      <x:c r="I645" s="94" t="str">
        <x:v>美妆个护</x:v>
      </x:c>
      <x:c r="J645" s="94" t="str">
        <x:v>洁面仪 A</x:v>
      </x:c>
      <x:c r="K645" s="97" t="n">
        <x:v>108.24</x:v>
      </x:c>
      <x:c r="L645" s="95" t="n">
        <x:v>1</x:v>
      </x:c>
      <x:c r="M645" s="97" t="n">
        <x:f>ROUND(K645*L645,2)</x:f>
        <x:v>108.24</x:v>
      </x:c>
      <x:c r="N645" s="109" t="n">
        <x:v>0.1</x:v>
      </x:c>
      <x:c r="O645" s="97" t="n">
        <x:f>ROUND(M645*N645,2)</x:f>
        <x:v>10.82</x:v>
      </x:c>
      <x:c r="P645" s="94" t="str">
        <x:v>已确认</x:v>
      </x:c>
      <x:c r="Q645" s="97" t="n">
        <x:f>IF(P645="已退款",M645,0)</x:f>
        <x:v>0</x:v>
      </x:c>
      <x:c r="R645" s="97" t="n">
        <x:f>IF(P645="已退款",O645,0)</x:f>
        <x:v>0</x:v>
      </x:c>
      <x:c r="S645" s="97" t="n">
        <x:f>O645-R645</x:f>
        <x:v>10.82</x:v>
      </x:c>
      <x:c r="T645" s="94" t="n">
        <x:v>2</x:v>
      </x:c>
      <x:c r="U645" s="94" t="str">
        <x:v>模拟：Amazon Associates订单回传</x:v>
      </x:c>
    </x:row>
    <x:row r="646">
      <x:c r="A646" s="92" t="str">
        <x:v>AMZ-ORD-00645</x:v>
      </x:c>
      <x:c r="B646" s="94" t="str">
        <x:v>PROC-0647</x:v>
      </x:c>
      <x:c r="C646" s="108" t="n">
        <x:v>46140.48402777778</x:v>
      </x:c>
      <x:c r="D646" s="93" t="n">
        <x:v>46139</x:v>
      </x:c>
      <x:c r="E646" s="94" t="str">
        <x:v>Google Ads</x:v>
      </x:c>
      <x:c r="F646" s="94" t="str">
        <x:v>美国</x:v>
      </x:c>
      <x:c r="G646" s="94" t="str">
        <x:v>通用搜索</x:v>
      </x:c>
      <x:c r="H646" s="94" t="str">
        <x:v>SKU-0038</x:v>
      </x:c>
      <x:c r="I646" s="94" t="str">
        <x:v>美妆个护</x:v>
      </x:c>
      <x:c r="J646" s="94" t="str">
        <x:v>卷发棒 H</x:v>
      </x:c>
      <x:c r="K646" s="97" t="n">
        <x:v>39.8</x:v>
      </x:c>
      <x:c r="L646" s="95" t="n">
        <x:v>1</x:v>
      </x:c>
      <x:c r="M646" s="97" t="n">
        <x:f>ROUND(K646*L646,2)</x:f>
        <x:v>39.8</x:v>
      </x:c>
      <x:c r="N646" s="109" t="n">
        <x:v>0.1</x:v>
      </x:c>
      <x:c r="O646" s="97" t="n">
        <x:f>ROUND(M646*N646,2)</x:f>
        <x:v>3.98</x:v>
      </x:c>
      <x:c r="P646" s="94" t="str">
        <x:v>待确认</x:v>
      </x:c>
      <x:c r="Q646" s="97" t="n">
        <x:f>IF(P646="已退款",M646,0)</x:f>
        <x:v>0</x:v>
      </x:c>
      <x:c r="R646" s="97" t="n">
        <x:f>IF(P646="已退款",O646,0)</x:f>
        <x:v>0</x:v>
      </x:c>
      <x:c r="S646" s="97" t="n">
        <x:f>O646-R646</x:f>
        <x:v>3.98</x:v>
      </x:c>
      <x:c r="T646" s="94" t="n">
        <x:v>1</x:v>
      </x:c>
      <x:c r="U646" s="94" t="str">
        <x:v>模拟：Amazon Associates订单回传</x:v>
      </x:c>
    </x:row>
    <x:row r="647">
      <x:c r="A647" s="92" t="str">
        <x:v>AMZ-ORD-00646</x:v>
      </x:c>
      <x:c r="B647" s="94" t="str">
        <x:v>PROC-0648</x:v>
      </x:c>
      <x:c r="C647" s="108" t="n">
        <x:v>46142.45972222222</x:v>
      </x:c>
      <x:c r="D647" s="93" t="n">
        <x:v>46140</x:v>
      </x:c>
      <x:c r="E647" s="94" t="str">
        <x:v>Google Ads</x:v>
      </x:c>
      <x:c r="F647" s="94" t="str">
        <x:v>英国</x:v>
      </x:c>
      <x:c r="G647" s="94" t="str">
        <x:v>购物广告</x:v>
      </x:c>
      <x:c r="H647" s="94" t="str">
        <x:v>SKU-0032</x:v>
      </x:c>
      <x:c r="I647" s="94" t="str">
        <x:v>美妆个护</x:v>
      </x:c>
      <x:c r="J647" s="94" t="str">
        <x:v>吹风机 B</x:v>
      </x:c>
      <x:c r="K647" s="97" t="n">
        <x:v>76.93</x:v>
      </x:c>
      <x:c r="L647" s="95" t="n">
        <x:v>1</x:v>
      </x:c>
      <x:c r="M647" s="97" t="n">
        <x:f>ROUND(K647*L647,2)</x:f>
        <x:v>76.93</x:v>
      </x:c>
      <x:c r="N647" s="109" t="n">
        <x:v>0.1</x:v>
      </x:c>
      <x:c r="O647" s="97" t="n">
        <x:f>ROUND(M647*N647,2)</x:f>
        <x:v>7.69</x:v>
      </x:c>
      <x:c r="P647" s="94" t="str">
        <x:v>已确认</x:v>
      </x:c>
      <x:c r="Q647" s="97" t="n">
        <x:f>IF(P647="已退款",M647,0)</x:f>
        <x:v>0</x:v>
      </x:c>
      <x:c r="R647" s="97" t="n">
        <x:f>IF(P647="已退款",O647,0)</x:f>
        <x:v>0</x:v>
      </x:c>
      <x:c r="S647" s="97" t="n">
        <x:f>O647-R647</x:f>
        <x:v>7.69</x:v>
      </x:c>
      <x:c r="T647" s="94" t="n">
        <x:v>2</x:v>
      </x:c>
      <x:c r="U647" s="94" t="str">
        <x:v>模拟：Amazon Associates订单回传</x:v>
      </x:c>
    </x:row>
    <x:row r="648">
      <x:c r="A648" s="92" t="str">
        <x:v>AMZ-ORD-00647</x:v>
      </x:c>
      <x:c r="B648" s="94" t="str">
        <x:v>PROC-0649</x:v>
      </x:c>
      <x:c r="C648" s="108" t="n">
        <x:v>46141.69375</x:v>
      </x:c>
      <x:c r="D648" s="93" t="n">
        <x:v>46140</x:v>
      </x:c>
      <x:c r="E648" s="94" t="str">
        <x:v>Google Ads</x:v>
      </x:c>
      <x:c r="F648" s="94" t="str">
        <x:v>德国</x:v>
      </x:c>
      <x:c r="G648" s="94" t="str">
        <x:v>购物广告</x:v>
      </x:c>
      <x:c r="H648" s="94" t="str">
        <x:v>SKU-0020</x:v>
      </x:c>
      <x:c r="I648" s="94" t="str">
        <x:v>家居生活</x:v>
      </x:c>
      <x:c r="J648" s="94" t="str">
        <x:v>智能门锁 J</x:v>
      </x:c>
      <x:c r="K648" s="97" t="n">
        <x:v>335.42</x:v>
      </x:c>
      <x:c r="L648" s="95" t="n">
        <x:v>1</x:v>
      </x:c>
      <x:c r="M648" s="97" t="n">
        <x:f>ROUND(K648*L648,2)</x:f>
        <x:v>335.42</x:v>
      </x:c>
      <x:c r="N648" s="109" t="n">
        <x:v>0.07</x:v>
      </x:c>
      <x:c r="O648" s="97" t="n">
        <x:f>ROUND(M648*N648,2)</x:f>
        <x:v>23.48</x:v>
      </x:c>
      <x:c r="P648" s="94" t="str">
        <x:v>已确认</x:v>
      </x:c>
      <x:c r="Q648" s="97" t="n">
        <x:f>IF(P648="已退款",M648,0)</x:f>
        <x:v>0</x:v>
      </x:c>
      <x:c r="R648" s="97" t="n">
        <x:f>IF(P648="已退款",O648,0)</x:f>
        <x:v>0</x:v>
      </x:c>
      <x:c r="S648" s="97" t="n">
        <x:f>O648-R648</x:f>
        <x:v>23.48</x:v>
      </x:c>
      <x:c r="T648" s="94" t="n">
        <x:v>1</x:v>
      </x:c>
      <x:c r="U648" s="94" t="str">
        <x:v>模拟：Amazon Associates订单回传</x:v>
      </x:c>
    </x:row>
    <x:row r="649">
      <x:c r="A649" s="92" t="str">
        <x:v>AMZ-ORD-00648</x:v>
      </x:c>
      <x:c r="B649" s="94" t="str">
        <x:v>PROC-0649</x:v>
      </x:c>
      <x:c r="C649" s="108" t="n">
        <x:v>46143.756944444445</x:v>
      </x:c>
      <x:c r="D649" s="93" t="n">
        <x:v>46140</x:v>
      </x:c>
      <x:c r="E649" s="94" t="str">
        <x:v>Google Ads</x:v>
      </x:c>
      <x:c r="F649" s="94" t="str">
        <x:v>德国</x:v>
      </x:c>
      <x:c r="G649" s="94" t="str">
        <x:v>购物广告</x:v>
      </x:c>
      <x:c r="H649" s="94" t="str">
        <x:v>SKU-0005</x:v>
      </x:c>
      <x:c r="I649" s="94" t="str">
        <x:v>电子产品</x:v>
      </x:c>
      <x:c r="J649" s="94" t="str">
        <x:v>降噪耳机 E</x:v>
      </x:c>
      <x:c r="K649" s="97" t="n">
        <x:v>722.03</x:v>
      </x:c>
      <x:c r="L649" s="95" t="n">
        <x:v>1</x:v>
      </x:c>
      <x:c r="M649" s="97" t="n">
        <x:f>ROUND(K649*L649,2)</x:f>
        <x:v>722.03</x:v>
      </x:c>
      <x:c r="N649" s="109" t="n">
        <x:v>0.05</x:v>
      </x:c>
      <x:c r="O649" s="97" t="n">
        <x:f>ROUND(M649*N649,2)</x:f>
        <x:v>36.1</x:v>
      </x:c>
      <x:c r="P649" s="94" t="str">
        <x:v>已确认</x:v>
      </x:c>
      <x:c r="Q649" s="97" t="n">
        <x:f>IF(P649="已退款",M649,0)</x:f>
        <x:v>0</x:v>
      </x:c>
      <x:c r="R649" s="97" t="n">
        <x:f>IF(P649="已退款",O649,0)</x:f>
        <x:v>0</x:v>
      </x:c>
      <x:c r="S649" s="97" t="n">
        <x:f>O649-R649</x:f>
        <x:v>36.1</x:v>
      </x:c>
      <x:c r="T649" s="94" t="n">
        <x:v>3</x:v>
      </x:c>
      <x:c r="U649" s="94" t="str">
        <x:v>模拟：Amazon Associates订单回传</x:v>
      </x:c>
    </x:row>
    <x:row r="650">
      <x:c r="A650" s="92" t="str">
        <x:v>AMZ-ORD-00649</x:v>
      </x:c>
      <x:c r="B650" s="94" t="str">
        <x:v>PROC-0651</x:v>
      </x:c>
      <x:c r="C650" s="108" t="n">
        <x:v>46144.48541666667</x:v>
      </x:c>
      <x:c r="D650" s="93" t="n">
        <x:v>46140</x:v>
      </x:c>
      <x:c r="E650" s="94" t="str">
        <x:v>Microsoft Ads</x:v>
      </x:c>
      <x:c r="F650" s="94" t="str">
        <x:v>日本</x:v>
      </x:c>
      <x:c r="G650" s="94" t="str">
        <x:v>购物广告</x:v>
      </x:c>
      <x:c r="H650" s="94" t="str">
        <x:v>SKU-0024</x:v>
      </x:c>
      <x:c r="I650" s="94" t="str">
        <x:v>运动健康</x:v>
      </x:c>
      <x:c r="J650" s="94" t="str">
        <x:v>筋膜枪 D</x:v>
      </x:c>
      <x:c r="K650" s="97" t="n">
        <x:v>138.7</x:v>
      </x:c>
      <x:c r="L650" s="95" t="n">
        <x:v>2</x:v>
      </x:c>
      <x:c r="M650" s="97" t="n">
        <x:f>ROUND(K650*L650,2)</x:f>
        <x:v>277.4</x:v>
      </x:c>
      <x:c r="N650" s="109" t="n">
        <x:v>0.08</x:v>
      </x:c>
      <x:c r="O650" s="97" t="n">
        <x:f>ROUND(M650*N650,2)</x:f>
        <x:v>22.19</x:v>
      </x:c>
      <x:c r="P650" s="94" t="str">
        <x:v>已确认</x:v>
      </x:c>
      <x:c r="Q650" s="97" t="n">
        <x:f>IF(P650="已退款",M650,0)</x:f>
        <x:v>0</x:v>
      </x:c>
      <x:c r="R650" s="97" t="n">
        <x:f>IF(P650="已退款",O650,0)</x:f>
        <x:v>0</x:v>
      </x:c>
      <x:c r="S650" s="97" t="n">
        <x:f>O650-R650</x:f>
        <x:v>22.19</x:v>
      </x:c>
      <x:c r="T650" s="94" t="n">
        <x:v>4</x:v>
      </x:c>
      <x:c r="U650" s="94" t="str">
        <x:v>模拟：Amazon Associates订单回传</x:v>
      </x:c>
    </x:row>
    <x:row r="651">
      <x:c r="A651" s="92" t="str">
        <x:v>AMZ-ORD-00650</x:v>
      </x:c>
      <x:c r="B651" s="94" t="str">
        <x:v>PROC-0652</x:v>
      </x:c>
      <x:c r="C651" s="108" t="n">
        <x:v>46140.69375</x:v>
      </x:c>
      <x:c r="D651" s="93" t="n">
        <x:v>46140</x:v>
      </x:c>
      <x:c r="E651" s="94" t="str">
        <x:v>Microsoft Ads</x:v>
      </x:c>
      <x:c r="F651" s="94" t="str">
        <x:v>英国</x:v>
      </x:c>
      <x:c r="G651" s="94" t="str">
        <x:v>通用搜索</x:v>
      </x:c>
      <x:c r="H651" s="94" t="str">
        <x:v>SKU-0008</x:v>
      </x:c>
      <x:c r="I651" s="94" t="str">
        <x:v>电子产品</x:v>
      </x:c>
      <x:c r="J651" s="94" t="str">
        <x:v>Wi-Fi路由器 H</x:v>
      </x:c>
      <x:c r="K651" s="97" t="n">
        <x:v>550.26</x:v>
      </x:c>
      <x:c r="L651" s="95" t="n">
        <x:v>1</x:v>
      </x:c>
      <x:c r="M651" s="97" t="n">
        <x:f>ROUND(K651*L651,2)</x:f>
        <x:v>550.26</x:v>
      </x:c>
      <x:c r="N651" s="109" t="n">
        <x:v>0.05</x:v>
      </x:c>
      <x:c r="O651" s="97" t="n">
        <x:f>ROUND(M651*N651,2)</x:f>
        <x:v>27.51</x:v>
      </x:c>
      <x:c r="P651" s="94" t="str">
        <x:v>已确认</x:v>
      </x:c>
      <x:c r="Q651" s="97" t="n">
        <x:f>IF(P651="已退款",M651,0)</x:f>
        <x:v>0</x:v>
      </x:c>
      <x:c r="R651" s="97" t="n">
        <x:f>IF(P651="已退款",O651,0)</x:f>
        <x:v>0</x:v>
      </x:c>
      <x:c r="S651" s="97" t="n">
        <x:f>O651-R651</x:f>
        <x:v>27.51</x:v>
      </x:c>
      <x:c r="T651" s="94" t="n">
        <x:v>0</x:v>
      </x:c>
      <x:c r="U651" s="94" t="str">
        <x:v>模拟：Amazon Associates订单回传</x:v>
      </x:c>
    </x:row>
    <x:row r="652">
      <x:c r="A652" s="92" t="str">
        <x:v>AMZ-ORD-00651</x:v>
      </x:c>
      <x:c r="B652" s="94" t="str">
        <x:v>PROC-0653</x:v>
      </x:c>
      <x:c r="C652" s="108" t="n">
        <x:v>46141.54375</x:v>
      </x:c>
      <x:c r="D652" s="93" t="n">
        <x:v>46141</x:v>
      </x:c>
      <x:c r="E652" s="94" t="str">
        <x:v>Google Ads</x:v>
      </x:c>
      <x:c r="F652" s="94" t="str">
        <x:v>日本</x:v>
      </x:c>
      <x:c r="G652" s="94" t="str">
        <x:v>品牌搜索</x:v>
      </x:c>
      <x:c r="H652" s="94" t="str">
        <x:v>SKU-0032</x:v>
      </x:c>
      <x:c r="I652" s="94" t="str">
        <x:v>美妆个护</x:v>
      </x:c>
      <x:c r="J652" s="94" t="str">
        <x:v>吹风机 B</x:v>
      </x:c>
      <x:c r="K652" s="97" t="n">
        <x:v>130.96</x:v>
      </x:c>
      <x:c r="L652" s="95" t="n">
        <x:v>3</x:v>
      </x:c>
      <x:c r="M652" s="97" t="n">
        <x:f>ROUND(K652*L652,2)</x:f>
        <x:v>392.88</x:v>
      </x:c>
      <x:c r="N652" s="109" t="n">
        <x:v>0.1</x:v>
      </x:c>
      <x:c r="O652" s="97" t="n">
        <x:f>ROUND(M652*N652,2)</x:f>
        <x:v>39.29</x:v>
      </x:c>
      <x:c r="P652" s="94" t="str">
        <x:v>已确认</x:v>
      </x:c>
      <x:c r="Q652" s="97" t="n">
        <x:f>IF(P652="已退款",M652,0)</x:f>
        <x:v>0</x:v>
      </x:c>
      <x:c r="R652" s="97" t="n">
        <x:f>IF(P652="已退款",O652,0)</x:f>
        <x:v>0</x:v>
      </x:c>
      <x:c r="S652" s="97" t="n">
        <x:f>O652-R652</x:f>
        <x:v>39.29</x:v>
      </x:c>
      <x:c r="T652" s="94" t="n">
        <x:v>0</x:v>
      </x:c>
      <x:c r="U652" s="94" t="str">
        <x:v>模拟：Amazon Associates订单回传</x:v>
      </x:c>
    </x:row>
    <x:row r="653">
      <x:c r="A653" s="92" t="str">
        <x:v>AMZ-ORD-00652</x:v>
      </x:c>
      <x:c r="B653" s="94" t="str">
        <x:v>PROC-0654</x:v>
      </x:c>
      <x:c r="C653" s="108" t="n">
        <x:v>46142.47638888889</x:v>
      </x:c>
      <x:c r="D653" s="93" t="n">
        <x:v>46141</x:v>
      </x:c>
      <x:c r="E653" s="94" t="str">
        <x:v>Microsoft Ads</x:v>
      </x:c>
      <x:c r="F653" s="94" t="str">
        <x:v>日本</x:v>
      </x:c>
      <x:c r="G653" s="94" t="str">
        <x:v>竞品搜索</x:v>
      </x:c>
      <x:c r="H653" s="94" t="str">
        <x:v>SKU-0018</x:v>
      </x:c>
      <x:c r="I653" s="94" t="str">
        <x:v>家居生活</x:v>
      </x:c>
      <x:c r="J653" s="94" t="str">
        <x:v>收纳组合 H</x:v>
      </x:c>
      <x:c r="K653" s="97" t="n">
        <x:v>315.64</x:v>
      </x:c>
      <x:c r="L653" s="95" t="n">
        <x:v>2</x:v>
      </x:c>
      <x:c r="M653" s="97" t="n">
        <x:f>ROUND(K653*L653,2)</x:f>
        <x:v>631.28</x:v>
      </x:c>
      <x:c r="N653" s="109" t="n">
        <x:v>0.07</x:v>
      </x:c>
      <x:c r="O653" s="97" t="n">
        <x:f>ROUND(M653*N653,2)</x:f>
        <x:v>44.19</x:v>
      </x:c>
      <x:c r="P653" s="94" t="str">
        <x:v>已确认</x:v>
      </x:c>
      <x:c r="Q653" s="97" t="n">
        <x:f>IF(P653="已退款",M653,0)</x:f>
        <x:v>0</x:v>
      </x:c>
      <x:c r="R653" s="97" t="n">
        <x:f>IF(P653="已退款",O653,0)</x:f>
        <x:v>0</x:v>
      </x:c>
      <x:c r="S653" s="97" t="n">
        <x:f>O653-R653</x:f>
        <x:v>44.19</x:v>
      </x:c>
      <x:c r="T653" s="94" t="n">
        <x:v>1</x:v>
      </x:c>
      <x:c r="U653" s="94" t="str">
        <x:v>模拟：Amazon Associates订单回传</x:v>
      </x:c>
    </x:row>
    <x:row r="654">
      <x:c r="A654" s="92" t="str">
        <x:v>AMZ-ORD-00653</x:v>
      </x:c>
      <x:c r="B654" s="94" t="str">
        <x:v>PROC-0655</x:v>
      </x:c>
      <x:c r="C654" s="108" t="n">
        <x:v>46145.40555555555</x:v>
      </x:c>
      <x:c r="D654" s="93" t="n">
        <x:v>46141</x:v>
      </x:c>
      <x:c r="E654" s="94" t="str">
        <x:v>Google Ads</x:v>
      </x:c>
      <x:c r="F654" s="94" t="str">
        <x:v>美国</x:v>
      </x:c>
      <x:c r="G654" s="94" t="str">
        <x:v>品牌搜索</x:v>
      </x:c>
      <x:c r="H654" s="94" t="str">
        <x:v>SKU-0049</x:v>
      </x:c>
      <x:c r="I654" s="94" t="str">
        <x:v>办公学习</x:v>
      </x:c>
      <x:c r="J654" s="94" t="str">
        <x:v>移动白板 I</x:v>
      </x:c>
      <x:c r="K654" s="97" t="n">
        <x:v>252.75</x:v>
      </x:c>
      <x:c r="L654" s="95" t="n">
        <x:v>1</x:v>
      </x:c>
      <x:c r="M654" s="97" t="n">
        <x:f>ROUND(K654*L654,2)</x:f>
        <x:v>252.75</x:v>
      </x:c>
      <x:c r="N654" s="109" t="n">
        <x:v>0.07</x:v>
      </x:c>
      <x:c r="O654" s="97" t="n">
        <x:f>ROUND(M654*N654,2)</x:f>
        <x:v>17.69</x:v>
      </x:c>
      <x:c r="P654" s="94" t="str">
        <x:v>已确认</x:v>
      </x:c>
      <x:c r="Q654" s="97" t="n">
        <x:f>IF(P654="已退款",M654,0)</x:f>
        <x:v>0</x:v>
      </x:c>
      <x:c r="R654" s="97" t="n">
        <x:f>IF(P654="已退款",O654,0)</x:f>
        <x:v>0</x:v>
      </x:c>
      <x:c r="S654" s="97" t="n">
        <x:f>O654-R654</x:f>
        <x:v>17.69</x:v>
      </x:c>
      <x:c r="T654" s="94" t="n">
        <x:v>4</x:v>
      </x:c>
      <x:c r="U654" s="94" t="str">
        <x:v>模拟：Amazon Associates订单回传</x:v>
      </x:c>
    </x:row>
    <x:row r="655">
      <x:c r="A655" s="92" t="str">
        <x:v>AMZ-ORD-00654</x:v>
      </x:c>
      <x:c r="B655" s="94" t="str">
        <x:v>PROC-0655</x:v>
      </x:c>
      <x:c r="C655" s="108" t="n">
        <x:v>46143.759722222225</x:v>
      </x:c>
      <x:c r="D655" s="93" t="n">
        <x:v>46141</x:v>
      </x:c>
      <x:c r="E655" s="94" t="str">
        <x:v>Google Ads</x:v>
      </x:c>
      <x:c r="F655" s="94" t="str">
        <x:v>美国</x:v>
      </x:c>
      <x:c r="G655" s="94" t="str">
        <x:v>品牌搜索</x:v>
      </x:c>
      <x:c r="H655" s="94" t="str">
        <x:v>SKU-0040</x:v>
      </x:c>
      <x:c r="I655" s="94" t="str">
        <x:v>美妆个护</x:v>
      </x:c>
      <x:c r="J655" s="94" t="str">
        <x:v>旅行护理套装 J</x:v>
      </x:c>
      <x:c r="K655" s="97" t="n">
        <x:v>99.87</x:v>
      </x:c>
      <x:c r="L655" s="95" t="n">
        <x:v>2</x:v>
      </x:c>
      <x:c r="M655" s="97" t="n">
        <x:f>ROUND(K655*L655,2)</x:f>
        <x:v>199.74</x:v>
      </x:c>
      <x:c r="N655" s="109" t="n">
        <x:v>0.1</x:v>
      </x:c>
      <x:c r="O655" s="97" t="n">
        <x:f>ROUND(M655*N655,2)</x:f>
        <x:v>19.97</x:v>
      </x:c>
      <x:c r="P655" s="94" t="str">
        <x:v>已确认</x:v>
      </x:c>
      <x:c r="Q655" s="97" t="n">
        <x:f>IF(P655="已退款",M655,0)</x:f>
        <x:v>0</x:v>
      </x:c>
      <x:c r="R655" s="97" t="n">
        <x:f>IF(P655="已退款",O655,0)</x:f>
        <x:v>0</x:v>
      </x:c>
      <x:c r="S655" s="97" t="n">
        <x:f>O655-R655</x:f>
        <x:v>19.97</x:v>
      </x:c>
      <x:c r="T655" s="94" t="n">
        <x:v>2</x:v>
      </x:c>
      <x:c r="U655" s="94" t="str">
        <x:v>模拟：Amazon Associates订单回传</x:v>
      </x:c>
    </x:row>
    <x:row r="656">
      <x:c r="A656" s="92" t="str">
        <x:v>AMZ-ORD-00655</x:v>
      </x:c>
      <x:c r="B656" s="94" t="str">
        <x:v>PROC-0656</x:v>
      </x:c>
      <x:c r="C656" s="108" t="n">
        <x:v>46143.836805555555</x:v>
      </x:c>
      <x:c r="D656" s="93" t="n">
        <x:v>46141</x:v>
      </x:c>
      <x:c r="E656" s="94" t="str">
        <x:v>Microsoft Ads</x:v>
      </x:c>
      <x:c r="F656" s="94" t="str">
        <x:v>德国</x:v>
      </x:c>
      <x:c r="G656" s="94" t="str">
        <x:v>购物广告</x:v>
      </x:c>
      <x:c r="H656" s="94" t="str">
        <x:v>SKU-0027</x:v>
      </x:c>
      <x:c r="I656" s="94" t="str">
        <x:v>运动健康</x:v>
      </x:c>
      <x:c r="J656" s="94" t="str">
        <x:v>户外背包 G</x:v>
      </x:c>
      <x:c r="K656" s="97" t="n">
        <x:v>246.09</x:v>
      </x:c>
      <x:c r="L656" s="95" t="n">
        <x:v>1</x:v>
      </x:c>
      <x:c r="M656" s="97" t="n">
        <x:f>ROUND(K656*L656,2)</x:f>
        <x:v>246.09</x:v>
      </x:c>
      <x:c r="N656" s="109" t="n">
        <x:v>0.08</x:v>
      </x:c>
      <x:c r="O656" s="97" t="n">
        <x:f>ROUND(M656*N656,2)</x:f>
        <x:v>19.69</x:v>
      </x:c>
      <x:c r="P656" s="94" t="str">
        <x:v>已确认</x:v>
      </x:c>
      <x:c r="Q656" s="97" t="n">
        <x:f>IF(P656="已退款",M656,0)</x:f>
        <x:v>0</x:v>
      </x:c>
      <x:c r="R656" s="97" t="n">
        <x:f>IF(P656="已退款",O656,0)</x:f>
        <x:v>0</x:v>
      </x:c>
      <x:c r="S656" s="97" t="n">
        <x:f>O656-R656</x:f>
        <x:v>19.69</x:v>
      </x:c>
      <x:c r="T656" s="94" t="n">
        <x:v>2</x:v>
      </x:c>
      <x:c r="U656" s="94" t="str">
        <x:v>模拟：Amazon Associates订单回传</x:v>
      </x:c>
    </x:row>
    <x:row r="657">
      <x:c r="A657" s="92" t="str">
        <x:v>AMZ-ORD-00656</x:v>
      </x:c>
      <x:c r="B657" s="94" t="str">
        <x:v>PROC-0657</x:v>
      </x:c>
      <x:c r="C657" s="108" t="n">
        <x:v>46142.55069444444</x:v>
      </x:c>
      <x:c r="D657" s="93" t="n">
        <x:v>46141</x:v>
      </x:c>
      <x:c r="E657" s="94" t="str">
        <x:v>Microsoft Ads</x:v>
      </x:c>
      <x:c r="F657" s="94" t="str">
        <x:v>英国</x:v>
      </x:c>
      <x:c r="G657" s="94" t="str">
        <x:v>购物广告</x:v>
      </x:c>
      <x:c r="H657" s="94" t="str">
        <x:v>SKU-0021</x:v>
      </x:c>
      <x:c r="I657" s="94" t="str">
        <x:v>运动健康</x:v>
      </x:c>
      <x:c r="J657" s="94" t="str">
        <x:v>智能手表 A</x:v>
      </x:c>
      <x:c r="K657" s="97" t="n">
        <x:v>270.24</x:v>
      </x:c>
      <x:c r="L657" s="95" t="n">
        <x:v>1</x:v>
      </x:c>
      <x:c r="M657" s="97" t="n">
        <x:f>ROUND(K657*L657,2)</x:f>
        <x:v>270.24</x:v>
      </x:c>
      <x:c r="N657" s="109" t="n">
        <x:v>0.08</x:v>
      </x:c>
      <x:c r="O657" s="97" t="n">
        <x:f>ROUND(M657*N657,2)</x:f>
        <x:v>21.62</x:v>
      </x:c>
      <x:c r="P657" s="94" t="str">
        <x:v>已确认</x:v>
      </x:c>
      <x:c r="Q657" s="97" t="n">
        <x:f>IF(P657="已退款",M657,0)</x:f>
        <x:v>0</x:v>
      </x:c>
      <x:c r="R657" s="97" t="n">
        <x:f>IF(P657="已退款",O657,0)</x:f>
        <x:v>0</x:v>
      </x:c>
      <x:c r="S657" s="97" t="n">
        <x:f>O657-R657</x:f>
        <x:v>21.62</x:v>
      </x:c>
      <x:c r="T657" s="94" t="n">
        <x:v>1</x:v>
      </x:c>
      <x:c r="U657" s="94" t="str">
        <x:v>模拟：Amazon Associates订单回传</x:v>
      </x:c>
    </x:row>
    <x:row r="658">
      <x:c r="A658" s="92" t="str">
        <x:v>AMZ-ORD-00657</x:v>
      </x:c>
      <x:c r="B658" s="94" t="str">
        <x:v>PROC-0657</x:v>
      </x:c>
      <x:c r="C658" s="108" t="n">
        <x:v>46143.44236111111</x:v>
      </x:c>
      <x:c r="D658" s="93" t="n">
        <x:v>46141</x:v>
      </x:c>
      <x:c r="E658" s="94" t="str">
        <x:v>Microsoft Ads</x:v>
      </x:c>
      <x:c r="F658" s="94" t="str">
        <x:v>英国</x:v>
      </x:c>
      <x:c r="G658" s="94" t="str">
        <x:v>购物广告</x:v>
      </x:c>
      <x:c r="H658" s="94" t="str">
        <x:v>SKU-0009</x:v>
      </x:c>
      <x:c r="I658" s="94" t="str">
        <x:v>电子产品</x:v>
      </x:c>
      <x:c r="J658" s="94" t="str">
        <x:v>电子阅读器 I</x:v>
      </x:c>
      <x:c r="K658" s="97" t="n">
        <x:v>397.6</x:v>
      </x:c>
      <x:c r="L658" s="95" t="n">
        <x:v>1</x:v>
      </x:c>
      <x:c r="M658" s="97" t="n">
        <x:f>ROUND(K658*L658,2)</x:f>
        <x:v>397.6</x:v>
      </x:c>
      <x:c r="N658" s="109" t="n">
        <x:v>0.05</x:v>
      </x:c>
      <x:c r="O658" s="97" t="n">
        <x:f>ROUND(M658*N658,2)</x:f>
        <x:v>19.88</x:v>
      </x:c>
      <x:c r="P658" s="94" t="str">
        <x:v>已确认</x:v>
      </x:c>
      <x:c r="Q658" s="97" t="n">
        <x:f>IF(P658="已退款",M658,0)</x:f>
        <x:v>0</x:v>
      </x:c>
      <x:c r="R658" s="97" t="n">
        <x:f>IF(P658="已退款",O658,0)</x:f>
        <x:v>0</x:v>
      </x:c>
      <x:c r="S658" s="97" t="n">
        <x:f>O658-R658</x:f>
        <x:v>19.88</x:v>
      </x:c>
      <x:c r="T658" s="94" t="n">
        <x:v>2</x:v>
      </x:c>
      <x:c r="U658" s="94" t="str">
        <x:v>模拟：Amazon Associates订单回传</x:v>
      </x:c>
    </x:row>
    <x:row r="659">
      <x:c r="A659" s="92" t="str">
        <x:v>AMZ-ORD-00658</x:v>
      </x:c>
      <x:c r="B659" s="94" t="str">
        <x:v>PROC-0658</x:v>
      </x:c>
      <x:c r="C659" s="108" t="n">
        <x:v>46144.3375</x:v>
      </x:c>
      <x:c r="D659" s="93" t="n">
        <x:v>46141</x:v>
      </x:c>
      <x:c r="E659" s="94" t="str">
        <x:v>Google Ads</x:v>
      </x:c>
      <x:c r="F659" s="94" t="str">
        <x:v>英国</x:v>
      </x:c>
      <x:c r="G659" s="94" t="str">
        <x:v>购物广告</x:v>
      </x:c>
      <x:c r="H659" s="94" t="str">
        <x:v>SKU-0024</x:v>
      </x:c>
      <x:c r="I659" s="94" t="str">
        <x:v>运动健康</x:v>
      </x:c>
      <x:c r="J659" s="94" t="str">
        <x:v>筋膜枪 D</x:v>
      </x:c>
      <x:c r="K659" s="97" t="n">
        <x:v>88.02</x:v>
      </x:c>
      <x:c r="L659" s="95" t="n">
        <x:v>1</x:v>
      </x:c>
      <x:c r="M659" s="97" t="n">
        <x:f>ROUND(K659*L659,2)</x:f>
        <x:v>88.02</x:v>
      </x:c>
      <x:c r="N659" s="109" t="n">
        <x:v>0.08</x:v>
      </x:c>
      <x:c r="O659" s="97" t="n">
        <x:f>ROUND(M659*N659,2)</x:f>
        <x:v>7.04</x:v>
      </x:c>
      <x:c r="P659" s="94" t="str">
        <x:v>已确认</x:v>
      </x:c>
      <x:c r="Q659" s="97" t="n">
        <x:f>IF(P659="已退款",M659,0)</x:f>
        <x:v>0</x:v>
      </x:c>
      <x:c r="R659" s="97" t="n">
        <x:f>IF(P659="已退款",O659,0)</x:f>
        <x:v>0</x:v>
      </x:c>
      <x:c r="S659" s="97" t="n">
        <x:f>O659-R659</x:f>
        <x:v>7.04</x:v>
      </x:c>
      <x:c r="T659" s="94" t="n">
        <x:v>3</x:v>
      </x:c>
      <x:c r="U659" s="94" t="str">
        <x:v>模拟：Amazon Associates订单回传</x:v>
      </x:c>
    </x:row>
    <x:row r="660">
      <x:c r="A660" s="92" t="str">
        <x:v>AMZ-ORD-00659</x:v>
      </x:c>
      <x:c r="B660" s="94" t="str">
        <x:v>PROC-0659</x:v>
      </x:c>
      <x:c r="C660" s="108" t="n">
        <x:v>46145.677777777775</x:v>
      </x:c>
      <x:c r="D660" s="93" t="n">
        <x:v>46142</x:v>
      </x:c>
      <x:c r="E660" s="94" t="str">
        <x:v>Google Ads</x:v>
      </x:c>
      <x:c r="F660" s="94" t="str">
        <x:v>美国</x:v>
      </x:c>
      <x:c r="G660" s="94" t="str">
        <x:v>通用搜索</x:v>
      </x:c>
      <x:c r="H660" s="94" t="str">
        <x:v>SKU-0020</x:v>
      </x:c>
      <x:c r="I660" s="94" t="str">
        <x:v>家居生活</x:v>
      </x:c>
      <x:c r="J660" s="94" t="str">
        <x:v>智能门锁 J</x:v>
      </x:c>
      <x:c r="K660" s="97" t="n">
        <x:v>294.22</x:v>
      </x:c>
      <x:c r="L660" s="95" t="n">
        <x:v>1</x:v>
      </x:c>
      <x:c r="M660" s="97" t="n">
        <x:f>ROUND(K660*L660,2)</x:f>
        <x:v>294.22</x:v>
      </x:c>
      <x:c r="N660" s="109" t="n">
        <x:v>0.07</x:v>
      </x:c>
      <x:c r="O660" s="97" t="n">
        <x:f>ROUND(M660*N660,2)</x:f>
        <x:v>20.6</x:v>
      </x:c>
      <x:c r="P660" s="94" t="str">
        <x:v>已确认</x:v>
      </x:c>
      <x:c r="Q660" s="97" t="n">
        <x:f>IF(P660="已退款",M660,0)</x:f>
        <x:v>0</x:v>
      </x:c>
      <x:c r="R660" s="97" t="n">
        <x:f>IF(P660="已退款",O660,0)</x:f>
        <x:v>0</x:v>
      </x:c>
      <x:c r="S660" s="97" t="n">
        <x:f>O660-R660</x:f>
        <x:v>20.6</x:v>
      </x:c>
      <x:c r="T660" s="94" t="n">
        <x:v>3</x:v>
      </x:c>
      <x:c r="U660" s="94" t="str">
        <x:v>模拟：Amazon Associates订单回传</x:v>
      </x:c>
    </x:row>
    <x:row r="661">
      <x:c r="A661" s="92" t="str">
        <x:v>AMZ-ORD-00660</x:v>
      </x:c>
      <x:c r="B661" s="94" t="str">
        <x:v>PROC-0660</x:v>
      </x:c>
      <x:c r="C661" s="108" t="n">
        <x:v>46143.58194444444</x:v>
      </x:c>
      <x:c r="D661" s="93" t="n">
        <x:v>46142</x:v>
      </x:c>
      <x:c r="E661" s="94" t="str">
        <x:v>Google Ads</x:v>
      </x:c>
      <x:c r="F661" s="94" t="str">
        <x:v>日本</x:v>
      </x:c>
      <x:c r="G661" s="94" t="str">
        <x:v>品牌搜索</x:v>
      </x:c>
      <x:c r="H661" s="94" t="str">
        <x:v>SKU-0021</x:v>
      </x:c>
      <x:c r="I661" s="94" t="str">
        <x:v>运动健康</x:v>
      </x:c>
      <x:c r="J661" s="94" t="str">
        <x:v>智能手表 A</x:v>
      </x:c>
      <x:c r="K661" s="97" t="n">
        <x:v>105.85</x:v>
      </x:c>
      <x:c r="L661" s="95" t="n">
        <x:v>2</x:v>
      </x:c>
      <x:c r="M661" s="97" t="n">
        <x:f>ROUND(K661*L661,2)</x:f>
        <x:v>211.7</x:v>
      </x:c>
      <x:c r="N661" s="109" t="n">
        <x:v>0.08</x:v>
      </x:c>
      <x:c r="O661" s="97" t="n">
        <x:f>ROUND(M661*N661,2)</x:f>
        <x:v>16.94</x:v>
      </x:c>
      <x:c r="P661" s="94" t="str">
        <x:v>已退款</x:v>
      </x:c>
      <x:c r="Q661" s="97" t="n">
        <x:f>IF(P661="已退款",M661,0)</x:f>
        <x:v>211.7</x:v>
      </x:c>
      <x:c r="R661" s="97" t="n">
        <x:f>IF(P661="已退款",O661,0)</x:f>
        <x:v>16.94</x:v>
      </x:c>
      <x:c r="S661" s="97" t="n">
        <x:f>O661-R661</x:f>
        <x:v>0</x:v>
      </x:c>
      <x:c r="T661" s="94" t="n">
        <x:v>1</x:v>
      </x:c>
      <x:c r="U661" s="94" t="str">
        <x:v>模拟：Amazon Associates订单回传</x:v>
      </x:c>
    </x:row>
    <x:row r="662">
      <x:c r="A662" s="92" t="str">
        <x:v>AMZ-ORD-00661</x:v>
      </x:c>
      <x:c r="B662" s="94" t="str">
        <x:v>PROC-0661</x:v>
      </x:c>
      <x:c r="C662" s="108" t="n">
        <x:v>46143.72638888889</x:v>
      </x:c>
      <x:c r="D662" s="93" t="n">
        <x:v>46142</x:v>
      </x:c>
      <x:c r="E662" s="94" t="str">
        <x:v>Google Ads</x:v>
      </x:c>
      <x:c r="F662" s="94" t="str">
        <x:v>德国</x:v>
      </x:c>
      <x:c r="G662" s="94" t="str">
        <x:v>购物广告</x:v>
      </x:c>
      <x:c r="H662" s="94" t="str">
        <x:v>SKU-0004</x:v>
      </x:c>
      <x:c r="I662" s="94" t="str">
        <x:v>电子产品</x:v>
      </x:c>
      <x:c r="J662" s="94" t="str">
        <x:v>机械键盘 D</x:v>
      </x:c>
      <x:c r="K662" s="97" t="n">
        <x:v>736.77</x:v>
      </x:c>
      <x:c r="L662" s="95" t="n">
        <x:v>1</x:v>
      </x:c>
      <x:c r="M662" s="97" t="n">
        <x:f>ROUND(K662*L662,2)</x:f>
        <x:v>736.77</x:v>
      </x:c>
      <x:c r="N662" s="109" t="n">
        <x:v>0.05</x:v>
      </x:c>
      <x:c r="O662" s="97" t="n">
        <x:f>ROUND(M662*N662,2)</x:f>
        <x:v>36.84</x:v>
      </x:c>
      <x:c r="P662" s="94" t="str">
        <x:v>已确认</x:v>
      </x:c>
      <x:c r="Q662" s="97" t="n">
        <x:f>IF(P662="已退款",M662,0)</x:f>
        <x:v>0</x:v>
      </x:c>
      <x:c r="R662" s="97" t="n">
        <x:f>IF(P662="已退款",O662,0)</x:f>
        <x:v>0</x:v>
      </x:c>
      <x:c r="S662" s="97" t="n">
        <x:f>O662-R662</x:f>
        <x:v>36.84</x:v>
      </x:c>
      <x:c r="T662" s="94" t="n">
        <x:v>1</x:v>
      </x:c>
      <x:c r="U662" s="94" t="str">
        <x:v>模拟：Amazon Associates订单回传</x:v>
      </x:c>
    </x:row>
    <x:row r="663">
      <x:c r="A663" s="92" t="str">
        <x:v>AMZ-ORD-00662</x:v>
      </x:c>
      <x:c r="B663" s="94" t="str">
        <x:v>PROC-0662</x:v>
      </x:c>
      <x:c r="C663" s="108" t="n">
        <x:v>46143.77361111111</x:v>
      </x:c>
      <x:c r="D663" s="93" t="n">
        <x:v>46142</x:v>
      </x:c>
      <x:c r="E663" s="94" t="str">
        <x:v>Google Ads</x:v>
      </x:c>
      <x:c r="F663" s="94" t="str">
        <x:v>美国</x:v>
      </x:c>
      <x:c r="G663" s="94" t="str">
        <x:v>购物广告</x:v>
      </x:c>
      <x:c r="H663" s="94" t="str">
        <x:v>SKU-0043</x:v>
      </x:c>
      <x:c r="I663" s="94" t="str">
        <x:v>办公学习</x:v>
      </x:c>
      <x:c r="J663" s="94" t="str">
        <x:v>会议麦克风 C</x:v>
      </x:c>
      <x:c r="K663" s="97" t="n">
        <x:v>152.69</x:v>
      </x:c>
      <x:c r="L663" s="95" t="n">
        <x:v>1</x:v>
      </x:c>
      <x:c r="M663" s="97" t="n">
        <x:f>ROUND(K663*L663,2)</x:f>
        <x:v>152.69</x:v>
      </x:c>
      <x:c r="N663" s="109" t="n">
        <x:v>0.07</x:v>
      </x:c>
      <x:c r="O663" s="97" t="n">
        <x:f>ROUND(M663*N663,2)</x:f>
        <x:v>10.69</x:v>
      </x:c>
      <x:c r="P663" s="94" t="str">
        <x:v>已确认</x:v>
      </x:c>
      <x:c r="Q663" s="97" t="n">
        <x:f>IF(P663="已退款",M663,0)</x:f>
        <x:v>0</x:v>
      </x:c>
      <x:c r="R663" s="97" t="n">
        <x:f>IF(P663="已退款",O663,0)</x:f>
        <x:v>0</x:v>
      </x:c>
      <x:c r="S663" s="97" t="n">
        <x:f>O663-R663</x:f>
        <x:v>10.69</x:v>
      </x:c>
      <x:c r="T663" s="94" t="n">
        <x:v>1</x:v>
      </x:c>
      <x:c r="U663" s="94" t="str">
        <x:v>模拟：Amazon Associates订单回传</x:v>
      </x:c>
    </x:row>
    <x:row r="664">
      <x:c r="A664" s="92" t="str">
        <x:v>AMZ-ORD-00663</x:v>
      </x:c>
      <x:c r="B664" s="94" t="str">
        <x:v>PROC-0663</x:v>
      </x:c>
      <x:c r="C664" s="108" t="n">
        <x:v>46146.853472222225</x:v>
      </x:c>
      <x:c r="D664" s="93" t="n">
        <x:v>46142</x:v>
      </x:c>
      <x:c r="E664" s="94" t="str">
        <x:v>Google Ads</x:v>
      </x:c>
      <x:c r="F664" s="94" t="str">
        <x:v>德国</x:v>
      </x:c>
      <x:c r="G664" s="94" t="str">
        <x:v>购物广告</x:v>
      </x:c>
      <x:c r="H664" s="94" t="str">
        <x:v>SKU-0001</x:v>
      </x:c>
      <x:c r="I664" s="94" t="str">
        <x:v>电子产品</x:v>
      </x:c>
      <x:c r="J664" s="94" t="str">
        <x:v>无线耳机 A</x:v>
      </x:c>
      <x:c r="K664" s="97" t="n">
        <x:v>643.19</x:v>
      </x:c>
      <x:c r="L664" s="95" t="n">
        <x:v>1</x:v>
      </x:c>
      <x:c r="M664" s="97" t="n">
        <x:f>ROUND(K664*L664,2)</x:f>
        <x:v>643.19</x:v>
      </x:c>
      <x:c r="N664" s="109" t="n">
        <x:v>0.05</x:v>
      </x:c>
      <x:c r="O664" s="97" t="n">
        <x:f>ROUND(M664*N664,2)</x:f>
        <x:v>32.16</x:v>
      </x:c>
      <x:c r="P664" s="94" t="str">
        <x:v>已确认</x:v>
      </x:c>
      <x:c r="Q664" s="97" t="n">
        <x:f>IF(P664="已退款",M664,0)</x:f>
        <x:v>0</x:v>
      </x:c>
      <x:c r="R664" s="97" t="n">
        <x:f>IF(P664="已退款",O664,0)</x:f>
        <x:v>0</x:v>
      </x:c>
      <x:c r="S664" s="97" t="n">
        <x:f>O664-R664</x:f>
        <x:v>32.16</x:v>
      </x:c>
      <x:c r="T664" s="94" t="n">
        <x:v>4</x:v>
      </x:c>
      <x:c r="U664" s="94" t="str">
        <x:v>模拟：Amazon Associates订单回传</x:v>
      </x:c>
    </x:row>
    <x:row r="665">
      <x:c r="A665" s="92" t="str">
        <x:v>AMZ-ORD-00664</x:v>
      </x:c>
      <x:c r="B665" s="94" t="str">
        <x:v>PROC-0664</x:v>
      </x:c>
      <x:c r="C665" s="108" t="n">
        <x:v>46145.91111111111</x:v>
      </x:c>
      <x:c r="D665" s="93" t="n">
        <x:v>46143</x:v>
      </x:c>
      <x:c r="E665" s="94" t="str">
        <x:v>Microsoft Ads</x:v>
      </x:c>
      <x:c r="F665" s="94" t="str">
        <x:v>德国</x:v>
      </x:c>
      <x:c r="G665" s="94" t="str">
        <x:v>购物广告</x:v>
      </x:c>
      <x:c r="H665" s="94" t="str">
        <x:v>SKU-0031</x:v>
      </x:c>
      <x:c r="I665" s="94" t="str">
        <x:v>美妆个护</x:v>
      </x:c>
      <x:c r="J665" s="94" t="str">
        <x:v>洁面仪 A</x:v>
      </x:c>
      <x:c r="K665" s="97" t="n">
        <x:v>155.81</x:v>
      </x:c>
      <x:c r="L665" s="95" t="n">
        <x:v>3</x:v>
      </x:c>
      <x:c r="M665" s="97" t="n">
        <x:f>ROUND(K665*L665,2)</x:f>
        <x:v>467.43</x:v>
      </x:c>
      <x:c r="N665" s="109" t="n">
        <x:v>0.1</x:v>
      </x:c>
      <x:c r="O665" s="97" t="n">
        <x:f>ROUND(M665*N665,2)</x:f>
        <x:v>46.74</x:v>
      </x:c>
      <x:c r="P665" s="94" t="str">
        <x:v>已确认</x:v>
      </x:c>
      <x:c r="Q665" s="97" t="n">
        <x:f>IF(P665="已退款",M665,0)</x:f>
        <x:v>0</x:v>
      </x:c>
      <x:c r="R665" s="97" t="n">
        <x:f>IF(P665="已退款",O665,0)</x:f>
        <x:v>0</x:v>
      </x:c>
      <x:c r="S665" s="97" t="n">
        <x:f>O665-R665</x:f>
        <x:v>46.74</x:v>
      </x:c>
      <x:c r="T665" s="94" t="n">
        <x:v>2</x:v>
      </x:c>
      <x:c r="U665" s="94" t="str">
        <x:v>模拟：Amazon Associates订单回传</x:v>
      </x:c>
    </x:row>
    <x:row r="666">
      <x:c r="A666" s="92" t="str">
        <x:v>AMZ-ORD-00665</x:v>
      </x:c>
      <x:c r="B666" s="94" t="str">
        <x:v>PROC-0665</x:v>
      </x:c>
      <x:c r="C666" s="108" t="n">
        <x:v>46144.575694444444</x:v>
      </x:c>
      <x:c r="D666" s="93" t="n">
        <x:v>46143</x:v>
      </x:c>
      <x:c r="E666" s="94" t="str">
        <x:v>Microsoft Ads</x:v>
      </x:c>
      <x:c r="F666" s="94" t="str">
        <x:v>美国</x:v>
      </x:c>
      <x:c r="G666" s="94" t="str">
        <x:v>通用搜索</x:v>
      </x:c>
      <x:c r="H666" s="94" t="str">
        <x:v>SKU-0049</x:v>
      </x:c>
      <x:c r="I666" s="94" t="str">
        <x:v>办公学习</x:v>
      </x:c>
      <x:c r="J666" s="94" t="str">
        <x:v>移动白板 I</x:v>
      </x:c>
      <x:c r="K666" s="97" t="n">
        <x:v>106.2</x:v>
      </x:c>
      <x:c r="L666" s="95" t="n">
        <x:v>1</x:v>
      </x:c>
      <x:c r="M666" s="97" t="n">
        <x:f>ROUND(K666*L666,2)</x:f>
        <x:v>106.2</x:v>
      </x:c>
      <x:c r="N666" s="109" t="n">
        <x:v>0.07</x:v>
      </x:c>
      <x:c r="O666" s="97" t="n">
        <x:f>ROUND(M666*N666,2)</x:f>
        <x:v>7.43</x:v>
      </x:c>
      <x:c r="P666" s="94" t="str">
        <x:v>已确认</x:v>
      </x:c>
      <x:c r="Q666" s="97" t="n">
        <x:f>IF(P666="已退款",M666,0)</x:f>
        <x:v>0</x:v>
      </x:c>
      <x:c r="R666" s="97" t="n">
        <x:f>IF(P666="已退款",O666,0)</x:f>
        <x:v>0</x:v>
      </x:c>
      <x:c r="S666" s="97" t="n">
        <x:f>O666-R666</x:f>
        <x:v>7.43</x:v>
      </x:c>
      <x:c r="T666" s="94" t="n">
        <x:v>1</x:v>
      </x:c>
      <x:c r="U666" s="94" t="str">
        <x:v>模拟：Amazon Associates订单回传</x:v>
      </x:c>
    </x:row>
    <x:row r="667">
      <x:c r="A667" s="92" t="str">
        <x:v>AMZ-ORD-00666</x:v>
      </x:c>
      <x:c r="B667" s="94" t="str">
        <x:v>PROC-0666</x:v>
      </x:c>
      <x:c r="C667" s="108" t="n">
        <x:v>46144.37222222222</x:v>
      </x:c>
      <x:c r="D667" s="93" t="n">
        <x:v>46143</x:v>
      </x:c>
      <x:c r="E667" s="94" t="str">
        <x:v>Google Ads</x:v>
      </x:c>
      <x:c r="F667" s="94" t="str">
        <x:v>日本</x:v>
      </x:c>
      <x:c r="G667" s="94" t="str">
        <x:v>品牌搜索</x:v>
      </x:c>
      <x:c r="H667" s="94" t="str">
        <x:v>SKU-0016</x:v>
      </x:c>
      <x:c r="I667" s="94" t="str">
        <x:v>家居生活</x:v>
      </x:c>
      <x:c r="J667" s="94" t="str">
        <x:v>厨师机 F</x:v>
      </x:c>
      <x:c r="K667" s="97" t="n">
        <x:v>228.57</x:v>
      </x:c>
      <x:c r="L667" s="95" t="n">
        <x:v>1</x:v>
      </x:c>
      <x:c r="M667" s="97" t="n">
        <x:f>ROUND(K667*L667,2)</x:f>
        <x:v>228.57</x:v>
      </x:c>
      <x:c r="N667" s="109" t="n">
        <x:v>0.07</x:v>
      </x:c>
      <x:c r="O667" s="97" t="n">
        <x:f>ROUND(M667*N667,2)</x:f>
        <x:v>16</x:v>
      </x:c>
      <x:c r="P667" s="94" t="str">
        <x:v>已确认</x:v>
      </x:c>
      <x:c r="Q667" s="97" t="n">
        <x:f>IF(P667="已退款",M667,0)</x:f>
        <x:v>0</x:v>
      </x:c>
      <x:c r="R667" s="97" t="n">
        <x:f>IF(P667="已退款",O667,0)</x:f>
        <x:v>0</x:v>
      </x:c>
      <x:c r="S667" s="97" t="n">
        <x:f>O667-R667</x:f>
        <x:v>16</x:v>
      </x:c>
      <x:c r="T667" s="94" t="n">
        <x:v>1</x:v>
      </x:c>
      <x:c r="U667" s="94" t="str">
        <x:v>模拟：Amazon Associates订单回传</x:v>
      </x:c>
    </x:row>
    <x:row r="668">
      <x:c r="A668" s="92" t="str">
        <x:v>AMZ-ORD-00667</x:v>
      </x:c>
      <x:c r="B668" s="94" t="str">
        <x:v>PROC-0667</x:v>
      </x:c>
      <x:c r="C668" s="108" t="n">
        <x:v>46146.39513888889</x:v>
      </x:c>
      <x:c r="D668" s="93" t="n">
        <x:v>46143</x:v>
      </x:c>
      <x:c r="E668" s="94" t="str">
        <x:v>Google Ads</x:v>
      </x:c>
      <x:c r="F668" s="94" t="str">
        <x:v>美国</x:v>
      </x:c>
      <x:c r="G668" s="94" t="str">
        <x:v>通用搜索</x:v>
      </x:c>
      <x:c r="H668" s="94" t="str">
        <x:v>SKU-0006</x:v>
      </x:c>
      <x:c r="I668" s="94" t="str">
        <x:v>电子产品</x:v>
      </x:c>
      <x:c r="J668" s="94" t="str">
        <x:v>迷你投影仪 F</x:v>
      </x:c>
      <x:c r="K668" s="97" t="n">
        <x:v>358.55</x:v>
      </x:c>
      <x:c r="L668" s="95" t="n">
        <x:v>1</x:v>
      </x:c>
      <x:c r="M668" s="97" t="n">
        <x:f>ROUND(K668*L668,2)</x:f>
        <x:v>358.55</x:v>
      </x:c>
      <x:c r="N668" s="109" t="n">
        <x:v>0.05</x:v>
      </x:c>
      <x:c r="O668" s="97" t="n">
        <x:f>ROUND(M668*N668,2)</x:f>
        <x:v>17.93</x:v>
      </x:c>
      <x:c r="P668" s="94" t="str">
        <x:v>已退款</x:v>
      </x:c>
      <x:c r="Q668" s="97" t="n">
        <x:f>IF(P668="已退款",M668,0)</x:f>
        <x:v>358.55</x:v>
      </x:c>
      <x:c r="R668" s="97" t="n">
        <x:f>IF(P668="已退款",O668,0)</x:f>
        <x:v>17.93</x:v>
      </x:c>
      <x:c r="S668" s="97" t="n">
        <x:f>O668-R668</x:f>
        <x:v>0</x:v>
      </x:c>
      <x:c r="T668" s="94" t="n">
        <x:v>3</x:v>
      </x:c>
      <x:c r="U668" s="94" t="str">
        <x:v>模拟：Amazon Associates订单回传</x:v>
      </x:c>
    </x:row>
    <x:row r="669">
      <x:c r="A669" s="92" t="str">
        <x:v>AMZ-ORD-00668</x:v>
      </x:c>
      <x:c r="B669" s="94" t="str">
        <x:v>PROC-0668</x:v>
      </x:c>
      <x:c r="C669" s="108" t="n">
        <x:v>46144.60138888889</x:v>
      </x:c>
      <x:c r="D669" s="93" t="n">
        <x:v>46143</x:v>
      </x:c>
      <x:c r="E669" s="94" t="str">
        <x:v>Google Ads</x:v>
      </x:c>
      <x:c r="F669" s="94" t="str">
        <x:v>英国</x:v>
      </x:c>
      <x:c r="G669" s="94" t="str">
        <x:v>通用搜索</x:v>
      </x:c>
      <x:c r="H669" s="94" t="str">
        <x:v>SKU-0021</x:v>
      </x:c>
      <x:c r="I669" s="94" t="str">
        <x:v>运动健康</x:v>
      </x:c>
      <x:c r="J669" s="94" t="str">
        <x:v>智能手表 A</x:v>
      </x:c>
      <x:c r="K669" s="97" t="n">
        <x:v>77</x:v>
      </x:c>
      <x:c r="L669" s="95" t="n">
        <x:v>1</x:v>
      </x:c>
      <x:c r="M669" s="97" t="n">
        <x:f>ROUND(K669*L669,2)</x:f>
        <x:v>77</x:v>
      </x:c>
      <x:c r="N669" s="109" t="n">
        <x:v>0.08</x:v>
      </x:c>
      <x:c r="O669" s="97" t="n">
        <x:f>ROUND(M669*N669,2)</x:f>
        <x:v>6.16</x:v>
      </x:c>
      <x:c r="P669" s="94" t="str">
        <x:v>已确认</x:v>
      </x:c>
      <x:c r="Q669" s="97" t="n">
        <x:f>IF(P669="已退款",M669,0)</x:f>
        <x:v>0</x:v>
      </x:c>
      <x:c r="R669" s="97" t="n">
        <x:f>IF(P669="已退款",O669,0)</x:f>
        <x:v>0</x:v>
      </x:c>
      <x:c r="S669" s="97" t="n">
        <x:f>O669-R669</x:f>
        <x:v>6.16</x:v>
      </x:c>
      <x:c r="T669" s="94" t="n">
        <x:v>1</x:v>
      </x:c>
      <x:c r="U669" s="94" t="str">
        <x:v>模拟：Amazon Associates订单回传</x:v>
      </x:c>
    </x:row>
    <x:row r="670">
      <x:c r="A670" s="92" t="str">
        <x:v>AMZ-ORD-00669</x:v>
      </x:c>
      <x:c r="B670" s="94" t="str">
        <x:v>PROC-0669</x:v>
      </x:c>
      <x:c r="C670" s="108" t="n">
        <x:v>46145.33541666667</x:v>
      </x:c>
      <x:c r="D670" s="93" t="n">
        <x:v>46143</x:v>
      </x:c>
      <x:c r="E670" s="94" t="str">
        <x:v>Microsoft Ads</x:v>
      </x:c>
      <x:c r="F670" s="94" t="str">
        <x:v>美国</x:v>
      </x:c>
      <x:c r="G670" s="94" t="str">
        <x:v>通用搜索</x:v>
      </x:c>
      <x:c r="H670" s="94" t="str">
        <x:v>SKU-0024</x:v>
      </x:c>
      <x:c r="I670" s="94" t="str">
        <x:v>运动健康</x:v>
      </x:c>
      <x:c r="J670" s="94" t="str">
        <x:v>筋膜枪 D</x:v>
      </x:c>
      <x:c r="K670" s="97" t="n">
        <x:v>103.82</x:v>
      </x:c>
      <x:c r="L670" s="95" t="n">
        <x:v>1</x:v>
      </x:c>
      <x:c r="M670" s="97" t="n">
        <x:f>ROUND(K670*L670,2)</x:f>
        <x:v>103.82</x:v>
      </x:c>
      <x:c r="N670" s="109" t="n">
        <x:v>0.08</x:v>
      </x:c>
      <x:c r="O670" s="97" t="n">
        <x:f>ROUND(M670*N670,2)</x:f>
        <x:v>8.31</x:v>
      </x:c>
      <x:c r="P670" s="94" t="str">
        <x:v>已确认</x:v>
      </x:c>
      <x:c r="Q670" s="97" t="n">
        <x:f>IF(P670="已退款",M670,0)</x:f>
        <x:v>0</x:v>
      </x:c>
      <x:c r="R670" s="97" t="n">
        <x:f>IF(P670="已退款",O670,0)</x:f>
        <x:v>0</x:v>
      </x:c>
      <x:c r="S670" s="97" t="n">
        <x:f>O670-R670</x:f>
        <x:v>8.31</x:v>
      </x:c>
      <x:c r="T670" s="94" t="n">
        <x:v>2</x:v>
      </x:c>
      <x:c r="U670" s="94" t="str">
        <x:v>模拟：Amazon Associates订单回传</x:v>
      </x:c>
    </x:row>
    <x:row r="671">
      <x:c r="A671" s="92" t="str">
        <x:v>AMZ-ORD-00670</x:v>
      </x:c>
      <x:c r="B671" s="94" t="str">
        <x:v>PROC-0670</x:v>
      </x:c>
      <x:c r="C671" s="108" t="n">
        <x:v>46146.36319444444</x:v>
      </x:c>
      <x:c r="D671" s="93" t="n">
        <x:v>46144</x:v>
      </x:c>
      <x:c r="E671" s="94" t="str">
        <x:v>Google Ads</x:v>
      </x:c>
      <x:c r="F671" s="94" t="str">
        <x:v>德国</x:v>
      </x:c>
      <x:c r="G671" s="94" t="str">
        <x:v>购物广告</x:v>
      </x:c>
      <x:c r="H671" s="94" t="str">
        <x:v>SKU-0029</x:v>
      </x:c>
      <x:c r="I671" s="94" t="str">
        <x:v>运动健康</x:v>
      </x:c>
      <x:c r="J671" s="94" t="str">
        <x:v>运动耳机 I</x:v>
      </x:c>
      <x:c r="K671" s="97" t="n">
        <x:v>151.04</x:v>
      </x:c>
      <x:c r="L671" s="95" t="n">
        <x:v>1</x:v>
      </x:c>
      <x:c r="M671" s="97" t="n">
        <x:f>ROUND(K671*L671,2)</x:f>
        <x:v>151.04</x:v>
      </x:c>
      <x:c r="N671" s="109" t="n">
        <x:v>0.08</x:v>
      </x:c>
      <x:c r="O671" s="97" t="n">
        <x:f>ROUND(M671*N671,2)</x:f>
        <x:v>12.08</x:v>
      </x:c>
      <x:c r="P671" s="94" t="str">
        <x:v>已退款</x:v>
      </x:c>
      <x:c r="Q671" s="97" t="n">
        <x:f>IF(P671="已退款",M671,0)</x:f>
        <x:v>151.04</x:v>
      </x:c>
      <x:c r="R671" s="97" t="n">
        <x:f>IF(P671="已退款",O671,0)</x:f>
        <x:v>12.08</x:v>
      </x:c>
      <x:c r="S671" s="97" t="n">
        <x:f>O671-R671</x:f>
        <x:v>0</x:v>
      </x:c>
      <x:c r="T671" s="94" t="n">
        <x:v>2</x:v>
      </x:c>
      <x:c r="U671" s="94" t="str">
        <x:v>模拟：Amazon Associates订单回传</x:v>
      </x:c>
    </x:row>
    <x:row r="672">
      <x:c r="A672" s="92" t="str">
        <x:v>AMZ-ORD-00671</x:v>
      </x:c>
      <x:c r="B672" s="94" t="str">
        <x:v>PROC-0671</x:v>
      </x:c>
      <x:c r="C672" s="108" t="n">
        <x:v>46147.638194444444</x:v>
      </x:c>
      <x:c r="D672" s="93" t="n">
        <x:v>46144</x:v>
      </x:c>
      <x:c r="E672" s="94" t="str">
        <x:v>Microsoft Ads</x:v>
      </x:c>
      <x:c r="F672" s="94" t="str">
        <x:v>美国</x:v>
      </x:c>
      <x:c r="G672" s="94" t="str">
        <x:v>购物广告</x:v>
      </x:c>
      <x:c r="H672" s="94" t="str">
        <x:v>SKU-0021</x:v>
      </x:c>
      <x:c r="I672" s="94" t="str">
        <x:v>运动健康</x:v>
      </x:c>
      <x:c r="J672" s="94" t="str">
        <x:v>智能手表 A</x:v>
      </x:c>
      <x:c r="K672" s="97" t="n">
        <x:v>126.8</x:v>
      </x:c>
      <x:c r="L672" s="95" t="n">
        <x:v>1</x:v>
      </x:c>
      <x:c r="M672" s="97" t="n">
        <x:f>ROUND(K672*L672,2)</x:f>
        <x:v>126.8</x:v>
      </x:c>
      <x:c r="N672" s="109" t="n">
        <x:v>0.08</x:v>
      </x:c>
      <x:c r="O672" s="97" t="n">
        <x:f>ROUND(M672*N672,2)</x:f>
        <x:v>10.14</x:v>
      </x:c>
      <x:c r="P672" s="94" t="str">
        <x:v>已确认</x:v>
      </x:c>
      <x:c r="Q672" s="97" t="n">
        <x:f>IF(P672="已退款",M672,0)</x:f>
        <x:v>0</x:v>
      </x:c>
      <x:c r="R672" s="97" t="n">
        <x:f>IF(P672="已退款",O672,0)</x:f>
        <x:v>0</x:v>
      </x:c>
      <x:c r="S672" s="97" t="n">
        <x:f>O672-R672</x:f>
        <x:v>10.14</x:v>
      </x:c>
      <x:c r="T672" s="94" t="n">
        <x:v>3</x:v>
      </x:c>
      <x:c r="U672" s="94" t="str">
        <x:v>模拟：Amazon Associates订单回传</x:v>
      </x:c>
    </x:row>
    <x:row r="673">
      <x:c r="A673" s="92" t="str">
        <x:v>AMZ-ORD-00672</x:v>
      </x:c>
      <x:c r="B673" s="94" t="str">
        <x:v>PROC-0672</x:v>
      </x:c>
      <x:c r="C673" s="108" t="n">
        <x:v>46147.524305555555</x:v>
      </x:c>
      <x:c r="D673" s="93" t="n">
        <x:v>46144</x:v>
      </x:c>
      <x:c r="E673" s="94" t="str">
        <x:v>Google Ads</x:v>
      </x:c>
      <x:c r="F673" s="94" t="str">
        <x:v>美国</x:v>
      </x:c>
      <x:c r="G673" s="94" t="str">
        <x:v>通用搜索</x:v>
      </x:c>
      <x:c r="H673" s="94" t="str">
        <x:v>SKU-0015</x:v>
      </x:c>
      <x:c r="I673" s="94" t="str">
        <x:v>家居生活</x:v>
      </x:c>
      <x:c r="J673" s="94" t="str">
        <x:v>床品套装 E</x:v>
      </x:c>
      <x:c r="K673" s="97" t="n">
        <x:v>210.6</x:v>
      </x:c>
      <x:c r="L673" s="95" t="n">
        <x:v>2</x:v>
      </x:c>
      <x:c r="M673" s="97" t="n">
        <x:f>ROUND(K673*L673,2)</x:f>
        <x:v>421.2</x:v>
      </x:c>
      <x:c r="N673" s="109" t="n">
        <x:v>0.07</x:v>
      </x:c>
      <x:c r="O673" s="97" t="n">
        <x:f>ROUND(M673*N673,2)</x:f>
        <x:v>29.48</x:v>
      </x:c>
      <x:c r="P673" s="94" t="str">
        <x:v>已确认</x:v>
      </x:c>
      <x:c r="Q673" s="97" t="n">
        <x:f>IF(P673="已退款",M673,0)</x:f>
        <x:v>0</x:v>
      </x:c>
      <x:c r="R673" s="97" t="n">
        <x:f>IF(P673="已退款",O673,0)</x:f>
        <x:v>0</x:v>
      </x:c>
      <x:c r="S673" s="97" t="n">
        <x:f>O673-R673</x:f>
        <x:v>29.48</x:v>
      </x:c>
      <x:c r="T673" s="94" t="n">
        <x:v>3</x:v>
      </x:c>
      <x:c r="U673" s="94" t="str">
        <x:v>模拟：Amazon Associates订单回传</x:v>
      </x:c>
    </x:row>
    <x:row r="674">
      <x:c r="A674" s="92" t="str">
        <x:v>AMZ-ORD-00673</x:v>
      </x:c>
      <x:c r="B674" s="94" t="str">
        <x:v>PROC-0673</x:v>
      </x:c>
      <x:c r="C674" s="108" t="n">
        <x:v>46144.42152777778</x:v>
      </x:c>
      <x:c r="D674" s="93" t="n">
        <x:v>46144</x:v>
      </x:c>
      <x:c r="E674" s="94" t="str">
        <x:v>Google Ads</x:v>
      </x:c>
      <x:c r="F674" s="94" t="str">
        <x:v>德国</x:v>
      </x:c>
      <x:c r="G674" s="94" t="str">
        <x:v>购物广告</x:v>
      </x:c>
      <x:c r="H674" s="94" t="str">
        <x:v>SKU-0043</x:v>
      </x:c>
      <x:c r="I674" s="94" t="str">
        <x:v>办公学习</x:v>
      </x:c>
      <x:c r="J674" s="94" t="str">
        <x:v>会议麦克风 C</x:v>
      </x:c>
      <x:c r="K674" s="97" t="n">
        <x:v>182.56</x:v>
      </x:c>
      <x:c r="L674" s="95" t="n">
        <x:v>1</x:v>
      </x:c>
      <x:c r="M674" s="97" t="n">
        <x:f>ROUND(K674*L674,2)</x:f>
        <x:v>182.56</x:v>
      </x:c>
      <x:c r="N674" s="109" t="n">
        <x:v>0.07</x:v>
      </x:c>
      <x:c r="O674" s="97" t="n">
        <x:f>ROUND(M674*N674,2)</x:f>
        <x:v>12.78</x:v>
      </x:c>
      <x:c r="P674" s="94" t="str">
        <x:v>已确认</x:v>
      </x:c>
      <x:c r="Q674" s="97" t="n">
        <x:f>IF(P674="已退款",M674,0)</x:f>
        <x:v>0</x:v>
      </x:c>
      <x:c r="R674" s="97" t="n">
        <x:f>IF(P674="已退款",O674,0)</x:f>
        <x:v>0</x:v>
      </x:c>
      <x:c r="S674" s="97" t="n">
        <x:f>O674-R674</x:f>
        <x:v>12.78</x:v>
      </x:c>
      <x:c r="T674" s="94" t="n">
        <x:v>0</x:v>
      </x:c>
      <x:c r="U674" s="94" t="str">
        <x:v>模拟：Amazon Associates订单回传</x:v>
      </x:c>
    </x:row>
    <x:row r="675">
      <x:c r="A675" s="92" t="str">
        <x:v>AMZ-ORD-00674</x:v>
      </x:c>
      <x:c r="B675" s="94" t="str">
        <x:v>PROC-0674</x:v>
      </x:c>
      <x:c r="C675" s="108" t="n">
        <x:v>46144.60902777778</x:v>
      </x:c>
      <x:c r="D675" s="93" t="n">
        <x:v>46144</x:v>
      </x:c>
      <x:c r="E675" s="94" t="str">
        <x:v>Google Ads</x:v>
      </x:c>
      <x:c r="F675" s="94" t="str">
        <x:v>英国</x:v>
      </x:c>
      <x:c r="G675" s="94" t="str">
        <x:v>品牌搜索</x:v>
      </x:c>
      <x:c r="H675" s="94" t="str">
        <x:v>SKU-0009</x:v>
      </x:c>
      <x:c r="I675" s="94" t="str">
        <x:v>电子产品</x:v>
      </x:c>
      <x:c r="J675" s="94" t="str">
        <x:v>电子阅读器 I</x:v>
      </x:c>
      <x:c r="K675" s="97" t="n">
        <x:v>460.41</x:v>
      </x:c>
      <x:c r="L675" s="95" t="n">
        <x:v>1</x:v>
      </x:c>
      <x:c r="M675" s="97" t="n">
        <x:f>ROUND(K675*L675,2)</x:f>
        <x:v>460.41</x:v>
      </x:c>
      <x:c r="N675" s="109" t="n">
        <x:v>0.05</x:v>
      </x:c>
      <x:c r="O675" s="97" t="n">
        <x:f>ROUND(M675*N675,2)</x:f>
        <x:v>23.02</x:v>
      </x:c>
      <x:c r="P675" s="94" t="str">
        <x:v>已确认</x:v>
      </x:c>
      <x:c r="Q675" s="97" t="n">
        <x:f>IF(P675="已退款",M675,0)</x:f>
        <x:v>0</x:v>
      </x:c>
      <x:c r="R675" s="97" t="n">
        <x:f>IF(P675="已退款",O675,0)</x:f>
        <x:v>0</x:v>
      </x:c>
      <x:c r="S675" s="97" t="n">
        <x:f>O675-R675</x:f>
        <x:v>23.02</x:v>
      </x:c>
      <x:c r="T675" s="94" t="n">
        <x:v>0</x:v>
      </x:c>
      <x:c r="U675" s="94" t="str">
        <x:v>模拟：Amazon Associates订单回传</x:v>
      </x:c>
    </x:row>
    <x:row r="676">
      <x:c r="A676" s="92" t="str">
        <x:v>AMZ-ORD-00675</x:v>
      </x:c>
      <x:c r="B676" s="94" t="str">
        <x:v>PROC-0674</x:v>
      </x:c>
      <x:c r="C676" s="108" t="n">
        <x:v>46148.37430555555</x:v>
      </x:c>
      <x:c r="D676" s="93" t="n">
        <x:v>46144</x:v>
      </x:c>
      <x:c r="E676" s="94" t="str">
        <x:v>Google Ads</x:v>
      </x:c>
      <x:c r="F676" s="94" t="str">
        <x:v>英国</x:v>
      </x:c>
      <x:c r="G676" s="94" t="str">
        <x:v>品牌搜索</x:v>
      </x:c>
      <x:c r="H676" s="94" t="str">
        <x:v>SKU-0016</x:v>
      </x:c>
      <x:c r="I676" s="94" t="str">
        <x:v>家居生活</x:v>
      </x:c>
      <x:c r="J676" s="94" t="str">
        <x:v>厨师机 F</x:v>
      </x:c>
      <x:c r="K676" s="97" t="n">
        <x:v>296.39</x:v>
      </x:c>
      <x:c r="L676" s="95" t="n">
        <x:v>3</x:v>
      </x:c>
      <x:c r="M676" s="97" t="n">
        <x:f>ROUND(K676*L676,2)</x:f>
        <x:v>889.17</x:v>
      </x:c>
      <x:c r="N676" s="109" t="n">
        <x:v>0.07</x:v>
      </x:c>
      <x:c r="O676" s="97" t="n">
        <x:f>ROUND(M676*N676,2)</x:f>
        <x:v>62.24</x:v>
      </x:c>
      <x:c r="P676" s="94" t="str">
        <x:v>已确认</x:v>
      </x:c>
      <x:c r="Q676" s="97" t="n">
        <x:f>IF(P676="已退款",M676,0)</x:f>
        <x:v>0</x:v>
      </x:c>
      <x:c r="R676" s="97" t="n">
        <x:f>IF(P676="已退款",O676,0)</x:f>
        <x:v>0</x:v>
      </x:c>
      <x:c r="S676" s="97" t="n">
        <x:f>O676-R676</x:f>
        <x:v>62.24</x:v>
      </x:c>
      <x:c r="T676" s="94" t="n">
        <x:v>4</x:v>
      </x:c>
      <x:c r="U676" s="94" t="str">
        <x:v>模拟：Amazon Associates订单回传</x:v>
      </x:c>
    </x:row>
    <x:row r="677">
      <x:c r="A677" s="92" t="str">
        <x:v>AMZ-ORD-00676</x:v>
      </x:c>
      <x:c r="B677" s="94" t="str">
        <x:v>PROC-0676</x:v>
      </x:c>
      <x:c r="C677" s="108" t="n">
        <x:v>46147.51597222222</x:v>
      </x:c>
      <x:c r="D677" s="93" t="n">
        <x:v>46145</x:v>
      </x:c>
      <x:c r="E677" s="94" t="str">
        <x:v>Microsoft Ads</x:v>
      </x:c>
      <x:c r="F677" s="94" t="str">
        <x:v>英国</x:v>
      </x:c>
      <x:c r="G677" s="94" t="str">
        <x:v>通用搜索</x:v>
      </x:c>
      <x:c r="H677" s="94" t="str">
        <x:v>SKU-0005</x:v>
      </x:c>
      <x:c r="I677" s="94" t="str">
        <x:v>电子产品</x:v>
      </x:c>
      <x:c r="J677" s="94" t="str">
        <x:v>降噪耳机 E</x:v>
      </x:c>
      <x:c r="K677" s="97" t="n">
        <x:v>442.56</x:v>
      </x:c>
      <x:c r="L677" s="95" t="n">
        <x:v>1</x:v>
      </x:c>
      <x:c r="M677" s="97" t="n">
        <x:f>ROUND(K677*L677,2)</x:f>
        <x:v>442.56</x:v>
      </x:c>
      <x:c r="N677" s="109" t="n">
        <x:v>0.05</x:v>
      </x:c>
      <x:c r="O677" s="97" t="n">
        <x:f>ROUND(M677*N677,2)</x:f>
        <x:v>22.13</x:v>
      </x:c>
      <x:c r="P677" s="94" t="str">
        <x:v>已确认</x:v>
      </x:c>
      <x:c r="Q677" s="97" t="n">
        <x:f>IF(P677="已退款",M677,0)</x:f>
        <x:v>0</x:v>
      </x:c>
      <x:c r="R677" s="97" t="n">
        <x:f>IF(P677="已退款",O677,0)</x:f>
        <x:v>0</x:v>
      </x:c>
      <x:c r="S677" s="97" t="n">
        <x:f>O677-R677</x:f>
        <x:v>22.13</x:v>
      </x:c>
      <x:c r="T677" s="94" t="n">
        <x:v>2</x:v>
      </x:c>
      <x:c r="U677" s="94" t="str">
        <x:v>模拟：Amazon Associates订单回传</x:v>
      </x:c>
    </x:row>
    <x:row r="678">
      <x:c r="A678" s="92" t="str">
        <x:v>AMZ-ORD-00677</x:v>
      </x:c>
      <x:c r="B678" s="94" t="str">
        <x:v>PROC-0678</x:v>
      </x:c>
      <x:c r="C678" s="108" t="n">
        <x:v>46146.62569444445</x:v>
      </x:c>
      <x:c r="D678" s="93" t="n">
        <x:v>46145</x:v>
      </x:c>
      <x:c r="E678" s="94" t="str">
        <x:v>Microsoft Ads</x:v>
      </x:c>
      <x:c r="F678" s="94" t="str">
        <x:v>德国</x:v>
      </x:c>
      <x:c r="G678" s="94" t="str">
        <x:v>品牌搜索</x:v>
      </x:c>
      <x:c r="H678" s="94" t="str">
        <x:v>SKU-0011</x:v>
      </x:c>
      <x:c r="I678" s="94" t="str">
        <x:v>家居生活</x:v>
      </x:c>
      <x:c r="J678" s="94" t="str">
        <x:v>空气净化器 A</x:v>
      </x:c>
      <x:c r="K678" s="97" t="n">
        <x:v>300.76</x:v>
      </x:c>
      <x:c r="L678" s="95" t="n">
        <x:v>1</x:v>
      </x:c>
      <x:c r="M678" s="97" t="n">
        <x:f>ROUND(K678*L678,2)</x:f>
        <x:v>300.76</x:v>
      </x:c>
      <x:c r="N678" s="109" t="n">
        <x:v>0.07</x:v>
      </x:c>
      <x:c r="O678" s="97" t="n">
        <x:f>ROUND(M678*N678,2)</x:f>
        <x:v>21.05</x:v>
      </x:c>
      <x:c r="P678" s="94" t="str">
        <x:v>已确认</x:v>
      </x:c>
      <x:c r="Q678" s="97" t="n">
        <x:f>IF(P678="已退款",M678,0)</x:f>
        <x:v>0</x:v>
      </x:c>
      <x:c r="R678" s="97" t="n">
        <x:f>IF(P678="已退款",O678,0)</x:f>
        <x:v>0</x:v>
      </x:c>
      <x:c r="S678" s="97" t="n">
        <x:f>O678-R678</x:f>
        <x:v>21.05</x:v>
      </x:c>
      <x:c r="T678" s="94" t="n">
        <x:v>1</x:v>
      </x:c>
      <x:c r="U678" s="94" t="str">
        <x:v>模拟：Amazon Associates订单回传</x:v>
      </x:c>
    </x:row>
    <x:row r="679">
      <x:c r="A679" s="92" t="str">
        <x:v>AMZ-ORD-00678</x:v>
      </x:c>
      <x:c r="B679" s="94" t="str">
        <x:v>PROC-0678</x:v>
      </x:c>
      <x:c r="C679" s="108" t="n">
        <x:v>46145.36944444444</x:v>
      </x:c>
      <x:c r="D679" s="93" t="n">
        <x:v>46145</x:v>
      </x:c>
      <x:c r="E679" s="94" t="str">
        <x:v>Microsoft Ads</x:v>
      </x:c>
      <x:c r="F679" s="94" t="str">
        <x:v>德国</x:v>
      </x:c>
      <x:c r="G679" s="94" t="str">
        <x:v>品牌搜索</x:v>
      </x:c>
      <x:c r="H679" s="94" t="str">
        <x:v>SKU-0040</x:v>
      </x:c>
      <x:c r="I679" s="94" t="str">
        <x:v>美妆个护</x:v>
      </x:c>
      <x:c r="J679" s="94" t="str">
        <x:v>旅行护理套装 J</x:v>
      </x:c>
      <x:c r="K679" s="97" t="n">
        <x:v>63.4</x:v>
      </x:c>
      <x:c r="L679" s="95" t="n">
        <x:v>2</x:v>
      </x:c>
      <x:c r="M679" s="97" t="n">
        <x:f>ROUND(K679*L679,2)</x:f>
        <x:v>126.8</x:v>
      </x:c>
      <x:c r="N679" s="109" t="n">
        <x:v>0.1</x:v>
      </x:c>
      <x:c r="O679" s="97" t="n">
        <x:f>ROUND(M679*N679,2)</x:f>
        <x:v>12.68</x:v>
      </x:c>
      <x:c r="P679" s="94" t="str">
        <x:v>已确认</x:v>
      </x:c>
      <x:c r="Q679" s="97" t="n">
        <x:f>IF(P679="已退款",M679,0)</x:f>
        <x:v>0</x:v>
      </x:c>
      <x:c r="R679" s="97" t="n">
        <x:f>IF(P679="已退款",O679,0)</x:f>
        <x:v>0</x:v>
      </x:c>
      <x:c r="S679" s="97" t="n">
        <x:f>O679-R679</x:f>
        <x:v>12.68</x:v>
      </x:c>
      <x:c r="T679" s="94" t="n">
        <x:v>0</x:v>
      </x:c>
      <x:c r="U679" s="94" t="str">
        <x:v>模拟：Amazon Associates订单回传</x:v>
      </x:c>
    </x:row>
    <x:row r="680">
      <x:c r="A680" s="92" t="str">
        <x:v>AMZ-ORD-00679</x:v>
      </x:c>
      <x:c r="B680" s="94" t="str">
        <x:v>PROC-0679</x:v>
      </x:c>
      <x:c r="C680" s="108" t="n">
        <x:v>46146.79305555556</x:v>
      </x:c>
      <x:c r="D680" s="93" t="n">
        <x:v>46145</x:v>
      </x:c>
      <x:c r="E680" s="94" t="str">
        <x:v>Google Ads</x:v>
      </x:c>
      <x:c r="F680" s="94" t="str">
        <x:v>美国</x:v>
      </x:c>
      <x:c r="G680" s="94" t="str">
        <x:v>购物广告</x:v>
      </x:c>
      <x:c r="H680" s="94" t="str">
        <x:v>SKU-0009</x:v>
      </x:c>
      <x:c r="I680" s="94" t="str">
        <x:v>电子产品</x:v>
      </x:c>
      <x:c r="J680" s="94" t="str">
        <x:v>电子阅读器 I</x:v>
      </x:c>
      <x:c r="K680" s="97" t="n">
        <x:v>753.07</x:v>
      </x:c>
      <x:c r="L680" s="95" t="n">
        <x:v>1</x:v>
      </x:c>
      <x:c r="M680" s="97" t="n">
        <x:f>ROUND(K680*L680,2)</x:f>
        <x:v>753.07</x:v>
      </x:c>
      <x:c r="N680" s="109" t="n">
        <x:v>0.05</x:v>
      </x:c>
      <x:c r="O680" s="97" t="n">
        <x:f>ROUND(M680*N680,2)</x:f>
        <x:v>37.65</x:v>
      </x:c>
      <x:c r="P680" s="94" t="str">
        <x:v>已确认</x:v>
      </x:c>
      <x:c r="Q680" s="97" t="n">
        <x:f>IF(P680="已退款",M680,0)</x:f>
        <x:v>0</x:v>
      </x:c>
      <x:c r="R680" s="97" t="n">
        <x:f>IF(P680="已退款",O680,0)</x:f>
        <x:v>0</x:v>
      </x:c>
      <x:c r="S680" s="97" t="n">
        <x:f>O680-R680</x:f>
        <x:v>37.65</x:v>
      </x:c>
      <x:c r="T680" s="94" t="n">
        <x:v>1</x:v>
      </x:c>
      <x:c r="U680" s="94" t="str">
        <x:v>模拟：Amazon Associates订单回传</x:v>
      </x:c>
    </x:row>
    <x:row r="681">
      <x:c r="A681" s="92" t="str">
        <x:v>AMZ-ORD-00680</x:v>
      </x:c>
      <x:c r="B681" s="94" t="str">
        <x:v>PROC-0681</x:v>
      </x:c>
      <x:c r="C681" s="108" t="n">
        <x:v>46148.7125</x:v>
      </x:c>
      <x:c r="D681" s="93" t="n">
        <x:v>46146</x:v>
      </x:c>
      <x:c r="E681" s="94" t="str">
        <x:v>Microsoft Ads</x:v>
      </x:c>
      <x:c r="F681" s="94" t="str">
        <x:v>日本</x:v>
      </x:c>
      <x:c r="G681" s="94" t="str">
        <x:v>竞品搜索</x:v>
      </x:c>
      <x:c r="H681" s="94" t="str">
        <x:v>SKU-0047</x:v>
      </x:c>
      <x:c r="I681" s="94" t="str">
        <x:v>办公学习</x:v>
      </x:c>
      <x:c r="J681" s="94" t="str">
        <x:v>标签打印机 G</x:v>
      </x:c>
      <x:c r="K681" s="97" t="n">
        <x:v>92.74</x:v>
      </x:c>
      <x:c r="L681" s="95" t="n">
        <x:v>1</x:v>
      </x:c>
      <x:c r="M681" s="97" t="n">
        <x:f>ROUND(K681*L681,2)</x:f>
        <x:v>92.74</x:v>
      </x:c>
      <x:c r="N681" s="109" t="n">
        <x:v>0.07</x:v>
      </x:c>
      <x:c r="O681" s="97" t="n">
        <x:f>ROUND(M681*N681,2)</x:f>
        <x:v>6.49</x:v>
      </x:c>
      <x:c r="P681" s="94" t="str">
        <x:v>已确认</x:v>
      </x:c>
      <x:c r="Q681" s="97" t="n">
        <x:f>IF(P681="已退款",M681,0)</x:f>
        <x:v>0</x:v>
      </x:c>
      <x:c r="R681" s="97" t="n">
        <x:f>IF(P681="已退款",O681,0)</x:f>
        <x:v>0</x:v>
      </x:c>
      <x:c r="S681" s="97" t="n">
        <x:f>O681-R681</x:f>
        <x:v>6.49</x:v>
      </x:c>
      <x:c r="T681" s="94" t="n">
        <x:v>2</x:v>
      </x:c>
      <x:c r="U681" s="94" t="str">
        <x:v>模拟：Amazon Associates订单回传</x:v>
      </x:c>
    </x:row>
    <x:row r="682">
      <x:c r="A682" s="92" t="str">
        <x:v>AMZ-ORD-00681</x:v>
      </x:c>
      <x:c r="B682" s="94" t="str">
        <x:v>PROC-0682</x:v>
      </x:c>
      <x:c r="C682" s="108" t="n">
        <x:v>46147.82638888889</x:v>
      </x:c>
      <x:c r="D682" s="93" t="n">
        <x:v>46146</x:v>
      </x:c>
      <x:c r="E682" s="94" t="str">
        <x:v>Google Ads</x:v>
      </x:c>
      <x:c r="F682" s="94" t="str">
        <x:v>美国</x:v>
      </x:c>
      <x:c r="G682" s="94" t="str">
        <x:v>购物广告</x:v>
      </x:c>
      <x:c r="H682" s="94" t="str">
        <x:v>SKU-0005</x:v>
      </x:c>
      <x:c r="I682" s="94" t="str">
        <x:v>电子产品</x:v>
      </x:c>
      <x:c r="J682" s="94" t="str">
        <x:v>降噪耳机 E</x:v>
      </x:c>
      <x:c r="K682" s="97" t="n">
        <x:v>445.34</x:v>
      </x:c>
      <x:c r="L682" s="95" t="n">
        <x:v>2</x:v>
      </x:c>
      <x:c r="M682" s="97" t="n">
        <x:f>ROUND(K682*L682,2)</x:f>
        <x:v>890.68</x:v>
      </x:c>
      <x:c r="N682" s="109" t="n">
        <x:v>0.05</x:v>
      </x:c>
      <x:c r="O682" s="97" t="n">
        <x:f>ROUND(M682*N682,2)</x:f>
        <x:v>44.53</x:v>
      </x:c>
      <x:c r="P682" s="94" t="str">
        <x:v>已确认</x:v>
      </x:c>
      <x:c r="Q682" s="97" t="n">
        <x:f>IF(P682="已退款",M682,0)</x:f>
        <x:v>0</x:v>
      </x:c>
      <x:c r="R682" s="97" t="n">
        <x:f>IF(P682="已退款",O682,0)</x:f>
        <x:v>0</x:v>
      </x:c>
      <x:c r="S682" s="97" t="n">
        <x:f>O682-R682</x:f>
        <x:v>44.53</x:v>
      </x:c>
      <x:c r="T682" s="94" t="n">
        <x:v>1</x:v>
      </x:c>
      <x:c r="U682" s="94" t="str">
        <x:v>模拟：Amazon Associates订单回传</x:v>
      </x:c>
    </x:row>
    <x:row r="683">
      <x:c r="A683" s="92" t="str">
        <x:v>AMZ-ORD-00682</x:v>
      </x:c>
      <x:c r="B683" s="94" t="str">
        <x:v>PROC-0683</x:v>
      </x:c>
      <x:c r="C683" s="108" t="n">
        <x:v>46146.43541666667</x:v>
      </x:c>
      <x:c r="D683" s="93" t="n">
        <x:v>46146</x:v>
      </x:c>
      <x:c r="E683" s="94" t="str">
        <x:v>Microsoft Ads</x:v>
      </x:c>
      <x:c r="F683" s="94" t="str">
        <x:v>美国</x:v>
      </x:c>
      <x:c r="G683" s="94" t="str">
        <x:v>通用搜索</x:v>
      </x:c>
      <x:c r="H683" s="94" t="str">
        <x:v>SKU-0038</x:v>
      </x:c>
      <x:c r="I683" s="94" t="str">
        <x:v>美妆个护</x:v>
      </x:c>
      <x:c r="J683" s="94" t="str">
        <x:v>卷发棒 H</x:v>
      </x:c>
      <x:c r="K683" s="97" t="n">
        <x:v>92.65</x:v>
      </x:c>
      <x:c r="L683" s="95" t="n">
        <x:v>1</x:v>
      </x:c>
      <x:c r="M683" s="97" t="n">
        <x:f>ROUND(K683*L683,2)</x:f>
        <x:v>92.65</x:v>
      </x:c>
      <x:c r="N683" s="109" t="n">
        <x:v>0.1</x:v>
      </x:c>
      <x:c r="O683" s="97" t="n">
        <x:f>ROUND(M683*N683,2)</x:f>
        <x:v>9.27</x:v>
      </x:c>
      <x:c r="P683" s="94" t="str">
        <x:v>已确认</x:v>
      </x:c>
      <x:c r="Q683" s="97" t="n">
        <x:f>IF(P683="已退款",M683,0)</x:f>
        <x:v>0</x:v>
      </x:c>
      <x:c r="R683" s="97" t="n">
        <x:f>IF(P683="已退款",O683,0)</x:f>
        <x:v>0</x:v>
      </x:c>
      <x:c r="S683" s="97" t="n">
        <x:f>O683-R683</x:f>
        <x:v>9.27</x:v>
      </x:c>
      <x:c r="T683" s="94" t="n">
        <x:v>0</x:v>
      </x:c>
      <x:c r="U683" s="94" t="str">
        <x:v>模拟：Amazon Associates订单回传</x:v>
      </x:c>
    </x:row>
    <x:row r="684">
      <x:c r="A684" s="92" t="str">
        <x:v>AMZ-ORD-00683</x:v>
      </x:c>
      <x:c r="B684" s="94" t="str">
        <x:v>PROC-0684</x:v>
      </x:c>
      <x:c r="C684" s="108" t="n">
        <x:v>46147.88263888889</x:v>
      </x:c>
      <x:c r="D684" s="93" t="n">
        <x:v>46146</x:v>
      </x:c>
      <x:c r="E684" s="94" t="str">
        <x:v>Google Ads</x:v>
      </x:c>
      <x:c r="F684" s="94" t="str">
        <x:v>美国</x:v>
      </x:c>
      <x:c r="G684" s="94" t="str">
        <x:v>品牌搜索</x:v>
      </x:c>
      <x:c r="H684" s="94" t="str">
        <x:v>SKU-0008</x:v>
      </x:c>
      <x:c r="I684" s="94" t="str">
        <x:v>电子产品</x:v>
      </x:c>
      <x:c r="J684" s="94" t="str">
        <x:v>Wi-Fi路由器 H</x:v>
      </x:c>
      <x:c r="K684" s="97" t="n">
        <x:v>332.39</x:v>
      </x:c>
      <x:c r="L684" s="95" t="n">
        <x:v>1</x:v>
      </x:c>
      <x:c r="M684" s="97" t="n">
        <x:f>ROUND(K684*L684,2)</x:f>
        <x:v>332.39</x:v>
      </x:c>
      <x:c r="N684" s="109" t="n">
        <x:v>0.05</x:v>
      </x:c>
      <x:c r="O684" s="97" t="n">
        <x:f>ROUND(M684*N684,2)</x:f>
        <x:v>16.62</x:v>
      </x:c>
      <x:c r="P684" s="94" t="str">
        <x:v>已确认</x:v>
      </x:c>
      <x:c r="Q684" s="97" t="n">
        <x:f>IF(P684="已退款",M684,0)</x:f>
        <x:v>0</x:v>
      </x:c>
      <x:c r="R684" s="97" t="n">
        <x:f>IF(P684="已退款",O684,0)</x:f>
        <x:v>0</x:v>
      </x:c>
      <x:c r="S684" s="97" t="n">
        <x:f>O684-R684</x:f>
        <x:v>16.62</x:v>
      </x:c>
      <x:c r="T684" s="94" t="n">
        <x:v>1</x:v>
      </x:c>
      <x:c r="U684" s="94" t="str">
        <x:v>模拟：Amazon Associates订单回传</x:v>
      </x:c>
    </x:row>
    <x:row r="685">
      <x:c r="A685" s="92" t="str">
        <x:v>AMZ-ORD-00684</x:v>
      </x:c>
      <x:c r="B685" s="94" t="str">
        <x:v>PROC-0684</x:v>
      </x:c>
      <x:c r="C685" s="108" t="n">
        <x:v>46147.853472222225</x:v>
      </x:c>
      <x:c r="D685" s="93" t="n">
        <x:v>46146</x:v>
      </x:c>
      <x:c r="E685" s="94" t="str">
        <x:v>Google Ads</x:v>
      </x:c>
      <x:c r="F685" s="94" t="str">
        <x:v>美国</x:v>
      </x:c>
      <x:c r="G685" s="94" t="str">
        <x:v>品牌搜索</x:v>
      </x:c>
      <x:c r="H685" s="94" t="str">
        <x:v>SKU-0037</x:v>
      </x:c>
      <x:c r="I685" s="94" t="str">
        <x:v>美妆个护</x:v>
      </x:c>
      <x:c r="J685" s="94" t="str">
        <x:v>美容仪 G</x:v>
      </x:c>
      <x:c r="K685" s="97" t="n">
        <x:v>157.55</x:v>
      </x:c>
      <x:c r="L685" s="95" t="n">
        <x:v>1</x:v>
      </x:c>
      <x:c r="M685" s="97" t="n">
        <x:f>ROUND(K685*L685,2)</x:f>
        <x:v>157.55</x:v>
      </x:c>
      <x:c r="N685" s="109" t="n">
        <x:v>0.1</x:v>
      </x:c>
      <x:c r="O685" s="97" t="n">
        <x:f>ROUND(M685*N685,2)</x:f>
        <x:v>15.76</x:v>
      </x:c>
      <x:c r="P685" s="94" t="str">
        <x:v>已确认</x:v>
      </x:c>
      <x:c r="Q685" s="97" t="n">
        <x:f>IF(P685="已退款",M685,0)</x:f>
        <x:v>0</x:v>
      </x:c>
      <x:c r="R685" s="97" t="n">
        <x:f>IF(P685="已退款",O685,0)</x:f>
        <x:v>0</x:v>
      </x:c>
      <x:c r="S685" s="97" t="n">
        <x:f>O685-R685</x:f>
        <x:v>15.76</x:v>
      </x:c>
      <x:c r="T685" s="94" t="n">
        <x:v>1</x:v>
      </x:c>
      <x:c r="U685" s="94" t="str">
        <x:v>模拟：Amazon Associates订单回传</x:v>
      </x:c>
    </x:row>
    <x:row r="686">
      <x:c r="A686" s="92" t="str">
        <x:v>AMZ-ORD-00685</x:v>
      </x:c>
      <x:c r="B686" s="94" t="str">
        <x:v>PROC-0685</x:v>
      </x:c>
      <x:c r="C686" s="108" t="n">
        <x:v>46148.623611111114</x:v>
      </x:c>
      <x:c r="D686" s="93" t="n">
        <x:v>46146</x:v>
      </x:c>
      <x:c r="E686" s="94" t="str">
        <x:v>Google Ads</x:v>
      </x:c>
      <x:c r="F686" s="94" t="str">
        <x:v>美国</x:v>
      </x:c>
      <x:c r="G686" s="94" t="str">
        <x:v>竞品搜索</x:v>
      </x:c>
      <x:c r="H686" s="94" t="str">
        <x:v>SKU-0008</x:v>
      </x:c>
      <x:c r="I686" s="94" t="str">
        <x:v>电子产品</x:v>
      </x:c>
      <x:c r="J686" s="94" t="str">
        <x:v>Wi-Fi路由器 H</x:v>
      </x:c>
      <x:c r="K686" s="97" t="n">
        <x:v>222.01</x:v>
      </x:c>
      <x:c r="L686" s="95" t="n">
        <x:v>1</x:v>
      </x:c>
      <x:c r="M686" s="97" t="n">
        <x:f>ROUND(K686*L686,2)</x:f>
        <x:v>222.01</x:v>
      </x:c>
      <x:c r="N686" s="109" t="n">
        <x:v>0.05</x:v>
      </x:c>
      <x:c r="O686" s="97" t="n">
        <x:f>ROUND(M686*N686,2)</x:f>
        <x:v>11.1</x:v>
      </x:c>
      <x:c r="P686" s="94" t="str">
        <x:v>已确认</x:v>
      </x:c>
      <x:c r="Q686" s="97" t="n">
        <x:f>IF(P686="已退款",M686,0)</x:f>
        <x:v>0</x:v>
      </x:c>
      <x:c r="R686" s="97" t="n">
        <x:f>IF(P686="已退款",O686,0)</x:f>
        <x:v>0</x:v>
      </x:c>
      <x:c r="S686" s="97" t="n">
        <x:f>O686-R686</x:f>
        <x:v>11.1</x:v>
      </x:c>
      <x:c r="T686" s="94" t="n">
        <x:v>2</x:v>
      </x:c>
      <x:c r="U686" s="94" t="str">
        <x:v>模拟：Amazon Associates订单回传</x:v>
      </x:c>
    </x:row>
    <x:row r="687">
      <x:c r="A687" s="92" t="str">
        <x:v>AMZ-ORD-00686</x:v>
      </x:c>
      <x:c r="B687" s="94" t="str">
        <x:v>PROC-0686</x:v>
      </x:c>
      <x:c r="C687" s="108" t="n">
        <x:v>46150.90694444445</x:v>
      </x:c>
      <x:c r="D687" s="93" t="n">
        <x:v>46146</x:v>
      </x:c>
      <x:c r="E687" s="94" t="str">
        <x:v>Google Ads</x:v>
      </x:c>
      <x:c r="F687" s="94" t="str">
        <x:v>美国</x:v>
      </x:c>
      <x:c r="G687" s="94" t="str">
        <x:v>购物广告</x:v>
      </x:c>
      <x:c r="H687" s="94" t="str">
        <x:v>SKU-0014</x:v>
      </x:c>
      <x:c r="I687" s="94" t="str">
        <x:v>家居生活</x:v>
      </x:c>
      <x:c r="J687" s="94" t="str">
        <x:v>扫地机器人 D</x:v>
      </x:c>
      <x:c r="K687" s="97" t="n">
        <x:v>150.16</x:v>
      </x:c>
      <x:c r="L687" s="95" t="n">
        <x:v>2</x:v>
      </x:c>
      <x:c r="M687" s="97" t="n">
        <x:f>ROUND(K687*L687,2)</x:f>
        <x:v>300.32</x:v>
      </x:c>
      <x:c r="N687" s="109" t="n">
        <x:v>0.07</x:v>
      </x:c>
      <x:c r="O687" s="97" t="n">
        <x:f>ROUND(M687*N687,2)</x:f>
        <x:v>21.02</x:v>
      </x:c>
      <x:c r="P687" s="94" t="str">
        <x:v>已确认</x:v>
      </x:c>
      <x:c r="Q687" s="97" t="n">
        <x:f>IF(P687="已退款",M687,0)</x:f>
        <x:v>0</x:v>
      </x:c>
      <x:c r="R687" s="97" t="n">
        <x:f>IF(P687="已退款",O687,0)</x:f>
        <x:v>0</x:v>
      </x:c>
      <x:c r="S687" s="97" t="n">
        <x:f>O687-R687</x:f>
        <x:v>21.02</x:v>
      </x:c>
      <x:c r="T687" s="94" t="n">
        <x:v>4</x:v>
      </x:c>
      <x:c r="U687" s="94" t="str">
        <x:v>模拟：Amazon Associates订单回传</x:v>
      </x:c>
    </x:row>
    <x:row r="688">
      <x:c r="A688" s="92" t="str">
        <x:v>AMZ-ORD-00687</x:v>
      </x:c>
      <x:c r="B688" s="94" t="str">
        <x:v>PROC-0687</x:v>
      </x:c>
      <x:c r="C688" s="108" t="n">
        <x:v>46150.64791666667</x:v>
      </x:c>
      <x:c r="D688" s="93" t="n">
        <x:v>46147</x:v>
      </x:c>
      <x:c r="E688" s="94" t="str">
        <x:v>Google Ads</x:v>
      </x:c>
      <x:c r="F688" s="94" t="str">
        <x:v>美国</x:v>
      </x:c>
      <x:c r="G688" s="94" t="str">
        <x:v>购物广告</x:v>
      </x:c>
      <x:c r="H688" s="94" t="str">
        <x:v>SKU-0024</x:v>
      </x:c>
      <x:c r="I688" s="94" t="str">
        <x:v>运动健康</x:v>
      </x:c>
      <x:c r="J688" s="94" t="str">
        <x:v>筋膜枪 D</x:v>
      </x:c>
      <x:c r="K688" s="97" t="n">
        <x:v>174.96</x:v>
      </x:c>
      <x:c r="L688" s="95" t="n">
        <x:v>1</x:v>
      </x:c>
      <x:c r="M688" s="97" t="n">
        <x:f>ROUND(K688*L688,2)</x:f>
        <x:v>174.96</x:v>
      </x:c>
      <x:c r="N688" s="109" t="n">
        <x:v>0.08</x:v>
      </x:c>
      <x:c r="O688" s="97" t="n">
        <x:f>ROUND(M688*N688,2)</x:f>
        <x:v>14</x:v>
      </x:c>
      <x:c r="P688" s="94" t="str">
        <x:v>已确认</x:v>
      </x:c>
      <x:c r="Q688" s="97" t="n">
        <x:f>IF(P688="已退款",M688,0)</x:f>
        <x:v>0</x:v>
      </x:c>
      <x:c r="R688" s="97" t="n">
        <x:f>IF(P688="已退款",O688,0)</x:f>
        <x:v>0</x:v>
      </x:c>
      <x:c r="S688" s="97" t="n">
        <x:f>O688-R688</x:f>
        <x:v>14</x:v>
      </x:c>
      <x:c r="T688" s="94" t="n">
        <x:v>3</x:v>
      </x:c>
      <x:c r="U688" s="94" t="str">
        <x:v>模拟：Amazon Associates订单回传</x:v>
      </x:c>
    </x:row>
    <x:row r="689">
      <x:c r="A689" s="92" t="str">
        <x:v>AMZ-ORD-00688</x:v>
      </x:c>
      <x:c r="B689" s="94" t="str">
        <x:v>PROC-0687</x:v>
      </x:c>
      <x:c r="C689" s="108" t="n">
        <x:v>46147.80069444444</x:v>
      </x:c>
      <x:c r="D689" s="93" t="n">
        <x:v>46147</x:v>
      </x:c>
      <x:c r="E689" s="94" t="str">
        <x:v>Google Ads</x:v>
      </x:c>
      <x:c r="F689" s="94" t="str">
        <x:v>美国</x:v>
      </x:c>
      <x:c r="G689" s="94" t="str">
        <x:v>购物广告</x:v>
      </x:c>
      <x:c r="H689" s="94" t="str">
        <x:v>SKU-0012</x:v>
      </x:c>
      <x:c r="I689" s="94" t="str">
        <x:v>家居生活</x:v>
      </x:c>
      <x:c r="J689" s="94" t="str">
        <x:v>咖啡机 B</x:v>
      </x:c>
      <x:c r="K689" s="97" t="n">
        <x:v>265.68</x:v>
      </x:c>
      <x:c r="L689" s="95" t="n">
        <x:v>1</x:v>
      </x:c>
      <x:c r="M689" s="97" t="n">
        <x:f>ROUND(K689*L689,2)</x:f>
        <x:v>265.68</x:v>
      </x:c>
      <x:c r="N689" s="109" t="n">
        <x:v>0.07</x:v>
      </x:c>
      <x:c r="O689" s="97" t="n">
        <x:f>ROUND(M689*N689,2)</x:f>
        <x:v>18.6</x:v>
      </x:c>
      <x:c r="P689" s="94" t="str">
        <x:v>已确认</x:v>
      </x:c>
      <x:c r="Q689" s="97" t="n">
        <x:f>IF(P689="已退款",M689,0)</x:f>
        <x:v>0</x:v>
      </x:c>
      <x:c r="R689" s="97" t="n">
        <x:f>IF(P689="已退款",O689,0)</x:f>
        <x:v>0</x:v>
      </x:c>
      <x:c r="S689" s="97" t="n">
        <x:f>O689-R689</x:f>
        <x:v>18.6</x:v>
      </x:c>
      <x:c r="T689" s="94" t="n">
        <x:v>0</x:v>
      </x:c>
      <x:c r="U689" s="94" t="str">
        <x:v>模拟：Amazon Associates订单回传</x:v>
      </x:c>
    </x:row>
    <x:row r="690">
      <x:c r="A690" s="92" t="str">
        <x:v>AMZ-ORD-00689</x:v>
      </x:c>
      <x:c r="B690" s="94" t="str">
        <x:v>PROC-0688</x:v>
      </x:c>
      <x:c r="C690" s="108" t="n">
        <x:v>46149.834027777775</x:v>
      </x:c>
      <x:c r="D690" s="93" t="n">
        <x:v>46147</x:v>
      </x:c>
      <x:c r="E690" s="94" t="str">
        <x:v>Google Ads</x:v>
      </x:c>
      <x:c r="F690" s="94" t="str">
        <x:v>德国</x:v>
      </x:c>
      <x:c r="G690" s="94" t="str">
        <x:v>购物广告</x:v>
      </x:c>
      <x:c r="H690" s="94" t="str">
        <x:v>SKU-0039</x:v>
      </x:c>
      <x:c r="I690" s="94" t="str">
        <x:v>美妆个护</x:v>
      </x:c>
      <x:c r="J690" s="94" t="str">
        <x:v>按摩梳 I</x:v>
      </x:c>
      <x:c r="K690" s="97" t="n">
        <x:v>57.39</x:v>
      </x:c>
      <x:c r="L690" s="95" t="n">
        <x:v>1</x:v>
      </x:c>
      <x:c r="M690" s="97" t="n">
        <x:f>ROUND(K690*L690,2)</x:f>
        <x:v>57.39</x:v>
      </x:c>
      <x:c r="N690" s="109" t="n">
        <x:v>0.1</x:v>
      </x:c>
      <x:c r="O690" s="97" t="n">
        <x:f>ROUND(M690*N690,2)</x:f>
        <x:v>5.74</x:v>
      </x:c>
      <x:c r="P690" s="94" t="str">
        <x:v>已确认</x:v>
      </x:c>
      <x:c r="Q690" s="97" t="n">
        <x:f>IF(P690="已退款",M690,0)</x:f>
        <x:v>0</x:v>
      </x:c>
      <x:c r="R690" s="97" t="n">
        <x:f>IF(P690="已退款",O690,0)</x:f>
        <x:v>0</x:v>
      </x:c>
      <x:c r="S690" s="97" t="n">
        <x:f>O690-R690</x:f>
        <x:v>5.74</x:v>
      </x:c>
      <x:c r="T690" s="94" t="n">
        <x:v>2</x:v>
      </x:c>
      <x:c r="U690" s="94" t="str">
        <x:v>模拟：Amazon Associates订单回传</x:v>
      </x:c>
    </x:row>
    <x:row r="691">
      <x:c r="A691" s="92" t="str">
        <x:v>AMZ-ORD-00690</x:v>
      </x:c>
      <x:c r="B691" s="94" t="str">
        <x:v>PROC-0689</x:v>
      </x:c>
      <x:c r="C691" s="108" t="n">
        <x:v>46148.35277777778</x:v>
      </x:c>
      <x:c r="D691" s="93" t="n">
        <x:v>46147</x:v>
      </x:c>
      <x:c r="E691" s="94" t="str">
        <x:v>Google Ads</x:v>
      </x:c>
      <x:c r="F691" s="94" t="str">
        <x:v>英国</x:v>
      </x:c>
      <x:c r="G691" s="94" t="str">
        <x:v>通用搜索</x:v>
      </x:c>
      <x:c r="H691" s="94" t="str">
        <x:v>SKU-0049</x:v>
      </x:c>
      <x:c r="I691" s="94" t="str">
        <x:v>办公学习</x:v>
      </x:c>
      <x:c r="J691" s="94" t="str">
        <x:v>移动白板 I</x:v>
      </x:c>
      <x:c r="K691" s="97" t="n">
        <x:v>173.8</x:v>
      </x:c>
      <x:c r="L691" s="95" t="n">
        <x:v>1</x:v>
      </x:c>
      <x:c r="M691" s="97" t="n">
        <x:f>ROUND(K691*L691,2)</x:f>
        <x:v>173.8</x:v>
      </x:c>
      <x:c r="N691" s="109" t="n">
        <x:v>0.07</x:v>
      </x:c>
      <x:c r="O691" s="97" t="n">
        <x:f>ROUND(M691*N691,2)</x:f>
        <x:v>12.17</x:v>
      </x:c>
      <x:c r="P691" s="94" t="str">
        <x:v>已确认</x:v>
      </x:c>
      <x:c r="Q691" s="97" t="n">
        <x:f>IF(P691="已退款",M691,0)</x:f>
        <x:v>0</x:v>
      </x:c>
      <x:c r="R691" s="97" t="n">
        <x:f>IF(P691="已退款",O691,0)</x:f>
        <x:v>0</x:v>
      </x:c>
      <x:c r="S691" s="97" t="n">
        <x:f>O691-R691</x:f>
        <x:v>12.17</x:v>
      </x:c>
      <x:c r="T691" s="94" t="n">
        <x:v>1</x:v>
      </x:c>
      <x:c r="U691" s="94" t="str">
        <x:v>模拟：Amazon Associates订单回传</x:v>
      </x:c>
    </x:row>
    <x:row r="692">
      <x:c r="A692" s="92" t="str">
        <x:v>AMZ-ORD-00691</x:v>
      </x:c>
      <x:c r="B692" s="94" t="str">
        <x:v>PROC-0690</x:v>
      </x:c>
      <x:c r="C692" s="108" t="n">
        <x:v>46151.60625</x:v>
      </x:c>
      <x:c r="D692" s="93" t="n">
        <x:v>46147</x:v>
      </x:c>
      <x:c r="E692" s="94" t="str">
        <x:v>Microsoft Ads</x:v>
      </x:c>
      <x:c r="F692" s="94" t="str">
        <x:v>美国</x:v>
      </x:c>
      <x:c r="G692" s="94" t="str">
        <x:v>购物广告</x:v>
      </x:c>
      <x:c r="H692" s="94" t="str">
        <x:v>SKU-0023</x:v>
      </x:c>
      <x:c r="I692" s="94" t="str">
        <x:v>运动健康</x:v>
      </x:c>
      <x:c r="J692" s="94" t="str">
        <x:v>可调哑铃 C</x:v>
      </x:c>
      <x:c r="K692" s="97" t="n">
        <x:v>221.86</x:v>
      </x:c>
      <x:c r="L692" s="95" t="n">
        <x:v>3</x:v>
      </x:c>
      <x:c r="M692" s="97" t="n">
        <x:f>ROUND(K692*L692,2)</x:f>
        <x:v>665.58</x:v>
      </x:c>
      <x:c r="N692" s="109" t="n">
        <x:v>0.08</x:v>
      </x:c>
      <x:c r="O692" s="97" t="n">
        <x:f>ROUND(M692*N692,2)</x:f>
        <x:v>53.25</x:v>
      </x:c>
      <x:c r="P692" s="94" t="str">
        <x:v>已退款</x:v>
      </x:c>
      <x:c r="Q692" s="97" t="n">
        <x:f>IF(P692="已退款",M692,0)</x:f>
        <x:v>665.58</x:v>
      </x:c>
      <x:c r="R692" s="97" t="n">
        <x:f>IF(P692="已退款",O692,0)</x:f>
        <x:v>53.25</x:v>
      </x:c>
      <x:c r="S692" s="97" t="n">
        <x:f>O692-R692</x:f>
        <x:v>0</x:v>
      </x:c>
      <x:c r="T692" s="94" t="n">
        <x:v>4</x:v>
      </x:c>
      <x:c r="U692" s="94" t="str">
        <x:v>模拟：Amazon Associates订单回传</x:v>
      </x:c>
    </x:row>
    <x:row r="693">
      <x:c r="A693" s="92" t="str">
        <x:v>AMZ-ORD-00692</x:v>
      </x:c>
      <x:c r="B693" s="94" t="str">
        <x:v>PROC-0692</x:v>
      </x:c>
      <x:c r="C693" s="108" t="n">
        <x:v>46150.65972222222</x:v>
      </x:c>
      <x:c r="D693" s="93" t="n">
        <x:v>46148</x:v>
      </x:c>
      <x:c r="E693" s="94" t="str">
        <x:v>Google Ads</x:v>
      </x:c>
      <x:c r="F693" s="94" t="str">
        <x:v>日本</x:v>
      </x:c>
      <x:c r="G693" s="94" t="str">
        <x:v>品牌搜索</x:v>
      </x:c>
      <x:c r="H693" s="94" t="str">
        <x:v>SKU-0014</x:v>
      </x:c>
      <x:c r="I693" s="94" t="str">
        <x:v>家居生活</x:v>
      </x:c>
      <x:c r="J693" s="94" t="str">
        <x:v>扫地机器人 D</x:v>
      </x:c>
      <x:c r="K693" s="97" t="n">
        <x:v>202.23</x:v>
      </x:c>
      <x:c r="L693" s="95" t="n">
        <x:v>1</x:v>
      </x:c>
      <x:c r="M693" s="97" t="n">
        <x:f>ROUND(K693*L693,2)</x:f>
        <x:v>202.23</x:v>
      </x:c>
      <x:c r="N693" s="109" t="n">
        <x:v>0.07</x:v>
      </x:c>
      <x:c r="O693" s="97" t="n">
        <x:f>ROUND(M693*N693,2)</x:f>
        <x:v>14.16</x:v>
      </x:c>
      <x:c r="P693" s="94" t="str">
        <x:v>已确认</x:v>
      </x:c>
      <x:c r="Q693" s="97" t="n">
        <x:f>IF(P693="已退款",M693,0)</x:f>
        <x:v>0</x:v>
      </x:c>
      <x:c r="R693" s="97" t="n">
        <x:f>IF(P693="已退款",O693,0)</x:f>
        <x:v>0</x:v>
      </x:c>
      <x:c r="S693" s="97" t="n">
        <x:f>O693-R693</x:f>
        <x:v>14.16</x:v>
      </x:c>
      <x:c r="T693" s="94" t="n">
        <x:v>2</x:v>
      </x:c>
      <x:c r="U693" s="94" t="str">
        <x:v>模拟：Amazon Associates订单回传</x:v>
      </x:c>
    </x:row>
    <x:row r="694">
      <x:c r="A694" s="92" t="str">
        <x:v>AMZ-ORD-00693</x:v>
      </x:c>
      <x:c r="B694" s="94" t="str">
        <x:v>PROC-0693</x:v>
      </x:c>
      <x:c r="C694" s="108" t="n">
        <x:v>46149.4125</x:v>
      </x:c>
      <x:c r="D694" s="93" t="n">
        <x:v>46148</x:v>
      </x:c>
      <x:c r="E694" s="94" t="str">
        <x:v>Microsoft Ads</x:v>
      </x:c>
      <x:c r="F694" s="94" t="str">
        <x:v>英国</x:v>
      </x:c>
      <x:c r="G694" s="94" t="str">
        <x:v>购物广告</x:v>
      </x:c>
      <x:c r="H694" s="94" t="str">
        <x:v>SKU-0012</x:v>
      </x:c>
      <x:c r="I694" s="94" t="str">
        <x:v>家居生活</x:v>
      </x:c>
      <x:c r="J694" s="94" t="str">
        <x:v>咖啡机 B</x:v>
      </x:c>
      <x:c r="K694" s="97" t="n">
        <x:v>130.06</x:v>
      </x:c>
      <x:c r="L694" s="95" t="n">
        <x:v>1</x:v>
      </x:c>
      <x:c r="M694" s="97" t="n">
        <x:f>ROUND(K694*L694,2)</x:f>
        <x:v>130.06</x:v>
      </x:c>
      <x:c r="N694" s="109" t="n">
        <x:v>0.07</x:v>
      </x:c>
      <x:c r="O694" s="97" t="n">
        <x:f>ROUND(M694*N694,2)</x:f>
        <x:v>9.1</x:v>
      </x:c>
      <x:c r="P694" s="94" t="str">
        <x:v>已确认</x:v>
      </x:c>
      <x:c r="Q694" s="97" t="n">
        <x:f>IF(P694="已退款",M694,0)</x:f>
        <x:v>0</x:v>
      </x:c>
      <x:c r="R694" s="97" t="n">
        <x:f>IF(P694="已退款",O694,0)</x:f>
        <x:v>0</x:v>
      </x:c>
      <x:c r="S694" s="97" t="n">
        <x:f>O694-R694</x:f>
        <x:v>9.1</x:v>
      </x:c>
      <x:c r="T694" s="94" t="n">
        <x:v>1</x:v>
      </x:c>
      <x:c r="U694" s="94" t="str">
        <x:v>模拟：Amazon Associates订单回传</x:v>
      </x:c>
    </x:row>
    <x:row r="695">
      <x:c r="A695" s="92" t="str">
        <x:v>AMZ-ORD-00694</x:v>
      </x:c>
      <x:c r="B695" s="94" t="str">
        <x:v>PROC-0693</x:v>
      </x:c>
      <x:c r="C695" s="108" t="n">
        <x:v>46150.8125</x:v>
      </x:c>
      <x:c r="D695" s="93" t="n">
        <x:v>46148</x:v>
      </x:c>
      <x:c r="E695" s="94" t="str">
        <x:v>Microsoft Ads</x:v>
      </x:c>
      <x:c r="F695" s="94" t="str">
        <x:v>英国</x:v>
      </x:c>
      <x:c r="G695" s="94" t="str">
        <x:v>购物广告</x:v>
      </x:c>
      <x:c r="H695" s="94" t="str">
        <x:v>SKU-0002</x:v>
      </x:c>
      <x:c r="I695" s="94" t="str">
        <x:v>电子产品</x:v>
      </x:c>
      <x:c r="J695" s="94" t="str">
        <x:v>便携显示器 B</x:v>
      </x:c>
      <x:c r="K695" s="97" t="n">
        <x:v>561.97</x:v>
      </x:c>
      <x:c r="L695" s="95" t="n">
        <x:v>1</x:v>
      </x:c>
      <x:c r="M695" s="97" t="n">
        <x:f>ROUND(K695*L695,2)</x:f>
        <x:v>561.97</x:v>
      </x:c>
      <x:c r="N695" s="109" t="n">
        <x:v>0.05</x:v>
      </x:c>
      <x:c r="O695" s="97" t="n">
        <x:f>ROUND(M695*N695,2)</x:f>
        <x:v>28.1</x:v>
      </x:c>
      <x:c r="P695" s="94" t="str">
        <x:v>已确认</x:v>
      </x:c>
      <x:c r="Q695" s="97" t="n">
        <x:f>IF(P695="已退款",M695,0)</x:f>
        <x:v>0</x:v>
      </x:c>
      <x:c r="R695" s="97" t="n">
        <x:f>IF(P695="已退款",O695,0)</x:f>
        <x:v>0</x:v>
      </x:c>
      <x:c r="S695" s="97" t="n">
        <x:f>O695-R695</x:f>
        <x:v>28.1</x:v>
      </x:c>
      <x:c r="T695" s="94" t="n">
        <x:v>2</x:v>
      </x:c>
      <x:c r="U695" s="94" t="str">
        <x:v>模拟：Amazon Associates订单回传</x:v>
      </x:c>
    </x:row>
    <x:row r="696">
      <x:c r="A696" s="92" t="str">
        <x:v>AMZ-ORD-00695</x:v>
      </x:c>
      <x:c r="B696" s="94" t="str">
        <x:v>PROC-0694</x:v>
      </x:c>
      <x:c r="C696" s="108" t="n">
        <x:v>46150.629166666666</x:v>
      </x:c>
      <x:c r="D696" s="93" t="n">
        <x:v>46148</x:v>
      </x:c>
      <x:c r="E696" s="94" t="str">
        <x:v>Microsoft Ads</x:v>
      </x:c>
      <x:c r="F696" s="94" t="str">
        <x:v>德国</x:v>
      </x:c>
      <x:c r="G696" s="94" t="str">
        <x:v>通用搜索</x:v>
      </x:c>
      <x:c r="H696" s="94" t="str">
        <x:v>SKU-0048</x:v>
      </x:c>
      <x:c r="I696" s="94" t="str">
        <x:v>办公学习</x:v>
      </x:c>
      <x:c r="J696" s="94" t="str">
        <x:v>阅读支架 H</x:v>
      </x:c>
      <x:c r="K696" s="97" t="n">
        <x:v>206.3</x:v>
      </x:c>
      <x:c r="L696" s="95" t="n">
        <x:v>1</x:v>
      </x:c>
      <x:c r="M696" s="97" t="n">
        <x:f>ROUND(K696*L696,2)</x:f>
        <x:v>206.3</x:v>
      </x:c>
      <x:c r="N696" s="109" t="n">
        <x:v>0.07</x:v>
      </x:c>
      <x:c r="O696" s="97" t="n">
        <x:f>ROUND(M696*N696,2)</x:f>
        <x:v>14.44</x:v>
      </x:c>
      <x:c r="P696" s="94" t="str">
        <x:v>已确认</x:v>
      </x:c>
      <x:c r="Q696" s="97" t="n">
        <x:f>IF(P696="已退款",M696,0)</x:f>
        <x:v>0</x:v>
      </x:c>
      <x:c r="R696" s="97" t="n">
        <x:f>IF(P696="已退款",O696,0)</x:f>
        <x:v>0</x:v>
      </x:c>
      <x:c r="S696" s="97" t="n">
        <x:f>O696-R696</x:f>
        <x:v>14.44</x:v>
      </x:c>
      <x:c r="T696" s="94" t="n">
        <x:v>2</x:v>
      </x:c>
      <x:c r="U696" s="94" t="str">
        <x:v>模拟：Amazon Associates订单回传</x:v>
      </x:c>
    </x:row>
    <x:row r="697">
      <x:c r="A697" s="92" t="str">
        <x:v>AMZ-ORD-00696</x:v>
      </x:c>
      <x:c r="B697" s="94" t="str">
        <x:v>PROC-0695</x:v>
      </x:c>
      <x:c r="C697" s="108" t="n">
        <x:v>46149.53402777778</x:v>
      </x:c>
      <x:c r="D697" s="93" t="n">
        <x:v>46148</x:v>
      </x:c>
      <x:c r="E697" s="94" t="str">
        <x:v>Google Ads</x:v>
      </x:c>
      <x:c r="F697" s="94" t="str">
        <x:v>英国</x:v>
      </x:c>
      <x:c r="G697" s="94" t="str">
        <x:v>购物广告</x:v>
      </x:c>
      <x:c r="H697" s="94" t="str">
        <x:v>SKU-0047</x:v>
      </x:c>
      <x:c r="I697" s="94" t="str">
        <x:v>办公学习</x:v>
      </x:c>
      <x:c r="J697" s="94" t="str">
        <x:v>标签打印机 G</x:v>
      </x:c>
      <x:c r="K697" s="97" t="n">
        <x:v>77.93</x:v>
      </x:c>
      <x:c r="L697" s="95" t="n">
        <x:v>1</x:v>
      </x:c>
      <x:c r="M697" s="97" t="n">
        <x:f>ROUND(K697*L697,2)</x:f>
        <x:v>77.93</x:v>
      </x:c>
      <x:c r="N697" s="109" t="n">
        <x:v>0.07</x:v>
      </x:c>
      <x:c r="O697" s="97" t="n">
        <x:f>ROUND(M697*N697,2)</x:f>
        <x:v>5.46</x:v>
      </x:c>
      <x:c r="P697" s="94" t="str">
        <x:v>已确认</x:v>
      </x:c>
      <x:c r="Q697" s="97" t="n">
        <x:f>IF(P697="已退款",M697,0)</x:f>
        <x:v>0</x:v>
      </x:c>
      <x:c r="R697" s="97" t="n">
        <x:f>IF(P697="已退款",O697,0)</x:f>
        <x:v>0</x:v>
      </x:c>
      <x:c r="S697" s="97" t="n">
        <x:f>O697-R697</x:f>
        <x:v>5.46</x:v>
      </x:c>
      <x:c r="T697" s="94" t="n">
        <x:v>1</x:v>
      </x:c>
      <x:c r="U697" s="94" t="str">
        <x:v>模拟：Amazon Associates订单回传</x:v>
      </x:c>
    </x:row>
    <x:row r="698">
      <x:c r="A698" s="92" t="str">
        <x:v>AMZ-ORD-00697</x:v>
      </x:c>
      <x:c r="B698" s="94" t="str">
        <x:v>PROC-0697</x:v>
      </x:c>
      <x:c r="C698" s="108" t="n">
        <x:v>46149.78958333333</x:v>
      </x:c>
      <x:c r="D698" s="93" t="n">
        <x:v>46148</x:v>
      </x:c>
      <x:c r="E698" s="94" t="str">
        <x:v>Google Ads</x:v>
      </x:c>
      <x:c r="F698" s="94" t="str">
        <x:v>美国</x:v>
      </x:c>
      <x:c r="G698" s="94" t="str">
        <x:v>通用搜索</x:v>
      </x:c>
      <x:c r="H698" s="94" t="str">
        <x:v>SKU-0013</x:v>
      </x:c>
      <x:c r="I698" s="94" t="str">
        <x:v>家居生活</x:v>
      </x:c>
      <x:c r="J698" s="94" t="str">
        <x:v>人体工学椅 C</x:v>
      </x:c>
      <x:c r="K698" s="97" t="n">
        <x:v>122.17</x:v>
      </x:c>
      <x:c r="L698" s="95" t="n">
        <x:v>2</x:v>
      </x:c>
      <x:c r="M698" s="97" t="n">
        <x:f>ROUND(K698*L698,2)</x:f>
        <x:v>244.34</x:v>
      </x:c>
      <x:c r="N698" s="109" t="n">
        <x:v>0.07</x:v>
      </x:c>
      <x:c r="O698" s="97" t="n">
        <x:f>ROUND(M698*N698,2)</x:f>
        <x:v>17.1</x:v>
      </x:c>
      <x:c r="P698" s="94" t="str">
        <x:v>已确认</x:v>
      </x:c>
      <x:c r="Q698" s="97" t="n">
        <x:f>IF(P698="已退款",M698,0)</x:f>
        <x:v>0</x:v>
      </x:c>
      <x:c r="R698" s="97" t="n">
        <x:f>IF(P698="已退款",O698,0)</x:f>
        <x:v>0</x:v>
      </x:c>
      <x:c r="S698" s="97" t="n">
        <x:f>O698-R698</x:f>
        <x:v>17.1</x:v>
      </x:c>
      <x:c r="T698" s="94" t="n">
        <x:v>1</x:v>
      </x:c>
      <x:c r="U698" s="94" t="str">
        <x:v>模拟：Amazon Associates订单回传</x:v>
      </x:c>
    </x:row>
    <x:row r="699">
      <x:c r="A699" s="92" t="str">
        <x:v>AMZ-ORD-00698</x:v>
      </x:c>
      <x:c r="B699" s="94" t="str">
        <x:v>PROC-0698</x:v>
      </x:c>
      <x:c r="C699" s="108" t="n">
        <x:v>46150.36666666667</x:v>
      </x:c>
      <x:c r="D699" s="93" t="n">
        <x:v>46149</x:v>
      </x:c>
      <x:c r="E699" s="94" t="str">
        <x:v>Google Ads</x:v>
      </x:c>
      <x:c r="F699" s="94" t="str">
        <x:v>英国</x:v>
      </x:c>
      <x:c r="G699" s="94" t="str">
        <x:v>购物广告</x:v>
      </x:c>
      <x:c r="H699" s="94" t="str">
        <x:v>SKU-0047</x:v>
      </x:c>
      <x:c r="I699" s="94" t="str">
        <x:v>办公学习</x:v>
      </x:c>
      <x:c r="J699" s="94" t="str">
        <x:v>标签打印机 G</x:v>
      </x:c>
      <x:c r="K699" s="97" t="n">
        <x:v>200.56</x:v>
      </x:c>
      <x:c r="L699" s="95" t="n">
        <x:v>1</x:v>
      </x:c>
      <x:c r="M699" s="97" t="n">
        <x:f>ROUND(K699*L699,2)</x:f>
        <x:v>200.56</x:v>
      </x:c>
      <x:c r="N699" s="109" t="n">
        <x:v>0.07</x:v>
      </x:c>
      <x:c r="O699" s="97" t="n">
        <x:f>ROUND(M699*N699,2)</x:f>
        <x:v>14.04</x:v>
      </x:c>
      <x:c r="P699" s="94" t="str">
        <x:v>已确认</x:v>
      </x:c>
      <x:c r="Q699" s="97" t="n">
        <x:f>IF(P699="已退款",M699,0)</x:f>
        <x:v>0</x:v>
      </x:c>
      <x:c r="R699" s="97" t="n">
        <x:f>IF(P699="已退款",O699,0)</x:f>
        <x:v>0</x:v>
      </x:c>
      <x:c r="S699" s="97" t="n">
        <x:f>O699-R699</x:f>
        <x:v>14.04</x:v>
      </x:c>
      <x:c r="T699" s="94" t="n">
        <x:v>1</x:v>
      </x:c>
      <x:c r="U699" s="94" t="str">
        <x:v>模拟：Amazon Associates订单回传</x:v>
      </x:c>
    </x:row>
    <x:row r="700">
      <x:c r="A700" s="92" t="str">
        <x:v>AMZ-ORD-00699</x:v>
      </x:c>
      <x:c r="B700" s="94" t="str">
        <x:v>PROC-0699</x:v>
      </x:c>
      <x:c r="C700" s="108" t="n">
        <x:v>46152.67152777778</x:v>
      </x:c>
      <x:c r="D700" s="93" t="n">
        <x:v>46149</x:v>
      </x:c>
      <x:c r="E700" s="94" t="str">
        <x:v>Google Ads</x:v>
      </x:c>
      <x:c r="F700" s="94" t="str">
        <x:v>美国</x:v>
      </x:c>
      <x:c r="G700" s="94" t="str">
        <x:v>购物广告</x:v>
      </x:c>
      <x:c r="H700" s="94" t="str">
        <x:v>SKU-0032</x:v>
      </x:c>
      <x:c r="I700" s="94" t="str">
        <x:v>美妆个护</x:v>
      </x:c>
      <x:c r="J700" s="94" t="str">
        <x:v>吹风机 B</x:v>
      </x:c>
      <x:c r="K700" s="97" t="n">
        <x:v>94.73</x:v>
      </x:c>
      <x:c r="L700" s="95" t="n">
        <x:v>1</x:v>
      </x:c>
      <x:c r="M700" s="97" t="n">
        <x:f>ROUND(K700*L700,2)</x:f>
        <x:v>94.73</x:v>
      </x:c>
      <x:c r="N700" s="109" t="n">
        <x:v>0.1</x:v>
      </x:c>
      <x:c r="O700" s="97" t="n">
        <x:f>ROUND(M700*N700,2)</x:f>
        <x:v>9.47</x:v>
      </x:c>
      <x:c r="P700" s="94" t="str">
        <x:v>已确认</x:v>
      </x:c>
      <x:c r="Q700" s="97" t="n">
        <x:f>IF(P700="已退款",M700,0)</x:f>
        <x:v>0</x:v>
      </x:c>
      <x:c r="R700" s="97" t="n">
        <x:f>IF(P700="已退款",O700,0)</x:f>
        <x:v>0</x:v>
      </x:c>
      <x:c r="S700" s="97" t="n">
        <x:f>O700-R700</x:f>
        <x:v>9.47</x:v>
      </x:c>
      <x:c r="T700" s="94" t="n">
        <x:v>3</x:v>
      </x:c>
      <x:c r="U700" s="94" t="str">
        <x:v>模拟：Amazon Associates订单回传</x:v>
      </x:c>
    </x:row>
    <x:row r="701">
      <x:c r="A701" s="92" t="str">
        <x:v>AMZ-ORD-00700</x:v>
      </x:c>
      <x:c r="B701" s="94" t="str">
        <x:v>PROC-0700</x:v>
      </x:c>
      <x:c r="C701" s="108" t="n">
        <x:v>46152.675</x:v>
      </x:c>
      <x:c r="D701" s="93" t="n">
        <x:v>46149</x:v>
      </x:c>
      <x:c r="E701" s="94" t="str">
        <x:v>Google Ads</x:v>
      </x:c>
      <x:c r="F701" s="94" t="str">
        <x:v>日本</x:v>
      </x:c>
      <x:c r="G701" s="94" t="str">
        <x:v>通用搜索</x:v>
      </x:c>
      <x:c r="H701" s="94" t="str">
        <x:v>SKU-0037</x:v>
      </x:c>
      <x:c r="I701" s="94" t="str">
        <x:v>美妆个护</x:v>
      </x:c>
      <x:c r="J701" s="94" t="str">
        <x:v>美容仪 G</x:v>
      </x:c>
      <x:c r="K701" s="97" t="n">
        <x:v>66.91</x:v>
      </x:c>
      <x:c r="L701" s="95" t="n">
        <x:v>1</x:v>
      </x:c>
      <x:c r="M701" s="97" t="n">
        <x:f>ROUND(K701*L701,2)</x:f>
        <x:v>66.91</x:v>
      </x:c>
      <x:c r="N701" s="109" t="n">
        <x:v>0.1</x:v>
      </x:c>
      <x:c r="O701" s="97" t="n">
        <x:f>ROUND(M701*N701,2)</x:f>
        <x:v>6.69</x:v>
      </x:c>
      <x:c r="P701" s="94" t="str">
        <x:v>已确认</x:v>
      </x:c>
      <x:c r="Q701" s="97" t="n">
        <x:f>IF(P701="已退款",M701,0)</x:f>
        <x:v>0</x:v>
      </x:c>
      <x:c r="R701" s="97" t="n">
        <x:f>IF(P701="已退款",O701,0)</x:f>
        <x:v>0</x:v>
      </x:c>
      <x:c r="S701" s="97" t="n">
        <x:f>O701-R701</x:f>
        <x:v>6.69</x:v>
      </x:c>
      <x:c r="T701" s="94" t="n">
        <x:v>3</x:v>
      </x:c>
      <x:c r="U701" s="94" t="str">
        <x:v>模拟：Amazon Associates订单回传</x:v>
      </x:c>
    </x:row>
    <x:row r="702">
      <x:c r="A702" s="92" t="str">
        <x:v>AMZ-ORD-00701</x:v>
      </x:c>
      <x:c r="B702" s="94" t="str">
        <x:v>PROC-0701</x:v>
      </x:c>
      <x:c r="C702" s="108" t="n">
        <x:v>46153.52361111111</x:v>
      </x:c>
      <x:c r="D702" s="93" t="n">
        <x:v>46149</x:v>
      </x:c>
      <x:c r="E702" s="94" t="str">
        <x:v>Google Ads</x:v>
      </x:c>
      <x:c r="F702" s="94" t="str">
        <x:v>美国</x:v>
      </x:c>
      <x:c r="G702" s="94" t="str">
        <x:v>通用搜索</x:v>
      </x:c>
      <x:c r="H702" s="94" t="str">
        <x:v>SKU-0034</x:v>
      </x:c>
      <x:c r="I702" s="94" t="str">
        <x:v>美妆个护</x:v>
      </x:c>
      <x:c r="J702" s="94" t="str">
        <x:v>电动牙刷 D</x:v>
      </x:c>
      <x:c r="K702" s="97" t="n">
        <x:v>124.93</x:v>
      </x:c>
      <x:c r="L702" s="95" t="n">
        <x:v>2</x:v>
      </x:c>
      <x:c r="M702" s="97" t="n">
        <x:f>ROUND(K702*L702,2)</x:f>
        <x:v>249.86</x:v>
      </x:c>
      <x:c r="N702" s="109" t="n">
        <x:v>0.1</x:v>
      </x:c>
      <x:c r="O702" s="97" t="n">
        <x:f>ROUND(M702*N702,2)</x:f>
        <x:v>24.99</x:v>
      </x:c>
      <x:c r="P702" s="94" t="str">
        <x:v>已确认</x:v>
      </x:c>
      <x:c r="Q702" s="97" t="n">
        <x:f>IF(P702="已退款",M702,0)</x:f>
        <x:v>0</x:v>
      </x:c>
      <x:c r="R702" s="97" t="n">
        <x:f>IF(P702="已退款",O702,0)</x:f>
        <x:v>0</x:v>
      </x:c>
      <x:c r="S702" s="97" t="n">
        <x:f>O702-R702</x:f>
        <x:v>24.99</x:v>
      </x:c>
      <x:c r="T702" s="94" t="n">
        <x:v>4</x:v>
      </x:c>
      <x:c r="U702" s="94" t="str">
        <x:v>模拟：Amazon Associates订单回传</x:v>
      </x:c>
    </x:row>
    <x:row r="703">
      <x:c r="A703" s="92" t="str">
        <x:v>AMZ-ORD-00702</x:v>
      </x:c>
      <x:c r="B703" s="94" t="str">
        <x:v>PROC-0704</x:v>
      </x:c>
      <x:c r="C703" s="108" t="n">
        <x:v>46153.64722222222</x:v>
      </x:c>
      <x:c r="D703" s="93" t="n">
        <x:v>46150</x:v>
      </x:c>
      <x:c r="E703" s="94" t="str">
        <x:v>Google Ads</x:v>
      </x:c>
      <x:c r="F703" s="94" t="str">
        <x:v>英国</x:v>
      </x:c>
      <x:c r="G703" s="94" t="str">
        <x:v>购物广告</x:v>
      </x:c>
      <x:c r="H703" s="94" t="str">
        <x:v>SKU-0037</x:v>
      </x:c>
      <x:c r="I703" s="94" t="str">
        <x:v>美妆个护</x:v>
      </x:c>
      <x:c r="J703" s="94" t="str">
        <x:v>美容仪 G</x:v>
      </x:c>
      <x:c r="K703" s="97" t="n">
        <x:v>68.07</x:v>
      </x:c>
      <x:c r="L703" s="95" t="n">
        <x:v>1</x:v>
      </x:c>
      <x:c r="M703" s="97" t="n">
        <x:f>ROUND(K703*L703,2)</x:f>
        <x:v>68.07</x:v>
      </x:c>
      <x:c r="N703" s="109" t="n">
        <x:v>0.1</x:v>
      </x:c>
      <x:c r="O703" s="97" t="n">
        <x:f>ROUND(M703*N703,2)</x:f>
        <x:v>6.81</x:v>
      </x:c>
      <x:c r="P703" s="94" t="str">
        <x:v>已确认</x:v>
      </x:c>
      <x:c r="Q703" s="97" t="n">
        <x:f>IF(P703="已退款",M703,0)</x:f>
        <x:v>0</x:v>
      </x:c>
      <x:c r="R703" s="97" t="n">
        <x:f>IF(P703="已退款",O703,0)</x:f>
        <x:v>0</x:v>
      </x:c>
      <x:c r="S703" s="97" t="n">
        <x:f>O703-R703</x:f>
        <x:v>6.81</x:v>
      </x:c>
      <x:c r="T703" s="94" t="n">
        <x:v>3</x:v>
      </x:c>
      <x:c r="U703" s="94" t="str">
        <x:v>模拟：Amazon Associates订单回传</x:v>
      </x:c>
    </x:row>
    <x:row r="704">
      <x:c r="A704" s="92" t="str">
        <x:v>AMZ-ORD-00703</x:v>
      </x:c>
      <x:c r="B704" s="94" t="str">
        <x:v>PROC-0705</x:v>
      </x:c>
      <x:c r="C704" s="108" t="n">
        <x:v>46151.654861111114</x:v>
      </x:c>
      <x:c r="D704" s="93" t="n">
        <x:v>46150</x:v>
      </x:c>
      <x:c r="E704" s="94" t="str">
        <x:v>Google Ads</x:v>
      </x:c>
      <x:c r="F704" s="94" t="str">
        <x:v>日本</x:v>
      </x:c>
      <x:c r="G704" s="94" t="str">
        <x:v>购物广告</x:v>
      </x:c>
      <x:c r="H704" s="94" t="str">
        <x:v>SKU-0043</x:v>
      </x:c>
      <x:c r="I704" s="94" t="str">
        <x:v>办公学习</x:v>
      </x:c>
      <x:c r="J704" s="94" t="str">
        <x:v>会议麦克风 C</x:v>
      </x:c>
      <x:c r="K704" s="97" t="n">
        <x:v>173.4</x:v>
      </x:c>
      <x:c r="L704" s="95" t="n">
        <x:v>1</x:v>
      </x:c>
      <x:c r="M704" s="97" t="n">
        <x:f>ROUND(K704*L704,2)</x:f>
        <x:v>173.4</x:v>
      </x:c>
      <x:c r="N704" s="109" t="n">
        <x:v>0.07</x:v>
      </x:c>
      <x:c r="O704" s="97" t="n">
        <x:f>ROUND(M704*N704,2)</x:f>
        <x:v>12.14</x:v>
      </x:c>
      <x:c r="P704" s="94" t="str">
        <x:v>已退款</x:v>
      </x:c>
      <x:c r="Q704" s="97" t="n">
        <x:f>IF(P704="已退款",M704,0)</x:f>
        <x:v>173.4</x:v>
      </x:c>
      <x:c r="R704" s="97" t="n">
        <x:f>IF(P704="已退款",O704,0)</x:f>
        <x:v>12.14</x:v>
      </x:c>
      <x:c r="S704" s="97" t="n">
        <x:f>O704-R704</x:f>
        <x:v>0</x:v>
      </x:c>
      <x:c r="T704" s="94" t="n">
        <x:v>1</x:v>
      </x:c>
      <x:c r="U704" s="94" t="str">
        <x:v>模拟：Amazon Associates订单回传</x:v>
      </x:c>
    </x:row>
    <x:row r="705">
      <x:c r="A705" s="92" t="str">
        <x:v>AMZ-ORD-00704</x:v>
      </x:c>
      <x:c r="B705" s="94" t="str">
        <x:v>PROC-0706</x:v>
      </x:c>
      <x:c r="C705" s="108" t="n">
        <x:v>46154.586805555555</x:v>
      </x:c>
      <x:c r="D705" s="93" t="n">
        <x:v>46150</x:v>
      </x:c>
      <x:c r="E705" s="94" t="str">
        <x:v>Microsoft Ads</x:v>
      </x:c>
      <x:c r="F705" s="94" t="str">
        <x:v>英国</x:v>
      </x:c>
      <x:c r="G705" s="94" t="str">
        <x:v>品牌搜索</x:v>
      </x:c>
      <x:c r="H705" s="94" t="str">
        <x:v>SKU-0011</x:v>
      </x:c>
      <x:c r="I705" s="94" t="str">
        <x:v>家居生活</x:v>
      </x:c>
      <x:c r="J705" s="94" t="str">
        <x:v>空气净化器 A</x:v>
      </x:c>
      <x:c r="K705" s="97" t="n">
        <x:v>270.08</x:v>
      </x:c>
      <x:c r="L705" s="95" t="n">
        <x:v>1</x:v>
      </x:c>
      <x:c r="M705" s="97" t="n">
        <x:f>ROUND(K705*L705,2)</x:f>
        <x:v>270.08</x:v>
      </x:c>
      <x:c r="N705" s="109" t="n">
        <x:v>0.07</x:v>
      </x:c>
      <x:c r="O705" s="97" t="n">
        <x:f>ROUND(M705*N705,2)</x:f>
        <x:v>18.91</x:v>
      </x:c>
      <x:c r="P705" s="94" t="str">
        <x:v>已确认</x:v>
      </x:c>
      <x:c r="Q705" s="97" t="n">
        <x:f>IF(P705="已退款",M705,0)</x:f>
        <x:v>0</x:v>
      </x:c>
      <x:c r="R705" s="97" t="n">
        <x:f>IF(P705="已退款",O705,0)</x:f>
        <x:v>0</x:v>
      </x:c>
      <x:c r="S705" s="97" t="n">
        <x:f>O705-R705</x:f>
        <x:v>18.91</x:v>
      </x:c>
      <x:c r="T705" s="94" t="n">
        <x:v>4</x:v>
      </x:c>
      <x:c r="U705" s="94" t="str">
        <x:v>模拟：Amazon Associates订单回传</x:v>
      </x:c>
    </x:row>
    <x:row r="706">
      <x:c r="A706" s="92" t="str">
        <x:v>AMZ-ORD-00705</x:v>
      </x:c>
      <x:c r="B706" s="94" t="str">
        <x:v>PROC-0707</x:v>
      </x:c>
      <x:c r="C706" s="108" t="n">
        <x:v>46151.40833333333</x:v>
      </x:c>
      <x:c r="D706" s="93" t="n">
        <x:v>46150</x:v>
      </x:c>
      <x:c r="E706" s="94" t="str">
        <x:v>Google Ads</x:v>
      </x:c>
      <x:c r="F706" s="94" t="str">
        <x:v>美国</x:v>
      </x:c>
      <x:c r="G706" s="94" t="str">
        <x:v>购物广告</x:v>
      </x:c>
      <x:c r="H706" s="94" t="str">
        <x:v>SKU-0041</x:v>
      </x:c>
      <x:c r="I706" s="94" t="str">
        <x:v>办公学习</x:v>
      </x:c>
      <x:c r="J706" s="94" t="str">
        <x:v>桌面升降台 A</x:v>
      </x:c>
      <x:c r="K706" s="97" t="n">
        <x:v>116.18</x:v>
      </x:c>
      <x:c r="L706" s="95" t="n">
        <x:v>2</x:v>
      </x:c>
      <x:c r="M706" s="97" t="n">
        <x:f>ROUND(K706*L706,2)</x:f>
        <x:v>232.36</x:v>
      </x:c>
      <x:c r="N706" s="109" t="n">
        <x:v>0.07</x:v>
      </x:c>
      <x:c r="O706" s="97" t="n">
        <x:f>ROUND(M706*N706,2)</x:f>
        <x:v>16.27</x:v>
      </x:c>
      <x:c r="P706" s="94" t="str">
        <x:v>已确认</x:v>
      </x:c>
      <x:c r="Q706" s="97" t="n">
        <x:f>IF(P706="已退款",M706,0)</x:f>
        <x:v>0</x:v>
      </x:c>
      <x:c r="R706" s="97" t="n">
        <x:f>IF(P706="已退款",O706,0)</x:f>
        <x:v>0</x:v>
      </x:c>
      <x:c r="S706" s="97" t="n">
        <x:f>O706-R706</x:f>
        <x:v>16.27</x:v>
      </x:c>
      <x:c r="T706" s="94" t="n">
        <x:v>1</x:v>
      </x:c>
      <x:c r="U706" s="94" t="str">
        <x:v>模拟：Amazon Associates订单回传</x:v>
      </x:c>
    </x:row>
    <x:row r="707">
      <x:c r="A707" s="92" t="str">
        <x:v>AMZ-ORD-00706</x:v>
      </x:c>
      <x:c r="B707" s="94" t="str">
        <x:v>PROC-0708</x:v>
      </x:c>
      <x:c r="C707" s="108" t="n">
        <x:v>46150.80486111111</x:v>
      </x:c>
      <x:c r="D707" s="93" t="n">
        <x:v>46150</x:v>
      </x:c>
      <x:c r="E707" s="94" t="str">
        <x:v>Google Ads</x:v>
      </x:c>
      <x:c r="F707" s="94" t="str">
        <x:v>美国</x:v>
      </x:c>
      <x:c r="G707" s="94" t="str">
        <x:v>通用搜索</x:v>
      </x:c>
      <x:c r="H707" s="94" t="str">
        <x:v>SKU-0041</x:v>
      </x:c>
      <x:c r="I707" s="94" t="str">
        <x:v>办公学习</x:v>
      </x:c>
      <x:c r="J707" s="94" t="str">
        <x:v>桌面升降台 A</x:v>
      </x:c>
      <x:c r="K707" s="97" t="n">
        <x:v>61.46</x:v>
      </x:c>
      <x:c r="L707" s="95" t="n">
        <x:v>1</x:v>
      </x:c>
      <x:c r="M707" s="97" t="n">
        <x:f>ROUND(K707*L707,2)</x:f>
        <x:v>61.46</x:v>
      </x:c>
      <x:c r="N707" s="109" t="n">
        <x:v>0.07</x:v>
      </x:c>
      <x:c r="O707" s="97" t="n">
        <x:f>ROUND(M707*N707,2)</x:f>
        <x:v>4.3</x:v>
      </x:c>
      <x:c r="P707" s="94" t="str">
        <x:v>已确认</x:v>
      </x:c>
      <x:c r="Q707" s="97" t="n">
        <x:f>IF(P707="已退款",M707,0)</x:f>
        <x:v>0</x:v>
      </x:c>
      <x:c r="R707" s="97" t="n">
        <x:f>IF(P707="已退款",O707,0)</x:f>
        <x:v>0</x:v>
      </x:c>
      <x:c r="S707" s="97" t="n">
        <x:f>O707-R707</x:f>
        <x:v>4.3</x:v>
      </x:c>
      <x:c r="T707" s="94" t="n">
        <x:v>0</x:v>
      </x:c>
      <x:c r="U707" s="94" t="str">
        <x:v>模拟：Amazon Associates订单回传</x:v>
      </x:c>
    </x:row>
    <x:row r="708">
      <x:c r="A708" s="92" t="str">
        <x:v>AMZ-ORD-00707</x:v>
      </x:c>
      <x:c r="B708" s="94" t="str">
        <x:v>PROC-0709</x:v>
      </x:c>
      <x:c r="C708" s="108" t="n">
        <x:v>46155.43125</x:v>
      </x:c>
      <x:c r="D708" s="93" t="n">
        <x:v>46151</x:v>
      </x:c>
      <x:c r="E708" s="94" t="str">
        <x:v>Microsoft Ads</x:v>
      </x:c>
      <x:c r="F708" s="94" t="str">
        <x:v>日本</x:v>
      </x:c>
      <x:c r="G708" s="94" t="str">
        <x:v>竞品搜索</x:v>
      </x:c>
      <x:c r="H708" s="94" t="str">
        <x:v>SKU-0038</x:v>
      </x:c>
      <x:c r="I708" s="94" t="str">
        <x:v>美妆个护</x:v>
      </x:c>
      <x:c r="J708" s="94" t="str">
        <x:v>卷发棒 H</x:v>
      </x:c>
      <x:c r="K708" s="97" t="n">
        <x:v>132.64</x:v>
      </x:c>
      <x:c r="L708" s="95" t="n">
        <x:v>1</x:v>
      </x:c>
      <x:c r="M708" s="97" t="n">
        <x:f>ROUND(K708*L708,2)</x:f>
        <x:v>132.64</x:v>
      </x:c>
      <x:c r="N708" s="109" t="n">
        <x:v>0.1</x:v>
      </x:c>
      <x:c r="O708" s="97" t="n">
        <x:f>ROUND(M708*N708,2)</x:f>
        <x:v>13.26</x:v>
      </x:c>
      <x:c r="P708" s="94" t="str">
        <x:v>已确认</x:v>
      </x:c>
      <x:c r="Q708" s="97" t="n">
        <x:f>IF(P708="已退款",M708,0)</x:f>
        <x:v>0</x:v>
      </x:c>
      <x:c r="R708" s="97" t="n">
        <x:f>IF(P708="已退款",O708,0)</x:f>
        <x:v>0</x:v>
      </x:c>
      <x:c r="S708" s="97" t="n">
        <x:f>O708-R708</x:f>
        <x:v>13.26</x:v>
      </x:c>
      <x:c r="T708" s="94" t="n">
        <x:v>4</x:v>
      </x:c>
      <x:c r="U708" s="94" t="str">
        <x:v>模拟：Amazon Associates订单回传</x:v>
      </x:c>
    </x:row>
    <x:row r="709">
      <x:c r="A709" s="92" t="str">
        <x:v>AMZ-ORD-00708</x:v>
      </x:c>
      <x:c r="B709" s="94" t="str">
        <x:v>PROC-0710</x:v>
      </x:c>
      <x:c r="C709" s="108" t="n">
        <x:v>46155.62986111111</x:v>
      </x:c>
      <x:c r="D709" s="93" t="n">
        <x:v>46151</x:v>
      </x:c>
      <x:c r="E709" s="94" t="str">
        <x:v>Google Ads</x:v>
      </x:c>
      <x:c r="F709" s="94" t="str">
        <x:v>英国</x:v>
      </x:c>
      <x:c r="G709" s="94" t="str">
        <x:v>品牌搜索</x:v>
      </x:c>
      <x:c r="H709" s="94" t="str">
        <x:v>SKU-0024</x:v>
      </x:c>
      <x:c r="I709" s="94" t="str">
        <x:v>运动健康</x:v>
      </x:c>
      <x:c r="J709" s="94" t="str">
        <x:v>筋膜枪 D</x:v>
      </x:c>
      <x:c r="K709" s="97" t="n">
        <x:v>83.35</x:v>
      </x:c>
      <x:c r="L709" s="95" t="n">
        <x:v>1</x:v>
      </x:c>
      <x:c r="M709" s="97" t="n">
        <x:f>ROUND(K709*L709,2)</x:f>
        <x:v>83.35</x:v>
      </x:c>
      <x:c r="N709" s="109" t="n">
        <x:v>0.08</x:v>
      </x:c>
      <x:c r="O709" s="97" t="n">
        <x:f>ROUND(M709*N709,2)</x:f>
        <x:v>6.67</x:v>
      </x:c>
      <x:c r="P709" s="94" t="str">
        <x:v>已确认</x:v>
      </x:c>
      <x:c r="Q709" s="97" t="n">
        <x:f>IF(P709="已退款",M709,0)</x:f>
        <x:v>0</x:v>
      </x:c>
      <x:c r="R709" s="97" t="n">
        <x:f>IF(P709="已退款",O709,0)</x:f>
        <x:v>0</x:v>
      </x:c>
      <x:c r="S709" s="97" t="n">
        <x:f>O709-R709</x:f>
        <x:v>6.67</x:v>
      </x:c>
      <x:c r="T709" s="94" t="n">
        <x:v>4</x:v>
      </x:c>
      <x:c r="U709" s="94" t="str">
        <x:v>模拟：Amazon Associates订单回传</x:v>
      </x:c>
    </x:row>
    <x:row r="710">
      <x:c r="A710" s="92" t="str">
        <x:v>AMZ-ORD-00709</x:v>
      </x:c>
      <x:c r="B710" s="94" t="str">
        <x:v>PROC-0710</x:v>
      </x:c>
      <x:c r="C710" s="108" t="n">
        <x:v>46155.78402777778</x:v>
      </x:c>
      <x:c r="D710" s="93" t="n">
        <x:v>46151</x:v>
      </x:c>
      <x:c r="E710" s="94" t="str">
        <x:v>Google Ads</x:v>
      </x:c>
      <x:c r="F710" s="94" t="str">
        <x:v>英国</x:v>
      </x:c>
      <x:c r="G710" s="94" t="str">
        <x:v>品牌搜索</x:v>
      </x:c>
      <x:c r="H710" s="94" t="str">
        <x:v>SKU-0009</x:v>
      </x:c>
      <x:c r="I710" s="94" t="str">
        <x:v>电子产品</x:v>
      </x:c>
      <x:c r="J710" s="94" t="str">
        <x:v>电子阅读器 I</x:v>
      </x:c>
      <x:c r="K710" s="97" t="n">
        <x:v>497.26</x:v>
      </x:c>
      <x:c r="L710" s="95" t="n">
        <x:v>1</x:v>
      </x:c>
      <x:c r="M710" s="97" t="n">
        <x:f>ROUND(K710*L710,2)</x:f>
        <x:v>497.26</x:v>
      </x:c>
      <x:c r="N710" s="109" t="n">
        <x:v>0.05</x:v>
      </x:c>
      <x:c r="O710" s="97" t="n">
        <x:f>ROUND(M710*N710,2)</x:f>
        <x:v>24.86</x:v>
      </x:c>
      <x:c r="P710" s="94" t="str">
        <x:v>已确认</x:v>
      </x:c>
      <x:c r="Q710" s="97" t="n">
        <x:f>IF(P710="已退款",M710,0)</x:f>
        <x:v>0</x:v>
      </x:c>
      <x:c r="R710" s="97" t="n">
        <x:f>IF(P710="已退款",O710,0)</x:f>
        <x:v>0</x:v>
      </x:c>
      <x:c r="S710" s="97" t="n">
        <x:f>O710-R710</x:f>
        <x:v>24.86</x:v>
      </x:c>
      <x:c r="T710" s="94" t="n">
        <x:v>4</x:v>
      </x:c>
      <x:c r="U710" s="94" t="str">
        <x:v>模拟：Amazon Associates订单回传</x:v>
      </x:c>
    </x:row>
    <x:row r="711">
      <x:c r="A711" s="92" t="str">
        <x:v>AMZ-ORD-00710</x:v>
      </x:c>
      <x:c r="B711" s="94" t="str">
        <x:v>PROC-0711</x:v>
      </x:c>
      <x:c r="C711" s="108" t="n">
        <x:v>46153.77013888889</x:v>
      </x:c>
      <x:c r="D711" s="93" t="n">
        <x:v>46151</x:v>
      </x:c>
      <x:c r="E711" s="94" t="str">
        <x:v>Google Ads</x:v>
      </x:c>
      <x:c r="F711" s="94" t="str">
        <x:v>德国</x:v>
      </x:c>
      <x:c r="G711" s="94" t="str">
        <x:v>品牌搜索</x:v>
      </x:c>
      <x:c r="H711" s="94" t="str">
        <x:v>SKU-0021</x:v>
      </x:c>
      <x:c r="I711" s="94" t="str">
        <x:v>运动健康</x:v>
      </x:c>
      <x:c r="J711" s="94" t="str">
        <x:v>智能手表 A</x:v>
      </x:c>
      <x:c r="K711" s="97" t="n">
        <x:v>243.45</x:v>
      </x:c>
      <x:c r="L711" s="95" t="n">
        <x:v>3</x:v>
      </x:c>
      <x:c r="M711" s="97" t="n">
        <x:f>ROUND(K711*L711,2)</x:f>
        <x:v>730.35</x:v>
      </x:c>
      <x:c r="N711" s="109" t="n">
        <x:v>0.08</x:v>
      </x:c>
      <x:c r="O711" s="97" t="n">
        <x:f>ROUND(M711*N711,2)</x:f>
        <x:v>58.43</x:v>
      </x:c>
      <x:c r="P711" s="94" t="str">
        <x:v>已确认</x:v>
      </x:c>
      <x:c r="Q711" s="97" t="n">
        <x:f>IF(P711="已退款",M711,0)</x:f>
        <x:v>0</x:v>
      </x:c>
      <x:c r="R711" s="97" t="n">
        <x:f>IF(P711="已退款",O711,0)</x:f>
        <x:v>0</x:v>
      </x:c>
      <x:c r="S711" s="97" t="n">
        <x:f>O711-R711</x:f>
        <x:v>58.43</x:v>
      </x:c>
      <x:c r="T711" s="94" t="n">
        <x:v>2</x:v>
      </x:c>
      <x:c r="U711" s="94" t="str">
        <x:v>模拟：Amazon Associates订单回传</x:v>
      </x:c>
    </x:row>
    <x:row r="712">
      <x:c r="A712" s="92" t="str">
        <x:v>AMZ-ORD-00711</x:v>
      </x:c>
      <x:c r="B712" s="94" t="str">
        <x:v>PROC-0711</x:v>
      </x:c>
      <x:c r="C712" s="108" t="n">
        <x:v>46155.53958333333</x:v>
      </x:c>
      <x:c r="D712" s="93" t="n">
        <x:v>46151</x:v>
      </x:c>
      <x:c r="E712" s="94" t="str">
        <x:v>Google Ads</x:v>
      </x:c>
      <x:c r="F712" s="94" t="str">
        <x:v>德国</x:v>
      </x:c>
      <x:c r="G712" s="94" t="str">
        <x:v>品牌搜索</x:v>
      </x:c>
      <x:c r="H712" s="94" t="str">
        <x:v>SKU-0050</x:v>
      </x:c>
      <x:c r="I712" s="94" t="str">
        <x:v>办公学习</x:v>
      </x:c>
      <x:c r="J712" s="94" t="str">
        <x:v>静音鼠标 J</x:v>
      </x:c>
      <x:c r="K712" s="97" t="n">
        <x:v>195.11</x:v>
      </x:c>
      <x:c r="L712" s="95" t="n">
        <x:v>1</x:v>
      </x:c>
      <x:c r="M712" s="97" t="n">
        <x:f>ROUND(K712*L712,2)</x:f>
        <x:v>195.11</x:v>
      </x:c>
      <x:c r="N712" s="109" t="n">
        <x:v>0.07</x:v>
      </x:c>
      <x:c r="O712" s="97" t="n">
        <x:f>ROUND(M712*N712,2)</x:f>
        <x:v>13.66</x:v>
      </x:c>
      <x:c r="P712" s="94" t="str">
        <x:v>已确认</x:v>
      </x:c>
      <x:c r="Q712" s="97" t="n">
        <x:f>IF(P712="已退款",M712,0)</x:f>
        <x:v>0</x:v>
      </x:c>
      <x:c r="R712" s="97" t="n">
        <x:f>IF(P712="已退款",O712,0)</x:f>
        <x:v>0</x:v>
      </x:c>
      <x:c r="S712" s="97" t="n">
        <x:f>O712-R712</x:f>
        <x:v>13.66</x:v>
      </x:c>
      <x:c r="T712" s="94" t="n">
        <x:v>4</x:v>
      </x:c>
      <x:c r="U712" s="94" t="str">
        <x:v>模拟：Amazon Associates订单回传</x:v>
      </x:c>
    </x:row>
    <x:row r="713">
      <x:c r="A713" s="92" t="str">
        <x:v>AMZ-ORD-00712</x:v>
      </x:c>
      <x:c r="B713" s="94" t="str">
        <x:v>PROC-0712</x:v>
      </x:c>
      <x:c r="C713" s="108" t="n">
        <x:v>46151.44097222222</x:v>
      </x:c>
      <x:c r="D713" s="93" t="n">
        <x:v>46151</x:v>
      </x:c>
      <x:c r="E713" s="94" t="str">
        <x:v>Microsoft Ads</x:v>
      </x:c>
      <x:c r="F713" s="94" t="str">
        <x:v>德国</x:v>
      </x:c>
      <x:c r="G713" s="94" t="str">
        <x:v>购物广告</x:v>
      </x:c>
      <x:c r="H713" s="94" t="str">
        <x:v>SKU-0045</x:v>
      </x:c>
      <x:c r="I713" s="94" t="str">
        <x:v>办公学习</x:v>
      </x:c>
      <x:c r="J713" s="94" t="str">
        <x:v>办公收纳 E</x:v>
      </x:c>
      <x:c r="K713" s="97" t="n">
        <x:v>87.57</x:v>
      </x:c>
      <x:c r="L713" s="95" t="n">
        <x:v>1</x:v>
      </x:c>
      <x:c r="M713" s="97" t="n">
        <x:f>ROUND(K713*L713,2)</x:f>
        <x:v>87.57</x:v>
      </x:c>
      <x:c r="N713" s="109" t="n">
        <x:v>0.07</x:v>
      </x:c>
      <x:c r="O713" s="97" t="n">
        <x:f>ROUND(M713*N713,2)</x:f>
        <x:v>6.13</x:v>
      </x:c>
      <x:c r="P713" s="94" t="str">
        <x:v>已确认</x:v>
      </x:c>
      <x:c r="Q713" s="97" t="n">
        <x:f>IF(P713="已退款",M713,0)</x:f>
        <x:v>0</x:v>
      </x:c>
      <x:c r="R713" s="97" t="n">
        <x:f>IF(P713="已退款",O713,0)</x:f>
        <x:v>0</x:v>
      </x:c>
      <x:c r="S713" s="97" t="n">
        <x:f>O713-R713</x:f>
        <x:v>6.13</x:v>
      </x:c>
      <x:c r="T713" s="94" t="n">
        <x:v>0</x:v>
      </x:c>
      <x:c r="U713" s="94" t="str">
        <x:v>模拟：Amazon Associates订单回传</x:v>
      </x:c>
    </x:row>
    <x:row r="714">
      <x:c r="A714" s="92" t="str">
        <x:v>AMZ-ORD-00713</x:v>
      </x:c>
      <x:c r="B714" s="94" t="str">
        <x:v>PROC-0713</x:v>
      </x:c>
      <x:c r="C714" s="108" t="n">
        <x:v>46153.8875</x:v>
      </x:c>
      <x:c r="D714" s="93" t="n">
        <x:v>46151</x:v>
      </x:c>
      <x:c r="E714" s="94" t="str">
        <x:v>Microsoft Ads</x:v>
      </x:c>
      <x:c r="F714" s="94" t="str">
        <x:v>美国</x:v>
      </x:c>
      <x:c r="G714" s="94" t="str">
        <x:v>通用搜索</x:v>
      </x:c>
      <x:c r="H714" s="94" t="str">
        <x:v>SKU-0047</x:v>
      </x:c>
      <x:c r="I714" s="94" t="str">
        <x:v>办公学习</x:v>
      </x:c>
      <x:c r="J714" s="94" t="str">
        <x:v>标签打印机 G</x:v>
      </x:c>
      <x:c r="K714" s="97" t="n">
        <x:v>121.04</x:v>
      </x:c>
      <x:c r="L714" s="95" t="n">
        <x:v>1</x:v>
      </x:c>
      <x:c r="M714" s="97" t="n">
        <x:f>ROUND(K714*L714,2)</x:f>
        <x:v>121.04</x:v>
      </x:c>
      <x:c r="N714" s="109" t="n">
        <x:v>0.07</x:v>
      </x:c>
      <x:c r="O714" s="97" t="n">
        <x:f>ROUND(M714*N714,2)</x:f>
        <x:v>8.47</x:v>
      </x:c>
      <x:c r="P714" s="94" t="str">
        <x:v>已确认</x:v>
      </x:c>
      <x:c r="Q714" s="97" t="n">
        <x:f>IF(P714="已退款",M714,0)</x:f>
        <x:v>0</x:v>
      </x:c>
      <x:c r="R714" s="97" t="n">
        <x:f>IF(P714="已退款",O714,0)</x:f>
        <x:v>0</x:v>
      </x:c>
      <x:c r="S714" s="97" t="n">
        <x:f>O714-R714</x:f>
        <x:v>8.47</x:v>
      </x:c>
      <x:c r="T714" s="94" t="n">
        <x:v>2</x:v>
      </x:c>
      <x:c r="U714" s="94" t="str">
        <x:v>模拟：Amazon Associates订单回传</x:v>
      </x:c>
    </x:row>
    <x:row r="715">
      <x:c r="A715" s="92" t="str">
        <x:v>AMZ-ORD-00714</x:v>
      </x:c>
      <x:c r="B715" s="94" t="str">
        <x:v>PROC-0715</x:v>
      </x:c>
      <x:c r="C715" s="108" t="n">
        <x:v>46156.45208333333</x:v>
      </x:c>
      <x:c r="D715" s="93" t="n">
        <x:v>46152</x:v>
      </x:c>
      <x:c r="E715" s="94" t="str">
        <x:v>Microsoft Ads</x:v>
      </x:c>
      <x:c r="F715" s="94" t="str">
        <x:v>日本</x:v>
      </x:c>
      <x:c r="G715" s="94" t="str">
        <x:v>通用搜索</x:v>
      </x:c>
      <x:c r="H715" s="94" t="str">
        <x:v>SKU-0001</x:v>
      </x:c>
      <x:c r="I715" s="94" t="str">
        <x:v>电子产品</x:v>
      </x:c>
      <x:c r="J715" s="94" t="str">
        <x:v>无线耳机 A</x:v>
      </x:c>
      <x:c r="K715" s="97" t="n">
        <x:v>344.65</x:v>
      </x:c>
      <x:c r="L715" s="95" t="n">
        <x:v>1</x:v>
      </x:c>
      <x:c r="M715" s="97" t="n">
        <x:f>ROUND(K715*L715,2)</x:f>
        <x:v>344.65</x:v>
      </x:c>
      <x:c r="N715" s="109" t="n">
        <x:v>0.05</x:v>
      </x:c>
      <x:c r="O715" s="97" t="n">
        <x:f>ROUND(M715*N715,2)</x:f>
        <x:v>17.23</x:v>
      </x:c>
      <x:c r="P715" s="94" t="str">
        <x:v>已确认</x:v>
      </x:c>
      <x:c r="Q715" s="97" t="n">
        <x:f>IF(P715="已退款",M715,0)</x:f>
        <x:v>0</x:v>
      </x:c>
      <x:c r="R715" s="97" t="n">
        <x:f>IF(P715="已退款",O715,0)</x:f>
        <x:v>0</x:v>
      </x:c>
      <x:c r="S715" s="97" t="n">
        <x:f>O715-R715</x:f>
        <x:v>17.23</x:v>
      </x:c>
      <x:c r="T715" s="94" t="n">
        <x:v>4</x:v>
      </x:c>
      <x:c r="U715" s="94" t="str">
        <x:v>模拟：Amazon Associates订单回传</x:v>
      </x:c>
    </x:row>
    <x:row r="716">
      <x:c r="A716" s="92" t="str">
        <x:v>AMZ-ORD-00715</x:v>
      </x:c>
      <x:c r="B716" s="94" t="str">
        <x:v>PROC-0716</x:v>
      </x:c>
      <x:c r="C716" s="108" t="n">
        <x:v>46154.33819444444</x:v>
      </x:c>
      <x:c r="D716" s="93" t="n">
        <x:v>46152</x:v>
      </x:c>
      <x:c r="E716" s="94" t="str">
        <x:v>Google Ads</x:v>
      </x:c>
      <x:c r="F716" s="94" t="str">
        <x:v>美国</x:v>
      </x:c>
      <x:c r="G716" s="94" t="str">
        <x:v>购物广告</x:v>
      </x:c>
      <x:c r="H716" s="94" t="str">
        <x:v>SKU-0037</x:v>
      </x:c>
      <x:c r="I716" s="94" t="str">
        <x:v>美妆个护</x:v>
      </x:c>
      <x:c r="J716" s="94" t="str">
        <x:v>美容仪 G</x:v>
      </x:c>
      <x:c r="K716" s="97" t="n">
        <x:v>114.53</x:v>
      </x:c>
      <x:c r="L716" s="95" t="n">
        <x:v>1</x:v>
      </x:c>
      <x:c r="M716" s="97" t="n">
        <x:f>ROUND(K716*L716,2)</x:f>
        <x:v>114.53</x:v>
      </x:c>
      <x:c r="N716" s="109" t="n">
        <x:v>0.1</x:v>
      </x:c>
      <x:c r="O716" s="97" t="n">
        <x:f>ROUND(M716*N716,2)</x:f>
        <x:v>11.45</x:v>
      </x:c>
      <x:c r="P716" s="94" t="str">
        <x:v>已确认</x:v>
      </x:c>
      <x:c r="Q716" s="97" t="n">
        <x:f>IF(P716="已退款",M716,0)</x:f>
        <x:v>0</x:v>
      </x:c>
      <x:c r="R716" s="97" t="n">
        <x:f>IF(P716="已退款",O716,0)</x:f>
        <x:v>0</x:v>
      </x:c>
      <x:c r="S716" s="97" t="n">
        <x:f>O716-R716</x:f>
        <x:v>11.45</x:v>
      </x:c>
      <x:c r="T716" s="94" t="n">
        <x:v>2</x:v>
      </x:c>
      <x:c r="U716" s="94" t="str">
        <x:v>模拟：Amazon Associates订单回传</x:v>
      </x:c>
    </x:row>
    <x:row r="717">
      <x:c r="A717" s="92" t="str">
        <x:v>AMZ-ORD-00716</x:v>
      </x:c>
      <x:c r="B717" s="94" t="str">
        <x:v>PROC-0716</x:v>
      </x:c>
      <x:c r="C717" s="108" t="n">
        <x:v>46154.57361111111</x:v>
      </x:c>
      <x:c r="D717" s="93" t="n">
        <x:v>46152</x:v>
      </x:c>
      <x:c r="E717" s="94" t="str">
        <x:v>Google Ads</x:v>
      </x:c>
      <x:c r="F717" s="94" t="str">
        <x:v>美国</x:v>
      </x:c>
      <x:c r="G717" s="94" t="str">
        <x:v>购物广告</x:v>
      </x:c>
      <x:c r="H717" s="94" t="str">
        <x:v>SKU-0040</x:v>
      </x:c>
      <x:c r="I717" s="94" t="str">
        <x:v>美妆个护</x:v>
      </x:c>
      <x:c r="J717" s="94" t="str">
        <x:v>旅行护理套装 J</x:v>
      </x:c>
      <x:c r="K717" s="97" t="n">
        <x:v>141.37</x:v>
      </x:c>
      <x:c r="L717" s="95" t="n">
        <x:v>1</x:v>
      </x:c>
      <x:c r="M717" s="97" t="n">
        <x:f>ROUND(K717*L717,2)</x:f>
        <x:v>141.37</x:v>
      </x:c>
      <x:c r="N717" s="109" t="n">
        <x:v>0.1</x:v>
      </x:c>
      <x:c r="O717" s="97" t="n">
        <x:f>ROUND(M717*N717,2)</x:f>
        <x:v>14.14</x:v>
      </x:c>
      <x:c r="P717" s="94" t="str">
        <x:v>已确认</x:v>
      </x:c>
      <x:c r="Q717" s="97" t="n">
        <x:f>IF(P717="已退款",M717,0)</x:f>
        <x:v>0</x:v>
      </x:c>
      <x:c r="R717" s="97" t="n">
        <x:f>IF(P717="已退款",O717,0)</x:f>
        <x:v>0</x:v>
      </x:c>
      <x:c r="S717" s="97" t="n">
        <x:f>O717-R717</x:f>
        <x:v>14.14</x:v>
      </x:c>
      <x:c r="T717" s="94" t="n">
        <x:v>2</x:v>
      </x:c>
      <x:c r="U717" s="94" t="str">
        <x:v>模拟：Amazon Associates订单回传</x:v>
      </x:c>
    </x:row>
    <x:row r="718">
      <x:c r="A718" s="92" t="str">
        <x:v>AMZ-ORD-00717</x:v>
      </x:c>
      <x:c r="B718" s="94" t="str">
        <x:v>PROC-0717</x:v>
      </x:c>
      <x:c r="C718" s="108" t="n">
        <x:v>46155.38680555556</x:v>
      </x:c>
      <x:c r="D718" s="93" t="n">
        <x:v>46152</x:v>
      </x:c>
      <x:c r="E718" s="94" t="str">
        <x:v>Microsoft Ads</x:v>
      </x:c>
      <x:c r="F718" s="94" t="str">
        <x:v>日本</x:v>
      </x:c>
      <x:c r="G718" s="94" t="str">
        <x:v>通用搜索</x:v>
      </x:c>
      <x:c r="H718" s="94" t="str">
        <x:v>SKU-0038</x:v>
      </x:c>
      <x:c r="I718" s="94" t="str">
        <x:v>美妆个护</x:v>
      </x:c>
      <x:c r="J718" s="94" t="str">
        <x:v>卷发棒 H</x:v>
      </x:c>
      <x:c r="K718" s="97" t="n">
        <x:v>91.19</x:v>
      </x:c>
      <x:c r="L718" s="95" t="n">
        <x:v>1</x:v>
      </x:c>
      <x:c r="M718" s="97" t="n">
        <x:f>ROUND(K718*L718,2)</x:f>
        <x:v>91.19</x:v>
      </x:c>
      <x:c r="N718" s="109" t="n">
        <x:v>0.1</x:v>
      </x:c>
      <x:c r="O718" s="97" t="n">
        <x:f>ROUND(M718*N718,2)</x:f>
        <x:v>9.12</x:v>
      </x:c>
      <x:c r="P718" s="94" t="str">
        <x:v>已确认</x:v>
      </x:c>
      <x:c r="Q718" s="97" t="n">
        <x:f>IF(P718="已退款",M718,0)</x:f>
        <x:v>0</x:v>
      </x:c>
      <x:c r="R718" s="97" t="n">
        <x:f>IF(P718="已退款",O718,0)</x:f>
        <x:v>0</x:v>
      </x:c>
      <x:c r="S718" s="97" t="n">
        <x:f>O718-R718</x:f>
        <x:v>9.12</x:v>
      </x:c>
      <x:c r="T718" s="94" t="n">
        <x:v>3</x:v>
      </x:c>
      <x:c r="U718" s="94" t="str">
        <x:v>模拟：Amazon Associates订单回传</x:v>
      </x:c>
    </x:row>
    <x:row r="719">
      <x:c r="A719" s="92" t="str">
        <x:v>AMZ-ORD-00718</x:v>
      </x:c>
      <x:c r="B719" s="94" t="str">
        <x:v>PROC-0718</x:v>
      </x:c>
      <x:c r="C719" s="108" t="n">
        <x:v>46155.68472222222</x:v>
      </x:c>
      <x:c r="D719" s="93" t="n">
        <x:v>46152</x:v>
      </x:c>
      <x:c r="E719" s="94" t="str">
        <x:v>Google Ads</x:v>
      </x:c>
      <x:c r="F719" s="94" t="str">
        <x:v>日本</x:v>
      </x:c>
      <x:c r="G719" s="94" t="str">
        <x:v>购物广告</x:v>
      </x:c>
      <x:c r="H719" s="94" t="str">
        <x:v>SKU-0048</x:v>
      </x:c>
      <x:c r="I719" s="94" t="str">
        <x:v>办公学习</x:v>
      </x:c>
      <x:c r="J719" s="94" t="str">
        <x:v>阅读支架 H</x:v>
      </x:c>
      <x:c r="K719" s="97" t="n">
        <x:v>190.51</x:v>
      </x:c>
      <x:c r="L719" s="95" t="n">
        <x:v>1</x:v>
      </x:c>
      <x:c r="M719" s="97" t="n">
        <x:f>ROUND(K719*L719,2)</x:f>
        <x:v>190.51</x:v>
      </x:c>
      <x:c r="N719" s="109" t="n">
        <x:v>0.07</x:v>
      </x:c>
      <x:c r="O719" s="97" t="n">
        <x:f>ROUND(M719*N719,2)</x:f>
        <x:v>13.34</x:v>
      </x:c>
      <x:c r="P719" s="94" t="str">
        <x:v>已确认</x:v>
      </x:c>
      <x:c r="Q719" s="97" t="n">
        <x:f>IF(P719="已退款",M719,0)</x:f>
        <x:v>0</x:v>
      </x:c>
      <x:c r="R719" s="97" t="n">
        <x:f>IF(P719="已退款",O719,0)</x:f>
        <x:v>0</x:v>
      </x:c>
      <x:c r="S719" s="97" t="n">
        <x:f>O719-R719</x:f>
        <x:v>13.34</x:v>
      </x:c>
      <x:c r="T719" s="94" t="n">
        <x:v>3</x:v>
      </x:c>
      <x:c r="U719" s="94" t="str">
        <x:v>模拟：Amazon Associates订单回传</x:v>
      </x:c>
    </x:row>
    <x:row r="720">
      <x:c r="A720" s="92" t="str">
        <x:v>AMZ-ORD-00719</x:v>
      </x:c>
      <x:c r="B720" s="94" t="str">
        <x:v>PROC-0719</x:v>
      </x:c>
      <x:c r="C720" s="108" t="n">
        <x:v>46155.74097222222</x:v>
      </x:c>
      <x:c r="D720" s="93" t="n">
        <x:v>46152</x:v>
      </x:c>
      <x:c r="E720" s="94" t="str">
        <x:v>Google Ads</x:v>
      </x:c>
      <x:c r="F720" s="94" t="str">
        <x:v>美国</x:v>
      </x:c>
      <x:c r="G720" s="94" t="str">
        <x:v>购物广告</x:v>
      </x:c>
      <x:c r="H720" s="94" t="str">
        <x:v>SKU-0006</x:v>
      </x:c>
      <x:c r="I720" s="94" t="str">
        <x:v>电子产品</x:v>
      </x:c>
      <x:c r="J720" s="94" t="str">
        <x:v>迷你投影仪 F</x:v>
      </x:c>
      <x:c r="K720" s="97" t="n">
        <x:v>328.8</x:v>
      </x:c>
      <x:c r="L720" s="95" t="n">
        <x:v>2</x:v>
      </x:c>
      <x:c r="M720" s="97" t="n">
        <x:f>ROUND(K720*L720,2)</x:f>
        <x:v>657.6</x:v>
      </x:c>
      <x:c r="N720" s="109" t="n">
        <x:v>0.05</x:v>
      </x:c>
      <x:c r="O720" s="97" t="n">
        <x:f>ROUND(M720*N720,2)</x:f>
        <x:v>32.88</x:v>
      </x:c>
      <x:c r="P720" s="94" t="str">
        <x:v>已确认</x:v>
      </x:c>
      <x:c r="Q720" s="97" t="n">
        <x:f>IF(P720="已退款",M720,0)</x:f>
        <x:v>0</x:v>
      </x:c>
      <x:c r="R720" s="97" t="n">
        <x:f>IF(P720="已退款",O720,0)</x:f>
        <x:v>0</x:v>
      </x:c>
      <x:c r="S720" s="97" t="n">
        <x:f>O720-R720</x:f>
        <x:v>32.88</x:v>
      </x:c>
      <x:c r="T720" s="94" t="n">
        <x:v>3</x:v>
      </x:c>
      <x:c r="U720" s="94" t="str">
        <x:v>模拟：Amazon Associates订单回传</x:v>
      </x:c>
    </x:row>
    <x:row r="721">
      <x:c r="A721" s="92" t="str">
        <x:v>AMZ-ORD-00720</x:v>
      </x:c>
      <x:c r="B721" s="94" t="str">
        <x:v>PROC-0721</x:v>
      </x:c>
      <x:c r="C721" s="108" t="n">
        <x:v>46155.64166666667</x:v>
      </x:c>
      <x:c r="D721" s="93" t="n">
        <x:v>46153</x:v>
      </x:c>
      <x:c r="E721" s="94" t="str">
        <x:v>Google Ads</x:v>
      </x:c>
      <x:c r="F721" s="94" t="str">
        <x:v>德国</x:v>
      </x:c>
      <x:c r="G721" s="94" t="str">
        <x:v>通用搜索</x:v>
      </x:c>
      <x:c r="H721" s="94" t="str">
        <x:v>SKU-0047</x:v>
      </x:c>
      <x:c r="I721" s="94" t="str">
        <x:v>办公学习</x:v>
      </x:c>
      <x:c r="J721" s="94" t="str">
        <x:v>标签打印机 G</x:v>
      </x:c>
      <x:c r="K721" s="97" t="n">
        <x:v>214.57</x:v>
      </x:c>
      <x:c r="L721" s="95" t="n">
        <x:v>2</x:v>
      </x:c>
      <x:c r="M721" s="97" t="n">
        <x:f>ROUND(K721*L721,2)</x:f>
        <x:v>429.14</x:v>
      </x:c>
      <x:c r="N721" s="109" t="n">
        <x:v>0.07</x:v>
      </x:c>
      <x:c r="O721" s="97" t="n">
        <x:f>ROUND(M721*N721,2)</x:f>
        <x:v>30.04</x:v>
      </x:c>
      <x:c r="P721" s="94" t="str">
        <x:v>已确认</x:v>
      </x:c>
      <x:c r="Q721" s="97" t="n">
        <x:f>IF(P721="已退款",M721,0)</x:f>
        <x:v>0</x:v>
      </x:c>
      <x:c r="R721" s="97" t="n">
        <x:f>IF(P721="已退款",O721,0)</x:f>
        <x:v>0</x:v>
      </x:c>
      <x:c r="S721" s="97" t="n">
        <x:f>O721-R721</x:f>
        <x:v>30.04</x:v>
      </x:c>
      <x:c r="T721" s="94" t="n">
        <x:v>2</x:v>
      </x:c>
      <x:c r="U721" s="94" t="str">
        <x:v>模拟：Amazon Associates订单回传</x:v>
      </x:c>
    </x:row>
    <x:row r="722">
      <x:c r="A722" s="92" t="str">
        <x:v>AMZ-ORD-00721</x:v>
      </x:c>
      <x:c r="B722" s="94" t="str">
        <x:v>PROC-0722</x:v>
      </x:c>
      <x:c r="C722" s="108" t="n">
        <x:v>46153.6125</x:v>
      </x:c>
      <x:c r="D722" s="93" t="n">
        <x:v>46153</x:v>
      </x:c>
      <x:c r="E722" s="94" t="str">
        <x:v>Microsoft Ads</x:v>
      </x:c>
      <x:c r="F722" s="94" t="str">
        <x:v>美国</x:v>
      </x:c>
      <x:c r="G722" s="94" t="str">
        <x:v>品牌搜索</x:v>
      </x:c>
      <x:c r="H722" s="94" t="str">
        <x:v>SKU-0007</x:v>
      </x:c>
      <x:c r="I722" s="94" t="str">
        <x:v>电子产品</x:v>
      </x:c>
      <x:c r="J722" s="94" t="str">
        <x:v>运动相机 G</x:v>
      </x:c>
      <x:c r="K722" s="97" t="n">
        <x:v>744.55</x:v>
      </x:c>
      <x:c r="L722" s="95" t="n">
        <x:v>1</x:v>
      </x:c>
      <x:c r="M722" s="97" t="n">
        <x:f>ROUND(K722*L722,2)</x:f>
        <x:v>744.55</x:v>
      </x:c>
      <x:c r="N722" s="109" t="n">
        <x:v>0.05</x:v>
      </x:c>
      <x:c r="O722" s="97" t="n">
        <x:f>ROUND(M722*N722,2)</x:f>
        <x:v>37.23</x:v>
      </x:c>
      <x:c r="P722" s="94" t="str">
        <x:v>已确认</x:v>
      </x:c>
      <x:c r="Q722" s="97" t="n">
        <x:f>IF(P722="已退款",M722,0)</x:f>
        <x:v>0</x:v>
      </x:c>
      <x:c r="R722" s="97" t="n">
        <x:f>IF(P722="已退款",O722,0)</x:f>
        <x:v>0</x:v>
      </x:c>
      <x:c r="S722" s="97" t="n">
        <x:f>O722-R722</x:f>
        <x:v>37.23</x:v>
      </x:c>
      <x:c r="T722" s="94" t="n">
        <x:v>0</x:v>
      </x:c>
      <x:c r="U722" s="94" t="str">
        <x:v>模拟：Amazon Associates订单回传</x:v>
      </x:c>
    </x:row>
    <x:row r="723">
      <x:c r="A723" s="92" t="str">
        <x:v>AMZ-ORD-00722</x:v>
      </x:c>
      <x:c r="B723" s="94" t="str">
        <x:v>PROC-0722</x:v>
      </x:c>
      <x:c r="C723" s="108" t="n">
        <x:v>46155.583333333336</x:v>
      </x:c>
      <x:c r="D723" s="93" t="n">
        <x:v>46153</x:v>
      </x:c>
      <x:c r="E723" s="94" t="str">
        <x:v>Microsoft Ads</x:v>
      </x:c>
      <x:c r="F723" s="94" t="str">
        <x:v>美国</x:v>
      </x:c>
      <x:c r="G723" s="94" t="str">
        <x:v>品牌搜索</x:v>
      </x:c>
      <x:c r="H723" s="94" t="str">
        <x:v>SKU-0008</x:v>
      </x:c>
      <x:c r="I723" s="94" t="str">
        <x:v>电子产品</x:v>
      </x:c>
      <x:c r="J723" s="94" t="str">
        <x:v>Wi-Fi路由器 H</x:v>
      </x:c>
      <x:c r="K723" s="97" t="n">
        <x:v>440.15</x:v>
      </x:c>
      <x:c r="L723" s="95" t="n">
        <x:v>3</x:v>
      </x:c>
      <x:c r="M723" s="97" t="n">
        <x:f>ROUND(K723*L723,2)</x:f>
        <x:v>1320.45</x:v>
      </x:c>
      <x:c r="N723" s="109" t="n">
        <x:v>0.05</x:v>
      </x:c>
      <x:c r="O723" s="97" t="n">
        <x:f>ROUND(M723*N723,2)</x:f>
        <x:v>66.02</x:v>
      </x:c>
      <x:c r="P723" s="94" t="str">
        <x:v>已确认</x:v>
      </x:c>
      <x:c r="Q723" s="97" t="n">
        <x:f>IF(P723="已退款",M723,0)</x:f>
        <x:v>0</x:v>
      </x:c>
      <x:c r="R723" s="97" t="n">
        <x:f>IF(P723="已退款",O723,0)</x:f>
        <x:v>0</x:v>
      </x:c>
      <x:c r="S723" s="97" t="n">
        <x:f>O723-R723</x:f>
        <x:v>66.02</x:v>
      </x:c>
      <x:c r="T723" s="94" t="n">
        <x:v>2</x:v>
      </x:c>
      <x:c r="U723" s="94" t="str">
        <x:v>模拟：Amazon Associates订单回传</x:v>
      </x:c>
    </x:row>
    <x:row r="724">
      <x:c r="A724" s="92" t="str">
        <x:v>AMZ-ORD-00723</x:v>
      </x:c>
      <x:c r="B724" s="94" t="str">
        <x:v>PROC-0723</x:v>
      </x:c>
      <x:c r="C724" s="108" t="n">
        <x:v>46155.45347222222</x:v>
      </x:c>
      <x:c r="D724" s="93" t="n">
        <x:v>46153</x:v>
      </x:c>
      <x:c r="E724" s="94" t="str">
        <x:v>Microsoft Ads</x:v>
      </x:c>
      <x:c r="F724" s="94" t="str">
        <x:v>美国</x:v>
      </x:c>
      <x:c r="G724" s="94" t="str">
        <x:v>通用搜索</x:v>
      </x:c>
      <x:c r="H724" s="94" t="str">
        <x:v>SKU-0018</x:v>
      </x:c>
      <x:c r="I724" s="94" t="str">
        <x:v>家居生活</x:v>
      </x:c>
      <x:c r="J724" s="94" t="str">
        <x:v>收纳组合 H</x:v>
      </x:c>
      <x:c r="K724" s="97" t="n">
        <x:v>158.18</x:v>
      </x:c>
      <x:c r="L724" s="95" t="n">
        <x:v>1</x:v>
      </x:c>
      <x:c r="M724" s="97" t="n">
        <x:f>ROUND(K724*L724,2)</x:f>
        <x:v>158.18</x:v>
      </x:c>
      <x:c r="N724" s="109" t="n">
        <x:v>0.07</x:v>
      </x:c>
      <x:c r="O724" s="97" t="n">
        <x:f>ROUND(M724*N724,2)</x:f>
        <x:v>11.07</x:v>
      </x:c>
      <x:c r="P724" s="94" t="str">
        <x:v>已确认</x:v>
      </x:c>
      <x:c r="Q724" s="97" t="n">
        <x:f>IF(P724="已退款",M724,0)</x:f>
        <x:v>0</x:v>
      </x:c>
      <x:c r="R724" s="97" t="n">
        <x:f>IF(P724="已退款",O724,0)</x:f>
        <x:v>0</x:v>
      </x:c>
      <x:c r="S724" s="97" t="n">
        <x:f>O724-R724</x:f>
        <x:v>11.07</x:v>
      </x:c>
      <x:c r="T724" s="94" t="n">
        <x:v>2</x:v>
      </x:c>
      <x:c r="U724" s="94" t="str">
        <x:v>模拟：Amazon Associates订单回传</x:v>
      </x:c>
    </x:row>
    <x:row r="725">
      <x:c r="A725" s="92" t="str">
        <x:v>AMZ-ORD-00724</x:v>
      </x:c>
      <x:c r="B725" s="94" t="str">
        <x:v>PROC-0724</x:v>
      </x:c>
      <x:c r="C725" s="108" t="n">
        <x:v>46157.80138888889</x:v>
      </x:c>
      <x:c r="D725" s="93" t="n">
        <x:v>46153</x:v>
      </x:c>
      <x:c r="E725" s="94" t="str">
        <x:v>Google Ads</x:v>
      </x:c>
      <x:c r="F725" s="94" t="str">
        <x:v>美国</x:v>
      </x:c>
      <x:c r="G725" s="94" t="str">
        <x:v>购物广告</x:v>
      </x:c>
      <x:c r="H725" s="94" t="str">
        <x:v>SKU-0011</x:v>
      </x:c>
      <x:c r="I725" s="94" t="str">
        <x:v>家居生活</x:v>
      </x:c>
      <x:c r="J725" s="94" t="str">
        <x:v>空气净化器 A</x:v>
      </x:c>
      <x:c r="K725" s="97" t="n">
        <x:v>249.32</x:v>
      </x:c>
      <x:c r="L725" s="95" t="n">
        <x:v>2</x:v>
      </x:c>
      <x:c r="M725" s="97" t="n">
        <x:f>ROUND(K725*L725,2)</x:f>
        <x:v>498.64</x:v>
      </x:c>
      <x:c r="N725" s="109" t="n">
        <x:v>0.07</x:v>
      </x:c>
      <x:c r="O725" s="97" t="n">
        <x:f>ROUND(M725*N725,2)</x:f>
        <x:v>34.9</x:v>
      </x:c>
      <x:c r="P725" s="94" t="str">
        <x:v>已确认</x:v>
      </x:c>
      <x:c r="Q725" s="97" t="n">
        <x:f>IF(P725="已退款",M725,0)</x:f>
        <x:v>0</x:v>
      </x:c>
      <x:c r="R725" s="97" t="n">
        <x:f>IF(P725="已退款",O725,0)</x:f>
        <x:v>0</x:v>
      </x:c>
      <x:c r="S725" s="97" t="n">
        <x:f>O725-R725</x:f>
        <x:v>34.9</x:v>
      </x:c>
      <x:c r="T725" s="94" t="n">
        <x:v>4</x:v>
      </x:c>
      <x:c r="U725" s="94" t="str">
        <x:v>模拟：Amazon Associates订单回传</x:v>
      </x:c>
    </x:row>
    <x:row r="726">
      <x:c r="A726" s="92" t="str">
        <x:v>AMZ-ORD-00725</x:v>
      </x:c>
      <x:c r="B726" s="94" t="str">
        <x:v>PROC-0725</x:v>
      </x:c>
      <x:c r="C726" s="108" t="n">
        <x:v>46156.36041666667</x:v>
      </x:c>
      <x:c r="D726" s="93" t="n">
        <x:v>46154</x:v>
      </x:c>
      <x:c r="E726" s="94" t="str">
        <x:v>Google Ads</x:v>
      </x:c>
      <x:c r="F726" s="94" t="str">
        <x:v>美国</x:v>
      </x:c>
      <x:c r="G726" s="94" t="str">
        <x:v>通用搜索</x:v>
      </x:c>
      <x:c r="H726" s="94" t="str">
        <x:v>SKU-0029</x:v>
      </x:c>
      <x:c r="I726" s="94" t="str">
        <x:v>运动健康</x:v>
      </x:c>
      <x:c r="J726" s="94" t="str">
        <x:v>运动耳机 I</x:v>
      </x:c>
      <x:c r="K726" s="97" t="n">
        <x:v>193.1</x:v>
      </x:c>
      <x:c r="L726" s="95" t="n">
        <x:v>1</x:v>
      </x:c>
      <x:c r="M726" s="97" t="n">
        <x:f>ROUND(K726*L726,2)</x:f>
        <x:v>193.1</x:v>
      </x:c>
      <x:c r="N726" s="109" t="n">
        <x:v>0.08</x:v>
      </x:c>
      <x:c r="O726" s="97" t="n">
        <x:f>ROUND(M726*N726,2)</x:f>
        <x:v>15.45</x:v>
      </x:c>
      <x:c r="P726" s="94" t="str">
        <x:v>已确认</x:v>
      </x:c>
      <x:c r="Q726" s="97" t="n">
        <x:f>IF(P726="已退款",M726,0)</x:f>
        <x:v>0</x:v>
      </x:c>
      <x:c r="R726" s="97" t="n">
        <x:f>IF(P726="已退款",O726,0)</x:f>
        <x:v>0</x:v>
      </x:c>
      <x:c r="S726" s="97" t="n">
        <x:f>O726-R726</x:f>
        <x:v>15.45</x:v>
      </x:c>
      <x:c r="T726" s="94" t="n">
        <x:v>2</x:v>
      </x:c>
      <x:c r="U726" s="94" t="str">
        <x:v>模拟：Amazon Associates订单回传</x:v>
      </x:c>
    </x:row>
    <x:row r="727">
      <x:c r="A727" s="92" t="str">
        <x:v>AMZ-ORD-00726</x:v>
      </x:c>
      <x:c r="B727" s="94" t="str">
        <x:v>PROC-0727</x:v>
      </x:c>
      <x:c r="C727" s="108" t="n">
        <x:v>46158.361805555556</x:v>
      </x:c>
      <x:c r="D727" s="93" t="n">
        <x:v>46154</x:v>
      </x:c>
      <x:c r="E727" s="94" t="str">
        <x:v>Google Ads</x:v>
      </x:c>
      <x:c r="F727" s="94" t="str">
        <x:v>日本</x:v>
      </x:c>
      <x:c r="G727" s="94" t="str">
        <x:v>通用搜索</x:v>
      </x:c>
      <x:c r="H727" s="94" t="str">
        <x:v>SKU-0004</x:v>
      </x:c>
      <x:c r="I727" s="94" t="str">
        <x:v>电子产品</x:v>
      </x:c>
      <x:c r="J727" s="94" t="str">
        <x:v>机械键盘 D</x:v>
      </x:c>
      <x:c r="K727" s="97" t="n">
        <x:v>268.2</x:v>
      </x:c>
      <x:c r="L727" s="95" t="n">
        <x:v>1</x:v>
      </x:c>
      <x:c r="M727" s="97" t="n">
        <x:f>ROUND(K727*L727,2)</x:f>
        <x:v>268.2</x:v>
      </x:c>
      <x:c r="N727" s="109" t="n">
        <x:v>0.05</x:v>
      </x:c>
      <x:c r="O727" s="97" t="n">
        <x:f>ROUND(M727*N727,2)</x:f>
        <x:v>13.41</x:v>
      </x:c>
      <x:c r="P727" s="94" t="str">
        <x:v>已确认</x:v>
      </x:c>
      <x:c r="Q727" s="97" t="n">
        <x:f>IF(P727="已退款",M727,0)</x:f>
        <x:v>0</x:v>
      </x:c>
      <x:c r="R727" s="97" t="n">
        <x:f>IF(P727="已退款",O727,0)</x:f>
        <x:v>0</x:v>
      </x:c>
      <x:c r="S727" s="97" t="n">
        <x:f>O727-R727</x:f>
        <x:v>13.41</x:v>
      </x:c>
      <x:c r="T727" s="94" t="n">
        <x:v>4</x:v>
      </x:c>
      <x:c r="U727" s="94" t="str">
        <x:v>模拟：Amazon Associates订单回传</x:v>
      </x:c>
    </x:row>
    <x:row r="728">
      <x:c r="A728" s="92" t="str">
        <x:v>AMZ-ORD-00727</x:v>
      </x:c>
      <x:c r="B728" s="94" t="str">
        <x:v>PROC-0729</x:v>
      </x:c>
      <x:c r="C728" s="108" t="n">
        <x:v>46157.455555555556</x:v>
      </x:c>
      <x:c r="D728" s="93" t="n">
        <x:v>46154</x:v>
      </x:c>
      <x:c r="E728" s="94" t="str">
        <x:v>Microsoft Ads</x:v>
      </x:c>
      <x:c r="F728" s="94" t="str">
        <x:v>英国</x:v>
      </x:c>
      <x:c r="G728" s="94" t="str">
        <x:v>购物广告</x:v>
      </x:c>
      <x:c r="H728" s="94" t="str">
        <x:v>SKU-0032</x:v>
      </x:c>
      <x:c r="I728" s="94" t="str">
        <x:v>美妆个护</x:v>
      </x:c>
      <x:c r="J728" s="94" t="str">
        <x:v>吹风机 B</x:v>
      </x:c>
      <x:c r="K728" s="97" t="n">
        <x:v>99.74</x:v>
      </x:c>
      <x:c r="L728" s="95" t="n">
        <x:v>1</x:v>
      </x:c>
      <x:c r="M728" s="97" t="n">
        <x:f>ROUND(K728*L728,2)</x:f>
        <x:v>99.74</x:v>
      </x:c>
      <x:c r="N728" s="109" t="n">
        <x:v>0.1</x:v>
      </x:c>
      <x:c r="O728" s="97" t="n">
        <x:f>ROUND(M728*N728,2)</x:f>
        <x:v>9.97</x:v>
      </x:c>
      <x:c r="P728" s="94" t="str">
        <x:v>已确认</x:v>
      </x:c>
      <x:c r="Q728" s="97" t="n">
        <x:f>IF(P728="已退款",M728,0)</x:f>
        <x:v>0</x:v>
      </x:c>
      <x:c r="R728" s="97" t="n">
        <x:f>IF(P728="已退款",O728,0)</x:f>
        <x:v>0</x:v>
      </x:c>
      <x:c r="S728" s="97" t="n">
        <x:f>O728-R728</x:f>
        <x:v>9.97</x:v>
      </x:c>
      <x:c r="T728" s="94" t="n">
        <x:v>3</x:v>
      </x:c>
      <x:c r="U728" s="94" t="str">
        <x:v>模拟：Amazon Associates订单回传</x:v>
      </x:c>
    </x:row>
    <x:row r="729">
      <x:c r="A729" s="92" t="str">
        <x:v>AMZ-ORD-00728</x:v>
      </x:c>
      <x:c r="B729" s="94" t="str">
        <x:v>PROC-0729</x:v>
      </x:c>
      <x:c r="C729" s="108" t="n">
        <x:v>46157.89722222222</x:v>
      </x:c>
      <x:c r="D729" s="93" t="n">
        <x:v>46154</x:v>
      </x:c>
      <x:c r="E729" s="94" t="str">
        <x:v>Microsoft Ads</x:v>
      </x:c>
      <x:c r="F729" s="94" t="str">
        <x:v>英国</x:v>
      </x:c>
      <x:c r="G729" s="94" t="str">
        <x:v>购物广告</x:v>
      </x:c>
      <x:c r="H729" s="94" t="str">
        <x:v>SKU-0018</x:v>
      </x:c>
      <x:c r="I729" s="94" t="str">
        <x:v>家居生活</x:v>
      </x:c>
      <x:c r="J729" s="94" t="str">
        <x:v>收纳组合 H</x:v>
      </x:c>
      <x:c r="K729" s="97" t="n">
        <x:v>191.57</x:v>
      </x:c>
      <x:c r="L729" s="95" t="n">
        <x:v>1</x:v>
      </x:c>
      <x:c r="M729" s="97" t="n">
        <x:f>ROUND(K729*L729,2)</x:f>
        <x:v>191.57</x:v>
      </x:c>
      <x:c r="N729" s="109" t="n">
        <x:v>0.07</x:v>
      </x:c>
      <x:c r="O729" s="97" t="n">
        <x:f>ROUND(M729*N729,2)</x:f>
        <x:v>13.41</x:v>
      </x:c>
      <x:c r="P729" s="94" t="str">
        <x:v>已确认</x:v>
      </x:c>
      <x:c r="Q729" s="97" t="n">
        <x:f>IF(P729="已退款",M729,0)</x:f>
        <x:v>0</x:v>
      </x:c>
      <x:c r="R729" s="97" t="n">
        <x:f>IF(P729="已退款",O729,0)</x:f>
        <x:v>0</x:v>
      </x:c>
      <x:c r="S729" s="97" t="n">
        <x:f>O729-R729</x:f>
        <x:v>13.41</x:v>
      </x:c>
      <x:c r="T729" s="94" t="n">
        <x:v>3</x:v>
      </x:c>
      <x:c r="U729" s="94" t="str">
        <x:v>模拟：Amazon Associates订单回传</x:v>
      </x:c>
    </x:row>
    <x:row r="730">
      <x:c r="A730" s="92" t="str">
        <x:v>AMZ-ORD-00729</x:v>
      </x:c>
      <x:c r="B730" s="94" t="str">
        <x:v>PROC-0730</x:v>
      </x:c>
      <x:c r="C730" s="108" t="n">
        <x:v>46155.629166666666</x:v>
      </x:c>
      <x:c r="D730" s="93" t="n">
        <x:v>46154</x:v>
      </x:c>
      <x:c r="E730" s="94" t="str">
        <x:v>Google Ads</x:v>
      </x:c>
      <x:c r="F730" s="94" t="str">
        <x:v>美国</x:v>
      </x:c>
      <x:c r="G730" s="94" t="str">
        <x:v>通用搜索</x:v>
      </x:c>
      <x:c r="H730" s="94" t="str">
        <x:v>SKU-0019</x:v>
      </x:c>
      <x:c r="I730" s="94" t="str">
        <x:v>家居生活</x:v>
      </x:c>
      <x:c r="J730" s="94" t="str">
        <x:v>无线吸尘器 I</x:v>
      </x:c>
      <x:c r="K730" s="97" t="n">
        <x:v>274.82</x:v>
      </x:c>
      <x:c r="L730" s="95" t="n">
        <x:v>1</x:v>
      </x:c>
      <x:c r="M730" s="97" t="n">
        <x:f>ROUND(K730*L730,2)</x:f>
        <x:v>274.82</x:v>
      </x:c>
      <x:c r="N730" s="109" t="n">
        <x:v>0.07</x:v>
      </x:c>
      <x:c r="O730" s="97" t="n">
        <x:f>ROUND(M730*N730,2)</x:f>
        <x:v>19.24</x:v>
      </x:c>
      <x:c r="P730" s="94" t="str">
        <x:v>已确认</x:v>
      </x:c>
      <x:c r="Q730" s="97" t="n">
        <x:f>IF(P730="已退款",M730,0)</x:f>
        <x:v>0</x:v>
      </x:c>
      <x:c r="R730" s="97" t="n">
        <x:f>IF(P730="已退款",O730,0)</x:f>
        <x:v>0</x:v>
      </x:c>
      <x:c r="S730" s="97" t="n">
        <x:f>O730-R730</x:f>
        <x:v>19.24</x:v>
      </x:c>
      <x:c r="T730" s="94" t="n">
        <x:v>1</x:v>
      </x:c>
      <x:c r="U730" s="94" t="str">
        <x:v>模拟：Amazon Associates订单回传</x:v>
      </x:c>
    </x:row>
    <x:row r="731">
      <x:c r="A731" s="92" t="str">
        <x:v>AMZ-ORD-00730</x:v>
      </x:c>
      <x:c r="B731" s="94" t="str">
        <x:v>PROC-0731</x:v>
      </x:c>
      <x:c r="C731" s="108" t="n">
        <x:v>46155.47430555556</x:v>
      </x:c>
      <x:c r="D731" s="93" t="n">
        <x:v>46155</x:v>
      </x:c>
      <x:c r="E731" s="94" t="str">
        <x:v>Google Ads</x:v>
      </x:c>
      <x:c r="F731" s="94" t="str">
        <x:v>美国</x:v>
      </x:c>
      <x:c r="G731" s="94" t="str">
        <x:v>通用搜索</x:v>
      </x:c>
      <x:c r="H731" s="94" t="str">
        <x:v>SKU-0041</x:v>
      </x:c>
      <x:c r="I731" s="94" t="str">
        <x:v>办公学习</x:v>
      </x:c>
      <x:c r="J731" s="94" t="str">
        <x:v>桌面升降台 A</x:v>
      </x:c>
      <x:c r="K731" s="97" t="n">
        <x:v>92.99</x:v>
      </x:c>
      <x:c r="L731" s="95" t="n">
        <x:v>1</x:v>
      </x:c>
      <x:c r="M731" s="97" t="n">
        <x:f>ROUND(K731*L731,2)</x:f>
        <x:v>92.99</x:v>
      </x:c>
      <x:c r="N731" s="109" t="n">
        <x:v>0.07</x:v>
      </x:c>
      <x:c r="O731" s="97" t="n">
        <x:f>ROUND(M731*N731,2)</x:f>
        <x:v>6.51</x:v>
      </x:c>
      <x:c r="P731" s="94" t="str">
        <x:v>已确认</x:v>
      </x:c>
      <x:c r="Q731" s="97" t="n">
        <x:f>IF(P731="已退款",M731,0)</x:f>
        <x:v>0</x:v>
      </x:c>
      <x:c r="R731" s="97" t="n">
        <x:f>IF(P731="已退款",O731,0)</x:f>
        <x:v>0</x:v>
      </x:c>
      <x:c r="S731" s="97" t="n">
        <x:f>O731-R731</x:f>
        <x:v>6.51</x:v>
      </x:c>
      <x:c r="T731" s="94" t="n">
        <x:v>0</x:v>
      </x:c>
      <x:c r="U731" s="94" t="str">
        <x:v>模拟：Amazon Associates订单回传</x:v>
      </x:c>
    </x:row>
    <x:row r="732">
      <x:c r="A732" s="92" t="str">
        <x:v>AMZ-ORD-00731</x:v>
      </x:c>
      <x:c r="B732" s="94" t="str">
        <x:v>PROC-0732</x:v>
      </x:c>
      <x:c r="C732" s="108" t="n">
        <x:v>46159.419444444444</x:v>
      </x:c>
      <x:c r="D732" s="93" t="n">
        <x:v>46155</x:v>
      </x:c>
      <x:c r="E732" s="94" t="str">
        <x:v>Google Ads</x:v>
      </x:c>
      <x:c r="F732" s="94" t="str">
        <x:v>美国</x:v>
      </x:c>
      <x:c r="G732" s="94" t="str">
        <x:v>购物广告</x:v>
      </x:c>
      <x:c r="H732" s="94" t="str">
        <x:v>SKU-0002</x:v>
      </x:c>
      <x:c r="I732" s="94" t="str">
        <x:v>电子产品</x:v>
      </x:c>
      <x:c r="J732" s="94" t="str">
        <x:v>便携显示器 B</x:v>
      </x:c>
      <x:c r="K732" s="97" t="n">
        <x:v>562.38</x:v>
      </x:c>
      <x:c r="L732" s="95" t="n">
        <x:v>1</x:v>
      </x:c>
      <x:c r="M732" s="97" t="n">
        <x:f>ROUND(K732*L732,2)</x:f>
        <x:v>562.38</x:v>
      </x:c>
      <x:c r="N732" s="109" t="n">
        <x:v>0.05</x:v>
      </x:c>
      <x:c r="O732" s="97" t="n">
        <x:f>ROUND(M732*N732,2)</x:f>
        <x:v>28.12</x:v>
      </x:c>
      <x:c r="P732" s="94" t="str">
        <x:v>已确认</x:v>
      </x:c>
      <x:c r="Q732" s="97" t="n">
        <x:f>IF(P732="已退款",M732,0)</x:f>
        <x:v>0</x:v>
      </x:c>
      <x:c r="R732" s="97" t="n">
        <x:f>IF(P732="已退款",O732,0)</x:f>
        <x:v>0</x:v>
      </x:c>
      <x:c r="S732" s="97" t="n">
        <x:f>O732-R732</x:f>
        <x:v>28.12</x:v>
      </x:c>
      <x:c r="T732" s="94" t="n">
        <x:v>4</x:v>
      </x:c>
      <x:c r="U732" s="94" t="str">
        <x:v>模拟：Amazon Associates订单回传</x:v>
      </x:c>
    </x:row>
    <x:row r="733">
      <x:c r="A733" s="92" t="str">
        <x:v>AMZ-ORD-00732</x:v>
      </x:c>
      <x:c r="B733" s="94" t="str">
        <x:v>PROC-0733</x:v>
      </x:c>
      <x:c r="C733" s="108" t="n">
        <x:v>46156.717361111114</x:v>
      </x:c>
      <x:c r="D733" s="93" t="n">
        <x:v>46155</x:v>
      </x:c>
      <x:c r="E733" s="94" t="str">
        <x:v>Google Ads</x:v>
      </x:c>
      <x:c r="F733" s="94" t="str">
        <x:v>德国</x:v>
      </x:c>
      <x:c r="G733" s="94" t="str">
        <x:v>通用搜索</x:v>
      </x:c>
      <x:c r="H733" s="94" t="str">
        <x:v>SKU-0025</x:v>
      </x:c>
      <x:c r="I733" s="94" t="str">
        <x:v>运动健康</x:v>
      </x:c>
      <x:c r="J733" s="94" t="str">
        <x:v>跑步机配件 E</x:v>
      </x:c>
      <x:c r="K733" s="97" t="n">
        <x:v>254.9</x:v>
      </x:c>
      <x:c r="L733" s="95" t="n">
        <x:v>1</x:v>
      </x:c>
      <x:c r="M733" s="97" t="n">
        <x:f>ROUND(K733*L733,2)</x:f>
        <x:v>254.9</x:v>
      </x:c>
      <x:c r="N733" s="109" t="n">
        <x:v>0.08</x:v>
      </x:c>
      <x:c r="O733" s="97" t="n">
        <x:f>ROUND(M733*N733,2)</x:f>
        <x:v>20.39</x:v>
      </x:c>
      <x:c r="P733" s="94" t="str">
        <x:v>已确认</x:v>
      </x:c>
      <x:c r="Q733" s="97" t="n">
        <x:f>IF(P733="已退款",M733,0)</x:f>
        <x:v>0</x:v>
      </x:c>
      <x:c r="R733" s="97" t="n">
        <x:f>IF(P733="已退款",O733,0)</x:f>
        <x:v>0</x:v>
      </x:c>
      <x:c r="S733" s="97" t="n">
        <x:f>O733-R733</x:f>
        <x:v>20.39</x:v>
      </x:c>
      <x:c r="T733" s="94" t="n">
        <x:v>1</x:v>
      </x:c>
      <x:c r="U733" s="94" t="str">
        <x:v>模拟：Amazon Associates订单回传</x:v>
      </x:c>
    </x:row>
    <x:row r="734">
      <x:c r="A734" s="92" t="str">
        <x:v>AMZ-ORD-00733</x:v>
      </x:c>
      <x:c r="B734" s="94" t="str">
        <x:v>PROC-0734</x:v>
      </x:c>
      <x:c r="C734" s="108" t="n">
        <x:v>46158.665972222225</x:v>
      </x:c>
      <x:c r="D734" s="93" t="n">
        <x:v>46155</x:v>
      </x:c>
      <x:c r="E734" s="94" t="str">
        <x:v>Google Ads</x:v>
      </x:c>
      <x:c r="F734" s="94" t="str">
        <x:v>英国</x:v>
      </x:c>
      <x:c r="G734" s="94" t="str">
        <x:v>购物广告</x:v>
      </x:c>
      <x:c r="H734" s="94" t="str">
        <x:v>SKU-0016</x:v>
      </x:c>
      <x:c r="I734" s="94" t="str">
        <x:v>家居生活</x:v>
      </x:c>
      <x:c r="J734" s="94" t="str">
        <x:v>厨师机 F</x:v>
      </x:c>
      <x:c r="K734" s="97" t="n">
        <x:v>160.49</x:v>
      </x:c>
      <x:c r="L734" s="95" t="n">
        <x:v>1</x:v>
      </x:c>
      <x:c r="M734" s="97" t="n">
        <x:f>ROUND(K734*L734,2)</x:f>
        <x:v>160.49</x:v>
      </x:c>
      <x:c r="N734" s="109" t="n">
        <x:v>0.07</x:v>
      </x:c>
      <x:c r="O734" s="97" t="n">
        <x:f>ROUND(M734*N734,2)</x:f>
        <x:v>11.23</x:v>
      </x:c>
      <x:c r="P734" s="94" t="str">
        <x:v>已退款</x:v>
      </x:c>
      <x:c r="Q734" s="97" t="n">
        <x:f>IF(P734="已退款",M734,0)</x:f>
        <x:v>160.49</x:v>
      </x:c>
      <x:c r="R734" s="97" t="n">
        <x:f>IF(P734="已退款",O734,0)</x:f>
        <x:v>11.23</x:v>
      </x:c>
      <x:c r="S734" s="97" t="n">
        <x:f>O734-R734</x:f>
        <x:v>0</x:v>
      </x:c>
      <x:c r="T734" s="94" t="n">
        <x:v>3</x:v>
      </x:c>
      <x:c r="U734" s="94" t="str">
        <x:v>模拟：Amazon Associates订单回传</x:v>
      </x:c>
    </x:row>
    <x:row r="735">
      <x:c r="A735" s="92" t="str">
        <x:v>AMZ-ORD-00734</x:v>
      </x:c>
      <x:c r="B735" s="94" t="str">
        <x:v>PROC-0735</x:v>
      </x:c>
      <x:c r="C735" s="108" t="n">
        <x:v>46156.36111111111</x:v>
      </x:c>
      <x:c r="D735" s="93" t="n">
        <x:v>46155</x:v>
      </x:c>
      <x:c r="E735" s="94" t="str">
        <x:v>Google Ads</x:v>
      </x:c>
      <x:c r="F735" s="94" t="str">
        <x:v>美国</x:v>
      </x:c>
      <x:c r="G735" s="94" t="str">
        <x:v>购物广告</x:v>
      </x:c>
      <x:c r="H735" s="94" t="str">
        <x:v>SKU-0009</x:v>
      </x:c>
      <x:c r="I735" s="94" t="str">
        <x:v>电子产品</x:v>
      </x:c>
      <x:c r="J735" s="94" t="str">
        <x:v>电子阅读器 I</x:v>
      </x:c>
      <x:c r="K735" s="97" t="n">
        <x:v>316.65</x:v>
      </x:c>
      <x:c r="L735" s="95" t="n">
        <x:v>1</x:v>
      </x:c>
      <x:c r="M735" s="97" t="n">
        <x:f>ROUND(K735*L735,2)</x:f>
        <x:v>316.65</x:v>
      </x:c>
      <x:c r="N735" s="109" t="n">
        <x:v>0.05</x:v>
      </x:c>
      <x:c r="O735" s="97" t="n">
        <x:f>ROUND(M735*N735,2)</x:f>
        <x:v>15.83</x:v>
      </x:c>
      <x:c r="P735" s="94" t="str">
        <x:v>已确认</x:v>
      </x:c>
      <x:c r="Q735" s="97" t="n">
        <x:f>IF(P735="已退款",M735,0)</x:f>
        <x:v>0</x:v>
      </x:c>
      <x:c r="R735" s="97" t="n">
        <x:f>IF(P735="已退款",O735,0)</x:f>
        <x:v>0</x:v>
      </x:c>
      <x:c r="S735" s="97" t="n">
        <x:f>O735-R735</x:f>
        <x:v>15.83</x:v>
      </x:c>
      <x:c r="T735" s="94" t="n">
        <x:v>1</x:v>
      </x:c>
      <x:c r="U735" s="94" t="str">
        <x:v>模拟：Amazon Associates订单回传</x:v>
      </x:c>
    </x:row>
    <x:row r="736">
      <x:c r="A736" s="92" t="str">
        <x:v>AMZ-ORD-00735</x:v>
      </x:c>
      <x:c r="B736" s="94" t="str">
        <x:v>PROC-0736</x:v>
      </x:c>
      <x:c r="C736" s="108" t="n">
        <x:v>46156.410416666666</x:v>
      </x:c>
      <x:c r="D736" s="93" t="n">
        <x:v>46156</x:v>
      </x:c>
      <x:c r="E736" s="94" t="str">
        <x:v>Google Ads</x:v>
      </x:c>
      <x:c r="F736" s="94" t="str">
        <x:v>英国</x:v>
      </x:c>
      <x:c r="G736" s="94" t="str">
        <x:v>品牌搜索</x:v>
      </x:c>
      <x:c r="H736" s="94" t="str">
        <x:v>SKU-0016</x:v>
      </x:c>
      <x:c r="I736" s="94" t="str">
        <x:v>家居生活</x:v>
      </x:c>
      <x:c r="J736" s="94" t="str">
        <x:v>厨师机 F</x:v>
      </x:c>
      <x:c r="K736" s="97" t="n">
        <x:v>265.51</x:v>
      </x:c>
      <x:c r="L736" s="95" t="n">
        <x:v>1</x:v>
      </x:c>
      <x:c r="M736" s="97" t="n">
        <x:f>ROUND(K736*L736,2)</x:f>
        <x:v>265.51</x:v>
      </x:c>
      <x:c r="N736" s="109" t="n">
        <x:v>0.07</x:v>
      </x:c>
      <x:c r="O736" s="97" t="n">
        <x:f>ROUND(M736*N736,2)</x:f>
        <x:v>18.59</x:v>
      </x:c>
      <x:c r="P736" s="94" t="str">
        <x:v>已确认</x:v>
      </x:c>
      <x:c r="Q736" s="97" t="n">
        <x:f>IF(P736="已退款",M736,0)</x:f>
        <x:v>0</x:v>
      </x:c>
      <x:c r="R736" s="97" t="n">
        <x:f>IF(P736="已退款",O736,0)</x:f>
        <x:v>0</x:v>
      </x:c>
      <x:c r="S736" s="97" t="n">
        <x:f>O736-R736</x:f>
        <x:v>18.59</x:v>
      </x:c>
      <x:c r="T736" s="94" t="n">
        <x:v>0</x:v>
      </x:c>
      <x:c r="U736" s="94" t="str">
        <x:v>模拟：Amazon Associates订单回传</x:v>
      </x:c>
    </x:row>
    <x:row r="737">
      <x:c r="A737" s="92" t="str">
        <x:v>AMZ-ORD-00736</x:v>
      </x:c>
      <x:c r="B737" s="94" t="str">
        <x:v>PROC-0736</x:v>
      </x:c>
      <x:c r="C737" s="108" t="n">
        <x:v>46159.71527777778</x:v>
      </x:c>
      <x:c r="D737" s="93" t="n">
        <x:v>46156</x:v>
      </x:c>
      <x:c r="E737" s="94" t="str">
        <x:v>Google Ads</x:v>
      </x:c>
      <x:c r="F737" s="94" t="str">
        <x:v>英国</x:v>
      </x:c>
      <x:c r="G737" s="94" t="str">
        <x:v>品牌搜索</x:v>
      </x:c>
      <x:c r="H737" s="94" t="str">
        <x:v>SKU-0008</x:v>
      </x:c>
      <x:c r="I737" s="94" t="str">
        <x:v>电子产品</x:v>
      </x:c>
      <x:c r="J737" s="94" t="str">
        <x:v>Wi-Fi路由器 H</x:v>
      </x:c>
      <x:c r="K737" s="97" t="n">
        <x:v>298.05</x:v>
      </x:c>
      <x:c r="L737" s="95" t="n">
        <x:v>1</x:v>
      </x:c>
      <x:c r="M737" s="97" t="n">
        <x:f>ROUND(K737*L737,2)</x:f>
        <x:v>298.05</x:v>
      </x:c>
      <x:c r="N737" s="109" t="n">
        <x:v>0.05</x:v>
      </x:c>
      <x:c r="O737" s="97" t="n">
        <x:f>ROUND(M737*N737,2)</x:f>
        <x:v>14.9</x:v>
      </x:c>
      <x:c r="P737" s="94" t="str">
        <x:v>已确认</x:v>
      </x:c>
      <x:c r="Q737" s="97" t="n">
        <x:f>IF(P737="已退款",M737,0)</x:f>
        <x:v>0</x:v>
      </x:c>
      <x:c r="R737" s="97" t="n">
        <x:f>IF(P737="已退款",O737,0)</x:f>
        <x:v>0</x:v>
      </x:c>
      <x:c r="S737" s="97" t="n">
        <x:f>O737-R737</x:f>
        <x:v>14.9</x:v>
      </x:c>
      <x:c r="T737" s="94" t="n">
        <x:v>3</x:v>
      </x:c>
      <x:c r="U737" s="94" t="str">
        <x:v>模拟：Amazon Associates订单回传</x:v>
      </x:c>
    </x:row>
    <x:row r="738">
      <x:c r="A738" s="92" t="str">
        <x:v>AMZ-ORD-00737</x:v>
      </x:c>
      <x:c r="B738" s="94" t="str">
        <x:v>PROC-0737</x:v>
      </x:c>
      <x:c r="C738" s="108" t="n">
        <x:v>46158.558333333334</x:v>
      </x:c>
      <x:c r="D738" s="93" t="n">
        <x:v>46156</x:v>
      </x:c>
      <x:c r="E738" s="94" t="str">
        <x:v>Google Ads</x:v>
      </x:c>
      <x:c r="F738" s="94" t="str">
        <x:v>美国</x:v>
      </x:c>
      <x:c r="G738" s="94" t="str">
        <x:v>购物广告</x:v>
      </x:c>
      <x:c r="H738" s="94" t="str">
        <x:v>SKU-0047</x:v>
      </x:c>
      <x:c r="I738" s="94" t="str">
        <x:v>办公学习</x:v>
      </x:c>
      <x:c r="J738" s="94" t="str">
        <x:v>标签打印机 G</x:v>
      </x:c>
      <x:c r="K738" s="97" t="n">
        <x:v>209.51</x:v>
      </x:c>
      <x:c r="L738" s="95" t="n">
        <x:v>1</x:v>
      </x:c>
      <x:c r="M738" s="97" t="n">
        <x:f>ROUND(K738*L738,2)</x:f>
        <x:v>209.51</x:v>
      </x:c>
      <x:c r="N738" s="109" t="n">
        <x:v>0.07</x:v>
      </x:c>
      <x:c r="O738" s="97" t="n">
        <x:f>ROUND(M738*N738,2)</x:f>
        <x:v>14.67</x:v>
      </x:c>
      <x:c r="P738" s="94" t="str">
        <x:v>已确认</x:v>
      </x:c>
      <x:c r="Q738" s="97" t="n">
        <x:f>IF(P738="已退款",M738,0)</x:f>
        <x:v>0</x:v>
      </x:c>
      <x:c r="R738" s="97" t="n">
        <x:f>IF(P738="已退款",O738,0)</x:f>
        <x:v>0</x:v>
      </x:c>
      <x:c r="S738" s="97" t="n">
        <x:f>O738-R738</x:f>
        <x:v>14.67</x:v>
      </x:c>
      <x:c r="T738" s="94" t="n">
        <x:v>2</x:v>
      </x:c>
      <x:c r="U738" s="94" t="str">
        <x:v>模拟：Amazon Associates订单回传</x:v>
      </x:c>
    </x:row>
    <x:row r="739">
      <x:c r="A739" s="92" t="str">
        <x:v>AMZ-ORD-00738</x:v>
      </x:c>
      <x:c r="B739" s="94" t="str">
        <x:v>PROC-0738</x:v>
      </x:c>
      <x:c r="C739" s="108" t="n">
        <x:v>46160.48263888889</x:v>
      </x:c>
      <x:c r="D739" s="93" t="n">
        <x:v>46156</x:v>
      </x:c>
      <x:c r="E739" s="94" t="str">
        <x:v>Microsoft Ads</x:v>
      </x:c>
      <x:c r="F739" s="94" t="str">
        <x:v>德国</x:v>
      </x:c>
      <x:c r="G739" s="94" t="str">
        <x:v>通用搜索</x:v>
      </x:c>
      <x:c r="H739" s="94" t="str">
        <x:v>SKU-0037</x:v>
      </x:c>
      <x:c r="I739" s="94" t="str">
        <x:v>美妆个护</x:v>
      </x:c>
      <x:c r="J739" s="94" t="str">
        <x:v>美容仪 G</x:v>
      </x:c>
      <x:c r="K739" s="97" t="n">
        <x:v>112.01</x:v>
      </x:c>
      <x:c r="L739" s="95" t="n">
        <x:v>2</x:v>
      </x:c>
      <x:c r="M739" s="97" t="n">
        <x:f>ROUND(K739*L739,2)</x:f>
        <x:v>224.02</x:v>
      </x:c>
      <x:c r="N739" s="109" t="n">
        <x:v>0.1</x:v>
      </x:c>
      <x:c r="O739" s="97" t="n">
        <x:f>ROUND(M739*N739,2)</x:f>
        <x:v>22.4</x:v>
      </x:c>
      <x:c r="P739" s="94" t="str">
        <x:v>已确认</x:v>
      </x:c>
      <x:c r="Q739" s="97" t="n">
        <x:f>IF(P739="已退款",M739,0)</x:f>
        <x:v>0</x:v>
      </x:c>
      <x:c r="R739" s="97" t="n">
        <x:f>IF(P739="已退款",O739,0)</x:f>
        <x:v>0</x:v>
      </x:c>
      <x:c r="S739" s="97" t="n">
        <x:f>O739-R739</x:f>
        <x:v>22.4</x:v>
      </x:c>
      <x:c r="T739" s="94" t="n">
        <x:v>4</x:v>
      </x:c>
      <x:c r="U739" s="94" t="str">
        <x:v>模拟：Amazon Associates订单回传</x:v>
      </x:c>
    </x:row>
    <x:row r="740">
      <x:c r="A740" s="92" t="str">
        <x:v>AMZ-ORD-00739</x:v>
      </x:c>
      <x:c r="B740" s="94" t="str">
        <x:v>PROC-0740</x:v>
      </x:c>
      <x:c r="C740" s="108" t="n">
        <x:v>46159.600694444445</x:v>
      </x:c>
      <x:c r="D740" s="93" t="n">
        <x:v>46156</x:v>
      </x:c>
      <x:c r="E740" s="94" t="str">
        <x:v>Google Ads</x:v>
      </x:c>
      <x:c r="F740" s="94" t="str">
        <x:v>美国</x:v>
      </x:c>
      <x:c r="G740" s="94" t="str">
        <x:v>购物广告</x:v>
      </x:c>
      <x:c r="H740" s="94" t="str">
        <x:v>SKU-0031</x:v>
      </x:c>
      <x:c r="I740" s="94" t="str">
        <x:v>美妆个护</x:v>
      </x:c>
      <x:c r="J740" s="94" t="str">
        <x:v>洁面仪 A</x:v>
      </x:c>
      <x:c r="K740" s="97" t="n">
        <x:v>67.32</x:v>
      </x:c>
      <x:c r="L740" s="95" t="n">
        <x:v>1</x:v>
      </x:c>
      <x:c r="M740" s="97" t="n">
        <x:f>ROUND(K740*L740,2)</x:f>
        <x:v>67.32</x:v>
      </x:c>
      <x:c r="N740" s="109" t="n">
        <x:v>0.1</x:v>
      </x:c>
      <x:c r="O740" s="97" t="n">
        <x:f>ROUND(M740*N740,2)</x:f>
        <x:v>6.73</x:v>
      </x:c>
      <x:c r="P740" s="94" t="str">
        <x:v>已确认</x:v>
      </x:c>
      <x:c r="Q740" s="97" t="n">
        <x:f>IF(P740="已退款",M740,0)</x:f>
        <x:v>0</x:v>
      </x:c>
      <x:c r="R740" s="97" t="n">
        <x:f>IF(P740="已退款",O740,0)</x:f>
        <x:v>0</x:v>
      </x:c>
      <x:c r="S740" s="97" t="n">
        <x:f>O740-R740</x:f>
        <x:v>6.73</x:v>
      </x:c>
      <x:c r="T740" s="94" t="n">
        <x:v>3</x:v>
      </x:c>
      <x:c r="U740" s="94" t="str">
        <x:v>模拟：Amazon Associates订单回传</x:v>
      </x:c>
    </x:row>
    <x:row r="741">
      <x:c r="A741" s="92" t="str">
        <x:v>AMZ-ORD-00740</x:v>
      </x:c>
      <x:c r="B741" s="94" t="str">
        <x:v>PROC-0740</x:v>
      </x:c>
      <x:c r="C741" s="108" t="n">
        <x:v>46157.83888888889</x:v>
      </x:c>
      <x:c r="D741" s="93" t="n">
        <x:v>46156</x:v>
      </x:c>
      <x:c r="E741" s="94" t="str">
        <x:v>Google Ads</x:v>
      </x:c>
      <x:c r="F741" s="94" t="str">
        <x:v>美国</x:v>
      </x:c>
      <x:c r="G741" s="94" t="str">
        <x:v>购物广告</x:v>
      </x:c>
      <x:c r="H741" s="94" t="str">
        <x:v>SKU-0041</x:v>
      </x:c>
      <x:c r="I741" s="94" t="str">
        <x:v>办公学习</x:v>
      </x:c>
      <x:c r="J741" s="94" t="str">
        <x:v>桌面升降台 A</x:v>
      </x:c>
      <x:c r="K741" s="97" t="n">
        <x:v>131.97</x:v>
      </x:c>
      <x:c r="L741" s="95" t="n">
        <x:v>1</x:v>
      </x:c>
      <x:c r="M741" s="97" t="n">
        <x:f>ROUND(K741*L741,2)</x:f>
        <x:v>131.97</x:v>
      </x:c>
      <x:c r="N741" s="109" t="n">
        <x:v>0.07</x:v>
      </x:c>
      <x:c r="O741" s="97" t="n">
        <x:f>ROUND(M741*N741,2)</x:f>
        <x:v>9.24</x:v>
      </x:c>
      <x:c r="P741" s="94" t="str">
        <x:v>已确认</x:v>
      </x:c>
      <x:c r="Q741" s="97" t="n">
        <x:f>IF(P741="已退款",M741,0)</x:f>
        <x:v>0</x:v>
      </x:c>
      <x:c r="R741" s="97" t="n">
        <x:f>IF(P741="已退款",O741,0)</x:f>
        <x:v>0</x:v>
      </x:c>
      <x:c r="S741" s="97" t="n">
        <x:f>O741-R741</x:f>
        <x:v>9.24</x:v>
      </x:c>
      <x:c r="T741" s="94" t="n">
        <x:v>1</x:v>
      </x:c>
      <x:c r="U741" s="94" t="str">
        <x:v>模拟：Amazon Associates订单回传</x:v>
      </x:c>
    </x:row>
    <x:row r="742">
      <x:c r="A742" s="92" t="str">
        <x:v>AMZ-ORD-00741</x:v>
      </x:c>
      <x:c r="B742" s="94" t="str">
        <x:v>PROC-0741</x:v>
      </x:c>
      <x:c r="C742" s="108" t="n">
        <x:v>46158.830555555556</x:v>
      </x:c>
      <x:c r="D742" s="93" t="n">
        <x:v>46156</x:v>
      </x:c>
      <x:c r="E742" s="94" t="str">
        <x:v>Google Ads</x:v>
      </x:c>
      <x:c r="F742" s="94" t="str">
        <x:v>美国</x:v>
      </x:c>
      <x:c r="G742" s="94" t="str">
        <x:v>通用搜索</x:v>
      </x:c>
      <x:c r="H742" s="94" t="str">
        <x:v>SKU-0034</x:v>
      </x:c>
      <x:c r="I742" s="94" t="str">
        <x:v>美妆个护</x:v>
      </x:c>
      <x:c r="J742" s="94" t="str">
        <x:v>电动牙刷 D</x:v>
      </x:c>
      <x:c r="K742" s="97" t="n">
        <x:v>108.58</x:v>
      </x:c>
      <x:c r="L742" s="95" t="n">
        <x:v>1</x:v>
      </x:c>
      <x:c r="M742" s="97" t="n">
        <x:f>ROUND(K742*L742,2)</x:f>
        <x:v>108.58</x:v>
      </x:c>
      <x:c r="N742" s="109" t="n">
        <x:v>0.1</x:v>
      </x:c>
      <x:c r="O742" s="97" t="n">
        <x:f>ROUND(M742*N742,2)</x:f>
        <x:v>10.86</x:v>
      </x:c>
      <x:c r="P742" s="94" t="str">
        <x:v>已确认</x:v>
      </x:c>
      <x:c r="Q742" s="97" t="n">
        <x:f>IF(P742="已退款",M742,0)</x:f>
        <x:v>0</x:v>
      </x:c>
      <x:c r="R742" s="97" t="n">
        <x:f>IF(P742="已退款",O742,0)</x:f>
        <x:v>0</x:v>
      </x:c>
      <x:c r="S742" s="97" t="n">
        <x:f>O742-R742</x:f>
        <x:v>10.86</x:v>
      </x:c>
      <x:c r="T742" s="94" t="n">
        <x:v>2</x:v>
      </x:c>
      <x:c r="U742" s="94" t="str">
        <x:v>模拟：Amazon Associates订单回传</x:v>
      </x:c>
    </x:row>
    <x:row r="743">
      <x:c r="A743" s="92" t="str">
        <x:v>AMZ-ORD-00742</x:v>
      </x:c>
      <x:c r="B743" s="94" t="str">
        <x:v>PROC-0742</x:v>
      </x:c>
      <x:c r="C743" s="108" t="n">
        <x:v>46157.427777777775</x:v>
      </x:c>
      <x:c r="D743" s="93" t="n">
        <x:v>46157</x:v>
      </x:c>
      <x:c r="E743" s="94" t="str">
        <x:v>Microsoft Ads</x:v>
      </x:c>
      <x:c r="F743" s="94" t="str">
        <x:v>日本</x:v>
      </x:c>
      <x:c r="G743" s="94" t="str">
        <x:v>购物广告</x:v>
      </x:c>
      <x:c r="H743" s="94" t="str">
        <x:v>SKU-0016</x:v>
      </x:c>
      <x:c r="I743" s="94" t="str">
        <x:v>家居生活</x:v>
      </x:c>
      <x:c r="J743" s="94" t="str">
        <x:v>厨师机 F</x:v>
      </x:c>
      <x:c r="K743" s="97" t="n">
        <x:v>140.47</x:v>
      </x:c>
      <x:c r="L743" s="95" t="n">
        <x:v>1</x:v>
      </x:c>
      <x:c r="M743" s="97" t="n">
        <x:f>ROUND(K743*L743,2)</x:f>
        <x:v>140.47</x:v>
      </x:c>
      <x:c r="N743" s="109" t="n">
        <x:v>0.07</x:v>
      </x:c>
      <x:c r="O743" s="97" t="n">
        <x:f>ROUND(M743*N743,2)</x:f>
        <x:v>9.83</x:v>
      </x:c>
      <x:c r="P743" s="94" t="str">
        <x:v>已确认</x:v>
      </x:c>
      <x:c r="Q743" s="97" t="n">
        <x:f>IF(P743="已退款",M743,0)</x:f>
        <x:v>0</x:v>
      </x:c>
      <x:c r="R743" s="97" t="n">
        <x:f>IF(P743="已退款",O743,0)</x:f>
        <x:v>0</x:v>
      </x:c>
      <x:c r="S743" s="97" t="n">
        <x:f>O743-R743</x:f>
        <x:v>9.83</x:v>
      </x:c>
      <x:c r="T743" s="94" t="n">
        <x:v>0</x:v>
      </x:c>
      <x:c r="U743" s="94" t="str">
        <x:v>模拟：Amazon Associates订单回传</x:v>
      </x:c>
    </x:row>
    <x:row r="744">
      <x:c r="A744" s="92" t="str">
        <x:v>AMZ-ORD-00743</x:v>
      </x:c>
      <x:c r="B744" s="94" t="str">
        <x:v>PROC-0743</x:v>
      </x:c>
      <x:c r="C744" s="108" t="n">
        <x:v>46160.54513888889</x:v>
      </x:c>
      <x:c r="D744" s="93" t="n">
        <x:v>46157</x:v>
      </x:c>
      <x:c r="E744" s="94" t="str">
        <x:v>Google Ads</x:v>
      </x:c>
      <x:c r="F744" s="94" t="str">
        <x:v>德国</x:v>
      </x:c>
      <x:c r="G744" s="94" t="str">
        <x:v>品牌搜索</x:v>
      </x:c>
      <x:c r="H744" s="94" t="str">
        <x:v>SKU-0032</x:v>
      </x:c>
      <x:c r="I744" s="94" t="str">
        <x:v>美妆个护</x:v>
      </x:c>
      <x:c r="J744" s="94" t="str">
        <x:v>吹风机 B</x:v>
      </x:c>
      <x:c r="K744" s="97" t="n">
        <x:v>129.09</x:v>
      </x:c>
      <x:c r="L744" s="95" t="n">
        <x:v>1</x:v>
      </x:c>
      <x:c r="M744" s="97" t="n">
        <x:f>ROUND(K744*L744,2)</x:f>
        <x:v>129.09</x:v>
      </x:c>
      <x:c r="N744" s="109" t="n">
        <x:v>0.1</x:v>
      </x:c>
      <x:c r="O744" s="97" t="n">
        <x:f>ROUND(M744*N744,2)</x:f>
        <x:v>12.91</x:v>
      </x:c>
      <x:c r="P744" s="94" t="str">
        <x:v>已确认</x:v>
      </x:c>
      <x:c r="Q744" s="97" t="n">
        <x:f>IF(P744="已退款",M744,0)</x:f>
        <x:v>0</x:v>
      </x:c>
      <x:c r="R744" s="97" t="n">
        <x:f>IF(P744="已退款",O744,0)</x:f>
        <x:v>0</x:v>
      </x:c>
      <x:c r="S744" s="97" t="n">
        <x:f>O744-R744</x:f>
        <x:v>12.91</x:v>
      </x:c>
      <x:c r="T744" s="94" t="n">
        <x:v>3</x:v>
      </x:c>
      <x:c r="U744" s="94" t="str">
        <x:v>模拟：Amazon Associates订单回传</x:v>
      </x:c>
    </x:row>
    <x:row r="745">
      <x:c r="A745" s="92" t="str">
        <x:v>AMZ-ORD-00744</x:v>
      </x:c>
      <x:c r="B745" s="94" t="str">
        <x:v>PROC-0744</x:v>
      </x:c>
      <x:c r="C745" s="108" t="n">
        <x:v>46159.68819444445</x:v>
      </x:c>
      <x:c r="D745" s="93" t="n">
        <x:v>46157</x:v>
      </x:c>
      <x:c r="E745" s="94" t="str">
        <x:v>Google Ads</x:v>
      </x:c>
      <x:c r="F745" s="94" t="str">
        <x:v>德国</x:v>
      </x:c>
      <x:c r="G745" s="94" t="str">
        <x:v>通用搜索</x:v>
      </x:c>
      <x:c r="H745" s="94" t="str">
        <x:v>SKU-0036</x:v>
      </x:c>
      <x:c r="I745" s="94" t="str">
        <x:v>美妆个护</x:v>
      </x:c>
      <x:c r="J745" s="94" t="str">
        <x:v>剃须刀 F</x:v>
      </x:c>
      <x:c r="K745" s="97" t="n">
        <x:v>125.79</x:v>
      </x:c>
      <x:c r="L745" s="95" t="n">
        <x:v>2</x:v>
      </x:c>
      <x:c r="M745" s="97" t="n">
        <x:f>ROUND(K745*L745,2)</x:f>
        <x:v>251.58</x:v>
      </x:c>
      <x:c r="N745" s="109" t="n">
        <x:v>0.1</x:v>
      </x:c>
      <x:c r="O745" s="97" t="n">
        <x:f>ROUND(M745*N745,2)</x:f>
        <x:v>25.16</x:v>
      </x:c>
      <x:c r="P745" s="94" t="str">
        <x:v>已确认</x:v>
      </x:c>
      <x:c r="Q745" s="97" t="n">
        <x:f>IF(P745="已退款",M745,0)</x:f>
        <x:v>0</x:v>
      </x:c>
      <x:c r="R745" s="97" t="n">
        <x:f>IF(P745="已退款",O745,0)</x:f>
        <x:v>0</x:v>
      </x:c>
      <x:c r="S745" s="97" t="n">
        <x:f>O745-R745</x:f>
        <x:v>25.16</x:v>
      </x:c>
      <x:c r="T745" s="94" t="n">
        <x:v>2</x:v>
      </x:c>
      <x:c r="U745" s="94" t="str">
        <x:v>模拟：Amazon Associates订单回传</x:v>
      </x:c>
    </x:row>
    <x:row r="746">
      <x:c r="A746" s="92" t="str">
        <x:v>AMZ-ORD-00745</x:v>
      </x:c>
      <x:c r="B746" s="94" t="str">
        <x:v>PROC-0745</x:v>
      </x:c>
      <x:c r="C746" s="108" t="n">
        <x:v>46160.7625</x:v>
      </x:c>
      <x:c r="D746" s="93" t="n">
        <x:v>46157</x:v>
      </x:c>
      <x:c r="E746" s="94" t="str">
        <x:v>Google Ads</x:v>
      </x:c>
      <x:c r="F746" s="94" t="str">
        <x:v>美国</x:v>
      </x:c>
      <x:c r="G746" s="94" t="str">
        <x:v>购物广告</x:v>
      </x:c>
      <x:c r="H746" s="94" t="str">
        <x:v>SKU-0035</x:v>
      </x:c>
      <x:c r="I746" s="94" t="str">
        <x:v>美妆个护</x:v>
      </x:c>
      <x:c r="J746" s="94" t="str">
        <x:v>香氛礼盒 E</x:v>
      </x:c>
      <x:c r="K746" s="97" t="n">
        <x:v>124.44</x:v>
      </x:c>
      <x:c r="L746" s="95" t="n">
        <x:v>1</x:v>
      </x:c>
      <x:c r="M746" s="97" t="n">
        <x:f>ROUND(K746*L746,2)</x:f>
        <x:v>124.44</x:v>
      </x:c>
      <x:c r="N746" s="109" t="n">
        <x:v>0.1</x:v>
      </x:c>
      <x:c r="O746" s="97" t="n">
        <x:f>ROUND(M746*N746,2)</x:f>
        <x:v>12.44</x:v>
      </x:c>
      <x:c r="P746" s="94" t="str">
        <x:v>已退款</x:v>
      </x:c>
      <x:c r="Q746" s="97" t="n">
        <x:f>IF(P746="已退款",M746,0)</x:f>
        <x:v>124.44</x:v>
      </x:c>
      <x:c r="R746" s="97" t="n">
        <x:f>IF(P746="已退款",O746,0)</x:f>
        <x:v>12.44</x:v>
      </x:c>
      <x:c r="S746" s="97" t="n">
        <x:f>O746-R746</x:f>
        <x:v>0</x:v>
      </x:c>
      <x:c r="T746" s="94" t="n">
        <x:v>3</x:v>
      </x:c>
      <x:c r="U746" s="94" t="str">
        <x:v>模拟：Amazon Associates订单回传</x:v>
      </x:c>
    </x:row>
    <x:row r="747">
      <x:c r="A747" s="92" t="str">
        <x:v>AMZ-ORD-00746</x:v>
      </x:c>
      <x:c r="B747" s="94" t="str">
        <x:v>PROC-0746</x:v>
      </x:c>
      <x:c r="C747" s="108" t="n">
        <x:v>46160.70625</x:v>
      </x:c>
      <x:c r="D747" s="93" t="n">
        <x:v>46157</x:v>
      </x:c>
      <x:c r="E747" s="94" t="str">
        <x:v>Google Ads</x:v>
      </x:c>
      <x:c r="F747" s="94" t="str">
        <x:v>美国</x:v>
      </x:c>
      <x:c r="G747" s="94" t="str">
        <x:v>品牌搜索</x:v>
      </x:c>
      <x:c r="H747" s="94" t="str">
        <x:v>SKU-0005</x:v>
      </x:c>
      <x:c r="I747" s="94" t="str">
        <x:v>电子产品</x:v>
      </x:c>
      <x:c r="J747" s="94" t="str">
        <x:v>降噪耳机 E</x:v>
      </x:c>
      <x:c r="K747" s="97" t="n">
        <x:v>383.51</x:v>
      </x:c>
      <x:c r="L747" s="95" t="n">
        <x:v>1</x:v>
      </x:c>
      <x:c r="M747" s="97" t="n">
        <x:f>ROUND(K747*L747,2)</x:f>
        <x:v>383.51</x:v>
      </x:c>
      <x:c r="N747" s="109" t="n">
        <x:v>0.05</x:v>
      </x:c>
      <x:c r="O747" s="97" t="n">
        <x:f>ROUND(M747*N747,2)</x:f>
        <x:v>19.18</x:v>
      </x:c>
      <x:c r="P747" s="94" t="str">
        <x:v>已确认</x:v>
      </x:c>
      <x:c r="Q747" s="97" t="n">
        <x:f>IF(P747="已退款",M747,0)</x:f>
        <x:v>0</x:v>
      </x:c>
      <x:c r="R747" s="97" t="n">
        <x:f>IF(P747="已退款",O747,0)</x:f>
        <x:v>0</x:v>
      </x:c>
      <x:c r="S747" s="97" t="n">
        <x:f>O747-R747</x:f>
        <x:v>19.18</x:v>
      </x:c>
      <x:c r="T747" s="94" t="n">
        <x:v>3</x:v>
      </x:c>
      <x:c r="U747" s="94" t="str">
        <x:v>模拟：Amazon Associates订单回传</x:v>
      </x:c>
    </x:row>
    <x:row r="748">
      <x:c r="A748" s="92" t="str">
        <x:v>AMZ-ORD-00747</x:v>
      </x:c>
      <x:c r="B748" s="94" t="str">
        <x:v>PROC-0746</x:v>
      </x:c>
      <x:c r="C748" s="108" t="n">
        <x:v>46159.73819444444</x:v>
      </x:c>
      <x:c r="D748" s="93" t="n">
        <x:v>46157</x:v>
      </x:c>
      <x:c r="E748" s="94" t="str">
        <x:v>Google Ads</x:v>
      </x:c>
      <x:c r="F748" s="94" t="str">
        <x:v>美国</x:v>
      </x:c>
      <x:c r="G748" s="94" t="str">
        <x:v>品牌搜索</x:v>
      </x:c>
      <x:c r="H748" s="94" t="str">
        <x:v>SKU-0025</x:v>
      </x:c>
      <x:c r="I748" s="94" t="str">
        <x:v>运动健康</x:v>
      </x:c>
      <x:c r="J748" s="94" t="str">
        <x:v>跑步机配件 E</x:v>
      </x:c>
      <x:c r="K748" s="97" t="n">
        <x:v>265.43</x:v>
      </x:c>
      <x:c r="L748" s="95" t="n">
        <x:v>1</x:v>
      </x:c>
      <x:c r="M748" s="97" t="n">
        <x:f>ROUND(K748*L748,2)</x:f>
        <x:v>265.43</x:v>
      </x:c>
      <x:c r="N748" s="109" t="n">
        <x:v>0.08</x:v>
      </x:c>
      <x:c r="O748" s="97" t="n">
        <x:f>ROUND(M748*N748,2)</x:f>
        <x:v>21.23</x:v>
      </x:c>
      <x:c r="P748" s="94" t="str">
        <x:v>已确认</x:v>
      </x:c>
      <x:c r="Q748" s="97" t="n">
        <x:f>IF(P748="已退款",M748,0)</x:f>
        <x:v>0</x:v>
      </x:c>
      <x:c r="R748" s="97" t="n">
        <x:f>IF(P748="已退款",O748,0)</x:f>
        <x:v>0</x:v>
      </x:c>
      <x:c r="S748" s="97" t="n">
        <x:f>O748-R748</x:f>
        <x:v>21.23</x:v>
      </x:c>
      <x:c r="T748" s="94" t="n">
        <x:v>2</x:v>
      </x:c>
      <x:c r="U748" s="94" t="str">
        <x:v>模拟：Amazon Associates订单回传</x:v>
      </x:c>
    </x:row>
    <x:row r="749">
      <x:c r="A749" s="92" t="str">
        <x:v>AMZ-ORD-00748</x:v>
      </x:c>
      <x:c r="B749" s="94" t="str">
        <x:v>PROC-0747</x:v>
      </x:c>
      <x:c r="C749" s="108" t="n">
        <x:v>46160.46875</x:v>
      </x:c>
      <x:c r="D749" s="93" t="n">
        <x:v>46158</x:v>
      </x:c>
      <x:c r="E749" s="94" t="str">
        <x:v>Google Ads</x:v>
      </x:c>
      <x:c r="F749" s="94" t="str">
        <x:v>美国</x:v>
      </x:c>
      <x:c r="G749" s="94" t="str">
        <x:v>通用搜索</x:v>
      </x:c>
      <x:c r="H749" s="94" t="str">
        <x:v>SKU-0044</x:v>
      </x:c>
      <x:c r="I749" s="94" t="str">
        <x:v>办公学习</x:v>
      </x:c>
      <x:c r="J749" s="94" t="str">
        <x:v>数字笔记本 D</x:v>
      </x:c>
      <x:c r="K749" s="97" t="n">
        <x:v>159.05</x:v>
      </x:c>
      <x:c r="L749" s="95" t="n">
        <x:v>1</x:v>
      </x:c>
      <x:c r="M749" s="97" t="n">
        <x:f>ROUND(K749*L749,2)</x:f>
        <x:v>159.05</x:v>
      </x:c>
      <x:c r="N749" s="109" t="n">
        <x:v>0.07</x:v>
      </x:c>
      <x:c r="O749" s="97" t="n">
        <x:f>ROUND(M749*N749,2)</x:f>
        <x:v>11.13</x:v>
      </x:c>
      <x:c r="P749" s="94" t="str">
        <x:v>已确认</x:v>
      </x:c>
      <x:c r="Q749" s="97" t="n">
        <x:f>IF(P749="已退款",M749,0)</x:f>
        <x:v>0</x:v>
      </x:c>
      <x:c r="R749" s="97" t="n">
        <x:f>IF(P749="已退款",O749,0)</x:f>
        <x:v>0</x:v>
      </x:c>
      <x:c r="S749" s="97" t="n">
        <x:f>O749-R749</x:f>
        <x:v>11.13</x:v>
      </x:c>
      <x:c r="T749" s="94" t="n">
        <x:v>2</x:v>
      </x:c>
      <x:c r="U749" s="94" t="str">
        <x:v>模拟：Amazon Associates订单回传</x:v>
      </x:c>
    </x:row>
    <x:row r="750">
      <x:c r="A750" s="92" t="str">
        <x:v>AMZ-ORD-00749</x:v>
      </x:c>
      <x:c r="B750" s="94" t="str">
        <x:v>PROC-0748</x:v>
      </x:c>
      <x:c r="C750" s="108" t="n">
        <x:v>46162.68402777778</x:v>
      </x:c>
      <x:c r="D750" s="93" t="n">
        <x:v>46158</x:v>
      </x:c>
      <x:c r="E750" s="94" t="str">
        <x:v>Google Ads</x:v>
      </x:c>
      <x:c r="F750" s="94" t="str">
        <x:v>美国</x:v>
      </x:c>
      <x:c r="G750" s="94" t="str">
        <x:v>购物广告</x:v>
      </x:c>
      <x:c r="H750" s="94" t="str">
        <x:v>SKU-0014</x:v>
      </x:c>
      <x:c r="I750" s="94" t="str">
        <x:v>家居生活</x:v>
      </x:c>
      <x:c r="J750" s="94" t="str">
        <x:v>扫地机器人 D</x:v>
      </x:c>
      <x:c r="K750" s="97" t="n">
        <x:v>322.55</x:v>
      </x:c>
      <x:c r="L750" s="95" t="n">
        <x:v>1</x:v>
      </x:c>
      <x:c r="M750" s="97" t="n">
        <x:f>ROUND(K750*L750,2)</x:f>
        <x:v>322.55</x:v>
      </x:c>
      <x:c r="N750" s="109" t="n">
        <x:v>0.07</x:v>
      </x:c>
      <x:c r="O750" s="97" t="n">
        <x:f>ROUND(M750*N750,2)</x:f>
        <x:v>22.58</x:v>
      </x:c>
      <x:c r="P750" s="94" t="str">
        <x:v>待确认</x:v>
      </x:c>
      <x:c r="Q750" s="97" t="n">
        <x:f>IF(P750="已退款",M750,0)</x:f>
        <x:v>0</x:v>
      </x:c>
      <x:c r="R750" s="97" t="n">
        <x:f>IF(P750="已退款",O750,0)</x:f>
        <x:v>0</x:v>
      </x:c>
      <x:c r="S750" s="97" t="n">
        <x:f>O750-R750</x:f>
        <x:v>22.58</x:v>
      </x:c>
      <x:c r="T750" s="94" t="n">
        <x:v>4</x:v>
      </x:c>
      <x:c r="U750" s="94" t="str">
        <x:v>模拟：Amazon Associates订单回传</x:v>
      </x:c>
    </x:row>
    <x:row r="751">
      <x:c r="A751" s="92" t="str">
        <x:v>AMZ-ORD-00750</x:v>
      </x:c>
      <x:c r="B751" s="94" t="str">
        <x:v>PROC-0748</x:v>
      </x:c>
      <x:c r="C751" s="108" t="n">
        <x:v>46160.79236111111</x:v>
      </x:c>
      <x:c r="D751" s="93" t="n">
        <x:v>46158</x:v>
      </x:c>
      <x:c r="E751" s="94" t="str">
        <x:v>Google Ads</x:v>
      </x:c>
      <x:c r="F751" s="94" t="str">
        <x:v>美国</x:v>
      </x:c>
      <x:c r="G751" s="94" t="str">
        <x:v>购物广告</x:v>
      </x:c>
      <x:c r="H751" s="94" t="str">
        <x:v>SKU-0031</x:v>
      </x:c>
      <x:c r="I751" s="94" t="str">
        <x:v>美妆个护</x:v>
      </x:c>
      <x:c r="J751" s="94" t="str">
        <x:v>洁面仪 A</x:v>
      </x:c>
      <x:c r="K751" s="97" t="n">
        <x:v>125.8</x:v>
      </x:c>
      <x:c r="L751" s="95" t="n">
        <x:v>1</x:v>
      </x:c>
      <x:c r="M751" s="97" t="n">
        <x:f>ROUND(K751*L751,2)</x:f>
        <x:v>125.8</x:v>
      </x:c>
      <x:c r="N751" s="109" t="n">
        <x:v>0.1</x:v>
      </x:c>
      <x:c r="O751" s="97" t="n">
        <x:f>ROUND(M751*N751,2)</x:f>
        <x:v>12.58</x:v>
      </x:c>
      <x:c r="P751" s="94" t="str">
        <x:v>已确认</x:v>
      </x:c>
      <x:c r="Q751" s="97" t="n">
        <x:f>IF(P751="已退款",M751,0)</x:f>
        <x:v>0</x:v>
      </x:c>
      <x:c r="R751" s="97" t="n">
        <x:f>IF(P751="已退款",O751,0)</x:f>
        <x:v>0</x:v>
      </x:c>
      <x:c r="S751" s="97" t="n">
        <x:f>O751-R751</x:f>
        <x:v>12.58</x:v>
      </x:c>
      <x:c r="T751" s="94" t="n">
        <x:v>2</x:v>
      </x:c>
      <x:c r="U751" s="94" t="str">
        <x:v>模拟：Amazon Associates订单回传</x:v>
      </x:c>
    </x:row>
    <x:row r="752">
      <x:c r="A752" s="92" t="str">
        <x:v>AMZ-ORD-00751</x:v>
      </x:c>
      <x:c r="B752" s="94" t="str">
        <x:v>PROC-0750</x:v>
      </x:c>
      <x:c r="C752" s="108" t="n">
        <x:v>46158.36597222222</x:v>
      </x:c>
      <x:c r="D752" s="93" t="n">
        <x:v>46158</x:v>
      </x:c>
      <x:c r="E752" s="94" t="str">
        <x:v>Microsoft Ads</x:v>
      </x:c>
      <x:c r="F752" s="94" t="str">
        <x:v>英国</x:v>
      </x:c>
      <x:c r="G752" s="94" t="str">
        <x:v>购物广告</x:v>
      </x:c>
      <x:c r="H752" s="94" t="str">
        <x:v>SKU-0050</x:v>
      </x:c>
      <x:c r="I752" s="94" t="str">
        <x:v>办公学习</x:v>
      </x:c>
      <x:c r="J752" s="94" t="str">
        <x:v>静音鼠标 J</x:v>
      </x:c>
      <x:c r="K752" s="97" t="n">
        <x:v>135.62</x:v>
      </x:c>
      <x:c r="L752" s="95" t="n">
        <x:v>1</x:v>
      </x:c>
      <x:c r="M752" s="97" t="n">
        <x:f>ROUND(K752*L752,2)</x:f>
        <x:v>135.62</x:v>
      </x:c>
      <x:c r="N752" s="109" t="n">
        <x:v>0.07</x:v>
      </x:c>
      <x:c r="O752" s="97" t="n">
        <x:f>ROUND(M752*N752,2)</x:f>
        <x:v>9.49</x:v>
      </x:c>
      <x:c r="P752" s="94" t="str">
        <x:v>已确认</x:v>
      </x:c>
      <x:c r="Q752" s="97" t="n">
        <x:f>IF(P752="已退款",M752,0)</x:f>
        <x:v>0</x:v>
      </x:c>
      <x:c r="R752" s="97" t="n">
        <x:f>IF(P752="已退款",O752,0)</x:f>
        <x:v>0</x:v>
      </x:c>
      <x:c r="S752" s="97" t="n">
        <x:f>O752-R752</x:f>
        <x:v>9.49</x:v>
      </x:c>
      <x:c r="T752" s="94" t="n">
        <x:v>0</x:v>
      </x:c>
      <x:c r="U752" s="94" t="str">
        <x:v>模拟：Amazon Associates订单回传</x:v>
      </x:c>
    </x:row>
    <x:row r="753">
      <x:c r="A753" s="92" t="str">
        <x:v>AMZ-ORD-00752</x:v>
      </x:c>
      <x:c r="B753" s="94" t="str">
        <x:v>PROC-0751</x:v>
      </x:c>
      <x:c r="C753" s="108" t="n">
        <x:v>46158.68402777778</x:v>
      </x:c>
      <x:c r="D753" s="93" t="n">
        <x:v>46158</x:v>
      </x:c>
      <x:c r="E753" s="94" t="str">
        <x:v>Google Ads</x:v>
      </x:c>
      <x:c r="F753" s="94" t="str">
        <x:v>美国</x:v>
      </x:c>
      <x:c r="G753" s="94" t="str">
        <x:v>通用搜索</x:v>
      </x:c>
      <x:c r="H753" s="94" t="str">
        <x:v>SKU-0008</x:v>
      </x:c>
      <x:c r="I753" s="94" t="str">
        <x:v>电子产品</x:v>
      </x:c>
      <x:c r="J753" s="94" t="str">
        <x:v>Wi-Fi路由器 H</x:v>
      </x:c>
      <x:c r="K753" s="97" t="n">
        <x:v>529.27</x:v>
      </x:c>
      <x:c r="L753" s="95" t="n">
        <x:v>2</x:v>
      </x:c>
      <x:c r="M753" s="97" t="n">
        <x:f>ROUND(K753*L753,2)</x:f>
        <x:v>1058.54</x:v>
      </x:c>
      <x:c r="N753" s="109" t="n">
        <x:v>0.05</x:v>
      </x:c>
      <x:c r="O753" s="97" t="n">
        <x:f>ROUND(M753*N753,2)</x:f>
        <x:v>52.93</x:v>
      </x:c>
      <x:c r="P753" s="94" t="str">
        <x:v>已确认</x:v>
      </x:c>
      <x:c r="Q753" s="97" t="n">
        <x:f>IF(P753="已退款",M753,0)</x:f>
        <x:v>0</x:v>
      </x:c>
      <x:c r="R753" s="97" t="n">
        <x:f>IF(P753="已退款",O753,0)</x:f>
        <x:v>0</x:v>
      </x:c>
      <x:c r="S753" s="97" t="n">
        <x:f>O753-R753</x:f>
        <x:v>52.93</x:v>
      </x:c>
      <x:c r="T753" s="94" t="n">
        <x:v>0</x:v>
      </x:c>
      <x:c r="U753" s="94" t="str">
        <x:v>模拟：Amazon Associates订单回传</x:v>
      </x:c>
    </x:row>
    <x:row r="754">
      <x:c r="A754" s="92" t="str">
        <x:v>AMZ-ORD-00753</x:v>
      </x:c>
      <x:c r="B754" s="94" t="str">
        <x:v>PROC-0752</x:v>
      </x:c>
      <x:c r="C754" s="108" t="n">
        <x:v>46159.78402777778</x:v>
      </x:c>
      <x:c r="D754" s="93" t="n">
        <x:v>46158</x:v>
      </x:c>
      <x:c r="E754" s="94" t="str">
        <x:v>Microsoft Ads</x:v>
      </x:c>
      <x:c r="F754" s="94" t="str">
        <x:v>英国</x:v>
      </x:c>
      <x:c r="G754" s="94" t="str">
        <x:v>品牌搜索</x:v>
      </x:c>
      <x:c r="H754" s="94" t="str">
        <x:v>SKU-0023</x:v>
      </x:c>
      <x:c r="I754" s="94" t="str">
        <x:v>运动健康</x:v>
      </x:c>
      <x:c r="J754" s="94" t="str">
        <x:v>可调哑铃 C</x:v>
      </x:c>
      <x:c r="K754" s="97" t="n">
        <x:v>208.9</x:v>
      </x:c>
      <x:c r="L754" s="95" t="n">
        <x:v>1</x:v>
      </x:c>
      <x:c r="M754" s="97" t="n">
        <x:f>ROUND(K754*L754,2)</x:f>
        <x:v>208.9</x:v>
      </x:c>
      <x:c r="N754" s="109" t="n">
        <x:v>0.08</x:v>
      </x:c>
      <x:c r="O754" s="97" t="n">
        <x:f>ROUND(M754*N754,2)</x:f>
        <x:v>16.71</x:v>
      </x:c>
      <x:c r="P754" s="94" t="str">
        <x:v>待确认</x:v>
      </x:c>
      <x:c r="Q754" s="97" t="n">
        <x:f>IF(P754="已退款",M754,0)</x:f>
        <x:v>0</x:v>
      </x:c>
      <x:c r="R754" s="97" t="n">
        <x:f>IF(P754="已退款",O754,0)</x:f>
        <x:v>0</x:v>
      </x:c>
      <x:c r="S754" s="97" t="n">
        <x:f>O754-R754</x:f>
        <x:v>16.71</x:v>
      </x:c>
      <x:c r="T754" s="94" t="n">
        <x:v>1</x:v>
      </x:c>
      <x:c r="U754" s="94" t="str">
        <x:v>模拟：Amazon Associates订单回传</x:v>
      </x:c>
    </x:row>
    <x:row r="755">
      <x:c r="A755" s="92" t="str">
        <x:v>AMZ-ORD-00754</x:v>
      </x:c>
      <x:c r="B755" s="94" t="str">
        <x:v>PROC-0752</x:v>
      </x:c>
      <x:c r="C755" s="108" t="n">
        <x:v>46158.665972222225</x:v>
      </x:c>
      <x:c r="D755" s="93" t="n">
        <x:v>46158</x:v>
      </x:c>
      <x:c r="E755" s="94" t="str">
        <x:v>Microsoft Ads</x:v>
      </x:c>
      <x:c r="F755" s="94" t="str">
        <x:v>英国</x:v>
      </x:c>
      <x:c r="G755" s="94" t="str">
        <x:v>品牌搜索</x:v>
      </x:c>
      <x:c r="H755" s="94" t="str">
        <x:v>SKU-0013</x:v>
      </x:c>
      <x:c r="I755" s="94" t="str">
        <x:v>家居生活</x:v>
      </x:c>
      <x:c r="J755" s="94" t="str">
        <x:v>人体工学椅 C</x:v>
      </x:c>
      <x:c r="K755" s="97" t="n">
        <x:v>123.64</x:v>
      </x:c>
      <x:c r="L755" s="95" t="n">
        <x:v>1</x:v>
      </x:c>
      <x:c r="M755" s="97" t="n">
        <x:f>ROUND(K755*L755,2)</x:f>
        <x:v>123.64</x:v>
      </x:c>
      <x:c r="N755" s="109" t="n">
        <x:v>0.07</x:v>
      </x:c>
      <x:c r="O755" s="97" t="n">
        <x:f>ROUND(M755*N755,2)</x:f>
        <x:v>8.65</x:v>
      </x:c>
      <x:c r="P755" s="94" t="str">
        <x:v>已确认</x:v>
      </x:c>
      <x:c r="Q755" s="97" t="n">
        <x:f>IF(P755="已退款",M755,0)</x:f>
        <x:v>0</x:v>
      </x:c>
      <x:c r="R755" s="97" t="n">
        <x:f>IF(P755="已退款",O755,0)</x:f>
        <x:v>0</x:v>
      </x:c>
      <x:c r="S755" s="97" t="n">
        <x:f>O755-R755</x:f>
        <x:v>8.65</x:v>
      </x:c>
      <x:c r="T755" s="94" t="n">
        <x:v>0</x:v>
      </x:c>
      <x:c r="U755" s="94" t="str">
        <x:v>模拟：Amazon Associates订单回传</x:v>
      </x:c>
    </x:row>
    <x:row r="756">
      <x:c r="A756" s="92" t="str">
        <x:v>AMZ-ORD-00755</x:v>
      </x:c>
      <x:c r="B756" s="94" t="str">
        <x:v>PROC-0754</x:v>
      </x:c>
      <x:c r="C756" s="108" t="n">
        <x:v>46161.65277777778</x:v>
      </x:c>
      <x:c r="D756" s="93" t="n">
        <x:v>46159</x:v>
      </x:c>
      <x:c r="E756" s="94" t="str">
        <x:v>Microsoft Ads</x:v>
      </x:c>
      <x:c r="F756" s="94" t="str">
        <x:v>美国</x:v>
      </x:c>
      <x:c r="G756" s="94" t="str">
        <x:v>购物广告</x:v>
      </x:c>
      <x:c r="H756" s="94" t="str">
        <x:v>SKU-0050</x:v>
      </x:c>
      <x:c r="I756" s="94" t="str">
        <x:v>办公学习</x:v>
      </x:c>
      <x:c r="J756" s="94" t="str">
        <x:v>静音鼠标 J</x:v>
      </x:c>
      <x:c r="K756" s="97" t="n">
        <x:v>236.35</x:v>
      </x:c>
      <x:c r="L756" s="95" t="n">
        <x:v>2</x:v>
      </x:c>
      <x:c r="M756" s="97" t="n">
        <x:f>ROUND(K756*L756,2)</x:f>
        <x:v>472.7</x:v>
      </x:c>
      <x:c r="N756" s="109" t="n">
        <x:v>0.07</x:v>
      </x:c>
      <x:c r="O756" s="97" t="n">
        <x:f>ROUND(M756*N756,2)</x:f>
        <x:v>33.09</x:v>
      </x:c>
      <x:c r="P756" s="94" t="str">
        <x:v>已确认</x:v>
      </x:c>
      <x:c r="Q756" s="97" t="n">
        <x:f>IF(P756="已退款",M756,0)</x:f>
        <x:v>0</x:v>
      </x:c>
      <x:c r="R756" s="97" t="n">
        <x:f>IF(P756="已退款",O756,0)</x:f>
        <x:v>0</x:v>
      </x:c>
      <x:c r="S756" s="97" t="n">
        <x:f>O756-R756</x:f>
        <x:v>33.09</x:v>
      </x:c>
      <x:c r="T756" s="94" t="n">
        <x:v>2</x:v>
      </x:c>
      <x:c r="U756" s="94" t="str">
        <x:v>模拟：Amazon Associates订单回传</x:v>
      </x:c>
    </x:row>
    <x:row r="757">
      <x:c r="A757" s="92" t="str">
        <x:v>AMZ-ORD-00756</x:v>
      </x:c>
      <x:c r="B757" s="94" t="str">
        <x:v>PROC-0755</x:v>
      </x:c>
      <x:c r="C757" s="108" t="n">
        <x:v>46162.36041666667</x:v>
      </x:c>
      <x:c r="D757" s="93" t="n">
        <x:v>46159</x:v>
      </x:c>
      <x:c r="E757" s="94" t="str">
        <x:v>Google Ads</x:v>
      </x:c>
      <x:c r="F757" s="94" t="str">
        <x:v>英国</x:v>
      </x:c>
      <x:c r="G757" s="94" t="str">
        <x:v>通用搜索</x:v>
      </x:c>
      <x:c r="H757" s="94" t="str">
        <x:v>SKU-0011</x:v>
      </x:c>
      <x:c r="I757" s="94" t="str">
        <x:v>家居生活</x:v>
      </x:c>
      <x:c r="J757" s="94" t="str">
        <x:v>空气净化器 A</x:v>
      </x:c>
      <x:c r="K757" s="97" t="n">
        <x:v>224.92</x:v>
      </x:c>
      <x:c r="L757" s="95" t="n">
        <x:v>1</x:v>
      </x:c>
      <x:c r="M757" s="97" t="n">
        <x:f>ROUND(K757*L757,2)</x:f>
        <x:v>224.92</x:v>
      </x:c>
      <x:c r="N757" s="109" t="n">
        <x:v>0.07</x:v>
      </x:c>
      <x:c r="O757" s="97" t="n">
        <x:f>ROUND(M757*N757,2)</x:f>
        <x:v>15.74</x:v>
      </x:c>
      <x:c r="P757" s="94" t="str">
        <x:v>已确认</x:v>
      </x:c>
      <x:c r="Q757" s="97" t="n">
        <x:f>IF(P757="已退款",M757,0)</x:f>
        <x:v>0</x:v>
      </x:c>
      <x:c r="R757" s="97" t="n">
        <x:f>IF(P757="已退款",O757,0)</x:f>
        <x:v>0</x:v>
      </x:c>
      <x:c r="S757" s="97" t="n">
        <x:f>O757-R757</x:f>
        <x:v>15.74</x:v>
      </x:c>
      <x:c r="T757" s="94" t="n">
        <x:v>3</x:v>
      </x:c>
      <x:c r="U757" s="94" t="str">
        <x:v>模拟：Amazon Associates订单回传</x:v>
      </x:c>
    </x:row>
    <x:row r="758">
      <x:c r="A758" s="92" t="str">
        <x:v>AMZ-ORD-00757</x:v>
      </x:c>
      <x:c r="B758" s="94" t="str">
        <x:v>PROC-0757</x:v>
      </x:c>
      <x:c r="C758" s="108" t="n">
        <x:v>46162.74097222222</x:v>
      </x:c>
      <x:c r="D758" s="93" t="n">
        <x:v>46159</x:v>
      </x:c>
      <x:c r="E758" s="94" t="str">
        <x:v>Microsoft Ads</x:v>
      </x:c>
      <x:c r="F758" s="94" t="str">
        <x:v>美国</x:v>
      </x:c>
      <x:c r="G758" s="94" t="str">
        <x:v>竞品搜索</x:v>
      </x:c>
      <x:c r="H758" s="94" t="str">
        <x:v>SKU-0033</x:v>
      </x:c>
      <x:c r="I758" s="94" t="str">
        <x:v>美妆个护</x:v>
      </x:c>
      <x:c r="J758" s="94" t="str">
        <x:v>护肤套装 C</x:v>
      </x:c>
      <x:c r="K758" s="97" t="n">
        <x:v>38.02</x:v>
      </x:c>
      <x:c r="L758" s="95" t="n">
        <x:v>1</x:v>
      </x:c>
      <x:c r="M758" s="97" t="n">
        <x:f>ROUND(K758*L758,2)</x:f>
        <x:v>38.02</x:v>
      </x:c>
      <x:c r="N758" s="109" t="n">
        <x:v>0.1</x:v>
      </x:c>
      <x:c r="O758" s="97" t="n">
        <x:f>ROUND(M758*N758,2)</x:f>
        <x:v>3.8</x:v>
      </x:c>
      <x:c r="P758" s="94" t="str">
        <x:v>已退款</x:v>
      </x:c>
      <x:c r="Q758" s="97" t="n">
        <x:f>IF(P758="已退款",M758,0)</x:f>
        <x:v>38.02</x:v>
      </x:c>
      <x:c r="R758" s="97" t="n">
        <x:f>IF(P758="已退款",O758,0)</x:f>
        <x:v>3.8</x:v>
      </x:c>
      <x:c r="S758" s="97" t="n">
        <x:f>O758-R758</x:f>
        <x:v>0</x:v>
      </x:c>
      <x:c r="T758" s="94" t="n">
        <x:v>3</x:v>
      </x:c>
      <x:c r="U758" s="94" t="str">
        <x:v>模拟：Amazon Associates订单回传</x:v>
      </x:c>
    </x:row>
    <x:row r="759">
      <x:c r="A759" s="92" t="str">
        <x:v>AMZ-ORD-00758</x:v>
      </x:c>
      <x:c r="B759" s="94" t="str">
        <x:v>PROC-0758</x:v>
      </x:c>
      <x:c r="C759" s="108" t="n">
        <x:v>46161.69583333333</x:v>
      </x:c>
      <x:c r="D759" s="93" t="n">
        <x:v>46160</x:v>
      </x:c>
      <x:c r="E759" s="94" t="str">
        <x:v>Google Ads</x:v>
      </x:c>
      <x:c r="F759" s="94" t="str">
        <x:v>英国</x:v>
      </x:c>
      <x:c r="G759" s="94" t="str">
        <x:v>购物广告</x:v>
      </x:c>
      <x:c r="H759" s="94" t="str">
        <x:v>SKU-0040</x:v>
      </x:c>
      <x:c r="I759" s="94" t="str">
        <x:v>美妆个护</x:v>
      </x:c>
      <x:c r="J759" s="94" t="str">
        <x:v>旅行护理套装 J</x:v>
      </x:c>
      <x:c r="K759" s="97" t="n">
        <x:v>145.85</x:v>
      </x:c>
      <x:c r="L759" s="95" t="n">
        <x:v>2</x:v>
      </x:c>
      <x:c r="M759" s="97" t="n">
        <x:f>ROUND(K759*L759,2)</x:f>
        <x:v>291.7</x:v>
      </x:c>
      <x:c r="N759" s="109" t="n">
        <x:v>0.1</x:v>
      </x:c>
      <x:c r="O759" s="97" t="n">
        <x:f>ROUND(M759*N759,2)</x:f>
        <x:v>29.17</x:v>
      </x:c>
      <x:c r="P759" s="94" t="str">
        <x:v>已确认</x:v>
      </x:c>
      <x:c r="Q759" s="97" t="n">
        <x:f>IF(P759="已退款",M759,0)</x:f>
        <x:v>0</x:v>
      </x:c>
      <x:c r="R759" s="97" t="n">
        <x:f>IF(P759="已退款",O759,0)</x:f>
        <x:v>0</x:v>
      </x:c>
      <x:c r="S759" s="97" t="n">
        <x:f>O759-R759</x:f>
        <x:v>29.17</x:v>
      </x:c>
      <x:c r="T759" s="94" t="n">
        <x:v>1</x:v>
      </x:c>
      <x:c r="U759" s="94" t="str">
        <x:v>模拟：Amazon Associates订单回传</x:v>
      </x:c>
    </x:row>
    <x:row r="760">
      <x:c r="A760" s="92" t="str">
        <x:v>AMZ-ORD-00759</x:v>
      </x:c>
      <x:c r="B760" s="94" t="str">
        <x:v>PROC-0759</x:v>
      </x:c>
      <x:c r="C760" s="108" t="n">
        <x:v>46161.47152777778</x:v>
      </x:c>
      <x:c r="D760" s="93" t="n">
        <x:v>46160</x:v>
      </x:c>
      <x:c r="E760" s="94" t="str">
        <x:v>Microsoft Ads</x:v>
      </x:c>
      <x:c r="F760" s="94" t="str">
        <x:v>美国</x:v>
      </x:c>
      <x:c r="G760" s="94" t="str">
        <x:v>购物广告</x:v>
      </x:c>
      <x:c r="H760" s="94" t="str">
        <x:v>SKU-0041</x:v>
      </x:c>
      <x:c r="I760" s="94" t="str">
        <x:v>办公学习</x:v>
      </x:c>
      <x:c r="J760" s="94" t="str">
        <x:v>桌面升降台 A</x:v>
      </x:c>
      <x:c r="K760" s="97" t="n">
        <x:v>220.32</x:v>
      </x:c>
      <x:c r="L760" s="95" t="n">
        <x:v>1</x:v>
      </x:c>
      <x:c r="M760" s="97" t="n">
        <x:f>ROUND(K760*L760,2)</x:f>
        <x:v>220.32</x:v>
      </x:c>
      <x:c r="N760" s="109" t="n">
        <x:v>0.07</x:v>
      </x:c>
      <x:c r="O760" s="97" t="n">
        <x:f>ROUND(M760*N760,2)</x:f>
        <x:v>15.42</x:v>
      </x:c>
      <x:c r="P760" s="94" t="str">
        <x:v>已确认</x:v>
      </x:c>
      <x:c r="Q760" s="97" t="n">
        <x:f>IF(P760="已退款",M760,0)</x:f>
        <x:v>0</x:v>
      </x:c>
      <x:c r="R760" s="97" t="n">
        <x:f>IF(P760="已退款",O760,0)</x:f>
        <x:v>0</x:v>
      </x:c>
      <x:c r="S760" s="97" t="n">
        <x:f>O760-R760</x:f>
        <x:v>15.42</x:v>
      </x:c>
      <x:c r="T760" s="94" t="n">
        <x:v>1</x:v>
      </x:c>
      <x:c r="U760" s="94" t="str">
        <x:v>模拟：Amazon Associates订单回传</x:v>
      </x:c>
    </x:row>
    <x:row r="761">
      <x:c r="A761" s="92" t="str">
        <x:v>AMZ-ORD-00760</x:v>
      </x:c>
      <x:c r="B761" s="94" t="str">
        <x:v>PROC-0760</x:v>
      </x:c>
      <x:c r="C761" s="108" t="n">
        <x:v>46163.861805555556</x:v>
      </x:c>
      <x:c r="D761" s="93" t="n">
        <x:v>46160</x:v>
      </x:c>
      <x:c r="E761" s="94" t="str">
        <x:v>Google Ads</x:v>
      </x:c>
      <x:c r="F761" s="94" t="str">
        <x:v>英国</x:v>
      </x:c>
      <x:c r="G761" s="94" t="str">
        <x:v>竞品搜索</x:v>
      </x:c>
      <x:c r="H761" s="94" t="str">
        <x:v>SKU-0049</x:v>
      </x:c>
      <x:c r="I761" s="94" t="str">
        <x:v>办公学习</x:v>
      </x:c>
      <x:c r="J761" s="94" t="str">
        <x:v>移动白板 I</x:v>
      </x:c>
      <x:c r="K761" s="97" t="n">
        <x:v>143.91</x:v>
      </x:c>
      <x:c r="L761" s="95" t="n">
        <x:v>1</x:v>
      </x:c>
      <x:c r="M761" s="97" t="n">
        <x:f>ROUND(K761*L761,2)</x:f>
        <x:v>143.91</x:v>
      </x:c>
      <x:c r="N761" s="109" t="n">
        <x:v>0.07</x:v>
      </x:c>
      <x:c r="O761" s="97" t="n">
        <x:f>ROUND(M761*N761,2)</x:f>
        <x:v>10.07</x:v>
      </x:c>
      <x:c r="P761" s="94" t="str">
        <x:v>已退款</x:v>
      </x:c>
      <x:c r="Q761" s="97" t="n">
        <x:f>IF(P761="已退款",M761,0)</x:f>
        <x:v>143.91</x:v>
      </x:c>
      <x:c r="R761" s="97" t="n">
        <x:f>IF(P761="已退款",O761,0)</x:f>
        <x:v>10.07</x:v>
      </x:c>
      <x:c r="S761" s="97" t="n">
        <x:f>O761-R761</x:f>
        <x:v>0</x:v>
      </x:c>
      <x:c r="T761" s="94" t="n">
        <x:v>3</x:v>
      </x:c>
      <x:c r="U761" s="94" t="str">
        <x:v>模拟：Amazon Associates订单回传</x:v>
      </x:c>
    </x:row>
    <x:row r="762">
      <x:c r="A762" s="92" t="str">
        <x:v>AMZ-ORD-00761</x:v>
      </x:c>
      <x:c r="B762" s="94" t="str">
        <x:v>PROC-0761</x:v>
      </x:c>
      <x:c r="C762" s="108" t="n">
        <x:v>46162</x:v>
      </x:c>
      <x:c r="D762" s="93" t="n">
        <x:v>46160</x:v>
      </x:c>
      <x:c r="E762" s="94" t="str">
        <x:v>Microsoft Ads</x:v>
      </x:c>
      <x:c r="F762" s="94" t="str">
        <x:v>英国</x:v>
      </x:c>
      <x:c r="G762" s="94" t="str">
        <x:v>购物广告</x:v>
      </x:c>
      <x:c r="H762" s="94" t="str">
        <x:v>SKU-0049</x:v>
      </x:c>
      <x:c r="I762" s="94" t="str">
        <x:v>办公学习</x:v>
      </x:c>
      <x:c r="J762" s="94" t="str">
        <x:v>移动白板 I</x:v>
      </x:c>
      <x:c r="K762" s="97" t="n">
        <x:v>258.98</x:v>
      </x:c>
      <x:c r="L762" s="95" t="n">
        <x:v>1</x:v>
      </x:c>
      <x:c r="M762" s="97" t="n">
        <x:f>ROUND(K762*L762,2)</x:f>
        <x:v>258.98</x:v>
      </x:c>
      <x:c r="N762" s="109" t="n">
        <x:v>0.07</x:v>
      </x:c>
      <x:c r="O762" s="97" t="n">
        <x:f>ROUND(M762*N762,2)</x:f>
        <x:v>18.13</x:v>
      </x:c>
      <x:c r="P762" s="94" t="str">
        <x:v>已确认</x:v>
      </x:c>
      <x:c r="Q762" s="97" t="n">
        <x:f>IF(P762="已退款",M762,0)</x:f>
        <x:v>0</x:v>
      </x:c>
      <x:c r="R762" s="97" t="n">
        <x:f>IF(P762="已退款",O762,0)</x:f>
        <x:v>0</x:v>
      </x:c>
      <x:c r="S762" s="97" t="n">
        <x:f>O762-R762</x:f>
        <x:v>18.13</x:v>
      </x:c>
      <x:c r="T762" s="94" t="n">
        <x:v>1</x:v>
      </x:c>
      <x:c r="U762" s="94" t="str">
        <x:v>模拟：Amazon Associates订单回传</x:v>
      </x:c>
    </x:row>
    <x:row r="763">
      <x:c r="A763" s="92" t="str">
        <x:v>AMZ-ORD-00762</x:v>
      </x:c>
      <x:c r="B763" s="94" t="str">
        <x:v>PROC-0762</x:v>
      </x:c>
      <x:c r="C763" s="108" t="n">
        <x:v>46162.77916666667</x:v>
      </x:c>
      <x:c r="D763" s="93" t="n">
        <x:v>46160</x:v>
      </x:c>
      <x:c r="E763" s="94" t="str">
        <x:v>Google Ads</x:v>
      </x:c>
      <x:c r="F763" s="94" t="str">
        <x:v>美国</x:v>
      </x:c>
      <x:c r="G763" s="94" t="str">
        <x:v>通用搜索</x:v>
      </x:c>
      <x:c r="H763" s="94" t="str">
        <x:v>SKU-0033</x:v>
      </x:c>
      <x:c r="I763" s="94" t="str">
        <x:v>美妆个护</x:v>
      </x:c>
      <x:c r="J763" s="94" t="str">
        <x:v>护肤套装 C</x:v>
      </x:c>
      <x:c r="K763" s="97" t="n">
        <x:v>43.42</x:v>
      </x:c>
      <x:c r="L763" s="95" t="n">
        <x:v>1</x:v>
      </x:c>
      <x:c r="M763" s="97" t="n">
        <x:f>ROUND(K763*L763,2)</x:f>
        <x:v>43.42</x:v>
      </x:c>
      <x:c r="N763" s="109" t="n">
        <x:v>0.1</x:v>
      </x:c>
      <x:c r="O763" s="97" t="n">
        <x:f>ROUND(M763*N763,2)</x:f>
        <x:v>4.34</x:v>
      </x:c>
      <x:c r="P763" s="94" t="str">
        <x:v>已确认</x:v>
      </x:c>
      <x:c r="Q763" s="97" t="n">
        <x:f>IF(P763="已退款",M763,0)</x:f>
        <x:v>0</x:v>
      </x:c>
      <x:c r="R763" s="97" t="n">
        <x:f>IF(P763="已退款",O763,0)</x:f>
        <x:v>0</x:v>
      </x:c>
      <x:c r="S763" s="97" t="n">
        <x:f>O763-R763</x:f>
        <x:v>4.34</x:v>
      </x:c>
      <x:c r="T763" s="94" t="n">
        <x:v>2</x:v>
      </x:c>
      <x:c r="U763" s="94" t="str">
        <x:v>模拟：Amazon Associates订单回传</x:v>
      </x:c>
    </x:row>
    <x:row r="764">
      <x:c r="A764" s="92" t="str">
        <x:v>AMZ-ORD-00763</x:v>
      </x:c>
      <x:c r="B764" s="94" t="str">
        <x:v>PROC-0763</x:v>
      </x:c>
      <x:c r="C764" s="108" t="n">
        <x:v>46163.86875</x:v>
      </x:c>
      <x:c r="D764" s="93" t="n">
        <x:v>46160</x:v>
      </x:c>
      <x:c r="E764" s="94" t="str">
        <x:v>Google Ads</x:v>
      </x:c>
      <x:c r="F764" s="94" t="str">
        <x:v>日本</x:v>
      </x:c>
      <x:c r="G764" s="94" t="str">
        <x:v>品牌搜索</x:v>
      </x:c>
      <x:c r="H764" s="94" t="str">
        <x:v>SKU-0013</x:v>
      </x:c>
      <x:c r="I764" s="94" t="str">
        <x:v>家居生活</x:v>
      </x:c>
      <x:c r="J764" s="94" t="str">
        <x:v>人体工学椅 C</x:v>
      </x:c>
      <x:c r="K764" s="97" t="n">
        <x:v>219.42</x:v>
      </x:c>
      <x:c r="L764" s="95" t="n">
        <x:v>1</x:v>
      </x:c>
      <x:c r="M764" s="97" t="n">
        <x:f>ROUND(K764*L764,2)</x:f>
        <x:v>219.42</x:v>
      </x:c>
      <x:c r="N764" s="109" t="n">
        <x:v>0.07</x:v>
      </x:c>
      <x:c r="O764" s="97" t="n">
        <x:f>ROUND(M764*N764,2)</x:f>
        <x:v>15.36</x:v>
      </x:c>
      <x:c r="P764" s="94" t="str">
        <x:v>已确认</x:v>
      </x:c>
      <x:c r="Q764" s="97" t="n">
        <x:f>IF(P764="已退款",M764,0)</x:f>
        <x:v>0</x:v>
      </x:c>
      <x:c r="R764" s="97" t="n">
        <x:f>IF(P764="已退款",O764,0)</x:f>
        <x:v>0</x:v>
      </x:c>
      <x:c r="S764" s="97" t="n">
        <x:f>O764-R764</x:f>
        <x:v>15.36</x:v>
      </x:c>
      <x:c r="T764" s="94" t="n">
        <x:v>3</x:v>
      </x:c>
      <x:c r="U764" s="94" t="str">
        <x:v>模拟：Amazon Associates订单回传</x:v>
      </x:c>
    </x:row>
    <x:row r="765">
      <x:c r="A765" s="92" t="str">
        <x:v>AMZ-ORD-00764</x:v>
      </x:c>
      <x:c r="B765" s="94" t="str">
        <x:v>PROC-0764</x:v>
      </x:c>
      <x:c r="C765" s="108" t="n">
        <x:v>46164.575694444444</x:v>
      </x:c>
      <x:c r="D765" s="93" t="n">
        <x:v>46161</x:v>
      </x:c>
      <x:c r="E765" s="94" t="str">
        <x:v>Google Ads</x:v>
      </x:c>
      <x:c r="F765" s="94" t="str">
        <x:v>英国</x:v>
      </x:c>
      <x:c r="G765" s="94" t="str">
        <x:v>通用搜索</x:v>
      </x:c>
      <x:c r="H765" s="94" t="str">
        <x:v>SKU-0039</x:v>
      </x:c>
      <x:c r="I765" s="94" t="str">
        <x:v>美妆个护</x:v>
      </x:c>
      <x:c r="J765" s="94" t="str">
        <x:v>按摩梳 I</x:v>
      </x:c>
      <x:c r="K765" s="97" t="n">
        <x:v>159.58</x:v>
      </x:c>
      <x:c r="L765" s="95" t="n">
        <x:v>1</x:v>
      </x:c>
      <x:c r="M765" s="97" t="n">
        <x:f>ROUND(K765*L765,2)</x:f>
        <x:v>159.58</x:v>
      </x:c>
      <x:c r="N765" s="109" t="n">
        <x:v>0.1</x:v>
      </x:c>
      <x:c r="O765" s="97" t="n">
        <x:f>ROUND(M765*N765,2)</x:f>
        <x:v>15.96</x:v>
      </x:c>
      <x:c r="P765" s="94" t="str">
        <x:v>已确认</x:v>
      </x:c>
      <x:c r="Q765" s="97" t="n">
        <x:f>IF(P765="已退款",M765,0)</x:f>
        <x:v>0</x:v>
      </x:c>
      <x:c r="R765" s="97" t="n">
        <x:f>IF(P765="已退款",O765,0)</x:f>
        <x:v>0</x:v>
      </x:c>
      <x:c r="S765" s="97" t="n">
        <x:f>O765-R765</x:f>
        <x:v>15.96</x:v>
      </x:c>
      <x:c r="T765" s="94" t="n">
        <x:v>3</x:v>
      </x:c>
      <x:c r="U765" s="94" t="str">
        <x:v>模拟：Amazon Associates订单回传</x:v>
      </x:c>
    </x:row>
    <x:row r="766">
      <x:c r="A766" s="92" t="str">
        <x:v>AMZ-ORD-00765</x:v>
      </x:c>
      <x:c r="B766" s="94" t="str">
        <x:v>PROC-0765</x:v>
      </x:c>
      <x:c r="C766" s="108" t="n">
        <x:v>46161.44861111111</x:v>
      </x:c>
      <x:c r="D766" s="93" t="n">
        <x:v>46161</x:v>
      </x:c>
      <x:c r="E766" s="94" t="str">
        <x:v>Google Ads</x:v>
      </x:c>
      <x:c r="F766" s="94" t="str">
        <x:v>美国</x:v>
      </x:c>
      <x:c r="G766" s="94" t="str">
        <x:v>品牌搜索</x:v>
      </x:c>
      <x:c r="H766" s="94" t="str">
        <x:v>SKU-0018</x:v>
      </x:c>
      <x:c r="I766" s="94" t="str">
        <x:v>家居生活</x:v>
      </x:c>
      <x:c r="J766" s="94" t="str">
        <x:v>收纳组合 H</x:v>
      </x:c>
      <x:c r="K766" s="97" t="n">
        <x:v>153.97</x:v>
      </x:c>
      <x:c r="L766" s="95" t="n">
        <x:v>1</x:v>
      </x:c>
      <x:c r="M766" s="97" t="n">
        <x:f>ROUND(K766*L766,2)</x:f>
        <x:v>153.97</x:v>
      </x:c>
      <x:c r="N766" s="109" t="n">
        <x:v>0.07</x:v>
      </x:c>
      <x:c r="O766" s="97" t="n">
        <x:f>ROUND(M766*N766,2)</x:f>
        <x:v>10.78</x:v>
      </x:c>
      <x:c r="P766" s="94" t="str">
        <x:v>已确认</x:v>
      </x:c>
      <x:c r="Q766" s="97" t="n">
        <x:f>IF(P766="已退款",M766,0)</x:f>
        <x:v>0</x:v>
      </x:c>
      <x:c r="R766" s="97" t="n">
        <x:f>IF(P766="已退款",O766,0)</x:f>
        <x:v>0</x:v>
      </x:c>
      <x:c r="S766" s="97" t="n">
        <x:f>O766-R766</x:f>
        <x:v>10.78</x:v>
      </x:c>
      <x:c r="T766" s="94" t="n">
        <x:v>0</x:v>
      </x:c>
      <x:c r="U766" s="94" t="str">
        <x:v>模拟：Amazon Associates订单回传</x:v>
      </x:c>
    </x:row>
    <x:row r="767">
      <x:c r="A767" s="92" t="str">
        <x:v>AMZ-ORD-00766</x:v>
      </x:c>
      <x:c r="B767" s="94" t="str">
        <x:v>PROC-0765</x:v>
      </x:c>
      <x:c r="C767" s="108" t="n">
        <x:v>46164.65277777778</x:v>
      </x:c>
      <x:c r="D767" s="93" t="n">
        <x:v>46161</x:v>
      </x:c>
      <x:c r="E767" s="94" t="str">
        <x:v>Google Ads</x:v>
      </x:c>
      <x:c r="F767" s="94" t="str">
        <x:v>美国</x:v>
      </x:c>
      <x:c r="G767" s="94" t="str">
        <x:v>品牌搜索</x:v>
      </x:c>
      <x:c r="H767" s="94" t="str">
        <x:v>SKU-0001</x:v>
      </x:c>
      <x:c r="I767" s="94" t="str">
        <x:v>电子产品</x:v>
      </x:c>
      <x:c r="J767" s="94" t="str">
        <x:v>无线耳机 A</x:v>
      </x:c>
      <x:c r="K767" s="97" t="n">
        <x:v>642.36</x:v>
      </x:c>
      <x:c r="L767" s="95" t="n">
        <x:v>2</x:v>
      </x:c>
      <x:c r="M767" s="97" t="n">
        <x:f>ROUND(K767*L767,2)</x:f>
        <x:v>1284.72</x:v>
      </x:c>
      <x:c r="N767" s="109" t="n">
        <x:v>0.05</x:v>
      </x:c>
      <x:c r="O767" s="97" t="n">
        <x:f>ROUND(M767*N767,2)</x:f>
        <x:v>64.24</x:v>
      </x:c>
      <x:c r="P767" s="94" t="str">
        <x:v>已确认</x:v>
      </x:c>
      <x:c r="Q767" s="97" t="n">
        <x:f>IF(P767="已退款",M767,0)</x:f>
        <x:v>0</x:v>
      </x:c>
      <x:c r="R767" s="97" t="n">
        <x:f>IF(P767="已退款",O767,0)</x:f>
        <x:v>0</x:v>
      </x:c>
      <x:c r="S767" s="97" t="n">
        <x:f>O767-R767</x:f>
        <x:v>64.24</x:v>
      </x:c>
      <x:c r="T767" s="94" t="n">
        <x:v>3</x:v>
      </x:c>
      <x:c r="U767" s="94" t="str">
        <x:v>模拟：Amazon Associates订单回传</x:v>
      </x:c>
    </x:row>
    <x:row r="768">
      <x:c r="A768" s="92" t="str">
        <x:v>AMZ-ORD-00767</x:v>
      </x:c>
      <x:c r="B768" s="94" t="str">
        <x:v>PROC-0766</x:v>
      </x:c>
      <x:c r="C768" s="108" t="n">
        <x:v>46165.58194444444</x:v>
      </x:c>
      <x:c r="D768" s="93" t="n">
        <x:v>46161</x:v>
      </x:c>
      <x:c r="E768" s="94" t="str">
        <x:v>Microsoft Ads</x:v>
      </x:c>
      <x:c r="F768" s="94" t="str">
        <x:v>德国</x:v>
      </x:c>
      <x:c r="G768" s="94" t="str">
        <x:v>品牌搜索</x:v>
      </x:c>
      <x:c r="H768" s="94" t="str">
        <x:v>SKU-0020</x:v>
      </x:c>
      <x:c r="I768" s="94" t="str">
        <x:v>家居生活</x:v>
      </x:c>
      <x:c r="J768" s="94" t="str">
        <x:v>智能门锁 J</x:v>
      </x:c>
      <x:c r="K768" s="97" t="n">
        <x:v>172.93</x:v>
      </x:c>
      <x:c r="L768" s="95" t="n">
        <x:v>3</x:v>
      </x:c>
      <x:c r="M768" s="97" t="n">
        <x:f>ROUND(K768*L768,2)</x:f>
        <x:v>518.79</x:v>
      </x:c>
      <x:c r="N768" s="109" t="n">
        <x:v>0.07</x:v>
      </x:c>
      <x:c r="O768" s="97" t="n">
        <x:f>ROUND(M768*N768,2)</x:f>
        <x:v>36.32</x:v>
      </x:c>
      <x:c r="P768" s="94" t="str">
        <x:v>已确认</x:v>
      </x:c>
      <x:c r="Q768" s="97" t="n">
        <x:f>IF(P768="已退款",M768,0)</x:f>
        <x:v>0</x:v>
      </x:c>
      <x:c r="R768" s="97" t="n">
        <x:f>IF(P768="已退款",O768,0)</x:f>
        <x:v>0</x:v>
      </x:c>
      <x:c r="S768" s="97" t="n">
        <x:f>O768-R768</x:f>
        <x:v>36.32</x:v>
      </x:c>
      <x:c r="T768" s="94" t="n">
        <x:v>4</x:v>
      </x:c>
      <x:c r="U768" s="94" t="str">
        <x:v>模拟：Amazon Associates订单回传</x:v>
      </x:c>
    </x:row>
    <x:row r="769">
      <x:c r="A769" s="92" t="str">
        <x:v>AMZ-ORD-00768</x:v>
      </x:c>
      <x:c r="B769" s="94" t="str">
        <x:v>PROC-0767</x:v>
      </x:c>
      <x:c r="C769" s="108" t="n">
        <x:v>46163.663194444445</x:v>
      </x:c>
      <x:c r="D769" s="93" t="n">
        <x:v>46161</x:v>
      </x:c>
      <x:c r="E769" s="94" t="str">
        <x:v>Microsoft Ads</x:v>
      </x:c>
      <x:c r="F769" s="94" t="str">
        <x:v>美国</x:v>
      </x:c>
      <x:c r="G769" s="94" t="str">
        <x:v>品牌搜索</x:v>
      </x:c>
      <x:c r="H769" s="94" t="str">
        <x:v>SKU-0039</x:v>
      </x:c>
      <x:c r="I769" s="94" t="str">
        <x:v>美妆个护</x:v>
      </x:c>
      <x:c r="J769" s="94" t="str">
        <x:v>按摩梳 I</x:v>
      </x:c>
      <x:c r="K769" s="97" t="n">
        <x:v>87.67</x:v>
      </x:c>
      <x:c r="L769" s="95" t="n">
        <x:v>1</x:v>
      </x:c>
      <x:c r="M769" s="97" t="n">
        <x:f>ROUND(K769*L769,2)</x:f>
        <x:v>87.67</x:v>
      </x:c>
      <x:c r="N769" s="109" t="n">
        <x:v>0.1</x:v>
      </x:c>
      <x:c r="O769" s="97" t="n">
        <x:f>ROUND(M769*N769,2)</x:f>
        <x:v>8.77</x:v>
      </x:c>
      <x:c r="P769" s="94" t="str">
        <x:v>已确认</x:v>
      </x:c>
      <x:c r="Q769" s="97" t="n">
        <x:f>IF(P769="已退款",M769,0)</x:f>
        <x:v>0</x:v>
      </x:c>
      <x:c r="R769" s="97" t="n">
        <x:f>IF(P769="已退款",O769,0)</x:f>
        <x:v>0</x:v>
      </x:c>
      <x:c r="S769" s="97" t="n">
        <x:f>O769-R769</x:f>
        <x:v>8.77</x:v>
      </x:c>
      <x:c r="T769" s="94" t="n">
        <x:v>2</x:v>
      </x:c>
      <x:c r="U769" s="94" t="str">
        <x:v>模拟：Amazon Associates订单回传</x:v>
      </x:c>
    </x:row>
    <x:row r="770">
      <x:c r="A770" s="92" t="str">
        <x:v>AMZ-ORD-00769</x:v>
      </x:c>
      <x:c r="B770" s="94" t="str">
        <x:v>PROC-0767</x:v>
      </x:c>
      <x:c r="C770" s="108" t="n">
        <x:v>46165.72638888889</x:v>
      </x:c>
      <x:c r="D770" s="93" t="n">
        <x:v>46161</x:v>
      </x:c>
      <x:c r="E770" s="94" t="str">
        <x:v>Microsoft Ads</x:v>
      </x:c>
      <x:c r="F770" s="94" t="str">
        <x:v>美国</x:v>
      </x:c>
      <x:c r="G770" s="94" t="str">
        <x:v>品牌搜索</x:v>
      </x:c>
      <x:c r="H770" s="94" t="str">
        <x:v>SKU-0033</x:v>
      </x:c>
      <x:c r="I770" s="94" t="str">
        <x:v>美妆个护</x:v>
      </x:c>
      <x:c r="J770" s="94" t="str">
        <x:v>护肤套装 C</x:v>
      </x:c>
      <x:c r="K770" s="97" t="n">
        <x:v>39.27</x:v>
      </x:c>
      <x:c r="L770" s="95" t="n">
        <x:v>2</x:v>
      </x:c>
      <x:c r="M770" s="97" t="n">
        <x:f>ROUND(K770*L770,2)</x:f>
        <x:v>78.54</x:v>
      </x:c>
      <x:c r="N770" s="109" t="n">
        <x:v>0.1</x:v>
      </x:c>
      <x:c r="O770" s="97" t="n">
        <x:f>ROUND(M770*N770,2)</x:f>
        <x:v>7.85</x:v>
      </x:c>
      <x:c r="P770" s="94" t="str">
        <x:v>已确认</x:v>
      </x:c>
      <x:c r="Q770" s="97" t="n">
        <x:f>IF(P770="已退款",M770,0)</x:f>
        <x:v>0</x:v>
      </x:c>
      <x:c r="R770" s="97" t="n">
        <x:f>IF(P770="已退款",O770,0)</x:f>
        <x:v>0</x:v>
      </x:c>
      <x:c r="S770" s="97" t="n">
        <x:f>O770-R770</x:f>
        <x:v>7.85</x:v>
      </x:c>
      <x:c r="T770" s="94" t="n">
        <x:v>4</x:v>
      </x:c>
      <x:c r="U770" s="94" t="str">
        <x:v>模拟：Amazon Associates订单回传</x:v>
      </x:c>
    </x:row>
    <x:row r="771">
      <x:c r="A771" s="92" t="str">
        <x:v>AMZ-ORD-00770</x:v>
      </x:c>
      <x:c r="B771" s="94" t="str">
        <x:v>PROC-0768</x:v>
      </x:c>
      <x:c r="C771" s="108" t="n">
        <x:v>46163.84861111111</x:v>
      </x:c>
      <x:c r="D771" s="93" t="n">
        <x:v>46161</x:v>
      </x:c>
      <x:c r="E771" s="94" t="str">
        <x:v>Microsoft Ads</x:v>
      </x:c>
      <x:c r="F771" s="94" t="str">
        <x:v>美国</x:v>
      </x:c>
      <x:c r="G771" s="94" t="str">
        <x:v>购物广告</x:v>
      </x:c>
      <x:c r="H771" s="94" t="str">
        <x:v>SKU-0009</x:v>
      </x:c>
      <x:c r="I771" s="94" t="str">
        <x:v>电子产品</x:v>
      </x:c>
      <x:c r="J771" s="94" t="str">
        <x:v>电子阅读器 I</x:v>
      </x:c>
      <x:c r="K771" s="97" t="n">
        <x:v>756.34</x:v>
      </x:c>
      <x:c r="L771" s="95" t="n">
        <x:v>1</x:v>
      </x:c>
      <x:c r="M771" s="97" t="n">
        <x:f>ROUND(K771*L771,2)</x:f>
        <x:v>756.34</x:v>
      </x:c>
      <x:c r="N771" s="109" t="n">
        <x:v>0.05</x:v>
      </x:c>
      <x:c r="O771" s="97" t="n">
        <x:f>ROUND(M771*N771,2)</x:f>
        <x:v>37.82</x:v>
      </x:c>
      <x:c r="P771" s="94" t="str">
        <x:v>已确认</x:v>
      </x:c>
      <x:c r="Q771" s="97" t="n">
        <x:f>IF(P771="已退款",M771,0)</x:f>
        <x:v>0</x:v>
      </x:c>
      <x:c r="R771" s="97" t="n">
        <x:f>IF(P771="已退款",O771,0)</x:f>
        <x:v>0</x:v>
      </x:c>
      <x:c r="S771" s="97" t="n">
        <x:f>O771-R771</x:f>
        <x:v>37.82</x:v>
      </x:c>
      <x:c r="T771" s="94" t="n">
        <x:v>2</x:v>
      </x:c>
      <x:c r="U771" s="94" t="str">
        <x:v>模拟：Amazon Associates订单回传</x:v>
      </x:c>
    </x:row>
    <x:row r="772">
      <x:c r="A772" s="92" t="str">
        <x:v>AMZ-ORD-00771</x:v>
      </x:c>
      <x:c r="B772" s="94" t="str">
        <x:v>PROC-0770</x:v>
      </x:c>
      <x:c r="C772" s="108" t="n">
        <x:v>46165.688888888886</x:v>
      </x:c>
      <x:c r="D772" s="93" t="n">
        <x:v>46162</x:v>
      </x:c>
      <x:c r="E772" s="94" t="str">
        <x:v>Microsoft Ads</x:v>
      </x:c>
      <x:c r="F772" s="94" t="str">
        <x:v>日本</x:v>
      </x:c>
      <x:c r="G772" s="94" t="str">
        <x:v>购物广告</x:v>
      </x:c>
      <x:c r="H772" s="94" t="str">
        <x:v>SKU-0001</x:v>
      </x:c>
      <x:c r="I772" s="94" t="str">
        <x:v>电子产品</x:v>
      </x:c>
      <x:c r="J772" s="94" t="str">
        <x:v>无线耳机 A</x:v>
      </x:c>
      <x:c r="K772" s="97" t="n">
        <x:v>400.53</x:v>
      </x:c>
      <x:c r="L772" s="95" t="n">
        <x:v>1</x:v>
      </x:c>
      <x:c r="M772" s="97" t="n">
        <x:f>ROUND(K772*L772,2)</x:f>
        <x:v>400.53</x:v>
      </x:c>
      <x:c r="N772" s="109" t="n">
        <x:v>0.05</x:v>
      </x:c>
      <x:c r="O772" s="97" t="n">
        <x:f>ROUND(M772*N772,2)</x:f>
        <x:v>20.03</x:v>
      </x:c>
      <x:c r="P772" s="94" t="str">
        <x:v>已确认</x:v>
      </x:c>
      <x:c r="Q772" s="97" t="n">
        <x:f>IF(P772="已退款",M772,0)</x:f>
        <x:v>0</x:v>
      </x:c>
      <x:c r="R772" s="97" t="n">
        <x:f>IF(P772="已退款",O772,0)</x:f>
        <x:v>0</x:v>
      </x:c>
      <x:c r="S772" s="97" t="n">
        <x:f>O772-R772</x:f>
        <x:v>20.03</x:v>
      </x:c>
      <x:c r="T772" s="94" t="n">
        <x:v>3</x:v>
      </x:c>
      <x:c r="U772" s="94" t="str">
        <x:v>模拟：Amazon Associates订单回传</x:v>
      </x:c>
    </x:row>
    <x:row r="773">
      <x:c r="A773" s="92" t="str">
        <x:v>AMZ-ORD-00772</x:v>
      </x:c>
      <x:c r="B773" s="94" t="str">
        <x:v>PROC-0770</x:v>
      </x:c>
      <x:c r="C773" s="108" t="n">
        <x:v>46162.76388888889</x:v>
      </x:c>
      <x:c r="D773" s="93" t="n">
        <x:v>46162</x:v>
      </x:c>
      <x:c r="E773" s="94" t="str">
        <x:v>Microsoft Ads</x:v>
      </x:c>
      <x:c r="F773" s="94" t="str">
        <x:v>日本</x:v>
      </x:c>
      <x:c r="G773" s="94" t="str">
        <x:v>购物广告</x:v>
      </x:c>
      <x:c r="H773" s="94" t="str">
        <x:v>SKU-0017</x:v>
      </x:c>
      <x:c r="I773" s="94" t="str">
        <x:v>家居生活</x:v>
      </x:c>
      <x:c r="J773" s="94" t="str">
        <x:v>落地灯 G</x:v>
      </x:c>
      <x:c r="K773" s="97" t="n">
        <x:v>171.07</x:v>
      </x:c>
      <x:c r="L773" s="95" t="n">
        <x:v>1</x:v>
      </x:c>
      <x:c r="M773" s="97" t="n">
        <x:f>ROUND(K773*L773,2)</x:f>
        <x:v>171.07</x:v>
      </x:c>
      <x:c r="N773" s="109" t="n">
        <x:v>0.07</x:v>
      </x:c>
      <x:c r="O773" s="97" t="n">
        <x:f>ROUND(M773*N773,2)</x:f>
        <x:v>11.97</x:v>
      </x:c>
      <x:c r="P773" s="94" t="str">
        <x:v>已确认</x:v>
      </x:c>
      <x:c r="Q773" s="97" t="n">
        <x:f>IF(P773="已退款",M773,0)</x:f>
        <x:v>0</x:v>
      </x:c>
      <x:c r="R773" s="97" t="n">
        <x:f>IF(P773="已退款",O773,0)</x:f>
        <x:v>0</x:v>
      </x:c>
      <x:c r="S773" s="97" t="n">
        <x:f>O773-R773</x:f>
        <x:v>11.97</x:v>
      </x:c>
      <x:c r="T773" s="94" t="n">
        <x:v>0</x:v>
      </x:c>
      <x:c r="U773" s="94" t="str">
        <x:v>模拟：Amazon Associates订单回传</x:v>
      </x:c>
    </x:row>
    <x:row r="774">
      <x:c r="A774" s="92" t="str">
        <x:v>AMZ-ORD-00773</x:v>
      </x:c>
      <x:c r="B774" s="94" t="str">
        <x:v>PROC-0771</x:v>
      </x:c>
      <x:c r="C774" s="108" t="n">
        <x:v>46166.569444444445</x:v>
      </x:c>
      <x:c r="D774" s="93" t="n">
        <x:v>46162</x:v>
      </x:c>
      <x:c r="E774" s="94" t="str">
        <x:v>Google Ads</x:v>
      </x:c>
      <x:c r="F774" s="94" t="str">
        <x:v>日本</x:v>
      </x:c>
      <x:c r="G774" s="94" t="str">
        <x:v>购物广告</x:v>
      </x:c>
      <x:c r="H774" s="94" t="str">
        <x:v>SKU-0022</x:v>
      </x:c>
      <x:c r="I774" s="94" t="str">
        <x:v>运动健康</x:v>
      </x:c>
      <x:c r="J774" s="94" t="str">
        <x:v>瑜伽套装 B</x:v>
      </x:c>
      <x:c r="K774" s="97" t="n">
        <x:v>190.55</x:v>
      </x:c>
      <x:c r="L774" s="95" t="n">
        <x:v>3</x:v>
      </x:c>
      <x:c r="M774" s="97" t="n">
        <x:f>ROUND(K774*L774,2)</x:f>
        <x:v>571.65</x:v>
      </x:c>
      <x:c r="N774" s="109" t="n">
        <x:v>0.08</x:v>
      </x:c>
      <x:c r="O774" s="97" t="n">
        <x:f>ROUND(M774*N774,2)</x:f>
        <x:v>45.73</x:v>
      </x:c>
      <x:c r="P774" s="94" t="str">
        <x:v>已确认</x:v>
      </x:c>
      <x:c r="Q774" s="97" t="n">
        <x:f>IF(P774="已退款",M774,0)</x:f>
        <x:v>0</x:v>
      </x:c>
      <x:c r="R774" s="97" t="n">
        <x:f>IF(P774="已退款",O774,0)</x:f>
        <x:v>0</x:v>
      </x:c>
      <x:c r="S774" s="97" t="n">
        <x:f>O774-R774</x:f>
        <x:v>45.73</x:v>
      </x:c>
      <x:c r="T774" s="94" t="n">
        <x:v>4</x:v>
      </x:c>
      <x:c r="U774" s="94" t="str">
        <x:v>模拟：Amazon Associates订单回传</x:v>
      </x:c>
    </x:row>
    <x:row r="775">
      <x:c r="A775" s="92" t="str">
        <x:v>AMZ-ORD-00774</x:v>
      </x:c>
      <x:c r="B775" s="94" t="str">
        <x:v>PROC-0772</x:v>
      </x:c>
      <x:c r="C775" s="108" t="n">
        <x:v>46163.6375</x:v>
      </x:c>
      <x:c r="D775" s="93" t="n">
        <x:v>46162</x:v>
      </x:c>
      <x:c r="E775" s="94" t="str">
        <x:v>Microsoft Ads</x:v>
      </x:c>
      <x:c r="F775" s="94" t="str">
        <x:v>英国</x:v>
      </x:c>
      <x:c r="G775" s="94" t="str">
        <x:v>购物广告</x:v>
      </x:c>
      <x:c r="H775" s="94" t="str">
        <x:v>SKU-0018</x:v>
      </x:c>
      <x:c r="I775" s="94" t="str">
        <x:v>家居生活</x:v>
      </x:c>
      <x:c r="J775" s="94" t="str">
        <x:v>收纳组合 H</x:v>
      </x:c>
      <x:c r="K775" s="97" t="n">
        <x:v>174.36</x:v>
      </x:c>
      <x:c r="L775" s="95" t="n">
        <x:v>1</x:v>
      </x:c>
      <x:c r="M775" s="97" t="n">
        <x:f>ROUND(K775*L775,2)</x:f>
        <x:v>174.36</x:v>
      </x:c>
      <x:c r="N775" s="109" t="n">
        <x:v>0.07</x:v>
      </x:c>
      <x:c r="O775" s="97" t="n">
        <x:f>ROUND(M775*N775,2)</x:f>
        <x:v>12.21</x:v>
      </x:c>
      <x:c r="P775" s="94" t="str">
        <x:v>已确认</x:v>
      </x:c>
      <x:c r="Q775" s="97" t="n">
        <x:f>IF(P775="已退款",M775,0)</x:f>
        <x:v>0</x:v>
      </x:c>
      <x:c r="R775" s="97" t="n">
        <x:f>IF(P775="已退款",O775,0)</x:f>
        <x:v>0</x:v>
      </x:c>
      <x:c r="S775" s="97" t="n">
        <x:f>O775-R775</x:f>
        <x:v>12.21</x:v>
      </x:c>
      <x:c r="T775" s="94" t="n">
        <x:v>1</x:v>
      </x:c>
      <x:c r="U775" s="94" t="str">
        <x:v>模拟：Amazon Associates订单回传</x:v>
      </x:c>
    </x:row>
    <x:row r="776">
      <x:c r="A776" s="92" t="str">
        <x:v>AMZ-ORD-00775</x:v>
      </x:c>
      <x:c r="B776" s="94" t="str">
        <x:v>PROC-0773</x:v>
      </x:c>
      <x:c r="C776" s="108" t="n">
        <x:v>46166.822916666664</x:v>
      </x:c>
      <x:c r="D776" s="93" t="n">
        <x:v>46162</x:v>
      </x:c>
      <x:c r="E776" s="94" t="str">
        <x:v>Microsoft Ads</x:v>
      </x:c>
      <x:c r="F776" s="94" t="str">
        <x:v>美国</x:v>
      </x:c>
      <x:c r="G776" s="94" t="str">
        <x:v>购物广告</x:v>
      </x:c>
      <x:c r="H776" s="94" t="str">
        <x:v>SKU-0003</x:v>
      </x:c>
      <x:c r="I776" s="94" t="str">
        <x:v>电子产品</x:v>
      </x:c>
      <x:c r="J776" s="94" t="str">
        <x:v>智能家居中枢 C</x:v>
      </x:c>
      <x:c r="K776" s="97" t="n">
        <x:v>594.53</x:v>
      </x:c>
      <x:c r="L776" s="95" t="n">
        <x:v>1</x:v>
      </x:c>
      <x:c r="M776" s="97" t="n">
        <x:f>ROUND(K776*L776,2)</x:f>
        <x:v>594.53</x:v>
      </x:c>
      <x:c r="N776" s="109" t="n">
        <x:v>0.05</x:v>
      </x:c>
      <x:c r="O776" s="97" t="n">
        <x:f>ROUND(M776*N776,2)</x:f>
        <x:v>29.73</x:v>
      </x:c>
      <x:c r="P776" s="94" t="str">
        <x:v>已确认</x:v>
      </x:c>
      <x:c r="Q776" s="97" t="n">
        <x:f>IF(P776="已退款",M776,0)</x:f>
        <x:v>0</x:v>
      </x:c>
      <x:c r="R776" s="97" t="n">
        <x:f>IF(P776="已退款",O776,0)</x:f>
        <x:v>0</x:v>
      </x:c>
      <x:c r="S776" s="97" t="n">
        <x:f>O776-R776</x:f>
        <x:v>29.73</x:v>
      </x:c>
      <x:c r="T776" s="94" t="n">
        <x:v>4</x:v>
      </x:c>
      <x:c r="U776" s="94" t="str">
        <x:v>模拟：Amazon Associates订单回传</x:v>
      </x:c>
    </x:row>
    <x:row r="777">
      <x:c r="A777" s="92" t="str">
        <x:v>AMZ-ORD-00776</x:v>
      </x:c>
      <x:c r="B777" s="94" t="str">
        <x:v>PROC-0774</x:v>
      </x:c>
      <x:c r="C777" s="108" t="n">
        <x:v>46165.88125</x:v>
      </x:c>
      <x:c r="D777" s="93" t="n">
        <x:v>46162</x:v>
      </x:c>
      <x:c r="E777" s="94" t="str">
        <x:v>Google Ads</x:v>
      </x:c>
      <x:c r="F777" s="94" t="str">
        <x:v>美国</x:v>
      </x:c>
      <x:c r="G777" s="94" t="str">
        <x:v>品牌搜索</x:v>
      </x:c>
      <x:c r="H777" s="94" t="str">
        <x:v>SKU-0040</x:v>
      </x:c>
      <x:c r="I777" s="94" t="str">
        <x:v>美妆个护</x:v>
      </x:c>
      <x:c r="J777" s="94" t="str">
        <x:v>旅行护理套装 J</x:v>
      </x:c>
      <x:c r="K777" s="97" t="n">
        <x:v>91.2</x:v>
      </x:c>
      <x:c r="L777" s="95" t="n">
        <x:v>1</x:v>
      </x:c>
      <x:c r="M777" s="97" t="n">
        <x:f>ROUND(K777*L777,2)</x:f>
        <x:v>91.2</x:v>
      </x:c>
      <x:c r="N777" s="109" t="n">
        <x:v>0.1</x:v>
      </x:c>
      <x:c r="O777" s="97" t="n">
        <x:f>ROUND(M777*N777,2)</x:f>
        <x:v>9.12</x:v>
      </x:c>
      <x:c r="P777" s="94" t="str">
        <x:v>待确认</x:v>
      </x:c>
      <x:c r="Q777" s="97" t="n">
        <x:f>IF(P777="已退款",M777,0)</x:f>
        <x:v>0</x:v>
      </x:c>
      <x:c r="R777" s="97" t="n">
        <x:f>IF(P777="已退款",O777,0)</x:f>
        <x:v>0</x:v>
      </x:c>
      <x:c r="S777" s="97" t="n">
        <x:f>O777-R777</x:f>
        <x:v>9.12</x:v>
      </x:c>
      <x:c r="T777" s="94" t="n">
        <x:v>3</x:v>
      </x:c>
      <x:c r="U777" s="94" t="str">
        <x:v>模拟：Amazon Associates订单回传</x:v>
      </x:c>
    </x:row>
    <x:row r="778">
      <x:c r="A778" s="92" t="str">
        <x:v>AMZ-ORD-00777</x:v>
      </x:c>
      <x:c r="B778" s="94" t="str">
        <x:v>PROC-0774</x:v>
      </x:c>
      <x:c r="C778" s="108" t="n">
        <x:v>46166.69097222222</x:v>
      </x:c>
      <x:c r="D778" s="93" t="n">
        <x:v>46162</x:v>
      </x:c>
      <x:c r="E778" s="94" t="str">
        <x:v>Google Ads</x:v>
      </x:c>
      <x:c r="F778" s="94" t="str">
        <x:v>美国</x:v>
      </x:c>
      <x:c r="G778" s="94" t="str">
        <x:v>品牌搜索</x:v>
      </x:c>
      <x:c r="H778" s="94" t="str">
        <x:v>SKU-0048</x:v>
      </x:c>
      <x:c r="I778" s="94" t="str">
        <x:v>办公学习</x:v>
      </x:c>
      <x:c r="J778" s="94" t="str">
        <x:v>阅读支架 H</x:v>
      </x:c>
      <x:c r="K778" s="97" t="n">
        <x:v>136.83</x:v>
      </x:c>
      <x:c r="L778" s="95" t="n">
        <x:v>3</x:v>
      </x:c>
      <x:c r="M778" s="97" t="n">
        <x:f>ROUND(K778*L778,2)</x:f>
        <x:v>410.49</x:v>
      </x:c>
      <x:c r="N778" s="109" t="n">
        <x:v>0.07</x:v>
      </x:c>
      <x:c r="O778" s="97" t="n">
        <x:f>ROUND(M778*N778,2)</x:f>
        <x:v>28.73</x:v>
      </x:c>
      <x:c r="P778" s="94" t="str">
        <x:v>已确认</x:v>
      </x:c>
      <x:c r="Q778" s="97" t="n">
        <x:f>IF(P778="已退款",M778,0)</x:f>
        <x:v>0</x:v>
      </x:c>
      <x:c r="R778" s="97" t="n">
        <x:f>IF(P778="已退款",O778,0)</x:f>
        <x:v>0</x:v>
      </x:c>
      <x:c r="S778" s="97" t="n">
        <x:f>O778-R778</x:f>
        <x:v>28.73</x:v>
      </x:c>
      <x:c r="T778" s="94" t="n">
        <x:v>4</x:v>
      </x:c>
      <x:c r="U778" s="94" t="str">
        <x:v>模拟：Amazon Associates订单回传</x:v>
      </x:c>
    </x:row>
    <x:row r="779">
      <x:c r="A779" s="92" t="str">
        <x:v>AMZ-ORD-00778</x:v>
      </x:c>
      <x:c r="B779" s="94" t="str">
        <x:v>PROC-0776</x:v>
      </x:c>
      <x:c r="C779" s="108" t="n">
        <x:v>46163.77013888889</x:v>
      </x:c>
      <x:c r="D779" s="93" t="n">
        <x:v>46163</x:v>
      </x:c>
      <x:c r="E779" s="94" t="str">
        <x:v>Google Ads</x:v>
      </x:c>
      <x:c r="F779" s="94" t="str">
        <x:v>美国</x:v>
      </x:c>
      <x:c r="G779" s="94" t="str">
        <x:v>购物广告</x:v>
      </x:c>
      <x:c r="H779" s="94" t="str">
        <x:v>SKU-0021</x:v>
      </x:c>
      <x:c r="I779" s="94" t="str">
        <x:v>运动健康</x:v>
      </x:c>
      <x:c r="J779" s="94" t="str">
        <x:v>智能手表 A</x:v>
      </x:c>
      <x:c r="K779" s="97" t="n">
        <x:v>258.19</x:v>
      </x:c>
      <x:c r="L779" s="95" t="n">
        <x:v>1</x:v>
      </x:c>
      <x:c r="M779" s="97" t="n">
        <x:f>ROUND(K779*L779,2)</x:f>
        <x:v>258.19</x:v>
      </x:c>
      <x:c r="N779" s="109" t="n">
        <x:v>0.08</x:v>
      </x:c>
      <x:c r="O779" s="97" t="n">
        <x:f>ROUND(M779*N779,2)</x:f>
        <x:v>20.66</x:v>
      </x:c>
      <x:c r="P779" s="94" t="str">
        <x:v>已确认</x:v>
      </x:c>
      <x:c r="Q779" s="97" t="n">
        <x:f>IF(P779="已退款",M779,0)</x:f>
        <x:v>0</x:v>
      </x:c>
      <x:c r="R779" s="97" t="n">
        <x:f>IF(P779="已退款",O779,0)</x:f>
        <x:v>0</x:v>
      </x:c>
      <x:c r="S779" s="97" t="n">
        <x:f>O779-R779</x:f>
        <x:v>20.66</x:v>
      </x:c>
      <x:c r="T779" s="94" t="n">
        <x:v>0</x:v>
      </x:c>
      <x:c r="U779" s="94" t="str">
        <x:v>模拟：Amazon Associates订单回传</x:v>
      </x:c>
    </x:row>
    <x:row r="780">
      <x:c r="A780" s="92" t="str">
        <x:v>AMZ-ORD-00779</x:v>
      </x:c>
      <x:c r="B780" s="94" t="str">
        <x:v>PROC-0777</x:v>
      </x:c>
      <x:c r="C780" s="108" t="n">
        <x:v>46164.75208333333</x:v>
      </x:c>
      <x:c r="D780" s="93" t="n">
        <x:v>46163</x:v>
      </x:c>
      <x:c r="E780" s="94" t="str">
        <x:v>Google Ads</x:v>
      </x:c>
      <x:c r="F780" s="94" t="str">
        <x:v>美国</x:v>
      </x:c>
      <x:c r="G780" s="94" t="str">
        <x:v>品牌搜索</x:v>
      </x:c>
      <x:c r="H780" s="94" t="str">
        <x:v>SKU-0010</x:v>
      </x:c>
      <x:c r="I780" s="94" t="str">
        <x:v>电子产品</x:v>
      </x:c>
      <x:c r="J780" s="94" t="str">
        <x:v>多口扩展坞 J</x:v>
      </x:c>
      <x:c r="K780" s="97" t="n">
        <x:v>278.65</x:v>
      </x:c>
      <x:c r="L780" s="95" t="n">
        <x:v>1</x:v>
      </x:c>
      <x:c r="M780" s="97" t="n">
        <x:f>ROUND(K780*L780,2)</x:f>
        <x:v>278.65</x:v>
      </x:c>
      <x:c r="N780" s="109" t="n">
        <x:v>0.05</x:v>
      </x:c>
      <x:c r="O780" s="97" t="n">
        <x:f>ROUND(M780*N780,2)</x:f>
        <x:v>13.93</x:v>
      </x:c>
      <x:c r="P780" s="94" t="str">
        <x:v>已确认</x:v>
      </x:c>
      <x:c r="Q780" s="97" t="n">
        <x:f>IF(P780="已退款",M780,0)</x:f>
        <x:v>0</x:v>
      </x:c>
      <x:c r="R780" s="97" t="n">
        <x:f>IF(P780="已退款",O780,0)</x:f>
        <x:v>0</x:v>
      </x:c>
      <x:c r="S780" s="97" t="n">
        <x:f>O780-R780</x:f>
        <x:v>13.93</x:v>
      </x:c>
      <x:c r="T780" s="94" t="n">
        <x:v>1</x:v>
      </x:c>
      <x:c r="U780" s="94" t="str">
        <x:v>模拟：Amazon Associates订单回传</x:v>
      </x:c>
    </x:row>
    <x:row r="781">
      <x:c r="A781" s="92" t="str">
        <x:v>AMZ-ORD-00780</x:v>
      </x:c>
      <x:c r="B781" s="94" t="str">
        <x:v>PROC-0777</x:v>
      </x:c>
      <x:c r="C781" s="108" t="n">
        <x:v>46163.774305555555</x:v>
      </x:c>
      <x:c r="D781" s="93" t="n">
        <x:v>46163</x:v>
      </x:c>
      <x:c r="E781" s="94" t="str">
        <x:v>Google Ads</x:v>
      </x:c>
      <x:c r="F781" s="94" t="str">
        <x:v>美国</x:v>
      </x:c>
      <x:c r="G781" s="94" t="str">
        <x:v>品牌搜索</x:v>
      </x:c>
      <x:c r="H781" s="94" t="str">
        <x:v>SKU-0013</x:v>
      </x:c>
      <x:c r="I781" s="94" t="str">
        <x:v>家居生活</x:v>
      </x:c>
      <x:c r="J781" s="94" t="str">
        <x:v>人体工学椅 C</x:v>
      </x:c>
      <x:c r="K781" s="97" t="n">
        <x:v>238.2</x:v>
      </x:c>
      <x:c r="L781" s="95" t="n">
        <x:v>1</x:v>
      </x:c>
      <x:c r="M781" s="97" t="n">
        <x:f>ROUND(K781*L781,2)</x:f>
        <x:v>238.2</x:v>
      </x:c>
      <x:c r="N781" s="109" t="n">
        <x:v>0.07</x:v>
      </x:c>
      <x:c r="O781" s="97" t="n">
        <x:f>ROUND(M781*N781,2)</x:f>
        <x:v>16.67</x:v>
      </x:c>
      <x:c r="P781" s="94" t="str">
        <x:v>已确认</x:v>
      </x:c>
      <x:c r="Q781" s="97" t="n">
        <x:f>IF(P781="已退款",M781,0)</x:f>
        <x:v>0</x:v>
      </x:c>
      <x:c r="R781" s="97" t="n">
        <x:f>IF(P781="已退款",O781,0)</x:f>
        <x:v>0</x:v>
      </x:c>
      <x:c r="S781" s="97" t="n">
        <x:f>O781-R781</x:f>
        <x:v>16.67</x:v>
      </x:c>
      <x:c r="T781" s="94" t="n">
        <x:v>0</x:v>
      </x:c>
      <x:c r="U781" s="94" t="str">
        <x:v>模拟：Amazon Associates订单回传</x:v>
      </x:c>
    </x:row>
    <x:row r="782">
      <x:c r="A782" s="92" t="str">
        <x:v>AMZ-ORD-00781</x:v>
      </x:c>
      <x:c r="B782" s="94" t="str">
        <x:v>PROC-0779</x:v>
      </x:c>
      <x:c r="C782" s="108" t="n">
        <x:v>46165.58263888889</x:v>
      </x:c>
      <x:c r="D782" s="93" t="n">
        <x:v>46163</x:v>
      </x:c>
      <x:c r="E782" s="94" t="str">
        <x:v>Google Ads</x:v>
      </x:c>
      <x:c r="F782" s="94" t="str">
        <x:v>英国</x:v>
      </x:c>
      <x:c r="G782" s="94" t="str">
        <x:v>品牌搜索</x:v>
      </x:c>
      <x:c r="H782" s="94" t="str">
        <x:v>SKU-0028</x:v>
      </x:c>
      <x:c r="I782" s="94" t="str">
        <x:v>运动健康</x:v>
      </x:c>
      <x:c r="J782" s="94" t="str">
        <x:v>体脂秤 H</x:v>
      </x:c>
      <x:c r="K782" s="97" t="n">
        <x:v>270.23</x:v>
      </x:c>
      <x:c r="L782" s="95" t="n">
        <x:v>1</x:v>
      </x:c>
      <x:c r="M782" s="97" t="n">
        <x:f>ROUND(K782*L782,2)</x:f>
        <x:v>270.23</x:v>
      </x:c>
      <x:c r="N782" s="109" t="n">
        <x:v>0.08</x:v>
      </x:c>
      <x:c r="O782" s="97" t="n">
        <x:f>ROUND(M782*N782,2)</x:f>
        <x:v>21.62</x:v>
      </x:c>
      <x:c r="P782" s="94" t="str">
        <x:v>已退款</x:v>
      </x:c>
      <x:c r="Q782" s="97" t="n">
        <x:f>IF(P782="已退款",M782,0)</x:f>
        <x:v>270.23</x:v>
      </x:c>
      <x:c r="R782" s="97" t="n">
        <x:f>IF(P782="已退款",O782,0)</x:f>
        <x:v>21.62</x:v>
      </x:c>
      <x:c r="S782" s="97" t="n">
        <x:f>O782-R782</x:f>
        <x:v>0</x:v>
      </x:c>
      <x:c r="T782" s="94" t="n">
        <x:v>2</x:v>
      </x:c>
      <x:c r="U782" s="94" t="str">
        <x:v>模拟：Amazon Associates订单回传</x:v>
      </x:c>
    </x:row>
    <x:row r="783">
      <x:c r="A783" s="92" t="str">
        <x:v>AMZ-ORD-00782</x:v>
      </x:c>
      <x:c r="B783" s="94" t="str">
        <x:v>PROC-0780</x:v>
      </x:c>
      <x:c r="C783" s="108" t="n">
        <x:v>46163.39097222222</x:v>
      </x:c>
      <x:c r="D783" s="93" t="n">
        <x:v>46163</x:v>
      </x:c>
      <x:c r="E783" s="94" t="str">
        <x:v>Google Ads</x:v>
      </x:c>
      <x:c r="F783" s="94" t="str">
        <x:v>美国</x:v>
      </x:c>
      <x:c r="G783" s="94" t="str">
        <x:v>品牌搜索</x:v>
      </x:c>
      <x:c r="H783" s="94" t="str">
        <x:v>SKU-0018</x:v>
      </x:c>
      <x:c r="I783" s="94" t="str">
        <x:v>家居生活</x:v>
      </x:c>
      <x:c r="J783" s="94" t="str">
        <x:v>收纳组合 H</x:v>
      </x:c>
      <x:c r="K783" s="97" t="n">
        <x:v>156.91</x:v>
      </x:c>
      <x:c r="L783" s="95" t="n">
        <x:v>1</x:v>
      </x:c>
      <x:c r="M783" s="97" t="n">
        <x:f>ROUND(K783*L783,2)</x:f>
        <x:v>156.91</x:v>
      </x:c>
      <x:c r="N783" s="109" t="n">
        <x:v>0.07</x:v>
      </x:c>
      <x:c r="O783" s="97" t="n">
        <x:f>ROUND(M783*N783,2)</x:f>
        <x:v>10.98</x:v>
      </x:c>
      <x:c r="P783" s="94" t="str">
        <x:v>已确认</x:v>
      </x:c>
      <x:c r="Q783" s="97" t="n">
        <x:f>IF(P783="已退款",M783,0)</x:f>
        <x:v>0</x:v>
      </x:c>
      <x:c r="R783" s="97" t="n">
        <x:f>IF(P783="已退款",O783,0)</x:f>
        <x:v>0</x:v>
      </x:c>
      <x:c r="S783" s="97" t="n">
        <x:f>O783-R783</x:f>
        <x:v>10.98</x:v>
      </x:c>
      <x:c r="T783" s="94" t="n">
        <x:v>0</x:v>
      </x:c>
      <x:c r="U783" s="94" t="str">
        <x:v>模拟：Amazon Associates订单回传</x:v>
      </x:c>
    </x:row>
    <x:row r="784">
      <x:c r="A784" s="92" t="str">
        <x:v>AMZ-ORD-00783</x:v>
      </x:c>
      <x:c r="B784" s="94" t="str">
        <x:v>PROC-0780</x:v>
      </x:c>
      <x:c r="C784" s="108" t="n">
        <x:v>46164.71041666667</x:v>
      </x:c>
      <x:c r="D784" s="93" t="n">
        <x:v>46163</x:v>
      </x:c>
      <x:c r="E784" s="94" t="str">
        <x:v>Google Ads</x:v>
      </x:c>
      <x:c r="F784" s="94" t="str">
        <x:v>美国</x:v>
      </x:c>
      <x:c r="G784" s="94" t="str">
        <x:v>品牌搜索</x:v>
      </x:c>
      <x:c r="H784" s="94" t="str">
        <x:v>SKU-0016</x:v>
      </x:c>
      <x:c r="I784" s="94" t="str">
        <x:v>家居生活</x:v>
      </x:c>
      <x:c r="J784" s="94" t="str">
        <x:v>厨师机 F</x:v>
      </x:c>
      <x:c r="K784" s="97" t="n">
        <x:v>315.76</x:v>
      </x:c>
      <x:c r="L784" s="95" t="n">
        <x:v>1</x:v>
      </x:c>
      <x:c r="M784" s="97" t="n">
        <x:f>ROUND(K784*L784,2)</x:f>
        <x:v>315.76</x:v>
      </x:c>
      <x:c r="N784" s="109" t="n">
        <x:v>0.07</x:v>
      </x:c>
      <x:c r="O784" s="97" t="n">
        <x:f>ROUND(M784*N784,2)</x:f>
        <x:v>22.1</x:v>
      </x:c>
      <x:c r="P784" s="94" t="str">
        <x:v>已确认</x:v>
      </x:c>
      <x:c r="Q784" s="97" t="n">
        <x:f>IF(P784="已退款",M784,0)</x:f>
        <x:v>0</x:v>
      </x:c>
      <x:c r="R784" s="97" t="n">
        <x:f>IF(P784="已退款",O784,0)</x:f>
        <x:v>0</x:v>
      </x:c>
      <x:c r="S784" s="97" t="n">
        <x:f>O784-R784</x:f>
        <x:v>22.1</x:v>
      </x:c>
      <x:c r="T784" s="94" t="n">
        <x:v>1</x:v>
      </x:c>
      <x:c r="U784" s="94" t="str">
        <x:v>模拟：Amazon Associates订单回传</x:v>
      </x:c>
    </x:row>
    <x:row r="785">
      <x:c r="A785" s="92" t="str">
        <x:v>AMZ-ORD-00784</x:v>
      </x:c>
      <x:c r="B785" s="94" t="str">
        <x:v>PROC-0781</x:v>
      </x:c>
      <x:c r="C785" s="108" t="n">
        <x:v>46166.87013888889</x:v>
      </x:c>
      <x:c r="D785" s="93" t="n">
        <x:v>46164</x:v>
      </x:c>
      <x:c r="E785" s="94" t="str">
        <x:v>Google Ads</x:v>
      </x:c>
      <x:c r="F785" s="94" t="str">
        <x:v>美国</x:v>
      </x:c>
      <x:c r="G785" s="94" t="str">
        <x:v>竞品搜索</x:v>
      </x:c>
      <x:c r="H785" s="94" t="str">
        <x:v>SKU-0022</x:v>
      </x:c>
      <x:c r="I785" s="94" t="str">
        <x:v>运动健康</x:v>
      </x:c>
      <x:c r="J785" s="94" t="str">
        <x:v>瑜伽套装 B</x:v>
      </x:c>
      <x:c r="K785" s="97" t="n">
        <x:v>168.19</x:v>
      </x:c>
      <x:c r="L785" s="95" t="n">
        <x:v>1</x:v>
      </x:c>
      <x:c r="M785" s="97" t="n">
        <x:f>ROUND(K785*L785,2)</x:f>
        <x:v>168.19</x:v>
      </x:c>
      <x:c r="N785" s="109" t="n">
        <x:v>0.08</x:v>
      </x:c>
      <x:c r="O785" s="97" t="n">
        <x:f>ROUND(M785*N785,2)</x:f>
        <x:v>13.46</x:v>
      </x:c>
      <x:c r="P785" s="94" t="str">
        <x:v>已确认</x:v>
      </x:c>
      <x:c r="Q785" s="97" t="n">
        <x:f>IF(P785="已退款",M785,0)</x:f>
        <x:v>0</x:v>
      </x:c>
      <x:c r="R785" s="97" t="n">
        <x:f>IF(P785="已退款",O785,0)</x:f>
        <x:v>0</x:v>
      </x:c>
      <x:c r="S785" s="97" t="n">
        <x:f>O785-R785</x:f>
        <x:v>13.46</x:v>
      </x:c>
      <x:c r="T785" s="94" t="n">
        <x:v>2</x:v>
      </x:c>
      <x:c r="U785" s="94" t="str">
        <x:v>模拟：Amazon Associates订单回传</x:v>
      </x:c>
    </x:row>
    <x:row r="786">
      <x:c r="A786" s="92" t="str">
        <x:v>AMZ-ORD-00785</x:v>
      </x:c>
      <x:c r="B786" s="94" t="str">
        <x:v>PROC-0782</x:v>
      </x:c>
      <x:c r="C786" s="108" t="n">
        <x:v>46164.595138888886</x:v>
      </x:c>
      <x:c r="D786" s="93" t="n">
        <x:v>46164</x:v>
      </x:c>
      <x:c r="E786" s="94" t="str">
        <x:v>Google Ads</x:v>
      </x:c>
      <x:c r="F786" s="94" t="str">
        <x:v>美国</x:v>
      </x:c>
      <x:c r="G786" s="94" t="str">
        <x:v>通用搜索</x:v>
      </x:c>
      <x:c r="H786" s="94" t="str">
        <x:v>SKU-0022</x:v>
      </x:c>
      <x:c r="I786" s="94" t="str">
        <x:v>运动健康</x:v>
      </x:c>
      <x:c r="J786" s="94" t="str">
        <x:v>瑜伽套装 B</x:v>
      </x:c>
      <x:c r="K786" s="97" t="n">
        <x:v>136.4</x:v>
      </x:c>
      <x:c r="L786" s="95" t="n">
        <x:v>1</x:v>
      </x:c>
      <x:c r="M786" s="97" t="n">
        <x:f>ROUND(K786*L786,2)</x:f>
        <x:v>136.4</x:v>
      </x:c>
      <x:c r="N786" s="109" t="n">
        <x:v>0.08</x:v>
      </x:c>
      <x:c r="O786" s="97" t="n">
        <x:f>ROUND(M786*N786,2)</x:f>
        <x:v>10.91</x:v>
      </x:c>
      <x:c r="P786" s="94" t="str">
        <x:v>已退款</x:v>
      </x:c>
      <x:c r="Q786" s="97" t="n">
        <x:f>IF(P786="已退款",M786,0)</x:f>
        <x:v>136.4</x:v>
      </x:c>
      <x:c r="R786" s="97" t="n">
        <x:f>IF(P786="已退款",O786,0)</x:f>
        <x:v>10.91</x:v>
      </x:c>
      <x:c r="S786" s="97" t="n">
        <x:f>O786-R786</x:f>
        <x:v>0</x:v>
      </x:c>
      <x:c r="T786" s="94" t="n">
        <x:v>0</x:v>
      </x:c>
      <x:c r="U786" s="94" t="str">
        <x:v>模拟：Amazon Associates订单回传</x:v>
      </x:c>
    </x:row>
    <x:row r="787">
      <x:c r="A787" s="92" t="str">
        <x:v>AMZ-ORD-00786</x:v>
      </x:c>
      <x:c r="B787" s="94" t="str">
        <x:v>PROC-0783</x:v>
      </x:c>
      <x:c r="C787" s="108" t="n">
        <x:v>46166.381944444445</x:v>
      </x:c>
      <x:c r="D787" s="93" t="n">
        <x:v>46164</x:v>
      </x:c>
      <x:c r="E787" s="94" t="str">
        <x:v>Google Ads</x:v>
      </x:c>
      <x:c r="F787" s="94" t="str">
        <x:v>德国</x:v>
      </x:c>
      <x:c r="G787" s="94" t="str">
        <x:v>竞品搜索</x:v>
      </x:c>
      <x:c r="H787" s="94" t="str">
        <x:v>SKU-0029</x:v>
      </x:c>
      <x:c r="I787" s="94" t="str">
        <x:v>运动健康</x:v>
      </x:c>
      <x:c r="J787" s="94" t="str">
        <x:v>运动耳机 I</x:v>
      </x:c>
      <x:c r="K787" s="97" t="n">
        <x:v>144.82</x:v>
      </x:c>
      <x:c r="L787" s="95" t="n">
        <x:v>1</x:v>
      </x:c>
      <x:c r="M787" s="97" t="n">
        <x:f>ROUND(K787*L787,2)</x:f>
        <x:v>144.82</x:v>
      </x:c>
      <x:c r="N787" s="109" t="n">
        <x:v>0.08</x:v>
      </x:c>
      <x:c r="O787" s="97" t="n">
        <x:f>ROUND(M787*N787,2)</x:f>
        <x:v>11.59</x:v>
      </x:c>
      <x:c r="P787" s="94" t="str">
        <x:v>已确认</x:v>
      </x:c>
      <x:c r="Q787" s="97" t="n">
        <x:f>IF(P787="已退款",M787,0)</x:f>
        <x:v>0</x:v>
      </x:c>
      <x:c r="R787" s="97" t="n">
        <x:f>IF(P787="已退款",O787,0)</x:f>
        <x:v>0</x:v>
      </x:c>
      <x:c r="S787" s="97" t="n">
        <x:f>O787-R787</x:f>
        <x:v>11.59</x:v>
      </x:c>
      <x:c r="T787" s="94" t="n">
        <x:v>2</x:v>
      </x:c>
      <x:c r="U787" s="94" t="str">
        <x:v>模拟：Amazon Associates订单回传</x:v>
      </x:c>
    </x:row>
    <x:row r="788">
      <x:c r="A788" s="92" t="str">
        <x:v>AMZ-ORD-00787</x:v>
      </x:c>
      <x:c r="B788" s="94" t="str">
        <x:v>PROC-0785</x:v>
      </x:c>
      <x:c r="C788" s="108" t="n">
        <x:v>46166.910416666666</x:v>
      </x:c>
      <x:c r="D788" s="93" t="n">
        <x:v>46164</x:v>
      </x:c>
      <x:c r="E788" s="94" t="str">
        <x:v>Google Ads</x:v>
      </x:c>
      <x:c r="F788" s="94" t="str">
        <x:v>德国</x:v>
      </x:c>
      <x:c r="G788" s="94" t="str">
        <x:v>购物广告</x:v>
      </x:c>
      <x:c r="H788" s="94" t="str">
        <x:v>SKU-0017</x:v>
      </x:c>
      <x:c r="I788" s="94" t="str">
        <x:v>家居生活</x:v>
      </x:c>
      <x:c r="J788" s="94" t="str">
        <x:v>落地灯 G</x:v>
      </x:c>
      <x:c r="K788" s="97" t="n">
        <x:v>158.09</x:v>
      </x:c>
      <x:c r="L788" s="95" t="n">
        <x:v>1</x:v>
      </x:c>
      <x:c r="M788" s="97" t="n">
        <x:f>ROUND(K788*L788,2)</x:f>
        <x:v>158.09</x:v>
      </x:c>
      <x:c r="N788" s="109" t="n">
        <x:v>0.07</x:v>
      </x:c>
      <x:c r="O788" s="97" t="n">
        <x:f>ROUND(M788*N788,2)</x:f>
        <x:v>11.07</x:v>
      </x:c>
      <x:c r="P788" s="94" t="str">
        <x:v>已确认</x:v>
      </x:c>
      <x:c r="Q788" s="97" t="n">
        <x:f>IF(P788="已退款",M788,0)</x:f>
        <x:v>0</x:v>
      </x:c>
      <x:c r="R788" s="97" t="n">
        <x:f>IF(P788="已退款",O788,0)</x:f>
        <x:v>0</x:v>
      </x:c>
      <x:c r="S788" s="97" t="n">
        <x:f>O788-R788</x:f>
        <x:v>11.07</x:v>
      </x:c>
      <x:c r="T788" s="94" t="n">
        <x:v>2</x:v>
      </x:c>
      <x:c r="U788" s="94" t="str">
        <x:v>模拟：Amazon Associates订单回传</x:v>
      </x:c>
    </x:row>
    <x:row r="789">
      <x:c r="A789" s="92" t="str">
        <x:v>AMZ-ORD-00788</x:v>
      </x:c>
      <x:c r="B789" s="94" t="str">
        <x:v>PROC-0786</x:v>
      </x:c>
      <x:c r="C789" s="108" t="n">
        <x:v>46166.620833333334</x:v>
      </x:c>
      <x:c r="D789" s="93" t="n">
        <x:v>46165</x:v>
      </x:c>
      <x:c r="E789" s="94" t="str">
        <x:v>Google Ads</x:v>
      </x:c>
      <x:c r="F789" s="94" t="str">
        <x:v>日本</x:v>
      </x:c>
      <x:c r="G789" s="94" t="str">
        <x:v>品牌搜索</x:v>
      </x:c>
      <x:c r="H789" s="94" t="str">
        <x:v>SKU-0015</x:v>
      </x:c>
      <x:c r="I789" s="94" t="str">
        <x:v>家居生活</x:v>
      </x:c>
      <x:c r="J789" s="94" t="str">
        <x:v>床品套装 E</x:v>
      </x:c>
      <x:c r="K789" s="97" t="n">
        <x:v>98.93</x:v>
      </x:c>
      <x:c r="L789" s="95" t="n">
        <x:v>1</x:v>
      </x:c>
      <x:c r="M789" s="97" t="n">
        <x:f>ROUND(K789*L789,2)</x:f>
        <x:v>98.93</x:v>
      </x:c>
      <x:c r="N789" s="109" t="n">
        <x:v>0.07</x:v>
      </x:c>
      <x:c r="O789" s="97" t="n">
        <x:f>ROUND(M789*N789,2)</x:f>
        <x:v>6.93</x:v>
      </x:c>
      <x:c r="P789" s="94" t="str">
        <x:v>已确认</x:v>
      </x:c>
      <x:c r="Q789" s="97" t="n">
        <x:f>IF(P789="已退款",M789,0)</x:f>
        <x:v>0</x:v>
      </x:c>
      <x:c r="R789" s="97" t="n">
        <x:f>IF(P789="已退款",O789,0)</x:f>
        <x:v>0</x:v>
      </x:c>
      <x:c r="S789" s="97" t="n">
        <x:f>O789-R789</x:f>
        <x:v>6.93</x:v>
      </x:c>
      <x:c r="T789" s="94" t="n">
        <x:v>1</x:v>
      </x:c>
      <x:c r="U789" s="94" t="str">
        <x:v>模拟：Amazon Associates订单回传</x:v>
      </x:c>
    </x:row>
    <x:row r="790">
      <x:c r="A790" s="92" t="str">
        <x:v>AMZ-ORD-00789</x:v>
      </x:c>
      <x:c r="B790" s="94" t="str">
        <x:v>PROC-0787</x:v>
      </x:c>
      <x:c r="C790" s="108" t="n">
        <x:v>46169.70208333333</x:v>
      </x:c>
      <x:c r="D790" s="93" t="n">
        <x:v>46165</x:v>
      </x:c>
      <x:c r="E790" s="94" t="str">
        <x:v>Google Ads</x:v>
      </x:c>
      <x:c r="F790" s="94" t="str">
        <x:v>英国</x:v>
      </x:c>
      <x:c r="G790" s="94" t="str">
        <x:v>通用搜索</x:v>
      </x:c>
      <x:c r="H790" s="94" t="str">
        <x:v>SKU-0042</x:v>
      </x:c>
      <x:c r="I790" s="94" t="str">
        <x:v>办公学习</x:v>
      </x:c>
      <x:c r="J790" s="94" t="str">
        <x:v>护眼台灯 B</x:v>
      </x:c>
      <x:c r="K790" s="97" t="n">
        <x:v>134.2</x:v>
      </x:c>
      <x:c r="L790" s="95" t="n">
        <x:v>1</x:v>
      </x:c>
      <x:c r="M790" s="97" t="n">
        <x:f>ROUND(K790*L790,2)</x:f>
        <x:v>134.2</x:v>
      </x:c>
      <x:c r="N790" s="109" t="n">
        <x:v>0.07</x:v>
      </x:c>
      <x:c r="O790" s="97" t="n">
        <x:f>ROUND(M790*N790,2)</x:f>
        <x:v>9.39</x:v>
      </x:c>
      <x:c r="P790" s="94" t="str">
        <x:v>已确认</x:v>
      </x:c>
      <x:c r="Q790" s="97" t="n">
        <x:f>IF(P790="已退款",M790,0)</x:f>
        <x:v>0</x:v>
      </x:c>
      <x:c r="R790" s="97" t="n">
        <x:f>IF(P790="已退款",O790,0)</x:f>
        <x:v>0</x:v>
      </x:c>
      <x:c r="S790" s="97" t="n">
        <x:f>O790-R790</x:f>
        <x:v>9.39</x:v>
      </x:c>
      <x:c r="T790" s="94" t="n">
        <x:v>4</x:v>
      </x:c>
      <x:c r="U790" s="94" t="str">
        <x:v>模拟：Amazon Associates订单回传</x:v>
      </x:c>
    </x:row>
    <x:row r="791">
      <x:c r="A791" s="92" t="str">
        <x:v>AMZ-ORD-00790</x:v>
      </x:c>
      <x:c r="B791" s="94" t="str">
        <x:v>PROC-0789</x:v>
      </x:c>
      <x:c r="C791" s="108" t="n">
        <x:v>46165.77291666667</x:v>
      </x:c>
      <x:c r="D791" s="93" t="n">
        <x:v>46165</x:v>
      </x:c>
      <x:c r="E791" s="94" t="str">
        <x:v>Google Ads</x:v>
      </x:c>
      <x:c r="F791" s="94" t="str">
        <x:v>美国</x:v>
      </x:c>
      <x:c r="G791" s="94" t="str">
        <x:v>通用搜索</x:v>
      </x:c>
      <x:c r="H791" s="94" t="str">
        <x:v>SKU-0046</x:v>
      </x:c>
      <x:c r="I791" s="94" t="str">
        <x:v>办公学习</x:v>
      </x:c>
      <x:c r="J791" s="94" t="str">
        <x:v>高清摄像头 F</x:v>
      </x:c>
      <x:c r="K791" s="97" t="n">
        <x:v>254.88</x:v>
      </x:c>
      <x:c r="L791" s="95" t="n">
        <x:v>1</x:v>
      </x:c>
      <x:c r="M791" s="97" t="n">
        <x:f>ROUND(K791*L791,2)</x:f>
        <x:v>254.88</x:v>
      </x:c>
      <x:c r="N791" s="109" t="n">
        <x:v>0.07</x:v>
      </x:c>
      <x:c r="O791" s="97" t="n">
        <x:f>ROUND(M791*N791,2)</x:f>
        <x:v>17.84</x:v>
      </x:c>
      <x:c r="P791" s="94" t="str">
        <x:v>已确认</x:v>
      </x:c>
      <x:c r="Q791" s="97" t="n">
        <x:f>IF(P791="已退款",M791,0)</x:f>
        <x:v>0</x:v>
      </x:c>
      <x:c r="R791" s="97" t="n">
        <x:f>IF(P791="已退款",O791,0)</x:f>
        <x:v>0</x:v>
      </x:c>
      <x:c r="S791" s="97" t="n">
        <x:f>O791-R791</x:f>
        <x:v>17.84</x:v>
      </x:c>
      <x:c r="T791" s="94" t="n">
        <x:v>0</x:v>
      </x:c>
      <x:c r="U791" s="94" t="str">
        <x:v>模拟：Amazon Associates订单回传</x:v>
      </x:c>
    </x:row>
    <x:row r="792">
      <x:c r="A792" s="92" t="str">
        <x:v>AMZ-ORD-00791</x:v>
      </x:c>
      <x:c r="B792" s="94" t="str">
        <x:v>PROC-0790</x:v>
      </x:c>
      <x:c r="C792" s="108" t="n">
        <x:v>46167.802083333336</x:v>
      </x:c>
      <x:c r="D792" s="93" t="n">
        <x:v>46165</x:v>
      </x:c>
      <x:c r="E792" s="94" t="str">
        <x:v>Google Ads</x:v>
      </x:c>
      <x:c r="F792" s="94" t="str">
        <x:v>英国</x:v>
      </x:c>
      <x:c r="G792" s="94" t="str">
        <x:v>购物广告</x:v>
      </x:c>
      <x:c r="H792" s="94" t="str">
        <x:v>SKU-0039</x:v>
      </x:c>
      <x:c r="I792" s="94" t="str">
        <x:v>美妆个护</x:v>
      </x:c>
      <x:c r="J792" s="94" t="str">
        <x:v>按摩梳 I</x:v>
      </x:c>
      <x:c r="K792" s="97" t="n">
        <x:v>113.57</x:v>
      </x:c>
      <x:c r="L792" s="95" t="n">
        <x:v>1</x:v>
      </x:c>
      <x:c r="M792" s="97" t="n">
        <x:f>ROUND(K792*L792,2)</x:f>
        <x:v>113.57</x:v>
      </x:c>
      <x:c r="N792" s="109" t="n">
        <x:v>0.1</x:v>
      </x:c>
      <x:c r="O792" s="97" t="n">
        <x:f>ROUND(M792*N792,2)</x:f>
        <x:v>11.36</x:v>
      </x:c>
      <x:c r="P792" s="94" t="str">
        <x:v>已确认</x:v>
      </x:c>
      <x:c r="Q792" s="97" t="n">
        <x:f>IF(P792="已退款",M792,0)</x:f>
        <x:v>0</x:v>
      </x:c>
      <x:c r="R792" s="97" t="n">
        <x:f>IF(P792="已退款",O792,0)</x:f>
        <x:v>0</x:v>
      </x:c>
      <x:c r="S792" s="97" t="n">
        <x:f>O792-R792</x:f>
        <x:v>11.36</x:v>
      </x:c>
      <x:c r="T792" s="94" t="n">
        <x:v>2</x:v>
      </x:c>
      <x:c r="U792" s="94" t="str">
        <x:v>模拟：Amazon Associates订单回传</x:v>
      </x:c>
    </x:row>
    <x:row r="793">
      <x:c r="A793" s="92" t="str">
        <x:v>AMZ-ORD-00792</x:v>
      </x:c>
      <x:c r="B793" s="94" t="str">
        <x:v>PROC-0792</x:v>
      </x:c>
      <x:c r="C793" s="108" t="n">
        <x:v>46166.64722222222</x:v>
      </x:c>
      <x:c r="D793" s="93" t="n">
        <x:v>46166</x:v>
      </x:c>
      <x:c r="E793" s="94" t="str">
        <x:v>Google Ads</x:v>
      </x:c>
      <x:c r="F793" s="94" t="str">
        <x:v>美国</x:v>
      </x:c>
      <x:c r="G793" s="94" t="str">
        <x:v>通用搜索</x:v>
      </x:c>
      <x:c r="H793" s="94" t="str">
        <x:v>SKU-0040</x:v>
      </x:c>
      <x:c r="I793" s="94" t="str">
        <x:v>美妆个护</x:v>
      </x:c>
      <x:c r="J793" s="94" t="str">
        <x:v>旅行护理套装 J</x:v>
      </x:c>
      <x:c r="K793" s="97" t="n">
        <x:v>65.11</x:v>
      </x:c>
      <x:c r="L793" s="95" t="n">
        <x:v>1</x:v>
      </x:c>
      <x:c r="M793" s="97" t="n">
        <x:f>ROUND(K793*L793,2)</x:f>
        <x:v>65.11</x:v>
      </x:c>
      <x:c r="N793" s="109" t="n">
        <x:v>0.1</x:v>
      </x:c>
      <x:c r="O793" s="97" t="n">
        <x:f>ROUND(M793*N793,2)</x:f>
        <x:v>6.51</x:v>
      </x:c>
      <x:c r="P793" s="94" t="str">
        <x:v>已确认</x:v>
      </x:c>
      <x:c r="Q793" s="97" t="n">
        <x:f>IF(P793="已退款",M793,0)</x:f>
        <x:v>0</x:v>
      </x:c>
      <x:c r="R793" s="97" t="n">
        <x:f>IF(P793="已退款",O793,0)</x:f>
        <x:v>0</x:v>
      </x:c>
      <x:c r="S793" s="97" t="n">
        <x:f>O793-R793</x:f>
        <x:v>6.51</x:v>
      </x:c>
      <x:c r="T793" s="94" t="n">
        <x:v>0</x:v>
      </x:c>
      <x:c r="U793" s="94" t="str">
        <x:v>模拟：Amazon Associates订单回传</x:v>
      </x:c>
    </x:row>
    <x:row r="794">
      <x:c r="A794" s="92" t="str">
        <x:v>AMZ-ORD-00793</x:v>
      </x:c>
      <x:c r="B794" s="94" t="str">
        <x:v>PROC-0793</x:v>
      </x:c>
      <x:c r="C794" s="108" t="n">
        <x:v>46167.34652777778</x:v>
      </x:c>
      <x:c r="D794" s="93" t="n">
        <x:v>46166</x:v>
      </x:c>
      <x:c r="E794" s="94" t="str">
        <x:v>Microsoft Ads</x:v>
      </x:c>
      <x:c r="F794" s="94" t="str">
        <x:v>德国</x:v>
      </x:c>
      <x:c r="G794" s="94" t="str">
        <x:v>品牌搜索</x:v>
      </x:c>
      <x:c r="H794" s="94" t="str">
        <x:v>SKU-0007</x:v>
      </x:c>
      <x:c r="I794" s="94" t="str">
        <x:v>电子产品</x:v>
      </x:c>
      <x:c r="J794" s="94" t="str">
        <x:v>运动相机 G</x:v>
      </x:c>
      <x:c r="K794" s="97" t="n">
        <x:v>482.95</x:v>
      </x:c>
      <x:c r="L794" s="95" t="n">
        <x:v>1</x:v>
      </x:c>
      <x:c r="M794" s="97" t="n">
        <x:f>ROUND(K794*L794,2)</x:f>
        <x:v>482.95</x:v>
      </x:c>
      <x:c r="N794" s="109" t="n">
        <x:v>0.05</x:v>
      </x:c>
      <x:c r="O794" s="97" t="n">
        <x:f>ROUND(M794*N794,2)</x:f>
        <x:v>24.15</x:v>
      </x:c>
      <x:c r="P794" s="94" t="str">
        <x:v>已确认</x:v>
      </x:c>
      <x:c r="Q794" s="97" t="n">
        <x:f>IF(P794="已退款",M794,0)</x:f>
        <x:v>0</x:v>
      </x:c>
      <x:c r="R794" s="97" t="n">
        <x:f>IF(P794="已退款",O794,0)</x:f>
        <x:v>0</x:v>
      </x:c>
      <x:c r="S794" s="97" t="n">
        <x:f>O794-R794</x:f>
        <x:v>24.15</x:v>
      </x:c>
      <x:c r="T794" s="94" t="n">
        <x:v>1</x:v>
      </x:c>
      <x:c r="U794" s="94" t="str">
        <x:v>模拟：Amazon Associates订单回传</x:v>
      </x:c>
    </x:row>
    <x:row r="795">
      <x:c r="A795" s="92" t="str">
        <x:v>AMZ-ORD-00794</x:v>
      </x:c>
      <x:c r="B795" s="94" t="str">
        <x:v>PROC-0793</x:v>
      </x:c>
      <x:c r="C795" s="108" t="n">
        <x:v>46169.53472222222</x:v>
      </x:c>
      <x:c r="D795" s="93" t="n">
        <x:v>46166</x:v>
      </x:c>
      <x:c r="E795" s="94" t="str">
        <x:v>Microsoft Ads</x:v>
      </x:c>
      <x:c r="F795" s="94" t="str">
        <x:v>德国</x:v>
      </x:c>
      <x:c r="G795" s="94" t="str">
        <x:v>品牌搜索</x:v>
      </x:c>
      <x:c r="H795" s="94" t="str">
        <x:v>SKU-0021</x:v>
      </x:c>
      <x:c r="I795" s="94" t="str">
        <x:v>运动健康</x:v>
      </x:c>
      <x:c r="J795" s="94" t="str">
        <x:v>智能手表 A</x:v>
      </x:c>
      <x:c r="K795" s="97" t="n">
        <x:v>103.72</x:v>
      </x:c>
      <x:c r="L795" s="95" t="n">
        <x:v>2</x:v>
      </x:c>
      <x:c r="M795" s="97" t="n">
        <x:f>ROUND(K795*L795,2)</x:f>
        <x:v>207.44</x:v>
      </x:c>
      <x:c r="N795" s="109" t="n">
        <x:v>0.08</x:v>
      </x:c>
      <x:c r="O795" s="97" t="n">
        <x:f>ROUND(M795*N795,2)</x:f>
        <x:v>16.6</x:v>
      </x:c>
      <x:c r="P795" s="94" t="str">
        <x:v>已确认</x:v>
      </x:c>
      <x:c r="Q795" s="97" t="n">
        <x:f>IF(P795="已退款",M795,0)</x:f>
        <x:v>0</x:v>
      </x:c>
      <x:c r="R795" s="97" t="n">
        <x:f>IF(P795="已退款",O795,0)</x:f>
        <x:v>0</x:v>
      </x:c>
      <x:c r="S795" s="97" t="n">
        <x:f>O795-R795</x:f>
        <x:v>16.6</x:v>
      </x:c>
      <x:c r="T795" s="94" t="n">
        <x:v>3</x:v>
      </x:c>
      <x:c r="U795" s="94" t="str">
        <x:v>模拟：Amazon Associates订单回传</x:v>
      </x:c>
    </x:row>
    <x:row r="796">
      <x:c r="A796" s="92" t="str">
        <x:v>AMZ-ORD-00795</x:v>
      </x:c>
      <x:c r="B796" s="94" t="str">
        <x:v>PROC-0794</x:v>
      </x:c>
      <x:c r="C796" s="108" t="n">
        <x:v>46169.53888888889</x:v>
      </x:c>
      <x:c r="D796" s="93" t="n">
        <x:v>46166</x:v>
      </x:c>
      <x:c r="E796" s="94" t="str">
        <x:v>Google Ads</x:v>
      </x:c>
      <x:c r="F796" s="94" t="str">
        <x:v>美国</x:v>
      </x:c>
      <x:c r="G796" s="94" t="str">
        <x:v>购物广告</x:v>
      </x:c>
      <x:c r="H796" s="94" t="str">
        <x:v>SKU-0004</x:v>
      </x:c>
      <x:c r="I796" s="94" t="str">
        <x:v>电子产品</x:v>
      </x:c>
      <x:c r="J796" s="94" t="str">
        <x:v>机械键盘 D</x:v>
      </x:c>
      <x:c r="K796" s="97" t="n">
        <x:v>378.22</x:v>
      </x:c>
      <x:c r="L796" s="95" t="n">
        <x:v>1</x:v>
      </x:c>
      <x:c r="M796" s="97" t="n">
        <x:f>ROUND(K796*L796,2)</x:f>
        <x:v>378.22</x:v>
      </x:c>
      <x:c r="N796" s="109" t="n">
        <x:v>0.05</x:v>
      </x:c>
      <x:c r="O796" s="97" t="n">
        <x:f>ROUND(M796*N796,2)</x:f>
        <x:v>18.91</x:v>
      </x:c>
      <x:c r="P796" s="94" t="str">
        <x:v>已确认</x:v>
      </x:c>
      <x:c r="Q796" s="97" t="n">
        <x:f>IF(P796="已退款",M796,0)</x:f>
        <x:v>0</x:v>
      </x:c>
      <x:c r="R796" s="97" t="n">
        <x:f>IF(P796="已退款",O796,0)</x:f>
        <x:v>0</x:v>
      </x:c>
      <x:c r="S796" s="97" t="n">
        <x:f>O796-R796</x:f>
        <x:v>18.91</x:v>
      </x:c>
      <x:c r="T796" s="94" t="n">
        <x:v>3</x:v>
      </x:c>
      <x:c r="U796" s="94" t="str">
        <x:v>模拟：Amazon Associates订单回传</x:v>
      </x:c>
    </x:row>
    <x:row r="797">
      <x:c r="A797" s="92" t="str">
        <x:v>AMZ-ORD-00796</x:v>
      </x:c>
      <x:c r="B797" s="94" t="str">
        <x:v>PROC-0796</x:v>
      </x:c>
      <x:c r="C797" s="108" t="n">
        <x:v>46169.652083333334</x:v>
      </x:c>
      <x:c r="D797" s="93" t="n">
        <x:v>46166</x:v>
      </x:c>
      <x:c r="E797" s="94" t="str">
        <x:v>Google Ads</x:v>
      </x:c>
      <x:c r="F797" s="94" t="str">
        <x:v>美国</x:v>
      </x:c>
      <x:c r="G797" s="94" t="str">
        <x:v>购物广告</x:v>
      </x:c>
      <x:c r="H797" s="94" t="str">
        <x:v>SKU-0016</x:v>
      </x:c>
      <x:c r="I797" s="94" t="str">
        <x:v>家居生活</x:v>
      </x:c>
      <x:c r="J797" s="94" t="str">
        <x:v>厨师机 F</x:v>
      </x:c>
      <x:c r="K797" s="97" t="n">
        <x:v>328.02</x:v>
      </x:c>
      <x:c r="L797" s="95" t="n">
        <x:v>1</x:v>
      </x:c>
      <x:c r="M797" s="97" t="n">
        <x:f>ROUND(K797*L797,2)</x:f>
        <x:v>328.02</x:v>
      </x:c>
      <x:c r="N797" s="109" t="n">
        <x:v>0.07</x:v>
      </x:c>
      <x:c r="O797" s="97" t="n">
        <x:f>ROUND(M797*N797,2)</x:f>
        <x:v>22.96</x:v>
      </x:c>
      <x:c r="P797" s="94" t="str">
        <x:v>已确认</x:v>
      </x:c>
      <x:c r="Q797" s="97" t="n">
        <x:f>IF(P797="已退款",M797,0)</x:f>
        <x:v>0</x:v>
      </x:c>
      <x:c r="R797" s="97" t="n">
        <x:f>IF(P797="已退款",O797,0)</x:f>
        <x:v>0</x:v>
      </x:c>
      <x:c r="S797" s="97" t="n">
        <x:f>O797-R797</x:f>
        <x:v>22.96</x:v>
      </x:c>
      <x:c r="T797" s="94" t="n">
        <x:v>3</x:v>
      </x:c>
      <x:c r="U797" s="94" t="str">
        <x:v>模拟：Amazon Associates订单回传</x:v>
      </x:c>
    </x:row>
    <x:row r="798">
      <x:c r="A798" s="92" t="str">
        <x:v>AMZ-ORD-00797</x:v>
      </x:c>
      <x:c r="B798" s="94" t="str">
        <x:v>PROC-0796</x:v>
      </x:c>
      <x:c r="C798" s="108" t="n">
        <x:v>46170.74375</x:v>
      </x:c>
      <x:c r="D798" s="93" t="n">
        <x:v>46166</x:v>
      </x:c>
      <x:c r="E798" s="94" t="str">
        <x:v>Google Ads</x:v>
      </x:c>
      <x:c r="F798" s="94" t="str">
        <x:v>美国</x:v>
      </x:c>
      <x:c r="G798" s="94" t="str">
        <x:v>购物广告</x:v>
      </x:c>
      <x:c r="H798" s="94" t="str">
        <x:v>SKU-0031</x:v>
      </x:c>
      <x:c r="I798" s="94" t="str">
        <x:v>美妆个护</x:v>
      </x:c>
      <x:c r="J798" s="94" t="str">
        <x:v>洁面仪 A</x:v>
      </x:c>
      <x:c r="K798" s="97" t="n">
        <x:v>89.22</x:v>
      </x:c>
      <x:c r="L798" s="95" t="n">
        <x:v>1</x:v>
      </x:c>
      <x:c r="M798" s="97" t="n">
        <x:f>ROUND(K798*L798,2)</x:f>
        <x:v>89.22</x:v>
      </x:c>
      <x:c r="N798" s="109" t="n">
        <x:v>0.1</x:v>
      </x:c>
      <x:c r="O798" s="97" t="n">
        <x:f>ROUND(M798*N798,2)</x:f>
        <x:v>8.92</x:v>
      </x:c>
      <x:c r="P798" s="94" t="str">
        <x:v>已确认</x:v>
      </x:c>
      <x:c r="Q798" s="97" t="n">
        <x:f>IF(P798="已退款",M798,0)</x:f>
        <x:v>0</x:v>
      </x:c>
      <x:c r="R798" s="97" t="n">
        <x:f>IF(P798="已退款",O798,0)</x:f>
        <x:v>0</x:v>
      </x:c>
      <x:c r="S798" s="97" t="n">
        <x:f>O798-R798</x:f>
        <x:v>8.92</x:v>
      </x:c>
      <x:c r="T798" s="94" t="n">
        <x:v>4</x:v>
      </x:c>
      <x:c r="U798" s="94" t="str">
        <x:v>模拟：Amazon Associates订单回传</x:v>
      </x:c>
    </x:row>
    <x:row r="799">
      <x:c r="A799" s="92" t="str">
        <x:v>AMZ-ORD-00798</x:v>
      </x:c>
      <x:c r="B799" s="94" t="str">
        <x:v>PROC-0797</x:v>
      </x:c>
      <x:c r="C799" s="108" t="n">
        <x:v>46171.870833333334</x:v>
      </x:c>
      <x:c r="D799" s="93" t="n">
        <x:v>46167</x:v>
      </x:c>
      <x:c r="E799" s="94" t="str">
        <x:v>Google Ads</x:v>
      </x:c>
      <x:c r="F799" s="94" t="str">
        <x:v>德国</x:v>
      </x:c>
      <x:c r="G799" s="94" t="str">
        <x:v>购物广告</x:v>
      </x:c>
      <x:c r="H799" s="94" t="str">
        <x:v>SKU-0031</x:v>
      </x:c>
      <x:c r="I799" s="94" t="str">
        <x:v>美妆个护</x:v>
      </x:c>
      <x:c r="J799" s="94" t="str">
        <x:v>洁面仪 A</x:v>
      </x:c>
      <x:c r="K799" s="97" t="n">
        <x:v>120.16</x:v>
      </x:c>
      <x:c r="L799" s="95" t="n">
        <x:v>1</x:v>
      </x:c>
      <x:c r="M799" s="97" t="n">
        <x:f>ROUND(K799*L799,2)</x:f>
        <x:v>120.16</x:v>
      </x:c>
      <x:c r="N799" s="109" t="n">
        <x:v>0.1</x:v>
      </x:c>
      <x:c r="O799" s="97" t="n">
        <x:f>ROUND(M799*N799,2)</x:f>
        <x:v>12.02</x:v>
      </x:c>
      <x:c r="P799" s="94" t="str">
        <x:v>已确认</x:v>
      </x:c>
      <x:c r="Q799" s="97" t="n">
        <x:f>IF(P799="已退款",M799,0)</x:f>
        <x:v>0</x:v>
      </x:c>
      <x:c r="R799" s="97" t="n">
        <x:f>IF(P799="已退款",O799,0)</x:f>
        <x:v>0</x:v>
      </x:c>
      <x:c r="S799" s="97" t="n">
        <x:f>O799-R799</x:f>
        <x:v>12.02</x:v>
      </x:c>
      <x:c r="T799" s="94" t="n">
        <x:v>4</x:v>
      </x:c>
      <x:c r="U799" s="94" t="str">
        <x:v>模拟：Amazon Associates订单回传</x:v>
      </x:c>
    </x:row>
    <x:row r="800">
      <x:c r="A800" s="92" t="str">
        <x:v>AMZ-ORD-00799</x:v>
      </x:c>
      <x:c r="B800" s="94" t="str">
        <x:v>PROC-0798</x:v>
      </x:c>
      <x:c r="C800" s="108" t="n">
        <x:v>46169.65833333333</x:v>
      </x:c>
      <x:c r="D800" s="93" t="n">
        <x:v>46167</x:v>
      </x:c>
      <x:c r="E800" s="94" t="str">
        <x:v>Microsoft Ads</x:v>
      </x:c>
      <x:c r="F800" s="94" t="str">
        <x:v>英国</x:v>
      </x:c>
      <x:c r="G800" s="94" t="str">
        <x:v>通用搜索</x:v>
      </x:c>
      <x:c r="H800" s="94" t="str">
        <x:v>SKU-0013</x:v>
      </x:c>
      <x:c r="I800" s="94" t="str">
        <x:v>家居生活</x:v>
      </x:c>
      <x:c r="J800" s="94" t="str">
        <x:v>人体工学椅 C</x:v>
      </x:c>
      <x:c r="K800" s="97" t="n">
        <x:v>319.23</x:v>
      </x:c>
      <x:c r="L800" s="95" t="n">
        <x:v>1</x:v>
      </x:c>
      <x:c r="M800" s="97" t="n">
        <x:f>ROUND(K800*L800,2)</x:f>
        <x:v>319.23</x:v>
      </x:c>
      <x:c r="N800" s="109" t="n">
        <x:v>0.07</x:v>
      </x:c>
      <x:c r="O800" s="97" t="n">
        <x:f>ROUND(M800*N800,2)</x:f>
        <x:v>22.35</x:v>
      </x:c>
      <x:c r="P800" s="94" t="str">
        <x:v>已确认</x:v>
      </x:c>
      <x:c r="Q800" s="97" t="n">
        <x:f>IF(P800="已退款",M800,0)</x:f>
        <x:v>0</x:v>
      </x:c>
      <x:c r="R800" s="97" t="n">
        <x:f>IF(P800="已退款",O800,0)</x:f>
        <x:v>0</x:v>
      </x:c>
      <x:c r="S800" s="97" t="n">
        <x:f>O800-R800</x:f>
        <x:v>22.35</x:v>
      </x:c>
      <x:c r="T800" s="94" t="n">
        <x:v>2</x:v>
      </x:c>
      <x:c r="U800" s="94" t="str">
        <x:v>模拟：Amazon Associates订单回传</x:v>
      </x:c>
    </x:row>
    <x:row r="801">
      <x:c r="A801" s="92" t="str">
        <x:v>AMZ-ORD-00800</x:v>
      </x:c>
      <x:c r="B801" s="94" t="str">
        <x:v>PROC-0799</x:v>
      </x:c>
      <x:c r="C801" s="108" t="n">
        <x:v>46167.73125</x:v>
      </x:c>
      <x:c r="D801" s="93" t="n">
        <x:v>46167</x:v>
      </x:c>
      <x:c r="E801" s="94" t="str">
        <x:v>Google Ads</x:v>
      </x:c>
      <x:c r="F801" s="94" t="str">
        <x:v>美国</x:v>
      </x:c>
      <x:c r="G801" s="94" t="str">
        <x:v>通用搜索</x:v>
      </x:c>
      <x:c r="H801" s="94" t="str">
        <x:v>SKU-0045</x:v>
      </x:c>
      <x:c r="I801" s="94" t="str">
        <x:v>办公学习</x:v>
      </x:c>
      <x:c r="J801" s="94" t="str">
        <x:v>办公收纳 E</x:v>
      </x:c>
      <x:c r="K801" s="97" t="n">
        <x:v>190.18</x:v>
      </x:c>
      <x:c r="L801" s="95" t="n">
        <x:v>1</x:v>
      </x:c>
      <x:c r="M801" s="97" t="n">
        <x:f>ROUND(K801*L801,2)</x:f>
        <x:v>190.18</x:v>
      </x:c>
      <x:c r="N801" s="109" t="n">
        <x:v>0.07</x:v>
      </x:c>
      <x:c r="O801" s="97" t="n">
        <x:f>ROUND(M801*N801,2)</x:f>
        <x:v>13.31</x:v>
      </x:c>
      <x:c r="P801" s="94" t="str">
        <x:v>已确认</x:v>
      </x:c>
      <x:c r="Q801" s="97" t="n">
        <x:f>IF(P801="已退款",M801,0)</x:f>
        <x:v>0</x:v>
      </x:c>
      <x:c r="R801" s="97" t="n">
        <x:f>IF(P801="已退款",O801,0)</x:f>
        <x:v>0</x:v>
      </x:c>
      <x:c r="S801" s="97" t="n">
        <x:f>O801-R801</x:f>
        <x:v>13.31</x:v>
      </x:c>
      <x:c r="T801" s="94" t="n">
        <x:v>0</x:v>
      </x:c>
      <x:c r="U801" s="94" t="str">
        <x:v>模拟：Amazon Associates订单回传</x:v>
      </x:c>
    </x:row>
    <x:row r="802">
      <x:c r="A802" s="92" t="str">
        <x:v>AMZ-ORD-00801</x:v>
      </x:c>
      <x:c r="B802" s="94" t="str">
        <x:v>PROC-0800</x:v>
      </x:c>
      <x:c r="C802" s="108" t="n">
        <x:v>46171.56805555556</x:v>
      </x:c>
      <x:c r="D802" s="93" t="n">
        <x:v>46167</x:v>
      </x:c>
      <x:c r="E802" s="94" t="str">
        <x:v>Google Ads</x:v>
      </x:c>
      <x:c r="F802" s="94" t="str">
        <x:v>美国</x:v>
      </x:c>
      <x:c r="G802" s="94" t="str">
        <x:v>购物广告</x:v>
      </x:c>
      <x:c r="H802" s="94" t="str">
        <x:v>SKU-0023</x:v>
      </x:c>
      <x:c r="I802" s="94" t="str">
        <x:v>运动健康</x:v>
      </x:c>
      <x:c r="J802" s="94" t="str">
        <x:v>可调哑铃 C</x:v>
      </x:c>
      <x:c r="K802" s="97" t="n">
        <x:v>276.88</x:v>
      </x:c>
      <x:c r="L802" s="95" t="n">
        <x:v>1</x:v>
      </x:c>
      <x:c r="M802" s="97" t="n">
        <x:f>ROUND(K802*L802,2)</x:f>
        <x:v>276.88</x:v>
      </x:c>
      <x:c r="N802" s="109" t="n">
        <x:v>0.08</x:v>
      </x:c>
      <x:c r="O802" s="97" t="n">
        <x:f>ROUND(M802*N802,2)</x:f>
        <x:v>22.15</x:v>
      </x:c>
      <x:c r="P802" s="94" t="str">
        <x:v>已确认</x:v>
      </x:c>
      <x:c r="Q802" s="97" t="n">
        <x:f>IF(P802="已退款",M802,0)</x:f>
        <x:v>0</x:v>
      </x:c>
      <x:c r="R802" s="97" t="n">
        <x:f>IF(P802="已退款",O802,0)</x:f>
        <x:v>0</x:v>
      </x:c>
      <x:c r="S802" s="97" t="n">
        <x:f>O802-R802</x:f>
        <x:v>22.15</x:v>
      </x:c>
      <x:c r="T802" s="94" t="n">
        <x:v>4</x:v>
      </x:c>
      <x:c r="U802" s="94" t="str">
        <x:v>模拟：Amazon Associates订单回传</x:v>
      </x:c>
    </x:row>
    <x:row r="803">
      <x:c r="A803" s="92" t="str">
        <x:v>AMZ-ORD-00802</x:v>
      </x:c>
      <x:c r="B803" s="94" t="str">
        <x:v>PROC-0801</x:v>
      </x:c>
      <x:c r="C803" s="108" t="n">
        <x:v>46171.865277777775</x:v>
      </x:c>
      <x:c r="D803" s="93" t="n">
        <x:v>46167</x:v>
      </x:c>
      <x:c r="E803" s="94" t="str">
        <x:v>Google Ads</x:v>
      </x:c>
      <x:c r="F803" s="94" t="str">
        <x:v>日本</x:v>
      </x:c>
      <x:c r="G803" s="94" t="str">
        <x:v>购物广告</x:v>
      </x:c>
      <x:c r="H803" s="94" t="str">
        <x:v>SKU-0050</x:v>
      </x:c>
      <x:c r="I803" s="94" t="str">
        <x:v>办公学习</x:v>
      </x:c>
      <x:c r="J803" s="94" t="str">
        <x:v>静音鼠标 J</x:v>
      </x:c>
      <x:c r="K803" s="97" t="n">
        <x:v>70.38</x:v>
      </x:c>
      <x:c r="L803" s="95" t="n">
        <x:v>1</x:v>
      </x:c>
      <x:c r="M803" s="97" t="n">
        <x:f>ROUND(K803*L803,2)</x:f>
        <x:v>70.38</x:v>
      </x:c>
      <x:c r="N803" s="109" t="n">
        <x:v>0.07</x:v>
      </x:c>
      <x:c r="O803" s="97" t="n">
        <x:f>ROUND(M803*N803,2)</x:f>
        <x:v>4.93</x:v>
      </x:c>
      <x:c r="P803" s="94" t="str">
        <x:v>已确认</x:v>
      </x:c>
      <x:c r="Q803" s="97" t="n">
        <x:f>IF(P803="已退款",M803,0)</x:f>
        <x:v>0</x:v>
      </x:c>
      <x:c r="R803" s="97" t="n">
        <x:f>IF(P803="已退款",O803,0)</x:f>
        <x:v>0</x:v>
      </x:c>
      <x:c r="S803" s="97" t="n">
        <x:f>O803-R803</x:f>
        <x:v>4.93</x:v>
      </x:c>
      <x:c r="T803" s="94" t="n">
        <x:v>4</x:v>
      </x:c>
      <x:c r="U803" s="94" t="str">
        <x:v>模拟：Amazon Associates订单回传</x:v>
      </x:c>
    </x:row>
    <x:row r="804">
      <x:c r="A804" s="92" t="str">
        <x:v>AMZ-ORD-00803</x:v>
      </x:c>
      <x:c r="B804" s="94" t="str">
        <x:v>PROC-0802</x:v>
      </x:c>
      <x:c r="C804" s="108" t="n">
        <x:v>46171.833333333336</x:v>
      </x:c>
      <x:c r="D804" s="93" t="n">
        <x:v>46167</x:v>
      </x:c>
      <x:c r="E804" s="94" t="str">
        <x:v>Google Ads</x:v>
      </x:c>
      <x:c r="F804" s="94" t="str">
        <x:v>美国</x:v>
      </x:c>
      <x:c r="G804" s="94" t="str">
        <x:v>品牌搜索</x:v>
      </x:c>
      <x:c r="H804" s="94" t="str">
        <x:v>SKU-0036</x:v>
      </x:c>
      <x:c r="I804" s="94" t="str">
        <x:v>美妆个护</x:v>
      </x:c>
      <x:c r="J804" s="94" t="str">
        <x:v>剃须刀 F</x:v>
      </x:c>
      <x:c r="K804" s="97" t="n">
        <x:v>122.62</x:v>
      </x:c>
      <x:c r="L804" s="95" t="n">
        <x:v>1</x:v>
      </x:c>
      <x:c r="M804" s="97" t="n">
        <x:f>ROUND(K804*L804,2)</x:f>
        <x:v>122.62</x:v>
      </x:c>
      <x:c r="N804" s="109" t="n">
        <x:v>0.1</x:v>
      </x:c>
      <x:c r="O804" s="97" t="n">
        <x:f>ROUND(M804*N804,2)</x:f>
        <x:v>12.26</x:v>
      </x:c>
      <x:c r="P804" s="94" t="str">
        <x:v>已确认</x:v>
      </x:c>
      <x:c r="Q804" s="97" t="n">
        <x:f>IF(P804="已退款",M804,0)</x:f>
        <x:v>0</x:v>
      </x:c>
      <x:c r="R804" s="97" t="n">
        <x:f>IF(P804="已退款",O804,0)</x:f>
        <x:v>0</x:v>
      </x:c>
      <x:c r="S804" s="97" t="n">
        <x:f>O804-R804</x:f>
        <x:v>12.26</x:v>
      </x:c>
      <x:c r="T804" s="94" t="n">
        <x:v>4</x:v>
      </x:c>
      <x:c r="U804" s="94" t="str">
        <x:v>模拟：Amazon Associates订单回传</x:v>
      </x:c>
    </x:row>
    <x:row r="805">
      <x:c r="A805" s="92" t="str">
        <x:v>AMZ-ORD-00804</x:v>
      </x:c>
      <x:c r="B805" s="94" t="str">
        <x:v>PROC-0803</x:v>
      </x:c>
      <x:c r="C805" s="108" t="n">
        <x:v>46171.80625</x:v>
      </x:c>
      <x:c r="D805" s="93" t="n">
        <x:v>46168</x:v>
      </x:c>
      <x:c r="E805" s="94" t="str">
        <x:v>Microsoft Ads</x:v>
      </x:c>
      <x:c r="F805" s="94" t="str">
        <x:v>德国</x:v>
      </x:c>
      <x:c r="G805" s="94" t="str">
        <x:v>品牌搜索</x:v>
      </x:c>
      <x:c r="H805" s="94" t="str">
        <x:v>SKU-0024</x:v>
      </x:c>
      <x:c r="I805" s="94" t="str">
        <x:v>运动健康</x:v>
      </x:c>
      <x:c r="J805" s="94" t="str">
        <x:v>筋膜枪 D</x:v>
      </x:c>
      <x:c r="K805" s="97" t="n">
        <x:v>76.65</x:v>
      </x:c>
      <x:c r="L805" s="95" t="n">
        <x:v>1</x:v>
      </x:c>
      <x:c r="M805" s="97" t="n">
        <x:f>ROUND(K805*L805,2)</x:f>
        <x:v>76.65</x:v>
      </x:c>
      <x:c r="N805" s="109" t="n">
        <x:v>0.08</x:v>
      </x:c>
      <x:c r="O805" s="97" t="n">
        <x:f>ROUND(M805*N805,2)</x:f>
        <x:v>6.13</x:v>
      </x:c>
      <x:c r="P805" s="94" t="str">
        <x:v>已退款</x:v>
      </x:c>
      <x:c r="Q805" s="97" t="n">
        <x:f>IF(P805="已退款",M805,0)</x:f>
        <x:v>76.65</x:v>
      </x:c>
      <x:c r="R805" s="97" t="n">
        <x:f>IF(P805="已退款",O805,0)</x:f>
        <x:v>6.13</x:v>
      </x:c>
      <x:c r="S805" s="97" t="n">
        <x:f>O805-R805</x:f>
        <x:v>0</x:v>
      </x:c>
      <x:c r="T805" s="94" t="n">
        <x:v>3</x:v>
      </x:c>
      <x:c r="U805" s="94" t="str">
        <x:v>模拟：Amazon Associates订单回传</x:v>
      </x:c>
    </x:row>
    <x:row r="806">
      <x:c r="A806" s="92" t="str">
        <x:v>AMZ-ORD-00805</x:v>
      </x:c>
      <x:c r="B806" s="94" t="str">
        <x:v>PROC-0804</x:v>
      </x:c>
      <x:c r="C806" s="108" t="n">
        <x:v>46172.49444444444</x:v>
      </x:c>
      <x:c r="D806" s="93" t="n">
        <x:v>46168</x:v>
      </x:c>
      <x:c r="E806" s="94" t="str">
        <x:v>Google Ads</x:v>
      </x:c>
      <x:c r="F806" s="94" t="str">
        <x:v>美国</x:v>
      </x:c>
      <x:c r="G806" s="94" t="str">
        <x:v>竞品搜索</x:v>
      </x:c>
      <x:c r="H806" s="94" t="str">
        <x:v>SKU-0034</x:v>
      </x:c>
      <x:c r="I806" s="94" t="str">
        <x:v>美妆个护</x:v>
      </x:c>
      <x:c r="J806" s="94" t="str">
        <x:v>电动牙刷 D</x:v>
      </x:c>
      <x:c r="K806" s="97" t="n">
        <x:v>140.25</x:v>
      </x:c>
      <x:c r="L806" s="95" t="n">
        <x:v>1</x:v>
      </x:c>
      <x:c r="M806" s="97" t="n">
        <x:f>ROUND(K806*L806,2)</x:f>
        <x:v>140.25</x:v>
      </x:c>
      <x:c r="N806" s="109" t="n">
        <x:v>0.1</x:v>
      </x:c>
      <x:c r="O806" s="97" t="n">
        <x:f>ROUND(M806*N806,2)</x:f>
        <x:v>14.03</x:v>
      </x:c>
      <x:c r="P806" s="94" t="str">
        <x:v>已确认</x:v>
      </x:c>
      <x:c r="Q806" s="97" t="n">
        <x:f>IF(P806="已退款",M806,0)</x:f>
        <x:v>0</x:v>
      </x:c>
      <x:c r="R806" s="97" t="n">
        <x:f>IF(P806="已退款",O806,0)</x:f>
        <x:v>0</x:v>
      </x:c>
      <x:c r="S806" s="97" t="n">
        <x:f>O806-R806</x:f>
        <x:v>14.03</x:v>
      </x:c>
      <x:c r="T806" s="94" t="n">
        <x:v>4</x:v>
      </x:c>
      <x:c r="U806" s="94" t="str">
        <x:v>模拟：Amazon Associates订单回传</x:v>
      </x:c>
    </x:row>
    <x:row r="807">
      <x:c r="A807" s="92" t="str">
        <x:v>AMZ-ORD-00806</x:v>
      </x:c>
      <x:c r="B807" s="94" t="str">
        <x:v>PROC-0805</x:v>
      </x:c>
      <x:c r="C807" s="108" t="n">
        <x:v>46171.61111111111</x:v>
      </x:c>
      <x:c r="D807" s="93" t="n">
        <x:v>46168</x:v>
      </x:c>
      <x:c r="E807" s="94" t="str">
        <x:v>Microsoft Ads</x:v>
      </x:c>
      <x:c r="F807" s="94" t="str">
        <x:v>英国</x:v>
      </x:c>
      <x:c r="G807" s="94" t="str">
        <x:v>购物广告</x:v>
      </x:c>
      <x:c r="H807" s="94" t="str">
        <x:v>SKU-0046</x:v>
      </x:c>
      <x:c r="I807" s="94" t="str">
        <x:v>办公学习</x:v>
      </x:c>
      <x:c r="J807" s="94" t="str">
        <x:v>高清摄像头 F</x:v>
      </x:c>
      <x:c r="K807" s="97" t="n">
        <x:v>203.31</x:v>
      </x:c>
      <x:c r="L807" s="95" t="n">
        <x:v>1</x:v>
      </x:c>
      <x:c r="M807" s="97" t="n">
        <x:f>ROUND(K807*L807,2)</x:f>
        <x:v>203.31</x:v>
      </x:c>
      <x:c r="N807" s="109" t="n">
        <x:v>0.07</x:v>
      </x:c>
      <x:c r="O807" s="97" t="n">
        <x:f>ROUND(M807*N807,2)</x:f>
        <x:v>14.23</x:v>
      </x:c>
      <x:c r="P807" s="94" t="str">
        <x:v>已确认</x:v>
      </x:c>
      <x:c r="Q807" s="97" t="n">
        <x:f>IF(P807="已退款",M807,0)</x:f>
        <x:v>0</x:v>
      </x:c>
      <x:c r="R807" s="97" t="n">
        <x:f>IF(P807="已退款",O807,0)</x:f>
        <x:v>0</x:v>
      </x:c>
      <x:c r="S807" s="97" t="n">
        <x:f>O807-R807</x:f>
        <x:v>14.23</x:v>
      </x:c>
      <x:c r="T807" s="94" t="n">
        <x:v>3</x:v>
      </x:c>
      <x:c r="U807" s="94" t="str">
        <x:v>模拟：Amazon Associates订单回传</x:v>
      </x:c>
    </x:row>
    <x:row r="808">
      <x:c r="A808" s="92" t="str">
        <x:v>AMZ-ORD-00807</x:v>
      </x:c>
      <x:c r="B808" s="94" t="str">
        <x:v>PROC-0806</x:v>
      </x:c>
      <x:c r="C808" s="108" t="n">
        <x:v>46168.88611111111</x:v>
      </x:c>
      <x:c r="D808" s="93" t="n">
        <x:v>46168</x:v>
      </x:c>
      <x:c r="E808" s="94" t="str">
        <x:v>Microsoft Ads</x:v>
      </x:c>
      <x:c r="F808" s="94" t="str">
        <x:v>德国</x:v>
      </x:c>
      <x:c r="G808" s="94" t="str">
        <x:v>购物广告</x:v>
      </x:c>
      <x:c r="H808" s="94" t="str">
        <x:v>SKU-0033</x:v>
      </x:c>
      <x:c r="I808" s="94" t="str">
        <x:v>美妆个护</x:v>
      </x:c>
      <x:c r="J808" s="94" t="str">
        <x:v>护肤套装 C</x:v>
      </x:c>
      <x:c r="K808" s="97" t="n">
        <x:v>104.52</x:v>
      </x:c>
      <x:c r="L808" s="95" t="n">
        <x:v>1</x:v>
      </x:c>
      <x:c r="M808" s="97" t="n">
        <x:f>ROUND(K808*L808,2)</x:f>
        <x:v>104.52</x:v>
      </x:c>
      <x:c r="N808" s="109" t="n">
        <x:v>0.1</x:v>
      </x:c>
      <x:c r="O808" s="97" t="n">
        <x:f>ROUND(M808*N808,2)</x:f>
        <x:v>10.45</x:v>
      </x:c>
      <x:c r="P808" s="94" t="str">
        <x:v>已确认</x:v>
      </x:c>
      <x:c r="Q808" s="97" t="n">
        <x:f>IF(P808="已退款",M808,0)</x:f>
        <x:v>0</x:v>
      </x:c>
      <x:c r="R808" s="97" t="n">
        <x:f>IF(P808="已退款",O808,0)</x:f>
        <x:v>0</x:v>
      </x:c>
      <x:c r="S808" s="97" t="n">
        <x:f>O808-R808</x:f>
        <x:v>10.45</x:v>
      </x:c>
      <x:c r="T808" s="94" t="n">
        <x:v>0</x:v>
      </x:c>
      <x:c r="U808" s="94" t="str">
        <x:v>模拟：Amazon Associates订单回传</x:v>
      </x:c>
    </x:row>
    <x:row r="809">
      <x:c r="A809" s="92" t="str">
        <x:v>AMZ-ORD-00808</x:v>
      </x:c>
      <x:c r="B809" s="94" t="str">
        <x:v>PROC-0807</x:v>
      </x:c>
      <x:c r="C809" s="108" t="n">
        <x:v>46169.48472222222</x:v>
      </x:c>
      <x:c r="D809" s="93" t="n">
        <x:v>46168</x:v>
      </x:c>
      <x:c r="E809" s="94" t="str">
        <x:v>Microsoft Ads</x:v>
      </x:c>
      <x:c r="F809" s="94" t="str">
        <x:v>美国</x:v>
      </x:c>
      <x:c r="G809" s="94" t="str">
        <x:v>通用搜索</x:v>
      </x:c>
      <x:c r="H809" s="94" t="str">
        <x:v>SKU-0029</x:v>
      </x:c>
      <x:c r="I809" s="94" t="str">
        <x:v>运动健康</x:v>
      </x:c>
      <x:c r="J809" s="94" t="str">
        <x:v>运动耳机 I</x:v>
      </x:c>
      <x:c r="K809" s="97" t="n">
        <x:v>279.25</x:v>
      </x:c>
      <x:c r="L809" s="95" t="n">
        <x:v>1</x:v>
      </x:c>
      <x:c r="M809" s="97" t="n">
        <x:f>ROUND(K809*L809,2)</x:f>
        <x:v>279.25</x:v>
      </x:c>
      <x:c r="N809" s="109" t="n">
        <x:v>0.08</x:v>
      </x:c>
      <x:c r="O809" s="97" t="n">
        <x:f>ROUND(M809*N809,2)</x:f>
        <x:v>22.34</x:v>
      </x:c>
      <x:c r="P809" s="94" t="str">
        <x:v>已确认</x:v>
      </x:c>
      <x:c r="Q809" s="97" t="n">
        <x:f>IF(P809="已退款",M809,0)</x:f>
        <x:v>0</x:v>
      </x:c>
      <x:c r="R809" s="97" t="n">
        <x:f>IF(P809="已退款",O809,0)</x:f>
        <x:v>0</x:v>
      </x:c>
      <x:c r="S809" s="97" t="n">
        <x:f>O809-R809</x:f>
        <x:v>22.34</x:v>
      </x:c>
      <x:c r="T809" s="94" t="n">
        <x:v>1</x:v>
      </x:c>
      <x:c r="U809" s="94" t="str">
        <x:v>模拟：Amazon Associates订单回传</x:v>
      </x:c>
    </x:row>
    <x:row r="810">
      <x:c r="A810" s="92" t="str">
        <x:v>AMZ-ORD-00809</x:v>
      </x:c>
      <x:c r="B810" s="94" t="str">
        <x:v>PROC-0809</x:v>
      </x:c>
      <x:c r="C810" s="108" t="n">
        <x:v>46173.61875</x:v>
      </x:c>
      <x:c r="D810" s="93" t="n">
        <x:v>46169</x:v>
      </x:c>
      <x:c r="E810" s="94" t="str">
        <x:v>Google Ads</x:v>
      </x:c>
      <x:c r="F810" s="94" t="str">
        <x:v>日本</x:v>
      </x:c>
      <x:c r="G810" s="94" t="str">
        <x:v>品牌搜索</x:v>
      </x:c>
      <x:c r="H810" s="94" t="str">
        <x:v>SKU-0014</x:v>
      </x:c>
      <x:c r="I810" s="94" t="str">
        <x:v>家居生活</x:v>
      </x:c>
      <x:c r="J810" s="94" t="str">
        <x:v>扫地机器人 D</x:v>
      </x:c>
      <x:c r="K810" s="97" t="n">
        <x:v>333.4</x:v>
      </x:c>
      <x:c r="L810" s="95" t="n">
        <x:v>1</x:v>
      </x:c>
      <x:c r="M810" s="97" t="n">
        <x:f>ROUND(K810*L810,2)</x:f>
        <x:v>333.4</x:v>
      </x:c>
      <x:c r="N810" s="109" t="n">
        <x:v>0.07</x:v>
      </x:c>
      <x:c r="O810" s="97" t="n">
        <x:f>ROUND(M810*N810,2)</x:f>
        <x:v>23.34</x:v>
      </x:c>
      <x:c r="P810" s="94" t="str">
        <x:v>已确认</x:v>
      </x:c>
      <x:c r="Q810" s="97" t="n">
        <x:f>IF(P810="已退款",M810,0)</x:f>
        <x:v>0</x:v>
      </x:c>
      <x:c r="R810" s="97" t="n">
        <x:f>IF(P810="已退款",O810,0)</x:f>
        <x:v>0</x:v>
      </x:c>
      <x:c r="S810" s="97" t="n">
        <x:f>O810-R810</x:f>
        <x:v>23.34</x:v>
      </x:c>
      <x:c r="T810" s="94" t="n">
        <x:v>4</x:v>
      </x:c>
      <x:c r="U810" s="94" t="str">
        <x:v>模拟：Amazon Associates订单回传</x:v>
      </x:c>
    </x:row>
    <x:row r="811">
      <x:c r="A811" s="92" t="str">
        <x:v>AMZ-ORD-00810</x:v>
      </x:c>
      <x:c r="B811" s="94" t="str">
        <x:v>PROC-0810</x:v>
      </x:c>
      <x:c r="C811" s="108" t="n">
        <x:v>46169.675</x:v>
      </x:c>
      <x:c r="D811" s="93" t="n">
        <x:v>46169</x:v>
      </x:c>
      <x:c r="E811" s="94" t="str">
        <x:v>Microsoft Ads</x:v>
      </x:c>
      <x:c r="F811" s="94" t="str">
        <x:v>美国</x:v>
      </x:c>
      <x:c r="G811" s="94" t="str">
        <x:v>通用搜索</x:v>
      </x:c>
      <x:c r="H811" s="94" t="str">
        <x:v>SKU-0028</x:v>
      </x:c>
      <x:c r="I811" s="94" t="str">
        <x:v>运动健康</x:v>
      </x:c>
      <x:c r="J811" s="94" t="str">
        <x:v>体脂秤 H</x:v>
      </x:c>
      <x:c r="K811" s="97" t="n">
        <x:v>237.93</x:v>
      </x:c>
      <x:c r="L811" s="95" t="n">
        <x:v>1</x:v>
      </x:c>
      <x:c r="M811" s="97" t="n">
        <x:f>ROUND(K811*L811,2)</x:f>
        <x:v>237.93</x:v>
      </x:c>
      <x:c r="N811" s="109" t="n">
        <x:v>0.08</x:v>
      </x:c>
      <x:c r="O811" s="97" t="n">
        <x:f>ROUND(M811*N811,2)</x:f>
        <x:v>19.03</x:v>
      </x:c>
      <x:c r="P811" s="94" t="str">
        <x:v>已确认</x:v>
      </x:c>
      <x:c r="Q811" s="97" t="n">
        <x:f>IF(P811="已退款",M811,0)</x:f>
        <x:v>0</x:v>
      </x:c>
      <x:c r="R811" s="97" t="n">
        <x:f>IF(P811="已退款",O811,0)</x:f>
        <x:v>0</x:v>
      </x:c>
      <x:c r="S811" s="97" t="n">
        <x:f>O811-R811</x:f>
        <x:v>19.03</x:v>
      </x:c>
      <x:c r="T811" s="94" t="n">
        <x:v>0</x:v>
      </x:c>
      <x:c r="U811" s="94" t="str">
        <x:v>模拟：Amazon Associates订单回传</x:v>
      </x:c>
    </x:row>
    <x:row r="812">
      <x:c r="A812" s="92" t="str">
        <x:v>AMZ-ORD-00811</x:v>
      </x:c>
      <x:c r="B812" s="94" t="str">
        <x:v>PROC-0812</x:v>
      </x:c>
      <x:c r="C812" s="108" t="n">
        <x:v>46172.43402777778</x:v>
      </x:c>
      <x:c r="D812" s="93" t="n">
        <x:v>46169</x:v>
      </x:c>
      <x:c r="E812" s="94" t="str">
        <x:v>Google Ads</x:v>
      </x:c>
      <x:c r="F812" s="94" t="str">
        <x:v>英国</x:v>
      </x:c>
      <x:c r="G812" s="94" t="str">
        <x:v>通用搜索</x:v>
      </x:c>
      <x:c r="H812" s="94" t="str">
        <x:v>SKU-0015</x:v>
      </x:c>
      <x:c r="I812" s="94" t="str">
        <x:v>家居生活</x:v>
      </x:c>
      <x:c r="J812" s="94" t="str">
        <x:v>床品套装 E</x:v>
      </x:c>
      <x:c r="K812" s="97" t="n">
        <x:v>142.88</x:v>
      </x:c>
      <x:c r="L812" s="95" t="n">
        <x:v>2</x:v>
      </x:c>
      <x:c r="M812" s="97" t="n">
        <x:f>ROUND(K812*L812,2)</x:f>
        <x:v>285.76</x:v>
      </x:c>
      <x:c r="N812" s="109" t="n">
        <x:v>0.07</x:v>
      </x:c>
      <x:c r="O812" s="97" t="n">
        <x:f>ROUND(M812*N812,2)</x:f>
        <x:v>20</x:v>
      </x:c>
      <x:c r="P812" s="94" t="str">
        <x:v>已确认</x:v>
      </x:c>
      <x:c r="Q812" s="97" t="n">
        <x:f>IF(P812="已退款",M812,0)</x:f>
        <x:v>0</x:v>
      </x:c>
      <x:c r="R812" s="97" t="n">
        <x:f>IF(P812="已退款",O812,0)</x:f>
        <x:v>0</x:v>
      </x:c>
      <x:c r="S812" s="97" t="n">
        <x:f>O812-R812</x:f>
        <x:v>20</x:v>
      </x:c>
      <x:c r="T812" s="94" t="n">
        <x:v>3</x:v>
      </x:c>
      <x:c r="U812" s="94" t="str">
        <x:v>模拟：Amazon Associates订单回传</x:v>
      </x:c>
    </x:row>
    <x:row r="813">
      <x:c r="A813" s="92" t="str">
        <x:v>AMZ-ORD-00812</x:v>
      </x:c>
      <x:c r="B813" s="94" t="str">
        <x:v>PROC-0813</x:v>
      </x:c>
      <x:c r="C813" s="108" t="n">
        <x:v>46173.68472222222</x:v>
      </x:c>
      <x:c r="D813" s="93" t="n">
        <x:v>46169</x:v>
      </x:c>
      <x:c r="E813" s="94" t="str">
        <x:v>Google Ads</x:v>
      </x:c>
      <x:c r="F813" s="94" t="str">
        <x:v>英国</x:v>
      </x:c>
      <x:c r="G813" s="94" t="str">
        <x:v>通用搜索</x:v>
      </x:c>
      <x:c r="H813" s="94" t="str">
        <x:v>SKU-0020</x:v>
      </x:c>
      <x:c r="I813" s="94" t="str">
        <x:v>家居生活</x:v>
      </x:c>
      <x:c r="J813" s="94" t="str">
        <x:v>智能门锁 J</x:v>
      </x:c>
      <x:c r="K813" s="97" t="n">
        <x:v>178.57</x:v>
      </x:c>
      <x:c r="L813" s="95" t="n">
        <x:v>1</x:v>
      </x:c>
      <x:c r="M813" s="97" t="n">
        <x:f>ROUND(K813*L813,2)</x:f>
        <x:v>178.57</x:v>
      </x:c>
      <x:c r="N813" s="109" t="n">
        <x:v>0.07</x:v>
      </x:c>
      <x:c r="O813" s="97" t="n">
        <x:f>ROUND(M813*N813,2)</x:f>
        <x:v>12.5</x:v>
      </x:c>
      <x:c r="P813" s="94" t="str">
        <x:v>已确认</x:v>
      </x:c>
      <x:c r="Q813" s="97" t="n">
        <x:f>IF(P813="已退款",M813,0)</x:f>
        <x:v>0</x:v>
      </x:c>
      <x:c r="R813" s="97" t="n">
        <x:f>IF(P813="已退款",O813,0)</x:f>
        <x:v>0</x:v>
      </x:c>
      <x:c r="S813" s="97" t="n">
        <x:f>O813-R813</x:f>
        <x:v>12.5</x:v>
      </x:c>
      <x:c r="T813" s="94" t="n">
        <x:v>4</x:v>
      </x:c>
      <x:c r="U813" s="94" t="str">
        <x:v>模拟：Amazon Associates订单回传</x:v>
      </x:c>
    </x:row>
    <x:row r="814">
      <x:c r="A814" s="92" t="str">
        <x:v>AMZ-ORD-00813</x:v>
      </x:c>
      <x:c r="B814" s="94" t="str">
        <x:v>PROC-0814</x:v>
      </x:c>
      <x:c r="C814" s="108" t="n">
        <x:v>46172.57152777778</x:v>
      </x:c>
      <x:c r="D814" s="93" t="n">
        <x:v>46170</x:v>
      </x:c>
      <x:c r="E814" s="94" t="str">
        <x:v>Google Ads</x:v>
      </x:c>
      <x:c r="F814" s="94" t="str">
        <x:v>德国</x:v>
      </x:c>
      <x:c r="G814" s="94" t="str">
        <x:v>品牌搜索</x:v>
      </x:c>
      <x:c r="H814" s="94" t="str">
        <x:v>SKU-0016</x:v>
      </x:c>
      <x:c r="I814" s="94" t="str">
        <x:v>家居生活</x:v>
      </x:c>
      <x:c r="J814" s="94" t="str">
        <x:v>厨师机 F</x:v>
      </x:c>
      <x:c r="K814" s="97" t="n">
        <x:v>316.14</x:v>
      </x:c>
      <x:c r="L814" s="95" t="n">
        <x:v>2</x:v>
      </x:c>
      <x:c r="M814" s="97" t="n">
        <x:f>ROUND(K814*L814,2)</x:f>
        <x:v>632.28</x:v>
      </x:c>
      <x:c r="N814" s="109" t="n">
        <x:v>0.07</x:v>
      </x:c>
      <x:c r="O814" s="97" t="n">
        <x:f>ROUND(M814*N814,2)</x:f>
        <x:v>44.26</x:v>
      </x:c>
      <x:c r="P814" s="94" t="str">
        <x:v>已确认</x:v>
      </x:c>
      <x:c r="Q814" s="97" t="n">
        <x:f>IF(P814="已退款",M814,0)</x:f>
        <x:v>0</x:v>
      </x:c>
      <x:c r="R814" s="97" t="n">
        <x:f>IF(P814="已退款",O814,0)</x:f>
        <x:v>0</x:v>
      </x:c>
      <x:c r="S814" s="97" t="n">
        <x:f>O814-R814</x:f>
        <x:v>44.26</x:v>
      </x:c>
      <x:c r="T814" s="94" t="n">
        <x:v>2</x:v>
      </x:c>
      <x:c r="U814" s="94" t="str">
        <x:v>模拟：Amazon Associates订单回传</x:v>
      </x:c>
    </x:row>
    <x:row r="815">
      <x:c r="A815" s="92" t="str">
        <x:v>AMZ-ORD-00814</x:v>
      </x:c>
      <x:c r="B815" s="94" t="str">
        <x:v>PROC-0816</x:v>
      </x:c>
      <x:c r="C815" s="108" t="n">
        <x:v>46173.5625</x:v>
      </x:c>
      <x:c r="D815" s="93" t="n">
        <x:v>46170</x:v>
      </x:c>
      <x:c r="E815" s="94" t="str">
        <x:v>Google Ads</x:v>
      </x:c>
      <x:c r="F815" s="94" t="str">
        <x:v>美国</x:v>
      </x:c>
      <x:c r="G815" s="94" t="str">
        <x:v>购物广告</x:v>
      </x:c>
      <x:c r="H815" s="94" t="str">
        <x:v>SKU-0028</x:v>
      </x:c>
      <x:c r="I815" s="94" t="str">
        <x:v>运动健康</x:v>
      </x:c>
      <x:c r="J815" s="94" t="str">
        <x:v>体脂秤 H</x:v>
      </x:c>
      <x:c r="K815" s="97" t="n">
        <x:v>83.85</x:v>
      </x:c>
      <x:c r="L815" s="95" t="n">
        <x:v>1</x:v>
      </x:c>
      <x:c r="M815" s="97" t="n">
        <x:f>ROUND(K815*L815,2)</x:f>
        <x:v>83.85</x:v>
      </x:c>
      <x:c r="N815" s="109" t="n">
        <x:v>0.08</x:v>
      </x:c>
      <x:c r="O815" s="97" t="n">
        <x:f>ROUND(M815*N815,2)</x:f>
        <x:v>6.71</x:v>
      </x:c>
      <x:c r="P815" s="94" t="str">
        <x:v>已确认</x:v>
      </x:c>
      <x:c r="Q815" s="97" t="n">
        <x:f>IF(P815="已退款",M815,0)</x:f>
        <x:v>0</x:v>
      </x:c>
      <x:c r="R815" s="97" t="n">
        <x:f>IF(P815="已退款",O815,0)</x:f>
        <x:v>0</x:v>
      </x:c>
      <x:c r="S815" s="97" t="n">
        <x:f>O815-R815</x:f>
        <x:v>6.71</x:v>
      </x:c>
      <x:c r="T815" s="94" t="n">
        <x:v>3</x:v>
      </x:c>
      <x:c r="U815" s="94" t="str">
        <x:v>模拟：Amazon Associates订单回传</x:v>
      </x:c>
    </x:row>
    <x:row r="816">
      <x:c r="A816" s="92" t="str">
        <x:v>AMZ-ORD-00815</x:v>
      </x:c>
      <x:c r="B816" s="94" t="str">
        <x:v>PROC-0817</x:v>
      </x:c>
      <x:c r="C816" s="108" t="n">
        <x:v>46172.39861111111</x:v>
      </x:c>
      <x:c r="D816" s="93" t="n">
        <x:v>46170</x:v>
      </x:c>
      <x:c r="E816" s="94" t="str">
        <x:v>Google Ads</x:v>
      </x:c>
      <x:c r="F816" s="94" t="str">
        <x:v>美国</x:v>
      </x:c>
      <x:c r="G816" s="94" t="str">
        <x:v>品牌搜索</x:v>
      </x:c>
      <x:c r="H816" s="94" t="str">
        <x:v>SKU-0005</x:v>
      </x:c>
      <x:c r="I816" s="94" t="str">
        <x:v>电子产品</x:v>
      </x:c>
      <x:c r="J816" s="94" t="str">
        <x:v>降噪耳机 E</x:v>
      </x:c>
      <x:c r="K816" s="97" t="n">
        <x:v>469.18</x:v>
      </x:c>
      <x:c r="L816" s="95" t="n">
        <x:v>1</x:v>
      </x:c>
      <x:c r="M816" s="97" t="n">
        <x:f>ROUND(K816*L816,2)</x:f>
        <x:v>469.18</x:v>
      </x:c>
      <x:c r="N816" s="109" t="n">
        <x:v>0.05</x:v>
      </x:c>
      <x:c r="O816" s="97" t="n">
        <x:f>ROUND(M816*N816,2)</x:f>
        <x:v>23.46</x:v>
      </x:c>
      <x:c r="P816" s="94" t="str">
        <x:v>已确认</x:v>
      </x:c>
      <x:c r="Q816" s="97" t="n">
        <x:f>IF(P816="已退款",M816,0)</x:f>
        <x:v>0</x:v>
      </x:c>
      <x:c r="R816" s="97" t="n">
        <x:f>IF(P816="已退款",O816,0)</x:f>
        <x:v>0</x:v>
      </x:c>
      <x:c r="S816" s="97" t="n">
        <x:f>O816-R816</x:f>
        <x:v>23.46</x:v>
      </x:c>
      <x:c r="T816" s="94" t="n">
        <x:v>2</x:v>
      </x:c>
      <x:c r="U816" s="94" t="str">
        <x:v>模拟：Amazon Associates订单回传</x:v>
      </x:c>
    </x:row>
    <x:row r="817">
      <x:c r="A817" s="92" t="str">
        <x:v>AMZ-ORD-00816</x:v>
      </x:c>
      <x:c r="B817" s="94" t="str">
        <x:v>PROC-0818</x:v>
      </x:c>
      <x:c r="C817" s="108" t="n">
        <x:v>46173.79583333333</x:v>
      </x:c>
      <x:c r="D817" s="93" t="n">
        <x:v>46170</x:v>
      </x:c>
      <x:c r="E817" s="94" t="str">
        <x:v>Google Ads</x:v>
      </x:c>
      <x:c r="F817" s="94" t="str">
        <x:v>日本</x:v>
      </x:c>
      <x:c r="G817" s="94" t="str">
        <x:v>购物广告</x:v>
      </x:c>
      <x:c r="H817" s="94" t="str">
        <x:v>SKU-0030</x:v>
      </x:c>
      <x:c r="I817" s="94" t="str">
        <x:v>运动健康</x:v>
      </x:c>
      <x:c r="J817" s="94" t="str">
        <x:v>露营套装 J</x:v>
      </x:c>
      <x:c r="K817" s="97" t="n">
        <x:v>195.91</x:v>
      </x:c>
      <x:c r="L817" s="95" t="n">
        <x:v>2</x:v>
      </x:c>
      <x:c r="M817" s="97" t="n">
        <x:f>ROUND(K817*L817,2)</x:f>
        <x:v>391.82</x:v>
      </x:c>
      <x:c r="N817" s="109" t="n">
        <x:v>0.08</x:v>
      </x:c>
      <x:c r="O817" s="97" t="n">
        <x:f>ROUND(M817*N817,2)</x:f>
        <x:v>31.35</x:v>
      </x:c>
      <x:c r="P817" s="94" t="str">
        <x:v>已确认</x:v>
      </x:c>
      <x:c r="Q817" s="97" t="n">
        <x:f>IF(P817="已退款",M817,0)</x:f>
        <x:v>0</x:v>
      </x:c>
      <x:c r="R817" s="97" t="n">
        <x:f>IF(P817="已退款",O817,0)</x:f>
        <x:v>0</x:v>
      </x:c>
      <x:c r="S817" s="97" t="n">
        <x:f>O817-R817</x:f>
        <x:v>31.35</x:v>
      </x:c>
      <x:c r="T817" s="94" t="n">
        <x:v>3</x:v>
      </x:c>
      <x:c r="U817" s="94" t="str">
        <x:v>模拟：Amazon Associates订单回传</x:v>
      </x:c>
    </x:row>
    <x:row r="818">
      <x:c r="A818" s="92" t="str">
        <x:v>AMZ-ORD-00817</x:v>
      </x:c>
      <x:c r="B818" s="94" t="str">
        <x:v>PROC-0819</x:v>
      </x:c>
      <x:c r="C818" s="108" t="n">
        <x:v>46174.65694444445</x:v>
      </x:c>
      <x:c r="D818" s="93" t="n">
        <x:v>46171</x:v>
      </x:c>
      <x:c r="E818" s="94" t="str">
        <x:v>Microsoft Ads</x:v>
      </x:c>
      <x:c r="F818" s="94" t="str">
        <x:v>美国</x:v>
      </x:c>
      <x:c r="G818" s="94" t="str">
        <x:v>购物广告</x:v>
      </x:c>
      <x:c r="H818" s="94" t="str">
        <x:v>SKU-0011</x:v>
      </x:c>
      <x:c r="I818" s="94" t="str">
        <x:v>家居生活</x:v>
      </x:c>
      <x:c r="J818" s="94" t="str">
        <x:v>空气净化器 A</x:v>
      </x:c>
      <x:c r="K818" s="97" t="n">
        <x:v>95.69</x:v>
      </x:c>
      <x:c r="L818" s="95" t="n">
        <x:v>2</x:v>
      </x:c>
      <x:c r="M818" s="97" t="n">
        <x:f>ROUND(K818*L818,2)</x:f>
        <x:v>191.38</x:v>
      </x:c>
      <x:c r="N818" s="109" t="n">
        <x:v>0.07</x:v>
      </x:c>
      <x:c r="O818" s="97" t="n">
        <x:f>ROUND(M818*N818,2)</x:f>
        <x:v>13.4</x:v>
      </x:c>
      <x:c r="P818" s="94" t="str">
        <x:v>已确认</x:v>
      </x:c>
      <x:c r="Q818" s="97" t="n">
        <x:f>IF(P818="已退款",M818,0)</x:f>
        <x:v>0</x:v>
      </x:c>
      <x:c r="R818" s="97" t="n">
        <x:f>IF(P818="已退款",O818,0)</x:f>
        <x:v>0</x:v>
      </x:c>
      <x:c r="S818" s="97" t="n">
        <x:f>O818-R818</x:f>
        <x:v>13.4</x:v>
      </x:c>
      <x:c r="T818" s="94" t="n">
        <x:v>3</x:v>
      </x:c>
      <x:c r="U818" s="94" t="str">
        <x:v>模拟：Amazon Associates订单回传</x:v>
      </x:c>
    </x:row>
    <x:row r="819">
      <x:c r="A819" s="92" t="str">
        <x:v>AMZ-ORD-00818</x:v>
      </x:c>
      <x:c r="B819" s="94" t="str">
        <x:v>PROC-0819</x:v>
      </x:c>
      <x:c r="C819" s="108" t="n">
        <x:v>46172.7</x:v>
      </x:c>
      <x:c r="D819" s="93" t="n">
        <x:v>46171</x:v>
      </x:c>
      <x:c r="E819" s="94" t="str">
        <x:v>Microsoft Ads</x:v>
      </x:c>
      <x:c r="F819" s="94" t="str">
        <x:v>美国</x:v>
      </x:c>
      <x:c r="G819" s="94" t="str">
        <x:v>购物广告</x:v>
      </x:c>
      <x:c r="H819" s="94" t="str">
        <x:v>SKU-0026</x:v>
      </x:c>
      <x:c r="I819" s="94" t="str">
        <x:v>运动健康</x:v>
      </x:c>
      <x:c r="J819" s="94" t="str">
        <x:v>骑行头盔 F</x:v>
      </x:c>
      <x:c r="K819" s="97" t="n">
        <x:v>93.12</x:v>
      </x:c>
      <x:c r="L819" s="95" t="n">
        <x:v>1</x:v>
      </x:c>
      <x:c r="M819" s="97" t="n">
        <x:f>ROUND(K819*L819,2)</x:f>
        <x:v>93.12</x:v>
      </x:c>
      <x:c r="N819" s="109" t="n">
        <x:v>0.08</x:v>
      </x:c>
      <x:c r="O819" s="97" t="n">
        <x:f>ROUND(M819*N819,2)</x:f>
        <x:v>7.45</x:v>
      </x:c>
      <x:c r="P819" s="94" t="str">
        <x:v>已确认</x:v>
      </x:c>
      <x:c r="Q819" s="97" t="n">
        <x:f>IF(P819="已退款",M819,0)</x:f>
        <x:v>0</x:v>
      </x:c>
      <x:c r="R819" s="97" t="n">
        <x:f>IF(P819="已退款",O819,0)</x:f>
        <x:v>0</x:v>
      </x:c>
      <x:c r="S819" s="97" t="n">
        <x:f>O819-R819</x:f>
        <x:v>7.45</x:v>
      </x:c>
      <x:c r="T819" s="94" t="n">
        <x:v>1</x:v>
      </x:c>
      <x:c r="U819" s="94" t="str">
        <x:v>模拟：Amazon Associates订单回传</x:v>
      </x:c>
    </x:row>
    <x:row r="820">
      <x:c r="A820" s="92" t="str">
        <x:v>AMZ-ORD-00819</x:v>
      </x:c>
      <x:c r="B820" s="94" t="str">
        <x:v>PROC-0821</x:v>
      </x:c>
      <x:c r="C820" s="108" t="n">
        <x:v>46175.407638888886</x:v>
      </x:c>
      <x:c r="D820" s="93" t="n">
        <x:v>46171</x:v>
      </x:c>
      <x:c r="E820" s="94" t="str">
        <x:v>Google Ads</x:v>
      </x:c>
      <x:c r="F820" s="94" t="str">
        <x:v>德国</x:v>
      </x:c>
      <x:c r="G820" s="94" t="str">
        <x:v>品牌搜索</x:v>
      </x:c>
      <x:c r="H820" s="94" t="str">
        <x:v>SKU-0037</x:v>
      </x:c>
      <x:c r="I820" s="94" t="str">
        <x:v>美妆个护</x:v>
      </x:c>
      <x:c r="J820" s="94" t="str">
        <x:v>美容仪 G</x:v>
      </x:c>
      <x:c r="K820" s="97" t="n">
        <x:v>159.1</x:v>
      </x:c>
      <x:c r="L820" s="95" t="n">
        <x:v>1</x:v>
      </x:c>
      <x:c r="M820" s="97" t="n">
        <x:f>ROUND(K820*L820,2)</x:f>
        <x:v>159.1</x:v>
      </x:c>
      <x:c r="N820" s="109" t="n">
        <x:v>0.1</x:v>
      </x:c>
      <x:c r="O820" s="97" t="n">
        <x:f>ROUND(M820*N820,2)</x:f>
        <x:v>15.91</x:v>
      </x:c>
      <x:c r="P820" s="94" t="str">
        <x:v>已确认</x:v>
      </x:c>
      <x:c r="Q820" s="97" t="n">
        <x:f>IF(P820="已退款",M820,0)</x:f>
        <x:v>0</x:v>
      </x:c>
      <x:c r="R820" s="97" t="n">
        <x:f>IF(P820="已退款",O820,0)</x:f>
        <x:v>0</x:v>
      </x:c>
      <x:c r="S820" s="97" t="n">
        <x:f>O820-R820</x:f>
        <x:v>15.91</x:v>
      </x:c>
      <x:c r="T820" s="94" t="n">
        <x:v>4</x:v>
      </x:c>
      <x:c r="U820" s="94" t="str">
        <x:v>模拟：Amazon Associates订单回传</x:v>
      </x:c>
    </x:row>
    <x:row r="821">
      <x:c r="A821" s="92" t="str">
        <x:v>AMZ-ORD-00820</x:v>
      </x:c>
      <x:c r="B821" s="94" t="str">
        <x:v>PROC-0821</x:v>
      </x:c>
      <x:c r="C821" s="108" t="n">
        <x:v>46173.81527777778</x:v>
      </x:c>
      <x:c r="D821" s="93" t="n">
        <x:v>46171</x:v>
      </x:c>
      <x:c r="E821" s="94" t="str">
        <x:v>Google Ads</x:v>
      </x:c>
      <x:c r="F821" s="94" t="str">
        <x:v>德国</x:v>
      </x:c>
      <x:c r="G821" s="94" t="str">
        <x:v>品牌搜索</x:v>
      </x:c>
      <x:c r="H821" s="94" t="str">
        <x:v>SKU-0016</x:v>
      </x:c>
      <x:c r="I821" s="94" t="str">
        <x:v>家居生活</x:v>
      </x:c>
      <x:c r="J821" s="94" t="str">
        <x:v>厨师机 F</x:v>
      </x:c>
      <x:c r="K821" s="97" t="n">
        <x:v>117.88</x:v>
      </x:c>
      <x:c r="L821" s="95" t="n">
        <x:v>1</x:v>
      </x:c>
      <x:c r="M821" s="97" t="n">
        <x:f>ROUND(K821*L821,2)</x:f>
        <x:v>117.88</x:v>
      </x:c>
      <x:c r="N821" s="109" t="n">
        <x:v>0.07</x:v>
      </x:c>
      <x:c r="O821" s="97" t="n">
        <x:f>ROUND(M821*N821,2)</x:f>
        <x:v>8.25</x:v>
      </x:c>
      <x:c r="P821" s="94" t="str">
        <x:v>已确认</x:v>
      </x:c>
      <x:c r="Q821" s="97" t="n">
        <x:f>IF(P821="已退款",M821,0)</x:f>
        <x:v>0</x:v>
      </x:c>
      <x:c r="R821" s="97" t="n">
        <x:f>IF(P821="已退款",O821,0)</x:f>
        <x:v>0</x:v>
      </x:c>
      <x:c r="S821" s="97" t="n">
        <x:f>O821-R821</x:f>
        <x:v>8.25</x:v>
      </x:c>
      <x:c r="T821" s="94" t="n">
        <x:v>2</x:v>
      </x:c>
      <x:c r="U821" s="94" t="str">
        <x:v>模拟：Amazon Associates订单回传</x:v>
      </x:c>
    </x:row>
    <x:row r="822">
      <x:c r="A822" s="92" t="str">
        <x:v>AMZ-ORD-00821</x:v>
      </x:c>
      <x:c r="B822" s="94" t="str">
        <x:v>PROC-0822</x:v>
      </x:c>
      <x:c r="C822" s="108" t="n">
        <x:v>46171.6125</x:v>
      </x:c>
      <x:c r="D822" s="93" t="n">
        <x:v>46171</x:v>
      </x:c>
      <x:c r="E822" s="94" t="str">
        <x:v>Google Ads</x:v>
      </x:c>
      <x:c r="F822" s="94" t="str">
        <x:v>德国</x:v>
      </x:c>
      <x:c r="G822" s="94" t="str">
        <x:v>通用搜索</x:v>
      </x:c>
      <x:c r="H822" s="94" t="str">
        <x:v>SKU-0033</x:v>
      </x:c>
      <x:c r="I822" s="94" t="str">
        <x:v>美妆个护</x:v>
      </x:c>
      <x:c r="J822" s="94" t="str">
        <x:v>护肤套装 C</x:v>
      </x:c>
      <x:c r="K822" s="97" t="n">
        <x:v>66.85</x:v>
      </x:c>
      <x:c r="L822" s="95" t="n">
        <x:v>1</x:v>
      </x:c>
      <x:c r="M822" s="97" t="n">
        <x:f>ROUND(K822*L822,2)</x:f>
        <x:v>66.85</x:v>
      </x:c>
      <x:c r="N822" s="109" t="n">
        <x:v>0.1</x:v>
      </x:c>
      <x:c r="O822" s="97" t="n">
        <x:f>ROUND(M822*N822,2)</x:f>
        <x:v>6.69</x:v>
      </x:c>
      <x:c r="P822" s="94" t="str">
        <x:v>已确认</x:v>
      </x:c>
      <x:c r="Q822" s="97" t="n">
        <x:f>IF(P822="已退款",M822,0)</x:f>
        <x:v>0</x:v>
      </x:c>
      <x:c r="R822" s="97" t="n">
        <x:f>IF(P822="已退款",O822,0)</x:f>
        <x:v>0</x:v>
      </x:c>
      <x:c r="S822" s="97" t="n">
        <x:f>O822-R822</x:f>
        <x:v>6.69</x:v>
      </x:c>
      <x:c r="T822" s="94" t="n">
        <x:v>0</x:v>
      </x:c>
      <x:c r="U822" s="94" t="str">
        <x:v>模拟：Amazon Associates订单回传</x:v>
      </x:c>
    </x:row>
    <x:row r="823">
      <x:c r="A823" s="92" t="str">
        <x:v>AMZ-ORD-00822</x:v>
      </x:c>
      <x:c r="B823" s="94" t="str">
        <x:v>PROC-0823</x:v>
      </x:c>
      <x:c r="C823" s="108" t="n">
        <x:v>46175.81805555556</x:v>
      </x:c>
      <x:c r="D823" s="93" t="n">
        <x:v>46171</x:v>
      </x:c>
      <x:c r="E823" s="94" t="str">
        <x:v>Microsoft Ads</x:v>
      </x:c>
      <x:c r="F823" s="94" t="str">
        <x:v>英国</x:v>
      </x:c>
      <x:c r="G823" s="94" t="str">
        <x:v>通用搜索</x:v>
      </x:c>
      <x:c r="H823" s="94" t="str">
        <x:v>SKU-0042</x:v>
      </x:c>
      <x:c r="I823" s="94" t="str">
        <x:v>办公学习</x:v>
      </x:c>
      <x:c r="J823" s="94" t="str">
        <x:v>护眼台灯 B</x:v>
      </x:c>
      <x:c r="K823" s="97" t="n">
        <x:v>116.94</x:v>
      </x:c>
      <x:c r="L823" s="95" t="n">
        <x:v>1</x:v>
      </x:c>
      <x:c r="M823" s="97" t="n">
        <x:f>ROUND(K823*L823,2)</x:f>
        <x:v>116.94</x:v>
      </x:c>
      <x:c r="N823" s="109" t="n">
        <x:v>0.07</x:v>
      </x:c>
      <x:c r="O823" s="97" t="n">
        <x:f>ROUND(M823*N823,2)</x:f>
        <x:v>8.19</x:v>
      </x:c>
      <x:c r="P823" s="94" t="str">
        <x:v>已确认</x:v>
      </x:c>
      <x:c r="Q823" s="97" t="n">
        <x:f>IF(P823="已退款",M823,0)</x:f>
        <x:v>0</x:v>
      </x:c>
      <x:c r="R823" s="97" t="n">
        <x:f>IF(P823="已退款",O823,0)</x:f>
        <x:v>0</x:v>
      </x:c>
      <x:c r="S823" s="97" t="n">
        <x:f>O823-R823</x:f>
        <x:v>8.19</x:v>
      </x:c>
      <x:c r="T823" s="94" t="n">
        <x:v>4</x:v>
      </x:c>
      <x:c r="U823" s="94" t="str">
        <x:v>模拟：Amazon Associates订单回传</x:v>
      </x:c>
    </x:row>
    <x:row r="824">
      <x:c r="A824" s="92" t="str">
        <x:v>AMZ-ORD-00823</x:v>
      </x:c>
      <x:c r="B824" s="94" t="str">
        <x:v>PROC-0824</x:v>
      </x:c>
      <x:c r="C824" s="108" t="n">
        <x:v>46172.57847222222</x:v>
      </x:c>
      <x:c r="D824" s="93" t="n">
        <x:v>46171</x:v>
      </x:c>
      <x:c r="E824" s="94" t="str">
        <x:v>Google Ads</x:v>
      </x:c>
      <x:c r="F824" s="94" t="str">
        <x:v>英国</x:v>
      </x:c>
      <x:c r="G824" s="94" t="str">
        <x:v>品牌搜索</x:v>
      </x:c>
      <x:c r="H824" s="94" t="str">
        <x:v>SKU-0042</x:v>
      </x:c>
      <x:c r="I824" s="94" t="str">
        <x:v>办公学习</x:v>
      </x:c>
      <x:c r="J824" s="94" t="str">
        <x:v>护眼台灯 B</x:v>
      </x:c>
      <x:c r="K824" s="97" t="n">
        <x:v>211.68</x:v>
      </x:c>
      <x:c r="L824" s="95" t="n">
        <x:v>1</x:v>
      </x:c>
      <x:c r="M824" s="97" t="n">
        <x:f>ROUND(K824*L824,2)</x:f>
        <x:v>211.68</x:v>
      </x:c>
      <x:c r="N824" s="109" t="n">
        <x:v>0.07</x:v>
      </x:c>
      <x:c r="O824" s="97" t="n">
        <x:f>ROUND(M824*N824,2)</x:f>
        <x:v>14.82</x:v>
      </x:c>
      <x:c r="P824" s="94" t="str">
        <x:v>已确认</x:v>
      </x:c>
      <x:c r="Q824" s="97" t="n">
        <x:f>IF(P824="已退款",M824,0)</x:f>
        <x:v>0</x:v>
      </x:c>
      <x:c r="R824" s="97" t="n">
        <x:f>IF(P824="已退款",O824,0)</x:f>
        <x:v>0</x:v>
      </x:c>
      <x:c r="S824" s="97" t="n">
        <x:f>O824-R824</x:f>
        <x:v>14.82</x:v>
      </x:c>
      <x:c r="T824" s="94" t="n">
        <x:v>1</x:v>
      </x:c>
      <x:c r="U824" s="94" t="str">
        <x:v>模拟：Amazon Associates订单回传</x:v>
      </x:c>
    </x:row>
    <x:row r="825">
      <x:c r="A825" s="92" t="str">
        <x:v>AMZ-ORD-00824</x:v>
      </x:c>
      <x:c r="B825" s="94" t="str">
        <x:v>PROC-0824</x:v>
      </x:c>
      <x:c r="C825" s="108" t="n">
        <x:v>46172.82361111111</x:v>
      </x:c>
      <x:c r="D825" s="93" t="n">
        <x:v>46171</x:v>
      </x:c>
      <x:c r="E825" s="94" t="str">
        <x:v>Google Ads</x:v>
      </x:c>
      <x:c r="F825" s="94" t="str">
        <x:v>英国</x:v>
      </x:c>
      <x:c r="G825" s="94" t="str">
        <x:v>品牌搜索</x:v>
      </x:c>
      <x:c r="H825" s="94" t="str">
        <x:v>SKU-0041</x:v>
      </x:c>
      <x:c r="I825" s="94" t="str">
        <x:v>办公学习</x:v>
      </x:c>
      <x:c r="J825" s="94" t="str">
        <x:v>桌面升降台 A</x:v>
      </x:c>
      <x:c r="K825" s="97" t="n">
        <x:v>113.18</x:v>
      </x:c>
      <x:c r="L825" s="95" t="n">
        <x:v>1</x:v>
      </x:c>
      <x:c r="M825" s="97" t="n">
        <x:f>ROUND(K825*L825,2)</x:f>
        <x:v>113.18</x:v>
      </x:c>
      <x:c r="N825" s="109" t="n">
        <x:v>0.07</x:v>
      </x:c>
      <x:c r="O825" s="97" t="n">
        <x:f>ROUND(M825*N825,2)</x:f>
        <x:v>7.92</x:v>
      </x:c>
      <x:c r="P825" s="94" t="str">
        <x:v>已确认</x:v>
      </x:c>
      <x:c r="Q825" s="97" t="n">
        <x:f>IF(P825="已退款",M825,0)</x:f>
        <x:v>0</x:v>
      </x:c>
      <x:c r="R825" s="97" t="n">
        <x:f>IF(P825="已退款",O825,0)</x:f>
        <x:v>0</x:v>
      </x:c>
      <x:c r="S825" s="97" t="n">
        <x:f>O825-R825</x:f>
        <x:v>7.92</x:v>
      </x:c>
      <x:c r="T825" s="94" t="n">
        <x:v>1</x:v>
      </x:c>
      <x:c r="U825" s="94" t="str">
        <x:v>模拟：Amazon Associates订单回传</x:v>
      </x:c>
    </x:row>
    <x:row r="826">
      <x:c r="A826" s="92" t="str">
        <x:v>AMZ-ORD-00825</x:v>
      </x:c>
      <x:c r="B826" s="94" t="str">
        <x:v>PROC-0825</x:v>
      </x:c>
      <x:c r="C826" s="108" t="n">
        <x:v>46172.58194444444</x:v>
      </x:c>
      <x:c r="D826" s="93" t="n">
        <x:v>46172</x:v>
      </x:c>
      <x:c r="E826" s="94" t="str">
        <x:v>Microsoft Ads</x:v>
      </x:c>
      <x:c r="F826" s="94" t="str">
        <x:v>英国</x:v>
      </x:c>
      <x:c r="G826" s="94" t="str">
        <x:v>通用搜索</x:v>
      </x:c>
      <x:c r="H826" s="94" t="str">
        <x:v>SKU-0050</x:v>
      </x:c>
      <x:c r="I826" s="94" t="str">
        <x:v>办公学习</x:v>
      </x:c>
      <x:c r="J826" s="94" t="str">
        <x:v>静音鼠标 J</x:v>
      </x:c>
      <x:c r="K826" s="97" t="n">
        <x:v>248.28</x:v>
      </x:c>
      <x:c r="L826" s="95" t="n">
        <x:v>1</x:v>
      </x:c>
      <x:c r="M826" s="97" t="n">
        <x:f>ROUND(K826*L826,2)</x:f>
        <x:v>248.28</x:v>
      </x:c>
      <x:c r="N826" s="109" t="n">
        <x:v>0.07</x:v>
      </x:c>
      <x:c r="O826" s="97" t="n">
        <x:f>ROUND(M826*N826,2)</x:f>
        <x:v>17.38</x:v>
      </x:c>
      <x:c r="P826" s="94" t="str">
        <x:v>已确认</x:v>
      </x:c>
      <x:c r="Q826" s="97" t="n">
        <x:f>IF(P826="已退款",M826,0)</x:f>
        <x:v>0</x:v>
      </x:c>
      <x:c r="R826" s="97" t="n">
        <x:f>IF(P826="已退款",O826,0)</x:f>
        <x:v>0</x:v>
      </x:c>
      <x:c r="S826" s="97" t="n">
        <x:f>O826-R826</x:f>
        <x:v>17.38</x:v>
      </x:c>
      <x:c r="T826" s="94" t="n">
        <x:v>0</x:v>
      </x:c>
      <x:c r="U826" s="94" t="str">
        <x:v>模拟：Amazon Associates订单回传</x:v>
      </x:c>
    </x:row>
    <x:row r="827">
      <x:c r="A827" s="92" t="str">
        <x:v>AMZ-ORD-00826</x:v>
      </x:c>
      <x:c r="B827" s="94" t="str">
        <x:v>PROC-0826</x:v>
      </x:c>
      <x:c r="C827" s="108" t="n">
        <x:v>46174.39513888889</x:v>
      </x:c>
      <x:c r="D827" s="93" t="n">
        <x:v>46172</x:v>
      </x:c>
      <x:c r="E827" s="94" t="str">
        <x:v>Microsoft Ads</x:v>
      </x:c>
      <x:c r="F827" s="94" t="str">
        <x:v>美国</x:v>
      </x:c>
      <x:c r="G827" s="94" t="str">
        <x:v>通用搜索</x:v>
      </x:c>
      <x:c r="H827" s="94" t="str">
        <x:v>SKU-0024</x:v>
      </x:c>
      <x:c r="I827" s="94" t="str">
        <x:v>运动健康</x:v>
      </x:c>
      <x:c r="J827" s="94" t="str">
        <x:v>筋膜枪 D</x:v>
      </x:c>
      <x:c r="K827" s="97" t="n">
        <x:v>93.14</x:v>
      </x:c>
      <x:c r="L827" s="95" t="n">
        <x:v>2</x:v>
      </x:c>
      <x:c r="M827" s="97" t="n">
        <x:f>ROUND(K827*L827,2)</x:f>
        <x:v>186.28</x:v>
      </x:c>
      <x:c r="N827" s="109" t="n">
        <x:v>0.08</x:v>
      </x:c>
      <x:c r="O827" s="97" t="n">
        <x:f>ROUND(M827*N827,2)</x:f>
        <x:v>14.9</x:v>
      </x:c>
      <x:c r="P827" s="94" t="str">
        <x:v>已确认</x:v>
      </x:c>
      <x:c r="Q827" s="97" t="n">
        <x:f>IF(P827="已退款",M827,0)</x:f>
        <x:v>0</x:v>
      </x:c>
      <x:c r="R827" s="97" t="n">
        <x:f>IF(P827="已退款",O827,0)</x:f>
        <x:v>0</x:v>
      </x:c>
      <x:c r="S827" s="97" t="n">
        <x:f>O827-R827</x:f>
        <x:v>14.9</x:v>
      </x:c>
      <x:c r="T827" s="94" t="n">
        <x:v>2</x:v>
      </x:c>
      <x:c r="U827" s="94" t="str">
        <x:v>模拟：Amazon Associates订单回传</x:v>
      </x:c>
    </x:row>
    <x:row r="828">
      <x:c r="A828" s="92" t="str">
        <x:v>AMZ-ORD-00827</x:v>
      </x:c>
      <x:c r="B828" s="94" t="str">
        <x:v>PROC-0827</x:v>
      </x:c>
      <x:c r="C828" s="108" t="n">
        <x:v>46172.59652777778</x:v>
      </x:c>
      <x:c r="D828" s="93" t="n">
        <x:v>46172</x:v>
      </x:c>
      <x:c r="E828" s="94" t="str">
        <x:v>Microsoft Ads</x:v>
      </x:c>
      <x:c r="F828" s="94" t="str">
        <x:v>美国</x:v>
      </x:c>
      <x:c r="G828" s="94" t="str">
        <x:v>通用搜索</x:v>
      </x:c>
      <x:c r="H828" s="94" t="str">
        <x:v>SKU-0039</x:v>
      </x:c>
      <x:c r="I828" s="94" t="str">
        <x:v>美妆个护</x:v>
      </x:c>
      <x:c r="J828" s="94" t="str">
        <x:v>按摩梳 I</x:v>
      </x:c>
      <x:c r="K828" s="97" t="n">
        <x:v>60.84</x:v>
      </x:c>
      <x:c r="L828" s="95" t="n">
        <x:v>1</x:v>
      </x:c>
      <x:c r="M828" s="97" t="n">
        <x:f>ROUND(K828*L828,2)</x:f>
        <x:v>60.84</x:v>
      </x:c>
      <x:c r="N828" s="109" t="n">
        <x:v>0.1</x:v>
      </x:c>
      <x:c r="O828" s="97" t="n">
        <x:f>ROUND(M828*N828,2)</x:f>
        <x:v>6.08</x:v>
      </x:c>
      <x:c r="P828" s="94" t="str">
        <x:v>已确认</x:v>
      </x:c>
      <x:c r="Q828" s="97" t="n">
        <x:f>IF(P828="已退款",M828,0)</x:f>
        <x:v>0</x:v>
      </x:c>
      <x:c r="R828" s="97" t="n">
        <x:f>IF(P828="已退款",O828,0)</x:f>
        <x:v>0</x:v>
      </x:c>
      <x:c r="S828" s="97" t="n">
        <x:f>O828-R828</x:f>
        <x:v>6.08</x:v>
      </x:c>
      <x:c r="T828" s="94" t="n">
        <x:v>0</x:v>
      </x:c>
      <x:c r="U828" s="94" t="str">
        <x:v>模拟：Amazon Associates订单回传</x:v>
      </x:c>
    </x:row>
    <x:row r="829">
      <x:c r="A829" s="92" t="str">
        <x:v>AMZ-ORD-00828</x:v>
      </x:c>
      <x:c r="B829" s="94" t="str">
        <x:v>PROC-0828</x:v>
      </x:c>
      <x:c r="C829" s="108" t="n">
        <x:v>46175.44375</x:v>
      </x:c>
      <x:c r="D829" s="93" t="n">
        <x:v>46172</x:v>
      </x:c>
      <x:c r="E829" s="94" t="str">
        <x:v>Microsoft Ads</x:v>
      </x:c>
      <x:c r="F829" s="94" t="str">
        <x:v>美国</x:v>
      </x:c>
      <x:c r="G829" s="94" t="str">
        <x:v>通用搜索</x:v>
      </x:c>
      <x:c r="H829" s="94" t="str">
        <x:v>SKU-0003</x:v>
      </x:c>
      <x:c r="I829" s="94" t="str">
        <x:v>电子产品</x:v>
      </x:c>
      <x:c r="J829" s="94" t="str">
        <x:v>智能家居中枢 C</x:v>
      </x:c>
      <x:c r="K829" s="97" t="n">
        <x:v>631.39</x:v>
      </x:c>
      <x:c r="L829" s="95" t="n">
        <x:v>1</x:v>
      </x:c>
      <x:c r="M829" s="97" t="n">
        <x:f>ROUND(K829*L829,2)</x:f>
        <x:v>631.39</x:v>
      </x:c>
      <x:c r="N829" s="109" t="n">
        <x:v>0.05</x:v>
      </x:c>
      <x:c r="O829" s="97" t="n">
        <x:f>ROUND(M829*N829,2)</x:f>
        <x:v>31.57</x:v>
      </x:c>
      <x:c r="P829" s="94" t="str">
        <x:v>已确认</x:v>
      </x:c>
      <x:c r="Q829" s="97" t="n">
        <x:f>IF(P829="已退款",M829,0)</x:f>
        <x:v>0</x:v>
      </x:c>
      <x:c r="R829" s="97" t="n">
        <x:f>IF(P829="已退款",O829,0)</x:f>
        <x:v>0</x:v>
      </x:c>
      <x:c r="S829" s="97" t="n">
        <x:f>O829-R829</x:f>
        <x:v>31.57</x:v>
      </x:c>
      <x:c r="T829" s="94" t="n">
        <x:v>3</x:v>
      </x:c>
      <x:c r="U829" s="94" t="str">
        <x:v>模拟：Amazon Associates订单回传</x:v>
      </x:c>
    </x:row>
    <x:row r="830">
      <x:c r="A830" s="92" t="str">
        <x:v>AMZ-ORD-00829</x:v>
      </x:c>
      <x:c r="B830" s="94" t="str">
        <x:v>PROC-0829</x:v>
      </x:c>
      <x:c r="C830" s="108" t="n">
        <x:v>46176.71111111111</x:v>
      </x:c>
      <x:c r="D830" s="93" t="n">
        <x:v>46172</x:v>
      </x:c>
      <x:c r="E830" s="94" t="str">
        <x:v>Google Ads</x:v>
      </x:c>
      <x:c r="F830" s="94" t="str">
        <x:v>德国</x:v>
      </x:c>
      <x:c r="G830" s="94" t="str">
        <x:v>通用搜索</x:v>
      </x:c>
      <x:c r="H830" s="94" t="str">
        <x:v>SKU-0044</x:v>
      </x:c>
      <x:c r="I830" s="94" t="str">
        <x:v>办公学习</x:v>
      </x:c>
      <x:c r="J830" s="94" t="str">
        <x:v>数字笔记本 D</x:v>
      </x:c>
      <x:c r="K830" s="97" t="n">
        <x:v>213.16</x:v>
      </x:c>
      <x:c r="L830" s="95" t="n">
        <x:v>1</x:v>
      </x:c>
      <x:c r="M830" s="97" t="n">
        <x:f>ROUND(K830*L830,2)</x:f>
        <x:v>213.16</x:v>
      </x:c>
      <x:c r="N830" s="109" t="n">
        <x:v>0.07</x:v>
      </x:c>
      <x:c r="O830" s="97" t="n">
        <x:f>ROUND(M830*N830,2)</x:f>
        <x:v>14.92</x:v>
      </x:c>
      <x:c r="P830" s="94" t="str">
        <x:v>已确认</x:v>
      </x:c>
      <x:c r="Q830" s="97" t="n">
        <x:f>IF(P830="已退款",M830,0)</x:f>
        <x:v>0</x:v>
      </x:c>
      <x:c r="R830" s="97" t="n">
        <x:f>IF(P830="已退款",O830,0)</x:f>
        <x:v>0</x:v>
      </x:c>
      <x:c r="S830" s="97" t="n">
        <x:f>O830-R830</x:f>
        <x:v>14.92</x:v>
      </x:c>
      <x:c r="T830" s="94" t="n">
        <x:v>4</x:v>
      </x:c>
      <x:c r="U830" s="94" t="str">
        <x:v>模拟：Amazon Associates订单回传</x:v>
      </x:c>
    </x:row>
    <x:row r="831">
      <x:c r="A831" s="92" t="str">
        <x:v>AMZ-ORD-00830</x:v>
      </x:c>
      <x:c r="B831" s="94" t="str">
        <x:v>PROC-0830</x:v>
      </x:c>
      <x:c r="C831" s="108" t="n">
        <x:v>46174.39027777778</x:v>
      </x:c>
      <x:c r="D831" s="93" t="n">
        <x:v>46173</x:v>
      </x:c>
      <x:c r="E831" s="94" t="str">
        <x:v>Google Ads</x:v>
      </x:c>
      <x:c r="F831" s="94" t="str">
        <x:v>英国</x:v>
      </x:c>
      <x:c r="G831" s="94" t="str">
        <x:v>品牌搜索</x:v>
      </x:c>
      <x:c r="H831" s="94" t="str">
        <x:v>SKU-0006</x:v>
      </x:c>
      <x:c r="I831" s="94" t="str">
        <x:v>电子产品</x:v>
      </x:c>
      <x:c r="J831" s="94" t="str">
        <x:v>迷你投影仪 F</x:v>
      </x:c>
      <x:c r="K831" s="97" t="n">
        <x:v>619.71</x:v>
      </x:c>
      <x:c r="L831" s="95" t="n">
        <x:v>1</x:v>
      </x:c>
      <x:c r="M831" s="97" t="n">
        <x:f>ROUND(K831*L831,2)</x:f>
        <x:v>619.71</x:v>
      </x:c>
      <x:c r="N831" s="109" t="n">
        <x:v>0.05</x:v>
      </x:c>
      <x:c r="O831" s="97" t="n">
        <x:f>ROUND(M831*N831,2)</x:f>
        <x:v>30.99</x:v>
      </x:c>
      <x:c r="P831" s="94" t="str">
        <x:v>已确认</x:v>
      </x:c>
      <x:c r="Q831" s="97" t="n">
        <x:f>IF(P831="已退款",M831,0)</x:f>
        <x:v>0</x:v>
      </x:c>
      <x:c r="R831" s="97" t="n">
        <x:f>IF(P831="已退款",O831,0)</x:f>
        <x:v>0</x:v>
      </x:c>
      <x:c r="S831" s="97" t="n">
        <x:f>O831-R831</x:f>
        <x:v>30.99</x:v>
      </x:c>
      <x:c r="T831" s="94" t="n">
        <x:v>1</x:v>
      </x:c>
      <x:c r="U831" s="94" t="str">
        <x:v>模拟：Amazon Associates订单回传</x:v>
      </x:c>
    </x:row>
    <x:row r="832">
      <x:c r="A832" s="92" t="str">
        <x:v>AMZ-ORD-00831</x:v>
      </x:c>
      <x:c r="B832" s="94" t="str">
        <x:v>PROC-0830</x:v>
      </x:c>
      <x:c r="C832" s="108" t="n">
        <x:v>46177.77638888889</x:v>
      </x:c>
      <x:c r="D832" s="93" t="n">
        <x:v>46173</x:v>
      </x:c>
      <x:c r="E832" s="94" t="str">
        <x:v>Google Ads</x:v>
      </x:c>
      <x:c r="F832" s="94" t="str">
        <x:v>英国</x:v>
      </x:c>
      <x:c r="G832" s="94" t="str">
        <x:v>品牌搜索</x:v>
      </x:c>
      <x:c r="H832" s="94" t="str">
        <x:v>SKU-0025</x:v>
      </x:c>
      <x:c r="I832" s="94" t="str">
        <x:v>运动健康</x:v>
      </x:c>
      <x:c r="J832" s="94" t="str">
        <x:v>跑步机配件 E</x:v>
      </x:c>
      <x:c r="K832" s="97" t="n">
        <x:v>239.82</x:v>
      </x:c>
      <x:c r="L832" s="95" t="n">
        <x:v>1</x:v>
      </x:c>
      <x:c r="M832" s="97" t="n">
        <x:f>ROUND(K832*L832,2)</x:f>
        <x:v>239.82</x:v>
      </x:c>
      <x:c r="N832" s="109" t="n">
        <x:v>0.08</x:v>
      </x:c>
      <x:c r="O832" s="97" t="n">
        <x:f>ROUND(M832*N832,2)</x:f>
        <x:v>19.19</x:v>
      </x:c>
      <x:c r="P832" s="94" t="str">
        <x:v>已确认</x:v>
      </x:c>
      <x:c r="Q832" s="97" t="n">
        <x:f>IF(P832="已退款",M832,0)</x:f>
        <x:v>0</x:v>
      </x:c>
      <x:c r="R832" s="97" t="n">
        <x:f>IF(P832="已退款",O832,0)</x:f>
        <x:v>0</x:v>
      </x:c>
      <x:c r="S832" s="97" t="n">
        <x:f>O832-R832</x:f>
        <x:v>19.19</x:v>
      </x:c>
      <x:c r="T832" s="94" t="n">
        <x:v>4</x:v>
      </x:c>
      <x:c r="U832" s="94" t="str">
        <x:v>模拟：Amazon Associates订单回传</x:v>
      </x:c>
    </x:row>
    <x:row r="833">
      <x:c r="A833" s="92" t="str">
        <x:v>AMZ-ORD-00832</x:v>
      </x:c>
      <x:c r="B833" s="94" t="str">
        <x:v>PROC-0831</x:v>
      </x:c>
      <x:c r="C833" s="108" t="n">
        <x:v>46175.47777777778</x:v>
      </x:c>
      <x:c r="D833" s="93" t="n">
        <x:v>46173</x:v>
      </x:c>
      <x:c r="E833" s="94" t="str">
        <x:v>Google Ads</x:v>
      </x:c>
      <x:c r="F833" s="94" t="str">
        <x:v>日本</x:v>
      </x:c>
      <x:c r="G833" s="94" t="str">
        <x:v>通用搜索</x:v>
      </x:c>
      <x:c r="H833" s="94" t="str">
        <x:v>SKU-0025</x:v>
      </x:c>
      <x:c r="I833" s="94" t="str">
        <x:v>运动健康</x:v>
      </x:c>
      <x:c r="J833" s="94" t="str">
        <x:v>跑步机配件 E</x:v>
      </x:c>
      <x:c r="K833" s="97" t="n">
        <x:v>70.02</x:v>
      </x:c>
      <x:c r="L833" s="95" t="n">
        <x:v>1</x:v>
      </x:c>
      <x:c r="M833" s="97" t="n">
        <x:f>ROUND(K833*L833,2)</x:f>
        <x:v>70.02</x:v>
      </x:c>
      <x:c r="N833" s="109" t="n">
        <x:v>0.08</x:v>
      </x:c>
      <x:c r="O833" s="97" t="n">
        <x:f>ROUND(M833*N833,2)</x:f>
        <x:v>5.6</x:v>
      </x:c>
      <x:c r="P833" s="94" t="str">
        <x:v>已确认</x:v>
      </x:c>
      <x:c r="Q833" s="97" t="n">
        <x:f>IF(P833="已退款",M833,0)</x:f>
        <x:v>0</x:v>
      </x:c>
      <x:c r="R833" s="97" t="n">
        <x:f>IF(P833="已退款",O833,0)</x:f>
        <x:v>0</x:v>
      </x:c>
      <x:c r="S833" s="97" t="n">
        <x:f>O833-R833</x:f>
        <x:v>5.6</x:v>
      </x:c>
      <x:c r="T833" s="94" t="n">
        <x:v>2</x:v>
      </x:c>
      <x:c r="U833" s="94" t="str">
        <x:v>模拟：Amazon Associates订单回传</x:v>
      </x:c>
    </x:row>
    <x:row r="834">
      <x:c r="A834" s="92" t="str">
        <x:v>AMZ-ORD-00833</x:v>
      </x:c>
      <x:c r="B834" s="94" t="str">
        <x:v>PROC-0832</x:v>
      </x:c>
      <x:c r="C834" s="108" t="n">
        <x:v>46175.59097222222</x:v>
      </x:c>
      <x:c r="D834" s="93" t="n">
        <x:v>46173</x:v>
      </x:c>
      <x:c r="E834" s="94" t="str">
        <x:v>Google Ads</x:v>
      </x:c>
      <x:c r="F834" s="94" t="str">
        <x:v>德国</x:v>
      </x:c>
      <x:c r="G834" s="94" t="str">
        <x:v>购物广告</x:v>
      </x:c>
      <x:c r="H834" s="94" t="str">
        <x:v>SKU-0017</x:v>
      </x:c>
      <x:c r="I834" s="94" t="str">
        <x:v>家居生活</x:v>
      </x:c>
      <x:c r="J834" s="94" t="str">
        <x:v>落地灯 G</x:v>
      </x:c>
      <x:c r="K834" s="97" t="n">
        <x:v>229.36</x:v>
      </x:c>
      <x:c r="L834" s="95" t="n">
        <x:v>1</x:v>
      </x:c>
      <x:c r="M834" s="97" t="n">
        <x:f>ROUND(K834*L834,2)</x:f>
        <x:v>229.36</x:v>
      </x:c>
      <x:c r="N834" s="109" t="n">
        <x:v>0.07</x:v>
      </x:c>
      <x:c r="O834" s="97" t="n">
        <x:f>ROUND(M834*N834,2)</x:f>
        <x:v>16.06</x:v>
      </x:c>
      <x:c r="P834" s="94" t="str">
        <x:v>已确认</x:v>
      </x:c>
      <x:c r="Q834" s="97" t="n">
        <x:f>IF(P834="已退款",M834,0)</x:f>
        <x:v>0</x:v>
      </x:c>
      <x:c r="R834" s="97" t="n">
        <x:f>IF(P834="已退款",O834,0)</x:f>
        <x:v>0</x:v>
      </x:c>
      <x:c r="S834" s="97" t="n">
        <x:f>O834-R834</x:f>
        <x:v>16.06</x:v>
      </x:c>
      <x:c r="T834" s="94" t="n">
        <x:v>2</x:v>
      </x:c>
      <x:c r="U834" s="94" t="str">
        <x:v>模拟：Amazon Associates订单回传</x:v>
      </x:c>
    </x:row>
    <x:row r="835">
      <x:c r="A835" s="92" t="str">
        <x:v>AMZ-ORD-00834</x:v>
      </x:c>
      <x:c r="B835" s="94" t="str">
        <x:v>PROC-0834</x:v>
      </x:c>
      <x:c r="C835" s="108" t="n">
        <x:v>46173.36319444444</x:v>
      </x:c>
      <x:c r="D835" s="93" t="n">
        <x:v>46173</x:v>
      </x:c>
      <x:c r="E835" s="94" t="str">
        <x:v>Google Ads</x:v>
      </x:c>
      <x:c r="F835" s="94" t="str">
        <x:v>日本</x:v>
      </x:c>
      <x:c r="G835" s="94" t="str">
        <x:v>通用搜索</x:v>
      </x:c>
      <x:c r="H835" s="94" t="str">
        <x:v>SKU-0003</x:v>
      </x:c>
      <x:c r="I835" s="94" t="str">
        <x:v>电子产品</x:v>
      </x:c>
      <x:c r="J835" s="94" t="str">
        <x:v>智能家居中枢 C</x:v>
      </x:c>
      <x:c r="K835" s="97" t="n">
        <x:v>539.06</x:v>
      </x:c>
      <x:c r="L835" s="95" t="n">
        <x:v>1</x:v>
      </x:c>
      <x:c r="M835" s="97" t="n">
        <x:f>ROUND(K835*L835,2)</x:f>
        <x:v>539.06</x:v>
      </x:c>
      <x:c r="N835" s="109" t="n">
        <x:v>0.05</x:v>
      </x:c>
      <x:c r="O835" s="97" t="n">
        <x:f>ROUND(M835*N835,2)</x:f>
        <x:v>26.95</x:v>
      </x:c>
      <x:c r="P835" s="94" t="str">
        <x:v>已确认</x:v>
      </x:c>
      <x:c r="Q835" s="97" t="n">
        <x:f>IF(P835="已退款",M835,0)</x:f>
        <x:v>0</x:v>
      </x:c>
      <x:c r="R835" s="97" t="n">
        <x:f>IF(P835="已退款",O835,0)</x:f>
        <x:v>0</x:v>
      </x:c>
      <x:c r="S835" s="97" t="n">
        <x:f>O835-R835</x:f>
        <x:v>26.95</x:v>
      </x:c>
      <x:c r="T835" s="94" t="n">
        <x:v>0</x:v>
      </x:c>
      <x:c r="U835" s="94" t="str">
        <x:v>模拟：Amazon Associates订单回传</x:v>
      </x:c>
    </x:row>
    <x:row r="836">
      <x:c r="A836" s="92" t="str">
        <x:v>AMZ-ORD-00835</x:v>
      </x:c>
      <x:c r="B836" s="94" t="str">
        <x:v>PROC-0835</x:v>
      </x:c>
      <x:c r="C836" s="108" t="n">
        <x:v>46173.663194444445</x:v>
      </x:c>
      <x:c r="D836" s="93" t="n">
        <x:v>46173</x:v>
      </x:c>
      <x:c r="E836" s="94" t="str">
        <x:v>Google Ads</x:v>
      </x:c>
      <x:c r="F836" s="94" t="str">
        <x:v>日本</x:v>
      </x:c>
      <x:c r="G836" s="94" t="str">
        <x:v>品牌搜索</x:v>
      </x:c>
      <x:c r="H836" s="94" t="str">
        <x:v>SKU-0025</x:v>
      </x:c>
      <x:c r="I836" s="94" t="str">
        <x:v>运动健康</x:v>
      </x:c>
      <x:c r="J836" s="94" t="str">
        <x:v>跑步机配件 E</x:v>
      </x:c>
      <x:c r="K836" s="97" t="n">
        <x:v>75.98</x:v>
      </x:c>
      <x:c r="L836" s="95" t="n">
        <x:v>1</x:v>
      </x:c>
      <x:c r="M836" s="97" t="n">
        <x:f>ROUND(K836*L836,2)</x:f>
        <x:v>75.98</x:v>
      </x:c>
      <x:c r="N836" s="109" t="n">
        <x:v>0.08</x:v>
      </x:c>
      <x:c r="O836" s="97" t="n">
        <x:f>ROUND(M836*N836,2)</x:f>
        <x:v>6.08</x:v>
      </x:c>
      <x:c r="P836" s="94" t="str">
        <x:v>已确认</x:v>
      </x:c>
      <x:c r="Q836" s="97" t="n">
        <x:f>IF(P836="已退款",M836,0)</x:f>
        <x:v>0</x:v>
      </x:c>
      <x:c r="R836" s="97" t="n">
        <x:f>IF(P836="已退款",O836,0)</x:f>
        <x:v>0</x:v>
      </x:c>
      <x:c r="S836" s="97" t="n">
        <x:f>O836-R836</x:f>
        <x:v>6.08</x:v>
      </x:c>
      <x:c r="T836" s="94" t="n">
        <x:v>0</x:v>
      </x:c>
      <x:c r="U836" s="94" t="str">
        <x:v>模拟：Amazon Associates订单回传</x:v>
      </x:c>
    </x:row>
    <x:row r="837">
      <x:c r="A837" s="92" t="str">
        <x:v>AMZ-ORD-00836</x:v>
      </x:c>
      <x:c r="B837" s="94" t="str">
        <x:v>PROC-0836</x:v>
      </x:c>
      <x:c r="C837" s="108" t="n">
        <x:v>46177.76527777778</x:v>
      </x:c>
      <x:c r="D837" s="93" t="n">
        <x:v>46174</x:v>
      </x:c>
      <x:c r="E837" s="94" t="str">
        <x:v>Google Ads</x:v>
      </x:c>
      <x:c r="F837" s="94" t="str">
        <x:v>日本</x:v>
      </x:c>
      <x:c r="G837" s="94" t="str">
        <x:v>购物广告</x:v>
      </x:c>
      <x:c r="H837" s="94" t="str">
        <x:v>SKU-0019</x:v>
      </x:c>
      <x:c r="I837" s="94" t="str">
        <x:v>家居生活</x:v>
      </x:c>
      <x:c r="J837" s="94" t="str">
        <x:v>无线吸尘器 I</x:v>
      </x:c>
      <x:c r="K837" s="97" t="n">
        <x:v>311.91</x:v>
      </x:c>
      <x:c r="L837" s="95" t="n">
        <x:v>1</x:v>
      </x:c>
      <x:c r="M837" s="97" t="n">
        <x:f>ROUND(K837*L837,2)</x:f>
        <x:v>311.91</x:v>
      </x:c>
      <x:c r="N837" s="109" t="n">
        <x:v>0.07</x:v>
      </x:c>
      <x:c r="O837" s="97" t="n">
        <x:f>ROUND(M837*N837,2)</x:f>
        <x:v>21.83</x:v>
      </x:c>
      <x:c r="P837" s="94" t="str">
        <x:v>已确认</x:v>
      </x:c>
      <x:c r="Q837" s="97" t="n">
        <x:f>IF(P837="已退款",M837,0)</x:f>
        <x:v>0</x:v>
      </x:c>
      <x:c r="R837" s="97" t="n">
        <x:f>IF(P837="已退款",O837,0)</x:f>
        <x:v>0</x:v>
      </x:c>
      <x:c r="S837" s="97" t="n">
        <x:f>O837-R837</x:f>
        <x:v>21.83</x:v>
      </x:c>
      <x:c r="T837" s="94" t="n">
        <x:v>3</x:v>
      </x:c>
      <x:c r="U837" s="94" t="str">
        <x:v>模拟：Amazon Associates订单回传</x:v>
      </x:c>
    </x:row>
    <x:row r="838">
      <x:c r="A838" s="92" t="str">
        <x:v>AMZ-ORD-00837</x:v>
      </x:c>
      <x:c r="B838" s="94" t="str">
        <x:v>PROC-0837</x:v>
      </x:c>
      <x:c r="C838" s="108" t="n">
        <x:v>46178.74791666667</x:v>
      </x:c>
      <x:c r="D838" s="93" t="n">
        <x:v>46174</x:v>
      </x:c>
      <x:c r="E838" s="94" t="str">
        <x:v>Google Ads</x:v>
      </x:c>
      <x:c r="F838" s="94" t="str">
        <x:v>美国</x:v>
      </x:c>
      <x:c r="G838" s="94" t="str">
        <x:v>购物广告</x:v>
      </x:c>
      <x:c r="H838" s="94" t="str">
        <x:v>SKU-0034</x:v>
      </x:c>
      <x:c r="I838" s="94" t="str">
        <x:v>美妆个护</x:v>
      </x:c>
      <x:c r="J838" s="94" t="str">
        <x:v>电动牙刷 D</x:v>
      </x:c>
      <x:c r="K838" s="97" t="n">
        <x:v>129.33</x:v>
      </x:c>
      <x:c r="L838" s="95" t="n">
        <x:v>1</x:v>
      </x:c>
      <x:c r="M838" s="97" t="n">
        <x:f>ROUND(K838*L838,2)</x:f>
        <x:v>129.33</x:v>
      </x:c>
      <x:c r="N838" s="109" t="n">
        <x:v>0.1</x:v>
      </x:c>
      <x:c r="O838" s="97" t="n">
        <x:f>ROUND(M838*N838,2)</x:f>
        <x:v>12.93</x:v>
      </x:c>
      <x:c r="P838" s="94" t="str">
        <x:v>已确认</x:v>
      </x:c>
      <x:c r="Q838" s="97" t="n">
        <x:f>IF(P838="已退款",M838,0)</x:f>
        <x:v>0</x:v>
      </x:c>
      <x:c r="R838" s="97" t="n">
        <x:f>IF(P838="已退款",O838,0)</x:f>
        <x:v>0</x:v>
      </x:c>
      <x:c r="S838" s="97" t="n">
        <x:f>O838-R838</x:f>
        <x:v>12.93</x:v>
      </x:c>
      <x:c r="T838" s="94" t="n">
        <x:v>4</x:v>
      </x:c>
      <x:c r="U838" s="94" t="str">
        <x:v>模拟：Amazon Associates订单回传</x:v>
      </x:c>
    </x:row>
    <x:row r="839">
      <x:c r="A839" s="92" t="str">
        <x:v>AMZ-ORD-00838</x:v>
      </x:c>
      <x:c r="B839" s="94" t="str">
        <x:v>PROC-0838</x:v>
      </x:c>
      <x:c r="C839" s="108" t="n">
        <x:v>46176.79305555556</x:v>
      </x:c>
      <x:c r="D839" s="93" t="n">
        <x:v>46174</x:v>
      </x:c>
      <x:c r="E839" s="94" t="str">
        <x:v>Google Ads</x:v>
      </x:c>
      <x:c r="F839" s="94" t="str">
        <x:v>英国</x:v>
      </x:c>
      <x:c r="G839" s="94" t="str">
        <x:v>通用搜索</x:v>
      </x:c>
      <x:c r="H839" s="94" t="str">
        <x:v>SKU-0026</x:v>
      </x:c>
      <x:c r="I839" s="94" t="str">
        <x:v>运动健康</x:v>
      </x:c>
      <x:c r="J839" s="94" t="str">
        <x:v>骑行头盔 F</x:v>
      </x:c>
      <x:c r="K839" s="97" t="n">
        <x:v>185.86</x:v>
      </x:c>
      <x:c r="L839" s="95" t="n">
        <x:v>1</x:v>
      </x:c>
      <x:c r="M839" s="97" t="n">
        <x:f>ROUND(K839*L839,2)</x:f>
        <x:v>185.86</x:v>
      </x:c>
      <x:c r="N839" s="109" t="n">
        <x:v>0.08</x:v>
      </x:c>
      <x:c r="O839" s="97" t="n">
        <x:f>ROUND(M839*N839,2)</x:f>
        <x:v>14.87</x:v>
      </x:c>
      <x:c r="P839" s="94" t="str">
        <x:v>已确认</x:v>
      </x:c>
      <x:c r="Q839" s="97" t="n">
        <x:f>IF(P839="已退款",M839,0)</x:f>
        <x:v>0</x:v>
      </x:c>
      <x:c r="R839" s="97" t="n">
        <x:f>IF(P839="已退款",O839,0)</x:f>
        <x:v>0</x:v>
      </x:c>
      <x:c r="S839" s="97" t="n">
        <x:f>O839-R839</x:f>
        <x:v>14.87</x:v>
      </x:c>
      <x:c r="T839" s="94" t="n">
        <x:v>2</x:v>
      </x:c>
      <x:c r="U839" s="94" t="str">
        <x:v>模拟：Amazon Associates订单回传</x:v>
      </x:c>
    </x:row>
    <x:row r="840">
      <x:c r="A840" s="92" t="str">
        <x:v>AMZ-ORD-00839</x:v>
      </x:c>
      <x:c r="B840" s="94" t="str">
        <x:v>PROC-0839</x:v>
      </x:c>
      <x:c r="C840" s="108" t="n">
        <x:v>46177.646527777775</x:v>
      </x:c>
      <x:c r="D840" s="93" t="n">
        <x:v>46174</x:v>
      </x:c>
      <x:c r="E840" s="94" t="str">
        <x:v>Google Ads</x:v>
      </x:c>
      <x:c r="F840" s="94" t="str">
        <x:v>美国</x:v>
      </x:c>
      <x:c r="G840" s="94" t="str">
        <x:v>通用搜索</x:v>
      </x:c>
      <x:c r="H840" s="94" t="str">
        <x:v>SKU-0022</x:v>
      </x:c>
      <x:c r="I840" s="94" t="str">
        <x:v>运动健康</x:v>
      </x:c>
      <x:c r="J840" s="94" t="str">
        <x:v>瑜伽套装 B</x:v>
      </x:c>
      <x:c r="K840" s="97" t="n">
        <x:v>178.31</x:v>
      </x:c>
      <x:c r="L840" s="95" t="n">
        <x:v>2</x:v>
      </x:c>
      <x:c r="M840" s="97" t="n">
        <x:f>ROUND(K840*L840,2)</x:f>
        <x:v>356.62</x:v>
      </x:c>
      <x:c r="N840" s="109" t="n">
        <x:v>0.08</x:v>
      </x:c>
      <x:c r="O840" s="97" t="n">
        <x:f>ROUND(M840*N840,2)</x:f>
        <x:v>28.53</x:v>
      </x:c>
      <x:c r="P840" s="94" t="str">
        <x:v>待确认</x:v>
      </x:c>
      <x:c r="Q840" s="97" t="n">
        <x:f>IF(P840="已退款",M840,0)</x:f>
        <x:v>0</x:v>
      </x:c>
      <x:c r="R840" s="97" t="n">
        <x:f>IF(P840="已退款",O840,0)</x:f>
        <x:v>0</x:v>
      </x:c>
      <x:c r="S840" s="97" t="n">
        <x:f>O840-R840</x:f>
        <x:v>28.53</x:v>
      </x:c>
      <x:c r="T840" s="94" t="n">
        <x:v>3</x:v>
      </x:c>
      <x:c r="U840" s="94" t="str">
        <x:v>模拟：Amazon Associates订单回传</x:v>
      </x:c>
    </x:row>
    <x:row r="841">
      <x:c r="A841" s="92" t="str">
        <x:v>AMZ-ORD-00840</x:v>
      </x:c>
      <x:c r="B841" s="94" t="str">
        <x:v>PROC-0840</x:v>
      </x:c>
      <x:c r="C841" s="108" t="n">
        <x:v>46174.53333333333</x:v>
      </x:c>
      <x:c r="D841" s="93" t="n">
        <x:v>46174</x:v>
      </x:c>
      <x:c r="E841" s="94" t="str">
        <x:v>Google Ads</x:v>
      </x:c>
      <x:c r="F841" s="94" t="str">
        <x:v>美国</x:v>
      </x:c>
      <x:c r="G841" s="94" t="str">
        <x:v>购物广告</x:v>
      </x:c>
      <x:c r="H841" s="94" t="str">
        <x:v>SKU-0012</x:v>
      </x:c>
      <x:c r="I841" s="94" t="str">
        <x:v>家居生活</x:v>
      </x:c>
      <x:c r="J841" s="94" t="str">
        <x:v>咖啡机 B</x:v>
      </x:c>
      <x:c r="K841" s="97" t="n">
        <x:v>216.11</x:v>
      </x:c>
      <x:c r="L841" s="95" t="n">
        <x:v>1</x:v>
      </x:c>
      <x:c r="M841" s="97" t="n">
        <x:f>ROUND(K841*L841,2)</x:f>
        <x:v>216.11</x:v>
      </x:c>
      <x:c r="N841" s="109" t="n">
        <x:v>0.07</x:v>
      </x:c>
      <x:c r="O841" s="97" t="n">
        <x:f>ROUND(M841*N841,2)</x:f>
        <x:v>15.13</x:v>
      </x:c>
      <x:c r="P841" s="94" t="str">
        <x:v>已确认</x:v>
      </x:c>
      <x:c r="Q841" s="97" t="n">
        <x:f>IF(P841="已退款",M841,0)</x:f>
        <x:v>0</x:v>
      </x:c>
      <x:c r="R841" s="97" t="n">
        <x:f>IF(P841="已退款",O841,0)</x:f>
        <x:v>0</x:v>
      </x:c>
      <x:c r="S841" s="97" t="n">
        <x:f>O841-R841</x:f>
        <x:v>15.13</x:v>
      </x:c>
      <x:c r="T841" s="94" t="n">
        <x:v>0</x:v>
      </x:c>
      <x:c r="U841" s="94" t="str">
        <x:v>模拟：Amazon Associates订单回传</x:v>
      </x:c>
    </x:row>
    <x:row r="842">
      <x:c r="A842" s="92" t="str">
        <x:v>AMZ-ORD-00841</x:v>
      </x:c>
      <x:c r="B842" s="94" t="str">
        <x:v>PROC-0841</x:v>
      </x:c>
      <x:c r="C842" s="108" t="n">
        <x:v>46177.49513888889</x:v>
      </x:c>
      <x:c r="D842" s="93" t="n">
        <x:v>46175</x:v>
      </x:c>
      <x:c r="E842" s="94" t="str">
        <x:v>Microsoft Ads</x:v>
      </x:c>
      <x:c r="F842" s="94" t="str">
        <x:v>德国</x:v>
      </x:c>
      <x:c r="G842" s="94" t="str">
        <x:v>品牌搜索</x:v>
      </x:c>
      <x:c r="H842" s="94" t="str">
        <x:v>SKU-0038</x:v>
      </x:c>
      <x:c r="I842" s="94" t="str">
        <x:v>美妆个护</x:v>
      </x:c>
      <x:c r="J842" s="94" t="str">
        <x:v>卷发棒 H</x:v>
      </x:c>
      <x:c r="K842" s="97" t="n">
        <x:v>139.54</x:v>
      </x:c>
      <x:c r="L842" s="95" t="n">
        <x:v>1</x:v>
      </x:c>
      <x:c r="M842" s="97" t="n">
        <x:f>ROUND(K842*L842,2)</x:f>
        <x:v>139.54</x:v>
      </x:c>
      <x:c r="N842" s="109" t="n">
        <x:v>0.1</x:v>
      </x:c>
      <x:c r="O842" s="97" t="n">
        <x:f>ROUND(M842*N842,2)</x:f>
        <x:v>13.95</x:v>
      </x:c>
      <x:c r="P842" s="94" t="str">
        <x:v>已确认</x:v>
      </x:c>
      <x:c r="Q842" s="97" t="n">
        <x:f>IF(P842="已退款",M842,0)</x:f>
        <x:v>0</x:v>
      </x:c>
      <x:c r="R842" s="97" t="n">
        <x:f>IF(P842="已退款",O842,0)</x:f>
        <x:v>0</x:v>
      </x:c>
      <x:c r="S842" s="97" t="n">
        <x:f>O842-R842</x:f>
        <x:v>13.95</x:v>
      </x:c>
      <x:c r="T842" s="94" t="n">
        <x:v>2</x:v>
      </x:c>
      <x:c r="U842" s="94" t="str">
        <x:v>模拟：Amazon Associates订单回传</x:v>
      </x:c>
    </x:row>
    <x:row r="843">
      <x:c r="A843" s="92" t="str">
        <x:v>AMZ-ORD-00842</x:v>
      </x:c>
      <x:c r="B843" s="94" t="str">
        <x:v>PROC-0842</x:v>
      </x:c>
      <x:c r="C843" s="108" t="n">
        <x:v>46178.76597222222</x:v>
      </x:c>
      <x:c r="D843" s="93" t="n">
        <x:v>46175</x:v>
      </x:c>
      <x:c r="E843" s="94" t="str">
        <x:v>Google Ads</x:v>
      </x:c>
      <x:c r="F843" s="94" t="str">
        <x:v>日本</x:v>
      </x:c>
      <x:c r="G843" s="94" t="str">
        <x:v>品牌搜索</x:v>
      </x:c>
      <x:c r="H843" s="94" t="str">
        <x:v>SKU-0028</x:v>
      </x:c>
      <x:c r="I843" s="94" t="str">
        <x:v>运动健康</x:v>
      </x:c>
      <x:c r="J843" s="94" t="str">
        <x:v>体脂秤 H</x:v>
      </x:c>
      <x:c r="K843" s="97" t="n">
        <x:v>124.58</x:v>
      </x:c>
      <x:c r="L843" s="95" t="n">
        <x:v>1</x:v>
      </x:c>
      <x:c r="M843" s="97" t="n">
        <x:f>ROUND(K843*L843,2)</x:f>
        <x:v>124.58</x:v>
      </x:c>
      <x:c r="N843" s="109" t="n">
        <x:v>0.08</x:v>
      </x:c>
      <x:c r="O843" s="97" t="n">
        <x:f>ROUND(M843*N843,2)</x:f>
        <x:v>9.97</x:v>
      </x:c>
      <x:c r="P843" s="94" t="str">
        <x:v>已确认</x:v>
      </x:c>
      <x:c r="Q843" s="97" t="n">
        <x:f>IF(P843="已退款",M843,0)</x:f>
        <x:v>0</x:v>
      </x:c>
      <x:c r="R843" s="97" t="n">
        <x:f>IF(P843="已退款",O843,0)</x:f>
        <x:v>0</x:v>
      </x:c>
      <x:c r="S843" s="97" t="n">
        <x:f>O843-R843</x:f>
        <x:v>9.97</x:v>
      </x:c>
      <x:c r="T843" s="94" t="n">
        <x:v>3</x:v>
      </x:c>
      <x:c r="U843" s="94" t="str">
        <x:v>模拟：Amazon Associates订单回传</x:v>
      </x:c>
    </x:row>
    <x:row r="844">
      <x:c r="A844" s="92" t="str">
        <x:v>AMZ-ORD-00843</x:v>
      </x:c>
      <x:c r="B844" s="94" t="str">
        <x:v>PROC-0842</x:v>
      </x:c>
      <x:c r="C844" s="108" t="n">
        <x:v>46179.370833333334</x:v>
      </x:c>
      <x:c r="D844" s="93" t="n">
        <x:v>46175</x:v>
      </x:c>
      <x:c r="E844" s="94" t="str">
        <x:v>Google Ads</x:v>
      </x:c>
      <x:c r="F844" s="94" t="str">
        <x:v>日本</x:v>
      </x:c>
      <x:c r="G844" s="94" t="str">
        <x:v>品牌搜索</x:v>
      </x:c>
      <x:c r="H844" s="94" t="str">
        <x:v>SKU-0046</x:v>
      </x:c>
      <x:c r="I844" s="94" t="str">
        <x:v>办公学习</x:v>
      </x:c>
      <x:c r="J844" s="94" t="str">
        <x:v>高清摄像头 F</x:v>
      </x:c>
      <x:c r="K844" s="97" t="n">
        <x:v>100.95</x:v>
      </x:c>
      <x:c r="L844" s="95" t="n">
        <x:v>1</x:v>
      </x:c>
      <x:c r="M844" s="97" t="n">
        <x:f>ROUND(K844*L844,2)</x:f>
        <x:v>100.95</x:v>
      </x:c>
      <x:c r="N844" s="109" t="n">
        <x:v>0.07</x:v>
      </x:c>
      <x:c r="O844" s="97" t="n">
        <x:f>ROUND(M844*N844,2)</x:f>
        <x:v>7.07</x:v>
      </x:c>
      <x:c r="P844" s="94" t="str">
        <x:v>已确认</x:v>
      </x:c>
      <x:c r="Q844" s="97" t="n">
        <x:f>IF(P844="已退款",M844,0)</x:f>
        <x:v>0</x:v>
      </x:c>
      <x:c r="R844" s="97" t="n">
        <x:f>IF(P844="已退款",O844,0)</x:f>
        <x:v>0</x:v>
      </x:c>
      <x:c r="S844" s="97" t="n">
        <x:f>O844-R844</x:f>
        <x:v>7.07</x:v>
      </x:c>
      <x:c r="T844" s="94" t="n">
        <x:v>4</x:v>
      </x:c>
      <x:c r="U844" s="94" t="str">
        <x:v>模拟：Amazon Associates订单回传</x:v>
      </x:c>
    </x:row>
    <x:row r="845">
      <x:c r="A845" s="92" t="str">
        <x:v>AMZ-ORD-00844</x:v>
      </x:c>
      <x:c r="B845" s="94" t="str">
        <x:v>PROC-0843</x:v>
      </x:c>
      <x:c r="C845" s="108" t="n">
        <x:v>46178.54652777778</x:v>
      </x:c>
      <x:c r="D845" s="93" t="n">
        <x:v>46175</x:v>
      </x:c>
      <x:c r="E845" s="94" t="str">
        <x:v>Google Ads</x:v>
      </x:c>
      <x:c r="F845" s="94" t="str">
        <x:v>德国</x:v>
      </x:c>
      <x:c r="G845" s="94" t="str">
        <x:v>通用搜索</x:v>
      </x:c>
      <x:c r="H845" s="94" t="str">
        <x:v>SKU-0028</x:v>
      </x:c>
      <x:c r="I845" s="94" t="str">
        <x:v>运动健康</x:v>
      </x:c>
      <x:c r="J845" s="94" t="str">
        <x:v>体脂秤 H</x:v>
      </x:c>
      <x:c r="K845" s="97" t="n">
        <x:v>243.68</x:v>
      </x:c>
      <x:c r="L845" s="95" t="n">
        <x:v>1</x:v>
      </x:c>
      <x:c r="M845" s="97" t="n">
        <x:f>ROUND(K845*L845,2)</x:f>
        <x:v>243.68</x:v>
      </x:c>
      <x:c r="N845" s="109" t="n">
        <x:v>0.08</x:v>
      </x:c>
      <x:c r="O845" s="97" t="n">
        <x:f>ROUND(M845*N845,2)</x:f>
        <x:v>19.49</x:v>
      </x:c>
      <x:c r="P845" s="94" t="str">
        <x:v>已确认</x:v>
      </x:c>
      <x:c r="Q845" s="97" t="n">
        <x:f>IF(P845="已退款",M845,0)</x:f>
        <x:v>0</x:v>
      </x:c>
      <x:c r="R845" s="97" t="n">
        <x:f>IF(P845="已退款",O845,0)</x:f>
        <x:v>0</x:v>
      </x:c>
      <x:c r="S845" s="97" t="n">
        <x:f>O845-R845</x:f>
        <x:v>19.49</x:v>
      </x:c>
      <x:c r="T845" s="94" t="n">
        <x:v>3</x:v>
      </x:c>
      <x:c r="U845" s="94" t="str">
        <x:v>模拟：Amazon Associates订单回传</x:v>
      </x:c>
    </x:row>
    <x:row r="846">
      <x:c r="A846" s="92" t="str">
        <x:v>AMZ-ORD-00845</x:v>
      </x:c>
      <x:c r="B846" s="94" t="str">
        <x:v>PROC-0846</x:v>
      </x:c>
      <x:c r="C846" s="108" t="n">
        <x:v>46177.84930555556</x:v>
      </x:c>
      <x:c r="D846" s="93" t="n">
        <x:v>46175</x:v>
      </x:c>
      <x:c r="E846" s="94" t="str">
        <x:v>Google Ads</x:v>
      </x:c>
      <x:c r="F846" s="94" t="str">
        <x:v>美国</x:v>
      </x:c>
      <x:c r="G846" s="94" t="str">
        <x:v>购物广告</x:v>
      </x:c>
      <x:c r="H846" s="94" t="str">
        <x:v>SKU-0005</x:v>
      </x:c>
      <x:c r="I846" s="94" t="str">
        <x:v>电子产品</x:v>
      </x:c>
      <x:c r="J846" s="94" t="str">
        <x:v>降噪耳机 E</x:v>
      </x:c>
      <x:c r="K846" s="97" t="n">
        <x:v>679.43</x:v>
      </x:c>
      <x:c r="L846" s="95" t="n">
        <x:v>2</x:v>
      </x:c>
      <x:c r="M846" s="97" t="n">
        <x:f>ROUND(K846*L846,2)</x:f>
        <x:v>1358.86</x:v>
      </x:c>
      <x:c r="N846" s="109" t="n">
        <x:v>0.05</x:v>
      </x:c>
      <x:c r="O846" s="97" t="n">
        <x:f>ROUND(M846*N846,2)</x:f>
        <x:v>67.94</x:v>
      </x:c>
      <x:c r="P846" s="94" t="str">
        <x:v>已退款</x:v>
      </x:c>
      <x:c r="Q846" s="97" t="n">
        <x:f>IF(P846="已退款",M846,0)</x:f>
        <x:v>1358.86</x:v>
      </x:c>
      <x:c r="R846" s="97" t="n">
        <x:f>IF(P846="已退款",O846,0)</x:f>
        <x:v>67.94</x:v>
      </x:c>
      <x:c r="S846" s="97" t="n">
        <x:f>O846-R846</x:f>
        <x:v>0</x:v>
      </x:c>
      <x:c r="T846" s="94" t="n">
        <x:v>2</x:v>
      </x:c>
      <x:c r="U846" s="94" t="str">
        <x:v>模拟：Amazon Associates订单回传</x:v>
      </x:c>
    </x:row>
    <x:row r="847">
      <x:c r="A847" s="92" t="str">
        <x:v>AMZ-ORD-00846</x:v>
      </x:c>
      <x:c r="B847" s="94" t="str">
        <x:v>PROC-0847</x:v>
      </x:c>
      <x:c r="C847" s="108" t="n">
        <x:v>46178.87013888889</x:v>
      </x:c>
      <x:c r="D847" s="93" t="n">
        <x:v>46176</x:v>
      </x:c>
      <x:c r="E847" s="94" t="str">
        <x:v>Google Ads</x:v>
      </x:c>
      <x:c r="F847" s="94" t="str">
        <x:v>美国</x:v>
      </x:c>
      <x:c r="G847" s="94" t="str">
        <x:v>通用搜索</x:v>
      </x:c>
      <x:c r="H847" s="94" t="str">
        <x:v>SKU-0045</x:v>
      </x:c>
      <x:c r="I847" s="94" t="str">
        <x:v>办公学习</x:v>
      </x:c>
      <x:c r="J847" s="94" t="str">
        <x:v>办公收纳 E</x:v>
      </x:c>
      <x:c r="K847" s="97" t="n">
        <x:v>222.95</x:v>
      </x:c>
      <x:c r="L847" s="95" t="n">
        <x:v>1</x:v>
      </x:c>
      <x:c r="M847" s="97" t="n">
        <x:f>ROUND(K847*L847,2)</x:f>
        <x:v>222.95</x:v>
      </x:c>
      <x:c r="N847" s="109" t="n">
        <x:v>0.07</x:v>
      </x:c>
      <x:c r="O847" s="97" t="n">
        <x:f>ROUND(M847*N847,2)</x:f>
        <x:v>15.61</x:v>
      </x:c>
      <x:c r="P847" s="94" t="str">
        <x:v>已确认</x:v>
      </x:c>
      <x:c r="Q847" s="97" t="n">
        <x:f>IF(P847="已退款",M847,0)</x:f>
        <x:v>0</x:v>
      </x:c>
      <x:c r="R847" s="97" t="n">
        <x:f>IF(P847="已退款",O847,0)</x:f>
        <x:v>0</x:v>
      </x:c>
      <x:c r="S847" s="97" t="n">
        <x:f>O847-R847</x:f>
        <x:v>15.61</x:v>
      </x:c>
      <x:c r="T847" s="94" t="n">
        <x:v>2</x:v>
      </x:c>
      <x:c r="U847" s="94" t="str">
        <x:v>模拟：Amazon Associates订单回传</x:v>
      </x:c>
    </x:row>
    <x:row r="848">
      <x:c r="A848" s="92" t="str">
        <x:v>AMZ-ORD-00847</x:v>
      </x:c>
      <x:c r="B848" s="94" t="str">
        <x:v>PROC-0848</x:v>
      </x:c>
      <x:c r="C848" s="108" t="n">
        <x:v>46180.41736111111</x:v>
      </x:c>
      <x:c r="D848" s="93" t="n">
        <x:v>46176</x:v>
      </x:c>
      <x:c r="E848" s="94" t="str">
        <x:v>Microsoft Ads</x:v>
      </x:c>
      <x:c r="F848" s="94" t="str">
        <x:v>日本</x:v>
      </x:c>
      <x:c r="G848" s="94" t="str">
        <x:v>购物广告</x:v>
      </x:c>
      <x:c r="H848" s="94" t="str">
        <x:v>SKU-0022</x:v>
      </x:c>
      <x:c r="I848" s="94" t="str">
        <x:v>运动健康</x:v>
      </x:c>
      <x:c r="J848" s="94" t="str">
        <x:v>瑜伽套装 B</x:v>
      </x:c>
      <x:c r="K848" s="97" t="n">
        <x:v>162.28</x:v>
      </x:c>
      <x:c r="L848" s="95" t="n">
        <x:v>3</x:v>
      </x:c>
      <x:c r="M848" s="97" t="n">
        <x:f>ROUND(K848*L848,2)</x:f>
        <x:v>486.84</x:v>
      </x:c>
      <x:c r="N848" s="109" t="n">
        <x:v>0.08</x:v>
      </x:c>
      <x:c r="O848" s="97" t="n">
        <x:f>ROUND(M848*N848,2)</x:f>
        <x:v>38.95</x:v>
      </x:c>
      <x:c r="P848" s="94" t="str">
        <x:v>已确认</x:v>
      </x:c>
      <x:c r="Q848" s="97" t="n">
        <x:f>IF(P848="已退款",M848,0)</x:f>
        <x:v>0</x:v>
      </x:c>
      <x:c r="R848" s="97" t="n">
        <x:f>IF(P848="已退款",O848,0)</x:f>
        <x:v>0</x:v>
      </x:c>
      <x:c r="S848" s="97" t="n">
        <x:f>O848-R848</x:f>
        <x:v>38.95</x:v>
      </x:c>
      <x:c r="T848" s="94" t="n">
        <x:v>4</x:v>
      </x:c>
      <x:c r="U848" s="94" t="str">
        <x:v>模拟：Amazon Associates订单回传</x:v>
      </x:c>
    </x:row>
    <x:row r="849">
      <x:c r="A849" s="92" t="str">
        <x:v>AMZ-ORD-00848</x:v>
      </x:c>
      <x:c r="B849" s="94" t="str">
        <x:v>PROC-0850</x:v>
      </x:c>
      <x:c r="C849" s="108" t="n">
        <x:v>46179.57013888889</x:v>
      </x:c>
      <x:c r="D849" s="93" t="n">
        <x:v>46176</x:v>
      </x:c>
      <x:c r="E849" s="94" t="str">
        <x:v>Microsoft Ads</x:v>
      </x:c>
      <x:c r="F849" s="94" t="str">
        <x:v>日本</x:v>
      </x:c>
      <x:c r="G849" s="94" t="str">
        <x:v>通用搜索</x:v>
      </x:c>
      <x:c r="H849" s="94" t="str">
        <x:v>SKU-0036</x:v>
      </x:c>
      <x:c r="I849" s="94" t="str">
        <x:v>美妆个护</x:v>
      </x:c>
      <x:c r="J849" s="94" t="str">
        <x:v>剃须刀 F</x:v>
      </x:c>
      <x:c r="K849" s="97" t="n">
        <x:v>39.72</x:v>
      </x:c>
      <x:c r="L849" s="95" t="n">
        <x:v>1</x:v>
      </x:c>
      <x:c r="M849" s="97" t="n">
        <x:f>ROUND(K849*L849,2)</x:f>
        <x:v>39.72</x:v>
      </x:c>
      <x:c r="N849" s="109" t="n">
        <x:v>0.1</x:v>
      </x:c>
      <x:c r="O849" s="97" t="n">
        <x:f>ROUND(M849*N849,2)</x:f>
        <x:v>3.97</x:v>
      </x:c>
      <x:c r="P849" s="94" t="str">
        <x:v>已确认</x:v>
      </x:c>
      <x:c r="Q849" s="97" t="n">
        <x:f>IF(P849="已退款",M849,0)</x:f>
        <x:v>0</x:v>
      </x:c>
      <x:c r="R849" s="97" t="n">
        <x:f>IF(P849="已退款",O849,0)</x:f>
        <x:v>0</x:v>
      </x:c>
      <x:c r="S849" s="97" t="n">
        <x:f>O849-R849</x:f>
        <x:v>3.97</x:v>
      </x:c>
      <x:c r="T849" s="94" t="n">
        <x:v>3</x:v>
      </x:c>
      <x:c r="U849" s="94" t="str">
        <x:v>模拟：Amazon Associates订单回传</x:v>
      </x:c>
    </x:row>
    <x:row r="850">
      <x:c r="A850" s="92" t="str">
        <x:v>AMZ-ORD-00849</x:v>
      </x:c>
      <x:c r="B850" s="94" t="str">
        <x:v>PROC-0852</x:v>
      </x:c>
      <x:c r="C850" s="108" t="n">
        <x:v>46181.40277777778</x:v>
      </x:c>
      <x:c r="D850" s="93" t="n">
        <x:v>46177</x:v>
      </x:c>
      <x:c r="E850" s="94" t="str">
        <x:v>Google Ads</x:v>
      </x:c>
      <x:c r="F850" s="94" t="str">
        <x:v>日本</x:v>
      </x:c>
      <x:c r="G850" s="94" t="str">
        <x:v>品牌搜索</x:v>
      </x:c>
      <x:c r="H850" s="94" t="str">
        <x:v>SKU-0020</x:v>
      </x:c>
      <x:c r="I850" s="94" t="str">
        <x:v>家居生活</x:v>
      </x:c>
      <x:c r="J850" s="94" t="str">
        <x:v>智能门锁 J</x:v>
      </x:c>
      <x:c r="K850" s="97" t="n">
        <x:v>121.2</x:v>
      </x:c>
      <x:c r="L850" s="95" t="n">
        <x:v>1</x:v>
      </x:c>
      <x:c r="M850" s="97" t="n">
        <x:f>ROUND(K850*L850,2)</x:f>
        <x:v>121.2</x:v>
      </x:c>
      <x:c r="N850" s="109" t="n">
        <x:v>0.07</x:v>
      </x:c>
      <x:c r="O850" s="97" t="n">
        <x:f>ROUND(M850*N850,2)</x:f>
        <x:v>8.48</x:v>
      </x:c>
      <x:c r="P850" s="94" t="str">
        <x:v>已退款</x:v>
      </x:c>
      <x:c r="Q850" s="97" t="n">
        <x:f>IF(P850="已退款",M850,0)</x:f>
        <x:v>121.2</x:v>
      </x:c>
      <x:c r="R850" s="97" t="n">
        <x:f>IF(P850="已退款",O850,0)</x:f>
        <x:v>8.48</x:v>
      </x:c>
      <x:c r="S850" s="97" t="n">
        <x:f>O850-R850</x:f>
        <x:v>0</x:v>
      </x:c>
      <x:c r="T850" s="94" t="n">
        <x:v>4</x:v>
      </x:c>
      <x:c r="U850" s="94" t="str">
        <x:v>模拟：Amazon Associates订单回传</x:v>
      </x:c>
    </x:row>
    <x:row r="851">
      <x:c r="A851" s="92" t="str">
        <x:v>AMZ-ORD-00850</x:v>
      </x:c>
      <x:c r="B851" s="94" t="str">
        <x:v>PROC-0852</x:v>
      </x:c>
      <x:c r="C851" s="108" t="n">
        <x:v>46180.68819444445</x:v>
      </x:c>
      <x:c r="D851" s="93" t="n">
        <x:v>46177</x:v>
      </x:c>
      <x:c r="E851" s="94" t="str">
        <x:v>Google Ads</x:v>
      </x:c>
      <x:c r="F851" s="94" t="str">
        <x:v>日本</x:v>
      </x:c>
      <x:c r="G851" s="94" t="str">
        <x:v>品牌搜索</x:v>
      </x:c>
      <x:c r="H851" s="94" t="str">
        <x:v>SKU-0010</x:v>
      </x:c>
      <x:c r="I851" s="94" t="str">
        <x:v>电子产品</x:v>
      </x:c>
      <x:c r="J851" s="94" t="str">
        <x:v>多口扩展坞 J</x:v>
      </x:c>
      <x:c r="K851" s="97" t="n">
        <x:v>300.92</x:v>
      </x:c>
      <x:c r="L851" s="95" t="n">
        <x:v>1</x:v>
      </x:c>
      <x:c r="M851" s="97" t="n">
        <x:f>ROUND(K851*L851,2)</x:f>
        <x:v>300.92</x:v>
      </x:c>
      <x:c r="N851" s="109" t="n">
        <x:v>0.05</x:v>
      </x:c>
      <x:c r="O851" s="97" t="n">
        <x:f>ROUND(M851*N851,2)</x:f>
        <x:v>15.05</x:v>
      </x:c>
      <x:c r="P851" s="94" t="str">
        <x:v>已确认</x:v>
      </x:c>
      <x:c r="Q851" s="97" t="n">
        <x:f>IF(P851="已退款",M851,0)</x:f>
        <x:v>0</x:v>
      </x:c>
      <x:c r="R851" s="97" t="n">
        <x:f>IF(P851="已退款",O851,0)</x:f>
        <x:v>0</x:v>
      </x:c>
      <x:c r="S851" s="97" t="n">
        <x:f>O851-R851</x:f>
        <x:v>15.05</x:v>
      </x:c>
      <x:c r="T851" s="94" t="n">
        <x:v>3</x:v>
      </x:c>
      <x:c r="U851" s="94" t="str">
        <x:v>模拟：Amazon Associates订单回传</x:v>
      </x:c>
    </x:row>
    <x:row r="852">
      <x:c r="A852" s="92" t="str">
        <x:v>AMZ-ORD-00851</x:v>
      </x:c>
      <x:c r="B852" s="94" t="str">
        <x:v>PROC-0853</x:v>
      </x:c>
      <x:c r="C852" s="108" t="n">
        <x:v>46180.74513888889</x:v>
      </x:c>
      <x:c r="D852" s="93" t="n">
        <x:v>46177</x:v>
      </x:c>
      <x:c r="E852" s="94" t="str">
        <x:v>Microsoft Ads</x:v>
      </x:c>
      <x:c r="F852" s="94" t="str">
        <x:v>美国</x:v>
      </x:c>
      <x:c r="G852" s="94" t="str">
        <x:v>品牌搜索</x:v>
      </x:c>
      <x:c r="H852" s="94" t="str">
        <x:v>SKU-0019</x:v>
      </x:c>
      <x:c r="I852" s="94" t="str">
        <x:v>家居生活</x:v>
      </x:c>
      <x:c r="J852" s="94" t="str">
        <x:v>无线吸尘器 I</x:v>
      </x:c>
      <x:c r="K852" s="97" t="n">
        <x:v>313.01</x:v>
      </x:c>
      <x:c r="L852" s="95" t="n">
        <x:v>1</x:v>
      </x:c>
      <x:c r="M852" s="97" t="n">
        <x:f>ROUND(K852*L852,2)</x:f>
        <x:v>313.01</x:v>
      </x:c>
      <x:c r="N852" s="109" t="n">
        <x:v>0.07</x:v>
      </x:c>
      <x:c r="O852" s="97" t="n">
        <x:f>ROUND(M852*N852,2)</x:f>
        <x:v>21.91</x:v>
      </x:c>
      <x:c r="P852" s="94" t="str">
        <x:v>已确认</x:v>
      </x:c>
      <x:c r="Q852" s="97" t="n">
        <x:f>IF(P852="已退款",M852,0)</x:f>
        <x:v>0</x:v>
      </x:c>
      <x:c r="R852" s="97" t="n">
        <x:f>IF(P852="已退款",O852,0)</x:f>
        <x:v>0</x:v>
      </x:c>
      <x:c r="S852" s="97" t="n">
        <x:f>O852-R852</x:f>
        <x:v>21.91</x:v>
      </x:c>
      <x:c r="T852" s="94" t="n">
        <x:v>3</x:v>
      </x:c>
      <x:c r="U852" s="94" t="str">
        <x:v>模拟：Amazon Associates订单回传</x:v>
      </x:c>
    </x:row>
    <x:row r="853">
      <x:c r="A853" s="92" t="str">
        <x:v>AMZ-ORD-00852</x:v>
      </x:c>
      <x:c r="B853" s="94" t="str">
        <x:v>PROC-0853</x:v>
      </x:c>
      <x:c r="C853" s="108" t="n">
        <x:v>46177.54791666667</x:v>
      </x:c>
      <x:c r="D853" s="93" t="n">
        <x:v>46177</x:v>
      </x:c>
      <x:c r="E853" s="94" t="str">
        <x:v>Microsoft Ads</x:v>
      </x:c>
      <x:c r="F853" s="94" t="str">
        <x:v>美国</x:v>
      </x:c>
      <x:c r="G853" s="94" t="str">
        <x:v>品牌搜索</x:v>
      </x:c>
      <x:c r="H853" s="94" t="str">
        <x:v>SKU-0029</x:v>
      </x:c>
      <x:c r="I853" s="94" t="str">
        <x:v>运动健康</x:v>
      </x:c>
      <x:c r="J853" s="94" t="str">
        <x:v>运动耳机 I</x:v>
      </x:c>
      <x:c r="K853" s="97" t="n">
        <x:v>77.34</x:v>
      </x:c>
      <x:c r="L853" s="95" t="n">
        <x:v>1</x:v>
      </x:c>
      <x:c r="M853" s="97" t="n">
        <x:f>ROUND(K853*L853,2)</x:f>
        <x:v>77.34</x:v>
      </x:c>
      <x:c r="N853" s="109" t="n">
        <x:v>0.08</x:v>
      </x:c>
      <x:c r="O853" s="97" t="n">
        <x:f>ROUND(M853*N853,2)</x:f>
        <x:v>6.19</x:v>
      </x:c>
      <x:c r="P853" s="94" t="str">
        <x:v>已确认</x:v>
      </x:c>
      <x:c r="Q853" s="97" t="n">
        <x:f>IF(P853="已退款",M853,0)</x:f>
        <x:v>0</x:v>
      </x:c>
      <x:c r="R853" s="97" t="n">
        <x:f>IF(P853="已退款",O853,0)</x:f>
        <x:v>0</x:v>
      </x:c>
      <x:c r="S853" s="97" t="n">
        <x:f>O853-R853</x:f>
        <x:v>6.19</x:v>
      </x:c>
      <x:c r="T853" s="94" t="n">
        <x:v>0</x:v>
      </x:c>
      <x:c r="U853" s="94" t="str">
        <x:v>模拟：Amazon Associates订单回传</x:v>
      </x:c>
    </x:row>
    <x:row r="854">
      <x:c r="A854" s="92" t="str">
        <x:v>AMZ-ORD-00853</x:v>
      </x:c>
      <x:c r="B854" s="94" t="str">
        <x:v>PROC-0854</x:v>
      </x:c>
      <x:c r="C854" s="108" t="n">
        <x:v>46181.91111111111</x:v>
      </x:c>
      <x:c r="D854" s="93" t="n">
        <x:v>46177</x:v>
      </x:c>
      <x:c r="E854" s="94" t="str">
        <x:v>Microsoft Ads</x:v>
      </x:c>
      <x:c r="F854" s="94" t="str">
        <x:v>英国</x:v>
      </x:c>
      <x:c r="G854" s="94" t="str">
        <x:v>品牌搜索</x:v>
      </x:c>
      <x:c r="H854" s="94" t="str">
        <x:v>SKU-0045</x:v>
      </x:c>
      <x:c r="I854" s="94" t="str">
        <x:v>办公学习</x:v>
      </x:c>
      <x:c r="J854" s="94" t="str">
        <x:v>办公收纳 E</x:v>
      </x:c>
      <x:c r="K854" s="97" t="n">
        <x:v>200.67</x:v>
      </x:c>
      <x:c r="L854" s="95" t="n">
        <x:v>1</x:v>
      </x:c>
      <x:c r="M854" s="97" t="n">
        <x:f>ROUND(K854*L854,2)</x:f>
        <x:v>200.67</x:v>
      </x:c>
      <x:c r="N854" s="109" t="n">
        <x:v>0.07</x:v>
      </x:c>
      <x:c r="O854" s="97" t="n">
        <x:f>ROUND(M854*N854,2)</x:f>
        <x:v>14.05</x:v>
      </x:c>
      <x:c r="P854" s="94" t="str">
        <x:v>待确认</x:v>
      </x:c>
      <x:c r="Q854" s="97" t="n">
        <x:f>IF(P854="已退款",M854,0)</x:f>
        <x:v>0</x:v>
      </x:c>
      <x:c r="R854" s="97" t="n">
        <x:f>IF(P854="已退款",O854,0)</x:f>
        <x:v>0</x:v>
      </x:c>
      <x:c r="S854" s="97" t="n">
        <x:f>O854-R854</x:f>
        <x:v>14.05</x:v>
      </x:c>
      <x:c r="T854" s="94" t="n">
        <x:v>4</x:v>
      </x:c>
      <x:c r="U854" s="94" t="str">
        <x:v>模拟：Amazon Associates订单回传</x:v>
      </x:c>
    </x:row>
    <x:row r="855">
      <x:c r="A855" s="92" t="str">
        <x:v>AMZ-ORD-00854</x:v>
      </x:c>
      <x:c r="B855" s="94" t="str">
        <x:v>PROC-0855</x:v>
      </x:c>
      <x:c r="C855" s="108" t="n">
        <x:v>46177.6</x:v>
      </x:c>
      <x:c r="D855" s="93" t="n">
        <x:v>46177</x:v>
      </x:c>
      <x:c r="E855" s="94" t="str">
        <x:v>Microsoft Ads</x:v>
      </x:c>
      <x:c r="F855" s="94" t="str">
        <x:v>日本</x:v>
      </x:c>
      <x:c r="G855" s="94" t="str">
        <x:v>通用搜索</x:v>
      </x:c>
      <x:c r="H855" s="94" t="str">
        <x:v>SKU-0031</x:v>
      </x:c>
      <x:c r="I855" s="94" t="str">
        <x:v>美妆个护</x:v>
      </x:c>
      <x:c r="J855" s="94" t="str">
        <x:v>洁面仪 A</x:v>
      </x:c>
      <x:c r="K855" s="97" t="n">
        <x:v>98.23</x:v>
      </x:c>
      <x:c r="L855" s="95" t="n">
        <x:v>1</x:v>
      </x:c>
      <x:c r="M855" s="97" t="n">
        <x:f>ROUND(K855*L855,2)</x:f>
        <x:v>98.23</x:v>
      </x:c>
      <x:c r="N855" s="109" t="n">
        <x:v>0.1</x:v>
      </x:c>
      <x:c r="O855" s="97" t="n">
        <x:f>ROUND(M855*N855,2)</x:f>
        <x:v>9.82</x:v>
      </x:c>
      <x:c r="P855" s="94" t="str">
        <x:v>已确认</x:v>
      </x:c>
      <x:c r="Q855" s="97" t="n">
        <x:f>IF(P855="已退款",M855,0)</x:f>
        <x:v>0</x:v>
      </x:c>
      <x:c r="R855" s="97" t="n">
        <x:f>IF(P855="已退款",O855,0)</x:f>
        <x:v>0</x:v>
      </x:c>
      <x:c r="S855" s="97" t="n">
        <x:f>O855-R855</x:f>
        <x:v>9.82</x:v>
      </x:c>
      <x:c r="T855" s="94" t="n">
        <x:v>0</x:v>
      </x:c>
      <x:c r="U855" s="94" t="str">
        <x:v>模拟：Amazon Associates订单回传</x:v>
      </x:c>
    </x:row>
    <x:row r="856">
      <x:c r="A856" s="92" t="str">
        <x:v>AMZ-ORD-00855</x:v>
      </x:c>
      <x:c r="B856" s="94" t="str">
        <x:v>PROC-0856</x:v>
      </x:c>
      <x:c r="C856" s="108" t="n">
        <x:v>46178.65555555555</x:v>
      </x:c>
      <x:c r="D856" s="93" t="n">
        <x:v>46177</x:v>
      </x:c>
      <x:c r="E856" s="94" t="str">
        <x:v>Google Ads</x:v>
      </x:c>
      <x:c r="F856" s="94" t="str">
        <x:v>英国</x:v>
      </x:c>
      <x:c r="G856" s="94" t="str">
        <x:v>购物广告</x:v>
      </x:c>
      <x:c r="H856" s="94" t="str">
        <x:v>SKU-0040</x:v>
      </x:c>
      <x:c r="I856" s="94" t="str">
        <x:v>美妆个护</x:v>
      </x:c>
      <x:c r="J856" s="94" t="str">
        <x:v>旅行护理套装 J</x:v>
      </x:c>
      <x:c r="K856" s="97" t="n">
        <x:v>91.64</x:v>
      </x:c>
      <x:c r="L856" s="95" t="n">
        <x:v>2</x:v>
      </x:c>
      <x:c r="M856" s="97" t="n">
        <x:f>ROUND(K856*L856,2)</x:f>
        <x:v>183.28</x:v>
      </x:c>
      <x:c r="N856" s="109" t="n">
        <x:v>0.1</x:v>
      </x:c>
      <x:c r="O856" s="97" t="n">
        <x:f>ROUND(M856*N856,2)</x:f>
        <x:v>18.33</x:v>
      </x:c>
      <x:c r="P856" s="94" t="str">
        <x:v>已确认</x:v>
      </x:c>
      <x:c r="Q856" s="97" t="n">
        <x:f>IF(P856="已退款",M856,0)</x:f>
        <x:v>0</x:v>
      </x:c>
      <x:c r="R856" s="97" t="n">
        <x:f>IF(P856="已退款",O856,0)</x:f>
        <x:v>0</x:v>
      </x:c>
      <x:c r="S856" s="97" t="n">
        <x:f>O856-R856</x:f>
        <x:v>18.33</x:v>
      </x:c>
      <x:c r="T856" s="94" t="n">
        <x:v>1</x:v>
      </x:c>
      <x:c r="U856" s="94" t="str">
        <x:v>模拟：Amazon Associates订单回传</x:v>
      </x:c>
    </x:row>
    <x:row r="857">
      <x:c r="A857" s="92" t="str">
        <x:v>AMZ-ORD-00856</x:v>
      </x:c>
      <x:c r="B857" s="94" t="str">
        <x:v>PROC-0858</x:v>
      </x:c>
      <x:c r="C857" s="108" t="n">
        <x:v>46178.44652777778</x:v>
      </x:c>
      <x:c r="D857" s="93" t="n">
        <x:v>46178</x:v>
      </x:c>
      <x:c r="E857" s="94" t="str">
        <x:v>Microsoft Ads</x:v>
      </x:c>
      <x:c r="F857" s="94" t="str">
        <x:v>美国</x:v>
      </x:c>
      <x:c r="G857" s="94" t="str">
        <x:v>品牌搜索</x:v>
      </x:c>
      <x:c r="H857" s="94" t="str">
        <x:v>SKU-0002</x:v>
      </x:c>
      <x:c r="I857" s="94" t="str">
        <x:v>电子产品</x:v>
      </x:c>
      <x:c r="J857" s="94" t="str">
        <x:v>便携显示器 B</x:v>
      </x:c>
      <x:c r="K857" s="97" t="n">
        <x:v>621.67</x:v>
      </x:c>
      <x:c r="L857" s="95" t="n">
        <x:v>1</x:v>
      </x:c>
      <x:c r="M857" s="97" t="n">
        <x:f>ROUND(K857*L857,2)</x:f>
        <x:v>621.67</x:v>
      </x:c>
      <x:c r="N857" s="109" t="n">
        <x:v>0.05</x:v>
      </x:c>
      <x:c r="O857" s="97" t="n">
        <x:f>ROUND(M857*N857,2)</x:f>
        <x:v>31.08</x:v>
      </x:c>
      <x:c r="P857" s="94" t="str">
        <x:v>已确认</x:v>
      </x:c>
      <x:c r="Q857" s="97" t="n">
        <x:f>IF(P857="已退款",M857,0)</x:f>
        <x:v>0</x:v>
      </x:c>
      <x:c r="R857" s="97" t="n">
        <x:f>IF(P857="已退款",O857,0)</x:f>
        <x:v>0</x:v>
      </x:c>
      <x:c r="S857" s="97" t="n">
        <x:f>O857-R857</x:f>
        <x:v>31.08</x:v>
      </x:c>
      <x:c r="T857" s="94" t="n">
        <x:v>0</x:v>
      </x:c>
      <x:c r="U857" s="94" t="str">
        <x:v>模拟：Amazon Associates订单回传</x:v>
      </x:c>
    </x:row>
    <x:row r="858">
      <x:c r="A858" s="92" t="str">
        <x:v>AMZ-ORD-00857</x:v>
      </x:c>
      <x:c r="B858" s="94" t="str">
        <x:v>PROC-0858</x:v>
      </x:c>
      <x:c r="C858" s="108" t="n">
        <x:v>46180.75902777778</x:v>
      </x:c>
      <x:c r="D858" s="93" t="n">
        <x:v>46178</x:v>
      </x:c>
      <x:c r="E858" s="94" t="str">
        <x:v>Microsoft Ads</x:v>
      </x:c>
      <x:c r="F858" s="94" t="str">
        <x:v>美国</x:v>
      </x:c>
      <x:c r="G858" s="94" t="str">
        <x:v>品牌搜索</x:v>
      </x:c>
      <x:c r="H858" s="94" t="str">
        <x:v>SKU-0007</x:v>
      </x:c>
      <x:c r="I858" s="94" t="str">
        <x:v>电子产品</x:v>
      </x:c>
      <x:c r="J858" s="94" t="str">
        <x:v>运动相机 G</x:v>
      </x:c>
      <x:c r="K858" s="97" t="n">
        <x:v>611.52</x:v>
      </x:c>
      <x:c r="L858" s="95" t="n">
        <x:v>2</x:v>
      </x:c>
      <x:c r="M858" s="97" t="n">
        <x:f>ROUND(K858*L858,2)</x:f>
        <x:v>1223.04</x:v>
      </x:c>
      <x:c r="N858" s="109" t="n">
        <x:v>0.05</x:v>
      </x:c>
      <x:c r="O858" s="97" t="n">
        <x:f>ROUND(M858*N858,2)</x:f>
        <x:v>61.15</x:v>
      </x:c>
      <x:c r="P858" s="94" t="str">
        <x:v>已确认</x:v>
      </x:c>
      <x:c r="Q858" s="97" t="n">
        <x:f>IF(P858="已退款",M858,0)</x:f>
        <x:v>0</x:v>
      </x:c>
      <x:c r="R858" s="97" t="n">
        <x:f>IF(P858="已退款",O858,0)</x:f>
        <x:v>0</x:v>
      </x:c>
      <x:c r="S858" s="97" t="n">
        <x:f>O858-R858</x:f>
        <x:v>61.15</x:v>
      </x:c>
      <x:c r="T858" s="94" t="n">
        <x:v>2</x:v>
      </x:c>
      <x:c r="U858" s="94" t="str">
        <x:v>模拟：Amazon Associates订单回传</x:v>
      </x:c>
    </x:row>
    <x:row r="859">
      <x:c r="A859" s="92" t="str">
        <x:v>AMZ-ORD-00858</x:v>
      </x:c>
      <x:c r="B859" s="94" t="str">
        <x:v>PROC-0859</x:v>
      </x:c>
      <x:c r="C859" s="108" t="n">
        <x:v>46182.63888888889</x:v>
      </x:c>
      <x:c r="D859" s="93" t="n">
        <x:v>46178</x:v>
      </x:c>
      <x:c r="E859" s="94" t="str">
        <x:v>Microsoft Ads</x:v>
      </x:c>
      <x:c r="F859" s="94" t="str">
        <x:v>德国</x:v>
      </x:c>
      <x:c r="G859" s="94" t="str">
        <x:v>品牌搜索</x:v>
      </x:c>
      <x:c r="H859" s="94" t="str">
        <x:v>SKU-0001</x:v>
      </x:c>
      <x:c r="I859" s="94" t="str">
        <x:v>电子产品</x:v>
      </x:c>
      <x:c r="J859" s="94" t="str">
        <x:v>无线耳机 A</x:v>
      </x:c>
      <x:c r="K859" s="97" t="n">
        <x:v>473.81</x:v>
      </x:c>
      <x:c r="L859" s="95" t="n">
        <x:v>1</x:v>
      </x:c>
      <x:c r="M859" s="97" t="n">
        <x:f>ROUND(K859*L859,2)</x:f>
        <x:v>473.81</x:v>
      </x:c>
      <x:c r="N859" s="109" t="n">
        <x:v>0.05</x:v>
      </x:c>
      <x:c r="O859" s="97" t="n">
        <x:f>ROUND(M859*N859,2)</x:f>
        <x:v>23.69</x:v>
      </x:c>
      <x:c r="P859" s="94" t="str">
        <x:v>已确认</x:v>
      </x:c>
      <x:c r="Q859" s="97" t="n">
        <x:f>IF(P859="已退款",M859,0)</x:f>
        <x:v>0</x:v>
      </x:c>
      <x:c r="R859" s="97" t="n">
        <x:f>IF(P859="已退款",O859,0)</x:f>
        <x:v>0</x:v>
      </x:c>
      <x:c r="S859" s="97" t="n">
        <x:f>O859-R859</x:f>
        <x:v>23.69</x:v>
      </x:c>
      <x:c r="T859" s="94" t="n">
        <x:v>4</x:v>
      </x:c>
      <x:c r="U859" s="94" t="str">
        <x:v>模拟：Amazon Associates订单回传</x:v>
      </x:c>
    </x:row>
    <x:row r="860">
      <x:c r="A860" s="92" t="str">
        <x:v>AMZ-ORD-00859</x:v>
      </x:c>
      <x:c r="B860" s="94" t="str">
        <x:v>PROC-0860</x:v>
      </x:c>
      <x:c r="C860" s="108" t="n">
        <x:v>46182.68472222222</x:v>
      </x:c>
      <x:c r="D860" s="93" t="n">
        <x:v>46178</x:v>
      </x:c>
      <x:c r="E860" s="94" t="str">
        <x:v>Microsoft Ads</x:v>
      </x:c>
      <x:c r="F860" s="94" t="str">
        <x:v>美国</x:v>
      </x:c>
      <x:c r="G860" s="94" t="str">
        <x:v>购物广告</x:v>
      </x:c>
      <x:c r="H860" s="94" t="str">
        <x:v>SKU-0023</x:v>
      </x:c>
      <x:c r="I860" s="94" t="str">
        <x:v>运动健康</x:v>
      </x:c>
      <x:c r="J860" s="94" t="str">
        <x:v>可调哑铃 C</x:v>
      </x:c>
      <x:c r="K860" s="97" t="n">
        <x:v>110.95</x:v>
      </x:c>
      <x:c r="L860" s="95" t="n">
        <x:v>2</x:v>
      </x:c>
      <x:c r="M860" s="97" t="n">
        <x:f>ROUND(K860*L860,2)</x:f>
        <x:v>221.9</x:v>
      </x:c>
      <x:c r="N860" s="109" t="n">
        <x:v>0.08</x:v>
      </x:c>
      <x:c r="O860" s="97" t="n">
        <x:f>ROUND(M860*N860,2)</x:f>
        <x:v>17.75</x:v>
      </x:c>
      <x:c r="P860" s="94" t="str">
        <x:v>已确认</x:v>
      </x:c>
      <x:c r="Q860" s="97" t="n">
        <x:f>IF(P860="已退款",M860,0)</x:f>
        <x:v>0</x:v>
      </x:c>
      <x:c r="R860" s="97" t="n">
        <x:f>IF(P860="已退款",O860,0)</x:f>
        <x:v>0</x:v>
      </x:c>
      <x:c r="S860" s="97" t="n">
        <x:f>O860-R860</x:f>
        <x:v>17.75</x:v>
      </x:c>
      <x:c r="T860" s="94" t="n">
        <x:v>4</x:v>
      </x:c>
      <x:c r="U860" s="94" t="str">
        <x:v>模拟：Amazon Associates订单回传</x:v>
      </x:c>
    </x:row>
    <x:row r="861">
      <x:c r="A861" s="92" t="str">
        <x:v>AMZ-ORD-00860</x:v>
      </x:c>
      <x:c r="B861" s="94" t="str">
        <x:v>PROC-0862</x:v>
      </x:c>
      <x:c r="C861" s="108" t="n">
        <x:v>46178.589583333334</x:v>
      </x:c>
      <x:c r="D861" s="93" t="n">
        <x:v>46178</x:v>
      </x:c>
      <x:c r="E861" s="94" t="str">
        <x:v>Google Ads</x:v>
      </x:c>
      <x:c r="F861" s="94" t="str">
        <x:v>美国</x:v>
      </x:c>
      <x:c r="G861" s="94" t="str">
        <x:v>购物广告</x:v>
      </x:c>
      <x:c r="H861" s="94" t="str">
        <x:v>SKU-0013</x:v>
      </x:c>
      <x:c r="I861" s="94" t="str">
        <x:v>家居生活</x:v>
      </x:c>
      <x:c r="J861" s="94" t="str">
        <x:v>人体工学椅 C</x:v>
      </x:c>
      <x:c r="K861" s="97" t="n">
        <x:v>278.72</x:v>
      </x:c>
      <x:c r="L861" s="95" t="n">
        <x:v>1</x:v>
      </x:c>
      <x:c r="M861" s="97" t="n">
        <x:f>ROUND(K861*L861,2)</x:f>
        <x:v>278.72</x:v>
      </x:c>
      <x:c r="N861" s="109" t="n">
        <x:v>0.07</x:v>
      </x:c>
      <x:c r="O861" s="97" t="n">
        <x:f>ROUND(M861*N861,2)</x:f>
        <x:v>19.51</x:v>
      </x:c>
      <x:c r="P861" s="94" t="str">
        <x:v>已确认</x:v>
      </x:c>
      <x:c r="Q861" s="97" t="n">
        <x:f>IF(P861="已退款",M861,0)</x:f>
        <x:v>0</x:v>
      </x:c>
      <x:c r="R861" s="97" t="n">
        <x:f>IF(P861="已退款",O861,0)</x:f>
        <x:v>0</x:v>
      </x:c>
      <x:c r="S861" s="97" t="n">
        <x:f>O861-R861</x:f>
        <x:v>19.51</x:v>
      </x:c>
      <x:c r="T861" s="94" t="n">
        <x:v>0</x:v>
      </x:c>
      <x:c r="U861" s="94" t="str">
        <x:v>模拟：Amazon Associates订单回传</x:v>
      </x:c>
    </x:row>
    <x:row r="862">
      <x:c r="A862" s="92" t="str">
        <x:v>AMZ-ORD-00861</x:v>
      </x:c>
      <x:c r="B862" s="94" t="str">
        <x:v>PROC-0863</x:v>
      </x:c>
      <x:c r="C862" s="108" t="n">
        <x:v>46182.36875</x:v>
      </x:c>
      <x:c r="D862" s="93" t="n">
        <x:v>46179</x:v>
      </x:c>
      <x:c r="E862" s="94" t="str">
        <x:v>Microsoft Ads</x:v>
      </x:c>
      <x:c r="F862" s="94" t="str">
        <x:v>美国</x:v>
      </x:c>
      <x:c r="G862" s="94" t="str">
        <x:v>购物广告</x:v>
      </x:c>
      <x:c r="H862" s="94" t="str">
        <x:v>SKU-0049</x:v>
      </x:c>
      <x:c r="I862" s="94" t="str">
        <x:v>办公学习</x:v>
      </x:c>
      <x:c r="J862" s="94" t="str">
        <x:v>移动白板 I</x:v>
      </x:c>
      <x:c r="K862" s="97" t="n">
        <x:v>173.1</x:v>
      </x:c>
      <x:c r="L862" s="95" t="n">
        <x:v>1</x:v>
      </x:c>
      <x:c r="M862" s="97" t="n">
        <x:f>ROUND(K862*L862,2)</x:f>
        <x:v>173.1</x:v>
      </x:c>
      <x:c r="N862" s="109" t="n">
        <x:v>0.07</x:v>
      </x:c>
      <x:c r="O862" s="97" t="n">
        <x:f>ROUND(M862*N862,2)</x:f>
        <x:v>12.12</x:v>
      </x:c>
      <x:c r="P862" s="94" t="str">
        <x:v>已确认</x:v>
      </x:c>
      <x:c r="Q862" s="97" t="n">
        <x:f>IF(P862="已退款",M862,0)</x:f>
        <x:v>0</x:v>
      </x:c>
      <x:c r="R862" s="97" t="n">
        <x:f>IF(P862="已退款",O862,0)</x:f>
        <x:v>0</x:v>
      </x:c>
      <x:c r="S862" s="97" t="n">
        <x:f>O862-R862</x:f>
        <x:v>12.12</x:v>
      </x:c>
      <x:c r="T862" s="94" t="n">
        <x:v>3</x:v>
      </x:c>
      <x:c r="U862" s="94" t="str">
        <x:v>模拟：Amazon Associates订单回传</x:v>
      </x:c>
    </x:row>
    <x:row r="863">
      <x:c r="A863" s="92" t="str">
        <x:v>AMZ-ORD-00862</x:v>
      </x:c>
      <x:c r="B863" s="94" t="str">
        <x:v>PROC-0864</x:v>
      </x:c>
      <x:c r="C863" s="108" t="n">
        <x:v>46181.85486111111</x:v>
      </x:c>
      <x:c r="D863" s="93" t="n">
        <x:v>46179</x:v>
      </x:c>
      <x:c r="E863" s="94" t="str">
        <x:v>Microsoft Ads</x:v>
      </x:c>
      <x:c r="F863" s="94" t="str">
        <x:v>德国</x:v>
      </x:c>
      <x:c r="G863" s="94" t="str">
        <x:v>购物广告</x:v>
      </x:c>
      <x:c r="H863" s="94" t="str">
        <x:v>SKU-0010</x:v>
      </x:c>
      <x:c r="I863" s="94" t="str">
        <x:v>电子产品</x:v>
      </x:c>
      <x:c r="J863" s="94" t="str">
        <x:v>多口扩展坞 J</x:v>
      </x:c>
      <x:c r="K863" s="97" t="n">
        <x:v>673.01</x:v>
      </x:c>
      <x:c r="L863" s="95" t="n">
        <x:v>2</x:v>
      </x:c>
      <x:c r="M863" s="97" t="n">
        <x:f>ROUND(K863*L863,2)</x:f>
        <x:v>1346.02</x:v>
      </x:c>
      <x:c r="N863" s="109" t="n">
        <x:v>0.05</x:v>
      </x:c>
      <x:c r="O863" s="97" t="n">
        <x:f>ROUND(M863*N863,2)</x:f>
        <x:v>67.3</x:v>
      </x:c>
      <x:c r="P863" s="94" t="str">
        <x:v>已确认</x:v>
      </x:c>
      <x:c r="Q863" s="97" t="n">
        <x:f>IF(P863="已退款",M863,0)</x:f>
        <x:v>0</x:v>
      </x:c>
      <x:c r="R863" s="97" t="n">
        <x:f>IF(P863="已退款",O863,0)</x:f>
        <x:v>0</x:v>
      </x:c>
      <x:c r="S863" s="97" t="n">
        <x:f>O863-R863</x:f>
        <x:v>67.3</x:v>
      </x:c>
      <x:c r="T863" s="94" t="n">
        <x:v>2</x:v>
      </x:c>
      <x:c r="U863" s="94" t="str">
        <x:v>模拟：Amazon Associates订单回传</x:v>
      </x:c>
    </x:row>
    <x:row r="864">
      <x:c r="A864" s="92" t="str">
        <x:v>AMZ-ORD-00863</x:v>
      </x:c>
      <x:c r="B864" s="94" t="str">
        <x:v>PROC-0864</x:v>
      </x:c>
      <x:c r="C864" s="108" t="n">
        <x:v>46180.836805555555</x:v>
      </x:c>
      <x:c r="D864" s="93" t="n">
        <x:v>46179</x:v>
      </x:c>
      <x:c r="E864" s="94" t="str">
        <x:v>Microsoft Ads</x:v>
      </x:c>
      <x:c r="F864" s="94" t="str">
        <x:v>德国</x:v>
      </x:c>
      <x:c r="G864" s="94" t="str">
        <x:v>购物广告</x:v>
      </x:c>
      <x:c r="H864" s="94" t="str">
        <x:v>SKU-0049</x:v>
      </x:c>
      <x:c r="I864" s="94" t="str">
        <x:v>办公学习</x:v>
      </x:c>
      <x:c r="J864" s="94" t="str">
        <x:v>移动白板 I</x:v>
      </x:c>
      <x:c r="K864" s="97" t="n">
        <x:v>247.8</x:v>
      </x:c>
      <x:c r="L864" s="95" t="n">
        <x:v>1</x:v>
      </x:c>
      <x:c r="M864" s="97" t="n">
        <x:f>ROUND(K864*L864,2)</x:f>
        <x:v>247.8</x:v>
      </x:c>
      <x:c r="N864" s="109" t="n">
        <x:v>0.07</x:v>
      </x:c>
      <x:c r="O864" s="97" t="n">
        <x:f>ROUND(M864*N864,2)</x:f>
        <x:v>17.35</x:v>
      </x:c>
      <x:c r="P864" s="94" t="str">
        <x:v>已确认</x:v>
      </x:c>
      <x:c r="Q864" s="97" t="n">
        <x:f>IF(P864="已退款",M864,0)</x:f>
        <x:v>0</x:v>
      </x:c>
      <x:c r="R864" s="97" t="n">
        <x:f>IF(P864="已退款",O864,0)</x:f>
        <x:v>0</x:v>
      </x:c>
      <x:c r="S864" s="97" t="n">
        <x:f>O864-R864</x:f>
        <x:v>17.35</x:v>
      </x:c>
      <x:c r="T864" s="94" t="n">
        <x:v>1</x:v>
      </x:c>
      <x:c r="U864" s="94" t="str">
        <x:v>模拟：Amazon Associates订单回传</x:v>
      </x:c>
    </x:row>
    <x:row r="865">
      <x:c r="A865" s="92" t="str">
        <x:v>AMZ-ORD-00864</x:v>
      </x:c>
      <x:c r="B865" s="94" t="str">
        <x:v>PROC-0865</x:v>
      </x:c>
      <x:c r="C865" s="108" t="n">
        <x:v>46180.597916666666</x:v>
      </x:c>
      <x:c r="D865" s="93" t="n">
        <x:v>46179</x:v>
      </x:c>
      <x:c r="E865" s="94" t="str">
        <x:v>Microsoft Ads</x:v>
      </x:c>
      <x:c r="F865" s="94" t="str">
        <x:v>美国</x:v>
      </x:c>
      <x:c r="G865" s="94" t="str">
        <x:v>通用搜索</x:v>
      </x:c>
      <x:c r="H865" s="94" t="str">
        <x:v>SKU-0001</x:v>
      </x:c>
      <x:c r="I865" s="94" t="str">
        <x:v>电子产品</x:v>
      </x:c>
      <x:c r="J865" s="94" t="str">
        <x:v>无线耳机 A</x:v>
      </x:c>
      <x:c r="K865" s="97" t="n">
        <x:v>653.72</x:v>
      </x:c>
      <x:c r="L865" s="95" t="n">
        <x:v>1</x:v>
      </x:c>
      <x:c r="M865" s="97" t="n">
        <x:f>ROUND(K865*L865,2)</x:f>
        <x:v>653.72</x:v>
      </x:c>
      <x:c r="N865" s="109" t="n">
        <x:v>0.05</x:v>
      </x:c>
      <x:c r="O865" s="97" t="n">
        <x:f>ROUND(M865*N865,2)</x:f>
        <x:v>32.69</x:v>
      </x:c>
      <x:c r="P865" s="94" t="str">
        <x:v>已确认</x:v>
      </x:c>
      <x:c r="Q865" s="97" t="n">
        <x:f>IF(P865="已退款",M865,0)</x:f>
        <x:v>0</x:v>
      </x:c>
      <x:c r="R865" s="97" t="n">
        <x:f>IF(P865="已退款",O865,0)</x:f>
        <x:v>0</x:v>
      </x:c>
      <x:c r="S865" s="97" t="n">
        <x:f>O865-R865</x:f>
        <x:v>32.69</x:v>
      </x:c>
      <x:c r="T865" s="94" t="n">
        <x:v>1</x:v>
      </x:c>
      <x:c r="U865" s="94" t="str">
        <x:v>模拟：Amazon Associates订单回传</x:v>
      </x:c>
    </x:row>
    <x:row r="866">
      <x:c r="A866" s="92" t="str">
        <x:v>AMZ-ORD-00865</x:v>
      </x:c>
      <x:c r="B866" s="94" t="str">
        <x:v>PROC-0868</x:v>
      </x:c>
      <x:c r="C866" s="108" t="n">
        <x:v>46180.415972222225</x:v>
      </x:c>
      <x:c r="D866" s="93" t="n">
        <x:v>46179</x:v>
      </x:c>
      <x:c r="E866" s="94" t="str">
        <x:v>Microsoft Ads</x:v>
      </x:c>
      <x:c r="F866" s="94" t="str">
        <x:v>美国</x:v>
      </x:c>
      <x:c r="G866" s="94" t="str">
        <x:v>通用搜索</x:v>
      </x:c>
      <x:c r="H866" s="94" t="str">
        <x:v>SKU-0003</x:v>
      </x:c>
      <x:c r="I866" s="94" t="str">
        <x:v>电子产品</x:v>
      </x:c>
      <x:c r="J866" s="94" t="str">
        <x:v>智能家居中枢 C</x:v>
      </x:c>
      <x:c r="K866" s="97" t="n">
        <x:v>595.34</x:v>
      </x:c>
      <x:c r="L866" s="95" t="n">
        <x:v>1</x:v>
      </x:c>
      <x:c r="M866" s="97" t="n">
        <x:f>ROUND(K866*L866,2)</x:f>
        <x:v>595.34</x:v>
      </x:c>
      <x:c r="N866" s="109" t="n">
        <x:v>0.05</x:v>
      </x:c>
      <x:c r="O866" s="97" t="n">
        <x:f>ROUND(M866*N866,2)</x:f>
        <x:v>29.77</x:v>
      </x:c>
      <x:c r="P866" s="94" t="str">
        <x:v>已确认</x:v>
      </x:c>
      <x:c r="Q866" s="97" t="n">
        <x:f>IF(P866="已退款",M866,0)</x:f>
        <x:v>0</x:v>
      </x:c>
      <x:c r="R866" s="97" t="n">
        <x:f>IF(P866="已退款",O866,0)</x:f>
        <x:v>0</x:v>
      </x:c>
      <x:c r="S866" s="97" t="n">
        <x:f>O866-R866</x:f>
        <x:v>29.77</x:v>
      </x:c>
      <x:c r="T866" s="94" t="n">
        <x:v>1</x:v>
      </x:c>
      <x:c r="U866" s="94" t="str">
        <x:v>模拟：Amazon Associates订单回传</x:v>
      </x:c>
    </x:row>
    <x:row r="867">
      <x:c r="A867" s="92" t="str">
        <x:v>AMZ-ORD-00866</x:v>
      </x:c>
      <x:c r="B867" s="94" t="str">
        <x:v>PROC-0870</x:v>
      </x:c>
      <x:c r="C867" s="108" t="n">
        <x:v>46182.76875</x:v>
      </x:c>
      <x:c r="D867" s="93" t="n">
        <x:v>46180</x:v>
      </x:c>
      <x:c r="E867" s="94" t="str">
        <x:v>Microsoft Ads</x:v>
      </x:c>
      <x:c r="F867" s="94" t="str">
        <x:v>德国</x:v>
      </x:c>
      <x:c r="G867" s="94" t="str">
        <x:v>品牌搜索</x:v>
      </x:c>
      <x:c r="H867" s="94" t="str">
        <x:v>SKU-0021</x:v>
      </x:c>
      <x:c r="I867" s="94" t="str">
        <x:v>运动健康</x:v>
      </x:c>
      <x:c r="J867" s="94" t="str">
        <x:v>智能手表 A</x:v>
      </x:c>
      <x:c r="K867" s="97" t="n">
        <x:v>106.41</x:v>
      </x:c>
      <x:c r="L867" s="95" t="n">
        <x:v>1</x:v>
      </x:c>
      <x:c r="M867" s="97" t="n">
        <x:f>ROUND(K867*L867,2)</x:f>
        <x:v>106.41</x:v>
      </x:c>
      <x:c r="N867" s="109" t="n">
        <x:v>0.08</x:v>
      </x:c>
      <x:c r="O867" s="97" t="n">
        <x:f>ROUND(M867*N867,2)</x:f>
        <x:v>8.51</x:v>
      </x:c>
      <x:c r="P867" s="94" t="str">
        <x:v>已确认</x:v>
      </x:c>
      <x:c r="Q867" s="97" t="n">
        <x:f>IF(P867="已退款",M867,0)</x:f>
        <x:v>0</x:v>
      </x:c>
      <x:c r="R867" s="97" t="n">
        <x:f>IF(P867="已退款",O867,0)</x:f>
        <x:v>0</x:v>
      </x:c>
      <x:c r="S867" s="97" t="n">
        <x:f>O867-R867</x:f>
        <x:v>8.51</x:v>
      </x:c>
      <x:c r="T867" s="94" t="n">
        <x:v>2</x:v>
      </x:c>
      <x:c r="U867" s="94" t="str">
        <x:v>模拟：Amazon Associates订单回传</x:v>
      </x:c>
    </x:row>
    <x:row r="868">
      <x:c r="A868" s="92" t="str">
        <x:v>AMZ-ORD-00867</x:v>
      </x:c>
      <x:c r="B868" s="94" t="str">
        <x:v>PROC-0871</x:v>
      </x:c>
      <x:c r="C868" s="108" t="n">
        <x:v>46181.84027777778</x:v>
      </x:c>
      <x:c r="D868" s="93" t="n">
        <x:v>46180</x:v>
      </x:c>
      <x:c r="E868" s="94" t="str">
        <x:v>Google Ads</x:v>
      </x:c>
      <x:c r="F868" s="94" t="str">
        <x:v>英国</x:v>
      </x:c>
      <x:c r="G868" s="94" t="str">
        <x:v>品牌搜索</x:v>
      </x:c>
      <x:c r="H868" s="94" t="str">
        <x:v>SKU-0038</x:v>
      </x:c>
      <x:c r="I868" s="94" t="str">
        <x:v>美妆个护</x:v>
      </x:c>
      <x:c r="J868" s="94" t="str">
        <x:v>卷发棒 H</x:v>
      </x:c>
      <x:c r="K868" s="97" t="n">
        <x:v>71.48</x:v>
      </x:c>
      <x:c r="L868" s="95" t="n">
        <x:v>2</x:v>
      </x:c>
      <x:c r="M868" s="97" t="n">
        <x:f>ROUND(K868*L868,2)</x:f>
        <x:v>142.96</x:v>
      </x:c>
      <x:c r="N868" s="109" t="n">
        <x:v>0.1</x:v>
      </x:c>
      <x:c r="O868" s="97" t="n">
        <x:f>ROUND(M868*N868,2)</x:f>
        <x:v>14.3</x:v>
      </x:c>
      <x:c r="P868" s="94" t="str">
        <x:v>已确认</x:v>
      </x:c>
      <x:c r="Q868" s="97" t="n">
        <x:f>IF(P868="已退款",M868,0)</x:f>
        <x:v>0</x:v>
      </x:c>
      <x:c r="R868" s="97" t="n">
        <x:f>IF(P868="已退款",O868,0)</x:f>
        <x:v>0</x:v>
      </x:c>
      <x:c r="S868" s="97" t="n">
        <x:f>O868-R868</x:f>
        <x:v>14.3</x:v>
      </x:c>
      <x:c r="T868" s="94" t="n">
        <x:v>1</x:v>
      </x:c>
      <x:c r="U868" s="94" t="str">
        <x:v>模拟：Amazon Associates订单回传</x:v>
      </x:c>
    </x:row>
    <x:row r="869">
      <x:c r="A869" s="92" t="str">
        <x:v>AMZ-ORD-00868</x:v>
      </x:c>
      <x:c r="B869" s="94" t="str">
        <x:v>PROC-0871</x:v>
      </x:c>
      <x:c r="C869" s="108" t="n">
        <x:v>46182.686111111114</x:v>
      </x:c>
      <x:c r="D869" s="93" t="n">
        <x:v>46180</x:v>
      </x:c>
      <x:c r="E869" s="94" t="str">
        <x:v>Google Ads</x:v>
      </x:c>
      <x:c r="F869" s="94" t="str">
        <x:v>英国</x:v>
      </x:c>
      <x:c r="G869" s="94" t="str">
        <x:v>品牌搜索</x:v>
      </x:c>
      <x:c r="H869" s="94" t="str">
        <x:v>SKU-0045</x:v>
      </x:c>
      <x:c r="I869" s="94" t="str">
        <x:v>办公学习</x:v>
      </x:c>
      <x:c r="J869" s="94" t="str">
        <x:v>办公收纳 E</x:v>
      </x:c>
      <x:c r="K869" s="97" t="n">
        <x:v>220.87</x:v>
      </x:c>
      <x:c r="L869" s="95" t="n">
        <x:v>1</x:v>
      </x:c>
      <x:c r="M869" s="97" t="n">
        <x:f>ROUND(K869*L869,2)</x:f>
        <x:v>220.87</x:v>
      </x:c>
      <x:c r="N869" s="109" t="n">
        <x:v>0.07</x:v>
      </x:c>
      <x:c r="O869" s="97" t="n">
        <x:f>ROUND(M869*N869,2)</x:f>
        <x:v>15.46</x:v>
      </x:c>
      <x:c r="P869" s="94" t="str">
        <x:v>已确认</x:v>
      </x:c>
      <x:c r="Q869" s="97" t="n">
        <x:f>IF(P869="已退款",M869,0)</x:f>
        <x:v>0</x:v>
      </x:c>
      <x:c r="R869" s="97" t="n">
        <x:f>IF(P869="已退款",O869,0)</x:f>
        <x:v>0</x:v>
      </x:c>
      <x:c r="S869" s="97" t="n">
        <x:f>O869-R869</x:f>
        <x:v>15.46</x:v>
      </x:c>
      <x:c r="T869" s="94" t="n">
        <x:v>2</x:v>
      </x:c>
      <x:c r="U869" s="94" t="str">
        <x:v>模拟：Amazon Associates订单回传</x:v>
      </x:c>
    </x:row>
    <x:row r="870">
      <x:c r="A870" s="92" t="str">
        <x:v>AMZ-ORD-00869</x:v>
      </x:c>
      <x:c r="B870" s="94" t="str">
        <x:v>PROC-0872</x:v>
      </x:c>
      <x:c r="C870" s="108" t="n">
        <x:v>46183.58611111111</x:v>
      </x:c>
      <x:c r="D870" s="93" t="n">
        <x:v>46180</x:v>
      </x:c>
      <x:c r="E870" s="94" t="str">
        <x:v>Microsoft Ads</x:v>
      </x:c>
      <x:c r="F870" s="94" t="str">
        <x:v>德国</x:v>
      </x:c>
      <x:c r="G870" s="94" t="str">
        <x:v>购物广告</x:v>
      </x:c>
      <x:c r="H870" s="94" t="str">
        <x:v>SKU-0030</x:v>
      </x:c>
      <x:c r="I870" s="94" t="str">
        <x:v>运动健康</x:v>
      </x:c>
      <x:c r="J870" s="94" t="str">
        <x:v>露营套装 J</x:v>
      </x:c>
      <x:c r="K870" s="97" t="n">
        <x:v>161.34</x:v>
      </x:c>
      <x:c r="L870" s="95" t="n">
        <x:v>1</x:v>
      </x:c>
      <x:c r="M870" s="97" t="n">
        <x:f>ROUND(K870*L870,2)</x:f>
        <x:v>161.34</x:v>
      </x:c>
      <x:c r="N870" s="109" t="n">
        <x:v>0.08</x:v>
      </x:c>
      <x:c r="O870" s="97" t="n">
        <x:f>ROUND(M870*N870,2)</x:f>
        <x:v>12.91</x:v>
      </x:c>
      <x:c r="P870" s="94" t="str">
        <x:v>已确认</x:v>
      </x:c>
      <x:c r="Q870" s="97" t="n">
        <x:f>IF(P870="已退款",M870,0)</x:f>
        <x:v>0</x:v>
      </x:c>
      <x:c r="R870" s="97" t="n">
        <x:f>IF(P870="已退款",O870,0)</x:f>
        <x:v>0</x:v>
      </x:c>
      <x:c r="S870" s="97" t="n">
        <x:f>O870-R870</x:f>
        <x:v>12.91</x:v>
      </x:c>
      <x:c r="T870" s="94" t="n">
        <x:v>3</x:v>
      </x:c>
      <x:c r="U870" s="94" t="str">
        <x:v>模拟：Amazon Associates订单回传</x:v>
      </x:c>
    </x:row>
    <x:row r="871">
      <x:c r="A871" s="92" t="str">
        <x:v>AMZ-ORD-00870</x:v>
      </x:c>
      <x:c r="B871" s="94" t="str">
        <x:v>PROC-0873</x:v>
      </x:c>
      <x:c r="C871" s="108" t="n">
        <x:v>46181.40972222222</x:v>
      </x:c>
      <x:c r="D871" s="93" t="n">
        <x:v>46180</x:v>
      </x:c>
      <x:c r="E871" s="94" t="str">
        <x:v>Google Ads</x:v>
      </x:c>
      <x:c r="F871" s="94" t="str">
        <x:v>英国</x:v>
      </x:c>
      <x:c r="G871" s="94" t="str">
        <x:v>购物广告</x:v>
      </x:c>
      <x:c r="H871" s="94" t="str">
        <x:v>SKU-0011</x:v>
      </x:c>
      <x:c r="I871" s="94" t="str">
        <x:v>家居生活</x:v>
      </x:c>
      <x:c r="J871" s="94" t="str">
        <x:v>空气净化器 A</x:v>
      </x:c>
      <x:c r="K871" s="97" t="n">
        <x:v>302.56</x:v>
      </x:c>
      <x:c r="L871" s="95" t="n">
        <x:v>1</x:v>
      </x:c>
      <x:c r="M871" s="97" t="n">
        <x:f>ROUND(K871*L871,2)</x:f>
        <x:v>302.56</x:v>
      </x:c>
      <x:c r="N871" s="109" t="n">
        <x:v>0.07</x:v>
      </x:c>
      <x:c r="O871" s="97" t="n">
        <x:f>ROUND(M871*N871,2)</x:f>
        <x:v>21.18</x:v>
      </x:c>
      <x:c r="P871" s="94" t="str">
        <x:v>已确认</x:v>
      </x:c>
      <x:c r="Q871" s="97" t="n">
        <x:f>IF(P871="已退款",M871,0)</x:f>
        <x:v>0</x:v>
      </x:c>
      <x:c r="R871" s="97" t="n">
        <x:f>IF(P871="已退款",O871,0)</x:f>
        <x:v>0</x:v>
      </x:c>
      <x:c r="S871" s="97" t="n">
        <x:f>O871-R871</x:f>
        <x:v>21.18</x:v>
      </x:c>
      <x:c r="T871" s="94" t="n">
        <x:v>1</x:v>
      </x:c>
      <x:c r="U871" s="94" t="str">
        <x:v>模拟：Amazon Associates订单回传</x:v>
      </x:c>
    </x:row>
    <x:row r="872">
      <x:c r="A872" s="92" t="str">
        <x:v>AMZ-ORD-00871</x:v>
      </x:c>
      <x:c r="B872" s="94" t="str">
        <x:v>PROC-0874</x:v>
      </x:c>
      <x:c r="C872" s="108" t="n">
        <x:v>46183.427083333336</x:v>
      </x:c>
      <x:c r="D872" s="93" t="n">
        <x:v>46181</x:v>
      </x:c>
      <x:c r="E872" s="94" t="str">
        <x:v>Google Ads</x:v>
      </x:c>
      <x:c r="F872" s="94" t="str">
        <x:v>德国</x:v>
      </x:c>
      <x:c r="G872" s="94" t="str">
        <x:v>通用搜索</x:v>
      </x:c>
      <x:c r="H872" s="94" t="str">
        <x:v>SKU-0028</x:v>
      </x:c>
      <x:c r="I872" s="94" t="str">
        <x:v>运动健康</x:v>
      </x:c>
      <x:c r="J872" s="94" t="str">
        <x:v>体脂秤 H</x:v>
      </x:c>
      <x:c r="K872" s="97" t="n">
        <x:v>136.54</x:v>
      </x:c>
      <x:c r="L872" s="95" t="n">
        <x:v>1</x:v>
      </x:c>
      <x:c r="M872" s="97" t="n">
        <x:f>ROUND(K872*L872,2)</x:f>
        <x:v>136.54</x:v>
      </x:c>
      <x:c r="N872" s="109" t="n">
        <x:v>0.08</x:v>
      </x:c>
      <x:c r="O872" s="97" t="n">
        <x:f>ROUND(M872*N872,2)</x:f>
        <x:v>10.92</x:v>
      </x:c>
      <x:c r="P872" s="94" t="str">
        <x:v>已确认</x:v>
      </x:c>
      <x:c r="Q872" s="97" t="n">
        <x:f>IF(P872="已退款",M872,0)</x:f>
        <x:v>0</x:v>
      </x:c>
      <x:c r="R872" s="97" t="n">
        <x:f>IF(P872="已退款",O872,0)</x:f>
        <x:v>0</x:v>
      </x:c>
      <x:c r="S872" s="97" t="n">
        <x:f>O872-R872</x:f>
        <x:v>10.92</x:v>
      </x:c>
      <x:c r="T872" s="94" t="n">
        <x:v>2</x:v>
      </x:c>
      <x:c r="U872" s="94" t="str">
        <x:v>模拟：Amazon Associates订单回传</x:v>
      </x:c>
    </x:row>
    <x:row r="873">
      <x:c r="A873" s="92" t="str">
        <x:v>AMZ-ORD-00872</x:v>
      </x:c>
      <x:c r="B873" s="94" t="str">
        <x:v>PROC-0875</x:v>
      </x:c>
      <x:c r="C873" s="108" t="n">
        <x:v>46182.54861111111</x:v>
      </x:c>
      <x:c r="D873" s="93" t="n">
        <x:v>46181</x:v>
      </x:c>
      <x:c r="E873" s="94" t="str">
        <x:v>Google Ads</x:v>
      </x:c>
      <x:c r="F873" s="94" t="str">
        <x:v>美国</x:v>
      </x:c>
      <x:c r="G873" s="94" t="str">
        <x:v>通用搜索</x:v>
      </x:c>
      <x:c r="H873" s="94" t="str">
        <x:v>SKU-0016</x:v>
      </x:c>
      <x:c r="I873" s="94" t="str">
        <x:v>家居生活</x:v>
      </x:c>
      <x:c r="J873" s="94" t="str">
        <x:v>厨师机 F</x:v>
      </x:c>
      <x:c r="K873" s="97" t="n">
        <x:v>186.69</x:v>
      </x:c>
      <x:c r="L873" s="95" t="n">
        <x:v>1</x:v>
      </x:c>
      <x:c r="M873" s="97" t="n">
        <x:f>ROUND(K873*L873,2)</x:f>
        <x:v>186.69</x:v>
      </x:c>
      <x:c r="N873" s="109" t="n">
        <x:v>0.07</x:v>
      </x:c>
      <x:c r="O873" s="97" t="n">
        <x:f>ROUND(M873*N873,2)</x:f>
        <x:v>13.07</x:v>
      </x:c>
      <x:c r="P873" s="94" t="str">
        <x:v>已确认</x:v>
      </x:c>
      <x:c r="Q873" s="97" t="n">
        <x:f>IF(P873="已退款",M873,0)</x:f>
        <x:v>0</x:v>
      </x:c>
      <x:c r="R873" s="97" t="n">
        <x:f>IF(P873="已退款",O873,0)</x:f>
        <x:v>0</x:v>
      </x:c>
      <x:c r="S873" s="97" t="n">
        <x:f>O873-R873</x:f>
        <x:v>13.07</x:v>
      </x:c>
      <x:c r="T873" s="94" t="n">
        <x:v>1</x:v>
      </x:c>
      <x:c r="U873" s="94" t="str">
        <x:v>模拟：Amazon Associates订单回传</x:v>
      </x:c>
    </x:row>
    <x:row r="874">
      <x:c r="A874" s="92" t="str">
        <x:v>AMZ-ORD-00873</x:v>
      </x:c>
      <x:c r="B874" s="94" t="str">
        <x:v>PROC-0876</x:v>
      </x:c>
      <x:c r="C874" s="108" t="n">
        <x:v>46181.407638888886</x:v>
      </x:c>
      <x:c r="D874" s="93" t="n">
        <x:v>46181</x:v>
      </x:c>
      <x:c r="E874" s="94" t="str">
        <x:v>Google Ads</x:v>
      </x:c>
      <x:c r="F874" s="94" t="str">
        <x:v>美国</x:v>
      </x:c>
      <x:c r="G874" s="94" t="str">
        <x:v>通用搜索</x:v>
      </x:c>
      <x:c r="H874" s="94" t="str">
        <x:v>SKU-0044</x:v>
      </x:c>
      <x:c r="I874" s="94" t="str">
        <x:v>办公学习</x:v>
      </x:c>
      <x:c r="J874" s="94" t="str">
        <x:v>数字笔记本 D</x:v>
      </x:c>
      <x:c r="K874" s="97" t="n">
        <x:v>254.83</x:v>
      </x:c>
      <x:c r="L874" s="95" t="n">
        <x:v>2</x:v>
      </x:c>
      <x:c r="M874" s="97" t="n">
        <x:f>ROUND(K874*L874,2)</x:f>
        <x:v>509.66</x:v>
      </x:c>
      <x:c r="N874" s="109" t="n">
        <x:v>0.07</x:v>
      </x:c>
      <x:c r="O874" s="97" t="n">
        <x:f>ROUND(M874*N874,2)</x:f>
        <x:v>35.68</x:v>
      </x:c>
      <x:c r="P874" s="94" t="str">
        <x:v>已确认</x:v>
      </x:c>
      <x:c r="Q874" s="97" t="n">
        <x:f>IF(P874="已退款",M874,0)</x:f>
        <x:v>0</x:v>
      </x:c>
      <x:c r="R874" s="97" t="n">
        <x:f>IF(P874="已退款",O874,0)</x:f>
        <x:v>0</x:v>
      </x:c>
      <x:c r="S874" s="97" t="n">
        <x:f>O874-R874</x:f>
        <x:v>35.68</x:v>
      </x:c>
      <x:c r="T874" s="94" t="n">
        <x:v>0</x:v>
      </x:c>
      <x:c r="U874" s="94" t="str">
        <x:v>模拟：Amazon Associates订单回传</x:v>
      </x:c>
    </x:row>
    <x:row r="875">
      <x:c r="A875" s="92" t="str">
        <x:v>AMZ-ORD-00874</x:v>
      </x:c>
      <x:c r="B875" s="94" t="str">
        <x:v>PROC-0877</x:v>
      </x:c>
      <x:c r="C875" s="108" t="n">
        <x:v>46181.36388888889</x:v>
      </x:c>
      <x:c r="D875" s="93" t="n">
        <x:v>46181</x:v>
      </x:c>
      <x:c r="E875" s="94" t="str">
        <x:v>Google Ads</x:v>
      </x:c>
      <x:c r="F875" s="94" t="str">
        <x:v>美国</x:v>
      </x:c>
      <x:c r="G875" s="94" t="str">
        <x:v>品牌搜索</x:v>
      </x:c>
      <x:c r="H875" s="94" t="str">
        <x:v>SKU-0015</x:v>
      </x:c>
      <x:c r="I875" s="94" t="str">
        <x:v>家居生活</x:v>
      </x:c>
      <x:c r="J875" s="94" t="str">
        <x:v>床品套装 E</x:v>
      </x:c>
      <x:c r="K875" s="97" t="n">
        <x:v>230.27</x:v>
      </x:c>
      <x:c r="L875" s="95" t="n">
        <x:v>1</x:v>
      </x:c>
      <x:c r="M875" s="97" t="n">
        <x:f>ROUND(K875*L875,2)</x:f>
        <x:v>230.27</x:v>
      </x:c>
      <x:c r="N875" s="109" t="n">
        <x:v>0.07</x:v>
      </x:c>
      <x:c r="O875" s="97" t="n">
        <x:f>ROUND(M875*N875,2)</x:f>
        <x:v>16.12</x:v>
      </x:c>
      <x:c r="P875" s="94" t="str">
        <x:v>已确认</x:v>
      </x:c>
      <x:c r="Q875" s="97" t="n">
        <x:f>IF(P875="已退款",M875,0)</x:f>
        <x:v>0</x:v>
      </x:c>
      <x:c r="R875" s="97" t="n">
        <x:f>IF(P875="已退款",O875,0)</x:f>
        <x:v>0</x:v>
      </x:c>
      <x:c r="S875" s="97" t="n">
        <x:f>O875-R875</x:f>
        <x:v>16.12</x:v>
      </x:c>
      <x:c r="T875" s="94" t="n">
        <x:v>0</x:v>
      </x:c>
      <x:c r="U875" s="94" t="str">
        <x:v>模拟：Amazon Associates订单回传</x:v>
      </x:c>
    </x:row>
    <x:row r="876">
      <x:c r="A876" s="92" t="str">
        <x:v>AMZ-ORD-00875</x:v>
      </x:c>
      <x:c r="B876" s="94" t="str">
        <x:v>PROC-0877</x:v>
      </x:c>
      <x:c r="C876" s="108" t="n">
        <x:v>46184.9125</x:v>
      </x:c>
      <x:c r="D876" s="93" t="n">
        <x:v>46181</x:v>
      </x:c>
      <x:c r="E876" s="94" t="str">
        <x:v>Google Ads</x:v>
      </x:c>
      <x:c r="F876" s="94" t="str">
        <x:v>美国</x:v>
      </x:c>
      <x:c r="G876" s="94" t="str">
        <x:v>品牌搜索</x:v>
      </x:c>
      <x:c r="H876" s="94" t="str">
        <x:v>SKU-0024</x:v>
      </x:c>
      <x:c r="I876" s="94" t="str">
        <x:v>运动健康</x:v>
      </x:c>
      <x:c r="J876" s="94" t="str">
        <x:v>筋膜枪 D</x:v>
      </x:c>
      <x:c r="K876" s="97" t="n">
        <x:v>138.42</x:v>
      </x:c>
      <x:c r="L876" s="95" t="n">
        <x:v>1</x:v>
      </x:c>
      <x:c r="M876" s="97" t="n">
        <x:f>ROUND(K876*L876,2)</x:f>
        <x:v>138.42</x:v>
      </x:c>
      <x:c r="N876" s="109" t="n">
        <x:v>0.08</x:v>
      </x:c>
      <x:c r="O876" s="97" t="n">
        <x:f>ROUND(M876*N876,2)</x:f>
        <x:v>11.07</x:v>
      </x:c>
      <x:c r="P876" s="94" t="str">
        <x:v>已确认</x:v>
      </x:c>
      <x:c r="Q876" s="97" t="n">
        <x:f>IF(P876="已退款",M876,0)</x:f>
        <x:v>0</x:v>
      </x:c>
      <x:c r="R876" s="97" t="n">
        <x:f>IF(P876="已退款",O876,0)</x:f>
        <x:v>0</x:v>
      </x:c>
      <x:c r="S876" s="97" t="n">
        <x:f>O876-R876</x:f>
        <x:v>11.07</x:v>
      </x:c>
      <x:c r="T876" s="94" t="n">
        <x:v>3</x:v>
      </x:c>
      <x:c r="U876" s="94" t="str">
        <x:v>模拟：Amazon Associates订单回传</x:v>
      </x:c>
    </x:row>
    <x:row r="877">
      <x:c r="A877" s="92" t="str">
        <x:v>AMZ-ORD-00876</x:v>
      </x:c>
      <x:c r="B877" s="94" t="str">
        <x:v>PROC-0878</x:v>
      </x:c>
      <x:c r="C877" s="108" t="n">
        <x:v>46184.396527777775</x:v>
      </x:c>
      <x:c r="D877" s="93" t="n">
        <x:v>46181</x:v>
      </x:c>
      <x:c r="E877" s="94" t="str">
        <x:v>Microsoft Ads</x:v>
      </x:c>
      <x:c r="F877" s="94" t="str">
        <x:v>德国</x:v>
      </x:c>
      <x:c r="G877" s="94" t="str">
        <x:v>品牌搜索</x:v>
      </x:c>
      <x:c r="H877" s="94" t="str">
        <x:v>SKU-0014</x:v>
      </x:c>
      <x:c r="I877" s="94" t="str">
        <x:v>家居生活</x:v>
      </x:c>
      <x:c r="J877" s="94" t="str">
        <x:v>扫地机器人 D</x:v>
      </x:c>
      <x:c r="K877" s="97" t="n">
        <x:v>232.33</x:v>
      </x:c>
      <x:c r="L877" s="95" t="n">
        <x:v>1</x:v>
      </x:c>
      <x:c r="M877" s="97" t="n">
        <x:f>ROUND(K877*L877,2)</x:f>
        <x:v>232.33</x:v>
      </x:c>
      <x:c r="N877" s="109" t="n">
        <x:v>0.07</x:v>
      </x:c>
      <x:c r="O877" s="97" t="n">
        <x:f>ROUND(M877*N877,2)</x:f>
        <x:v>16.26</x:v>
      </x:c>
      <x:c r="P877" s="94" t="str">
        <x:v>已确认</x:v>
      </x:c>
      <x:c r="Q877" s="97" t="n">
        <x:f>IF(P877="已退款",M877,0)</x:f>
        <x:v>0</x:v>
      </x:c>
      <x:c r="R877" s="97" t="n">
        <x:f>IF(P877="已退款",O877,0)</x:f>
        <x:v>0</x:v>
      </x:c>
      <x:c r="S877" s="97" t="n">
        <x:f>O877-R877</x:f>
        <x:v>16.26</x:v>
      </x:c>
      <x:c r="T877" s="94" t="n">
        <x:v>3</x:v>
      </x:c>
      <x:c r="U877" s="94" t="str">
        <x:v>模拟：Amazon Associates订单回传</x:v>
      </x:c>
    </x:row>
    <x:row r="878">
      <x:c r="A878" s="92" t="str">
        <x:v>AMZ-ORD-00877</x:v>
      </x:c>
      <x:c r="B878" s="94" t="str">
        <x:v>PROC-0879</x:v>
      </x:c>
      <x:c r="C878" s="108" t="n">
        <x:v>46183.49375</x:v>
      </x:c>
      <x:c r="D878" s="93" t="n">
        <x:v>46181</x:v>
      </x:c>
      <x:c r="E878" s="94" t="str">
        <x:v>Microsoft Ads</x:v>
      </x:c>
      <x:c r="F878" s="94" t="str">
        <x:v>德国</x:v>
      </x:c>
      <x:c r="G878" s="94" t="str">
        <x:v>购物广告</x:v>
      </x:c>
      <x:c r="H878" s="94" t="str">
        <x:v>SKU-0014</x:v>
      </x:c>
      <x:c r="I878" s="94" t="str">
        <x:v>家居生活</x:v>
      </x:c>
      <x:c r="J878" s="94" t="str">
        <x:v>扫地机器人 D</x:v>
      </x:c>
      <x:c r="K878" s="97" t="n">
        <x:v>211.72</x:v>
      </x:c>
      <x:c r="L878" s="95" t="n">
        <x:v>1</x:v>
      </x:c>
      <x:c r="M878" s="97" t="n">
        <x:f>ROUND(K878*L878,2)</x:f>
        <x:v>211.72</x:v>
      </x:c>
      <x:c r="N878" s="109" t="n">
        <x:v>0.07</x:v>
      </x:c>
      <x:c r="O878" s="97" t="n">
        <x:f>ROUND(M878*N878,2)</x:f>
        <x:v>14.82</x:v>
      </x:c>
      <x:c r="P878" s="94" t="str">
        <x:v>已确认</x:v>
      </x:c>
      <x:c r="Q878" s="97" t="n">
        <x:f>IF(P878="已退款",M878,0)</x:f>
        <x:v>0</x:v>
      </x:c>
      <x:c r="R878" s="97" t="n">
        <x:f>IF(P878="已退款",O878,0)</x:f>
        <x:v>0</x:v>
      </x:c>
      <x:c r="S878" s="97" t="n">
        <x:f>O878-R878</x:f>
        <x:v>14.82</x:v>
      </x:c>
      <x:c r="T878" s="94" t="n">
        <x:v>2</x:v>
      </x:c>
      <x:c r="U878" s="94" t="str">
        <x:v>模拟：Amazon Associates订单回传</x:v>
      </x:c>
    </x:row>
    <x:row r="879">
      <x:c r="A879" s="92" t="str">
        <x:v>AMZ-ORD-00878</x:v>
      </x:c>
      <x:c r="B879" s="94" t="str">
        <x:v>PROC-0880</x:v>
      </x:c>
      <x:c r="C879" s="108" t="n">
        <x:v>46186.808333333334</x:v>
      </x:c>
      <x:c r="D879" s="93" t="n">
        <x:v>46182</x:v>
      </x:c>
      <x:c r="E879" s="94" t="str">
        <x:v>Google Ads</x:v>
      </x:c>
      <x:c r="F879" s="94" t="str">
        <x:v>美国</x:v>
      </x:c>
      <x:c r="G879" s="94" t="str">
        <x:v>购物广告</x:v>
      </x:c>
      <x:c r="H879" s="94" t="str">
        <x:v>SKU-0022</x:v>
      </x:c>
      <x:c r="I879" s="94" t="str">
        <x:v>运动健康</x:v>
      </x:c>
      <x:c r="J879" s="94" t="str">
        <x:v>瑜伽套装 B</x:v>
      </x:c>
      <x:c r="K879" s="97" t="n">
        <x:v>230.54</x:v>
      </x:c>
      <x:c r="L879" s="95" t="n">
        <x:v>1</x:v>
      </x:c>
      <x:c r="M879" s="97" t="n">
        <x:f>ROUND(K879*L879,2)</x:f>
        <x:v>230.54</x:v>
      </x:c>
      <x:c r="N879" s="109" t="n">
        <x:v>0.08</x:v>
      </x:c>
      <x:c r="O879" s="97" t="n">
        <x:f>ROUND(M879*N879,2)</x:f>
        <x:v>18.44</x:v>
      </x:c>
      <x:c r="P879" s="94" t="str">
        <x:v>已确认</x:v>
      </x:c>
      <x:c r="Q879" s="97" t="n">
        <x:f>IF(P879="已退款",M879,0)</x:f>
        <x:v>0</x:v>
      </x:c>
      <x:c r="R879" s="97" t="n">
        <x:f>IF(P879="已退款",O879,0)</x:f>
        <x:v>0</x:v>
      </x:c>
      <x:c r="S879" s="97" t="n">
        <x:f>O879-R879</x:f>
        <x:v>18.44</x:v>
      </x:c>
      <x:c r="T879" s="94" t="n">
        <x:v>4</x:v>
      </x:c>
      <x:c r="U879" s="94" t="str">
        <x:v>模拟：Amazon Associates订单回传</x:v>
      </x:c>
    </x:row>
    <x:row r="880">
      <x:c r="A880" s="92" t="str">
        <x:v>AMZ-ORD-00879</x:v>
      </x:c>
      <x:c r="B880" s="94" t="str">
        <x:v>PROC-0881</x:v>
      </x:c>
      <x:c r="C880" s="108" t="n">
        <x:v>46184.67847222222</x:v>
      </x:c>
      <x:c r="D880" s="93" t="n">
        <x:v>46182</x:v>
      </x:c>
      <x:c r="E880" s="94" t="str">
        <x:v>Google Ads</x:v>
      </x:c>
      <x:c r="F880" s="94" t="str">
        <x:v>美国</x:v>
      </x:c>
      <x:c r="G880" s="94" t="str">
        <x:v>品牌搜索</x:v>
      </x:c>
      <x:c r="H880" s="94" t="str">
        <x:v>SKU-0008</x:v>
      </x:c>
      <x:c r="I880" s="94" t="str">
        <x:v>电子产品</x:v>
      </x:c>
      <x:c r="J880" s="94" t="str">
        <x:v>Wi-Fi路由器 H</x:v>
      </x:c>
      <x:c r="K880" s="97" t="n">
        <x:v>779.95</x:v>
      </x:c>
      <x:c r="L880" s="95" t="n">
        <x:v>1</x:v>
      </x:c>
      <x:c r="M880" s="97" t="n">
        <x:f>ROUND(K880*L880,2)</x:f>
        <x:v>779.95</x:v>
      </x:c>
      <x:c r="N880" s="109" t="n">
        <x:v>0.05</x:v>
      </x:c>
      <x:c r="O880" s="97" t="n">
        <x:f>ROUND(M880*N880,2)</x:f>
        <x:v>39</x:v>
      </x:c>
      <x:c r="P880" s="94" t="str">
        <x:v>已确认</x:v>
      </x:c>
      <x:c r="Q880" s="97" t="n">
        <x:f>IF(P880="已退款",M880,0)</x:f>
        <x:v>0</x:v>
      </x:c>
      <x:c r="R880" s="97" t="n">
        <x:f>IF(P880="已退款",O880,0)</x:f>
        <x:v>0</x:v>
      </x:c>
      <x:c r="S880" s="97" t="n">
        <x:f>O880-R880</x:f>
        <x:v>39</x:v>
      </x:c>
      <x:c r="T880" s="94" t="n">
        <x:v>2</x:v>
      </x:c>
      <x:c r="U880" s="94" t="str">
        <x:v>模拟：Amazon Associates订单回传</x:v>
      </x:c>
    </x:row>
    <x:row r="881">
      <x:c r="A881" s="92" t="str">
        <x:v>AMZ-ORD-00880</x:v>
      </x:c>
      <x:c r="B881" s="94" t="str">
        <x:v>PROC-0882</x:v>
      </x:c>
      <x:c r="C881" s="108" t="n">
        <x:v>46186.77013888889</x:v>
      </x:c>
      <x:c r="D881" s="93" t="n">
        <x:v>46182</x:v>
      </x:c>
      <x:c r="E881" s="94" t="str">
        <x:v>Microsoft Ads</x:v>
      </x:c>
      <x:c r="F881" s="94" t="str">
        <x:v>德国</x:v>
      </x:c>
      <x:c r="G881" s="94" t="str">
        <x:v>购物广告</x:v>
      </x:c>
      <x:c r="H881" s="94" t="str">
        <x:v>SKU-0030</x:v>
      </x:c>
      <x:c r="I881" s="94" t="str">
        <x:v>运动健康</x:v>
      </x:c>
      <x:c r="J881" s="94" t="str">
        <x:v>露营套装 J</x:v>
      </x:c>
      <x:c r="K881" s="97" t="n">
        <x:v>205.11</x:v>
      </x:c>
      <x:c r="L881" s="95" t="n">
        <x:v>2</x:v>
      </x:c>
      <x:c r="M881" s="97" t="n">
        <x:f>ROUND(K881*L881,2)</x:f>
        <x:v>410.22</x:v>
      </x:c>
      <x:c r="N881" s="109" t="n">
        <x:v>0.08</x:v>
      </x:c>
      <x:c r="O881" s="97" t="n">
        <x:f>ROUND(M881*N881,2)</x:f>
        <x:v>32.82</x:v>
      </x:c>
      <x:c r="P881" s="94" t="str">
        <x:v>已确认</x:v>
      </x:c>
      <x:c r="Q881" s="97" t="n">
        <x:f>IF(P881="已退款",M881,0)</x:f>
        <x:v>0</x:v>
      </x:c>
      <x:c r="R881" s="97" t="n">
        <x:f>IF(P881="已退款",O881,0)</x:f>
        <x:v>0</x:v>
      </x:c>
      <x:c r="S881" s="97" t="n">
        <x:f>O881-R881</x:f>
        <x:v>32.82</x:v>
      </x:c>
      <x:c r="T881" s="94" t="n">
        <x:v>4</x:v>
      </x:c>
      <x:c r="U881" s="94" t="str">
        <x:v>模拟：Amazon Associates订单回传</x:v>
      </x:c>
    </x:row>
    <x:row r="882">
      <x:c r="A882" s="92" t="str">
        <x:v>AMZ-ORD-00881</x:v>
      </x:c>
      <x:c r="B882" s="94" t="str">
        <x:v>PROC-0883</x:v>
      </x:c>
      <x:c r="C882" s="108" t="n">
        <x:v>46186.90347222222</x:v>
      </x:c>
      <x:c r="D882" s="93" t="n">
        <x:v>46182</x:v>
      </x:c>
      <x:c r="E882" s="94" t="str">
        <x:v>Google Ads</x:v>
      </x:c>
      <x:c r="F882" s="94" t="str">
        <x:v>美国</x:v>
      </x:c>
      <x:c r="G882" s="94" t="str">
        <x:v>购物广告</x:v>
      </x:c>
      <x:c r="H882" s="94" t="str">
        <x:v>SKU-0017</x:v>
      </x:c>
      <x:c r="I882" s="94" t="str">
        <x:v>家居生活</x:v>
      </x:c>
      <x:c r="J882" s="94" t="str">
        <x:v>落地灯 G</x:v>
      </x:c>
      <x:c r="K882" s="97" t="n">
        <x:v>101.31</x:v>
      </x:c>
      <x:c r="L882" s="95" t="n">
        <x:v>1</x:v>
      </x:c>
      <x:c r="M882" s="97" t="n">
        <x:f>ROUND(K882*L882,2)</x:f>
        <x:v>101.31</x:v>
      </x:c>
      <x:c r="N882" s="109" t="n">
        <x:v>0.07</x:v>
      </x:c>
      <x:c r="O882" s="97" t="n">
        <x:f>ROUND(M882*N882,2)</x:f>
        <x:v>7.09</x:v>
      </x:c>
      <x:c r="P882" s="94" t="str">
        <x:v>已确认</x:v>
      </x:c>
      <x:c r="Q882" s="97" t="n">
        <x:f>IF(P882="已退款",M882,0)</x:f>
        <x:v>0</x:v>
      </x:c>
      <x:c r="R882" s="97" t="n">
        <x:f>IF(P882="已退款",O882,0)</x:f>
        <x:v>0</x:v>
      </x:c>
      <x:c r="S882" s="97" t="n">
        <x:f>O882-R882</x:f>
        <x:v>7.09</x:v>
      </x:c>
      <x:c r="T882" s="94" t="n">
        <x:v>4</x:v>
      </x:c>
      <x:c r="U882" s="94" t="str">
        <x:v>模拟：Amazon Associates订单回传</x:v>
      </x:c>
    </x:row>
    <x:row r="883">
      <x:c r="A883" s="92" t="str">
        <x:v>AMZ-ORD-00882</x:v>
      </x:c>
      <x:c r="B883" s="94" t="str">
        <x:v>PROC-0884</x:v>
      </x:c>
      <x:c r="C883" s="108" t="n">
        <x:v>46185.54861111111</x:v>
      </x:c>
      <x:c r="D883" s="93" t="n">
        <x:v>46182</x:v>
      </x:c>
      <x:c r="E883" s="94" t="str">
        <x:v>Google Ads</x:v>
      </x:c>
      <x:c r="F883" s="94" t="str">
        <x:v>英国</x:v>
      </x:c>
      <x:c r="G883" s="94" t="str">
        <x:v>购物广告</x:v>
      </x:c>
      <x:c r="H883" s="94" t="str">
        <x:v>SKU-0038</x:v>
      </x:c>
      <x:c r="I883" s="94" t="str">
        <x:v>美妆个护</x:v>
      </x:c>
      <x:c r="J883" s="94" t="str">
        <x:v>卷发棒 H</x:v>
      </x:c>
      <x:c r="K883" s="97" t="n">
        <x:v>46.53</x:v>
      </x:c>
      <x:c r="L883" s="95" t="n">
        <x:v>1</x:v>
      </x:c>
      <x:c r="M883" s="97" t="n">
        <x:f>ROUND(K883*L883,2)</x:f>
        <x:v>46.53</x:v>
      </x:c>
      <x:c r="N883" s="109" t="n">
        <x:v>0.1</x:v>
      </x:c>
      <x:c r="O883" s="97" t="n">
        <x:f>ROUND(M883*N883,2)</x:f>
        <x:v>4.65</x:v>
      </x:c>
      <x:c r="P883" s="94" t="str">
        <x:v>已确认</x:v>
      </x:c>
      <x:c r="Q883" s="97" t="n">
        <x:f>IF(P883="已退款",M883,0)</x:f>
        <x:v>0</x:v>
      </x:c>
      <x:c r="R883" s="97" t="n">
        <x:f>IF(P883="已退款",O883,0)</x:f>
        <x:v>0</x:v>
      </x:c>
      <x:c r="S883" s="97" t="n">
        <x:f>O883-R883</x:f>
        <x:v>4.65</x:v>
      </x:c>
      <x:c r="T883" s="94" t="n">
        <x:v>3</x:v>
      </x:c>
      <x:c r="U883" s="94" t="str">
        <x:v>模拟：Amazon Associates订单回传</x:v>
      </x:c>
    </x:row>
    <x:row r="884">
      <x:c r="A884" s="92" t="str">
        <x:v>AMZ-ORD-00883</x:v>
      </x:c>
      <x:c r="B884" s="94" t="str">
        <x:v>PROC-0885</x:v>
      </x:c>
      <x:c r="C884" s="108" t="n">
        <x:v>46186.61319444444</x:v>
      </x:c>
      <x:c r="D884" s="93" t="n">
        <x:v>46183</x:v>
      </x:c>
      <x:c r="E884" s="94" t="str">
        <x:v>Microsoft Ads</x:v>
      </x:c>
      <x:c r="F884" s="94" t="str">
        <x:v>日本</x:v>
      </x:c>
      <x:c r="G884" s="94" t="str">
        <x:v>购物广告</x:v>
      </x:c>
      <x:c r="H884" s="94" t="str">
        <x:v>SKU-0020</x:v>
      </x:c>
      <x:c r="I884" s="94" t="str">
        <x:v>家居生活</x:v>
      </x:c>
      <x:c r="J884" s="94" t="str">
        <x:v>智能门锁 J</x:v>
      </x:c>
      <x:c r="K884" s="97" t="n">
        <x:v>257.35</x:v>
      </x:c>
      <x:c r="L884" s="95" t="n">
        <x:v>1</x:v>
      </x:c>
      <x:c r="M884" s="97" t="n">
        <x:f>ROUND(K884*L884,2)</x:f>
        <x:v>257.35</x:v>
      </x:c>
      <x:c r="N884" s="109" t="n">
        <x:v>0.07</x:v>
      </x:c>
      <x:c r="O884" s="97" t="n">
        <x:f>ROUND(M884*N884,2)</x:f>
        <x:v>18.01</x:v>
      </x:c>
      <x:c r="P884" s="94" t="str">
        <x:v>已确认</x:v>
      </x:c>
      <x:c r="Q884" s="97" t="n">
        <x:f>IF(P884="已退款",M884,0)</x:f>
        <x:v>0</x:v>
      </x:c>
      <x:c r="R884" s="97" t="n">
        <x:f>IF(P884="已退款",O884,0)</x:f>
        <x:v>0</x:v>
      </x:c>
      <x:c r="S884" s="97" t="n">
        <x:f>O884-R884</x:f>
        <x:v>18.01</x:v>
      </x:c>
      <x:c r="T884" s="94" t="n">
        <x:v>3</x:v>
      </x:c>
      <x:c r="U884" s="94" t="str">
        <x:v>模拟：Amazon Associates订单回传</x:v>
      </x:c>
    </x:row>
    <x:row r="885">
      <x:c r="A885" s="92" t="str">
        <x:v>AMZ-ORD-00884</x:v>
      </x:c>
      <x:c r="B885" s="94" t="str">
        <x:v>PROC-0886</x:v>
      </x:c>
      <x:c r="C885" s="108" t="n">
        <x:v>46183.45625</x:v>
      </x:c>
      <x:c r="D885" s="93" t="n">
        <x:v>46183</x:v>
      </x:c>
      <x:c r="E885" s="94" t="str">
        <x:v>Google Ads</x:v>
      </x:c>
      <x:c r="F885" s="94" t="str">
        <x:v>英国</x:v>
      </x:c>
      <x:c r="G885" s="94" t="str">
        <x:v>购物广告</x:v>
      </x:c>
      <x:c r="H885" s="94" t="str">
        <x:v>SKU-0035</x:v>
      </x:c>
      <x:c r="I885" s="94" t="str">
        <x:v>美妆个护</x:v>
      </x:c>
      <x:c r="J885" s="94" t="str">
        <x:v>香氛礼盒 E</x:v>
      </x:c>
      <x:c r="K885" s="97" t="n">
        <x:v>145.68</x:v>
      </x:c>
      <x:c r="L885" s="95" t="n">
        <x:v>2</x:v>
      </x:c>
      <x:c r="M885" s="97" t="n">
        <x:f>ROUND(K885*L885,2)</x:f>
        <x:v>291.36</x:v>
      </x:c>
      <x:c r="N885" s="109" t="n">
        <x:v>0.1</x:v>
      </x:c>
      <x:c r="O885" s="97" t="n">
        <x:f>ROUND(M885*N885,2)</x:f>
        <x:v>29.14</x:v>
      </x:c>
      <x:c r="P885" s="94" t="str">
        <x:v>已退款</x:v>
      </x:c>
      <x:c r="Q885" s="97" t="n">
        <x:f>IF(P885="已退款",M885,0)</x:f>
        <x:v>291.36</x:v>
      </x:c>
      <x:c r="R885" s="97" t="n">
        <x:f>IF(P885="已退款",O885,0)</x:f>
        <x:v>29.14</x:v>
      </x:c>
      <x:c r="S885" s="97" t="n">
        <x:f>O885-R885</x:f>
        <x:v>0</x:v>
      </x:c>
      <x:c r="T885" s="94" t="n">
        <x:v>0</x:v>
      </x:c>
      <x:c r="U885" s="94" t="str">
        <x:v>模拟：Amazon Associates订单回传</x:v>
      </x:c>
    </x:row>
    <x:row r="886">
      <x:c r="A886" s="92" t="str">
        <x:v>AMZ-ORD-00885</x:v>
      </x:c>
      <x:c r="B886" s="94" t="str">
        <x:v>PROC-0887</x:v>
      </x:c>
      <x:c r="C886" s="108" t="n">
        <x:v>46186.611805555556</x:v>
      </x:c>
      <x:c r="D886" s="93" t="n">
        <x:v>46183</x:v>
      </x:c>
      <x:c r="E886" s="94" t="str">
        <x:v>Google Ads</x:v>
      </x:c>
      <x:c r="F886" s="94" t="str">
        <x:v>美国</x:v>
      </x:c>
      <x:c r="G886" s="94" t="str">
        <x:v>通用搜索</x:v>
      </x:c>
      <x:c r="H886" s="94" t="str">
        <x:v>SKU-0039</x:v>
      </x:c>
      <x:c r="I886" s="94" t="str">
        <x:v>美妆个护</x:v>
      </x:c>
      <x:c r="J886" s="94" t="str">
        <x:v>按摩梳 I</x:v>
      </x:c>
      <x:c r="K886" s="97" t="n">
        <x:v>142</x:v>
      </x:c>
      <x:c r="L886" s="95" t="n">
        <x:v>1</x:v>
      </x:c>
      <x:c r="M886" s="97" t="n">
        <x:f>ROUND(K886*L886,2)</x:f>
        <x:v>142</x:v>
      </x:c>
      <x:c r="N886" s="109" t="n">
        <x:v>0.1</x:v>
      </x:c>
      <x:c r="O886" s="97" t="n">
        <x:f>ROUND(M886*N886,2)</x:f>
        <x:v>14.2</x:v>
      </x:c>
      <x:c r="P886" s="94" t="str">
        <x:v>已确认</x:v>
      </x:c>
      <x:c r="Q886" s="97" t="n">
        <x:f>IF(P886="已退款",M886,0)</x:f>
        <x:v>0</x:v>
      </x:c>
      <x:c r="R886" s="97" t="n">
        <x:f>IF(P886="已退款",O886,0)</x:f>
        <x:v>0</x:v>
      </x:c>
      <x:c r="S886" s="97" t="n">
        <x:f>O886-R886</x:f>
        <x:v>14.2</x:v>
      </x:c>
      <x:c r="T886" s="94" t="n">
        <x:v>3</x:v>
      </x:c>
      <x:c r="U886" s="94" t="str">
        <x:v>模拟：Amazon Associates订单回传</x:v>
      </x:c>
    </x:row>
    <x:row r="887">
      <x:c r="A887" s="92" t="str">
        <x:v>AMZ-ORD-00886</x:v>
      </x:c>
      <x:c r="B887" s="94" t="str">
        <x:v>PROC-0888</x:v>
      </x:c>
      <x:c r="C887" s="108" t="n">
        <x:v>46186.347916666666</x:v>
      </x:c>
      <x:c r="D887" s="93" t="n">
        <x:v>46183</x:v>
      </x:c>
      <x:c r="E887" s="94" t="str">
        <x:v>Microsoft Ads</x:v>
      </x:c>
      <x:c r="F887" s="94" t="str">
        <x:v>美国</x:v>
      </x:c>
      <x:c r="G887" s="94" t="str">
        <x:v>购物广告</x:v>
      </x:c>
      <x:c r="H887" s="94" t="str">
        <x:v>SKU-0042</x:v>
      </x:c>
      <x:c r="I887" s="94" t="str">
        <x:v>办公学习</x:v>
      </x:c>
      <x:c r="J887" s="94" t="str">
        <x:v>护眼台灯 B</x:v>
      </x:c>
      <x:c r="K887" s="97" t="n">
        <x:v>73.21</x:v>
      </x:c>
      <x:c r="L887" s="95" t="n">
        <x:v>1</x:v>
      </x:c>
      <x:c r="M887" s="97" t="n">
        <x:f>ROUND(K887*L887,2)</x:f>
        <x:v>73.21</x:v>
      </x:c>
      <x:c r="N887" s="109" t="n">
        <x:v>0.07</x:v>
      </x:c>
      <x:c r="O887" s="97" t="n">
        <x:f>ROUND(M887*N887,2)</x:f>
        <x:v>5.12</x:v>
      </x:c>
      <x:c r="P887" s="94" t="str">
        <x:v>已确认</x:v>
      </x:c>
      <x:c r="Q887" s="97" t="n">
        <x:f>IF(P887="已退款",M887,0)</x:f>
        <x:v>0</x:v>
      </x:c>
      <x:c r="R887" s="97" t="n">
        <x:f>IF(P887="已退款",O887,0)</x:f>
        <x:v>0</x:v>
      </x:c>
      <x:c r="S887" s="97" t="n">
        <x:f>O887-R887</x:f>
        <x:v>5.12</x:v>
      </x:c>
      <x:c r="T887" s="94" t="n">
        <x:v>3</x:v>
      </x:c>
      <x:c r="U887" s="94" t="str">
        <x:v>模拟：Amazon Associates订单回传</x:v>
      </x:c>
    </x:row>
    <x:row r="888">
      <x:c r="A888" s="92" t="str">
        <x:v>AMZ-ORD-00887</x:v>
      </x:c>
      <x:c r="B888" s="94" t="str">
        <x:v>PROC-0888</x:v>
      </x:c>
      <x:c r="C888" s="108" t="n">
        <x:v>46185.74652777778</x:v>
      </x:c>
      <x:c r="D888" s="93" t="n">
        <x:v>46183</x:v>
      </x:c>
      <x:c r="E888" s="94" t="str">
        <x:v>Microsoft Ads</x:v>
      </x:c>
      <x:c r="F888" s="94" t="str">
        <x:v>美国</x:v>
      </x:c>
      <x:c r="G888" s="94" t="str">
        <x:v>购物广告</x:v>
      </x:c>
      <x:c r="H888" s="94" t="str">
        <x:v>SKU-0007</x:v>
      </x:c>
      <x:c r="I888" s="94" t="str">
        <x:v>电子产品</x:v>
      </x:c>
      <x:c r="J888" s="94" t="str">
        <x:v>运动相机 G</x:v>
      </x:c>
      <x:c r="K888" s="97" t="n">
        <x:v>662.93</x:v>
      </x:c>
      <x:c r="L888" s="95" t="n">
        <x:v>1</x:v>
      </x:c>
      <x:c r="M888" s="97" t="n">
        <x:f>ROUND(K888*L888,2)</x:f>
        <x:v>662.93</x:v>
      </x:c>
      <x:c r="N888" s="109" t="n">
        <x:v>0.05</x:v>
      </x:c>
      <x:c r="O888" s="97" t="n">
        <x:f>ROUND(M888*N888,2)</x:f>
        <x:v>33.15</x:v>
      </x:c>
      <x:c r="P888" s="94" t="str">
        <x:v>已确认</x:v>
      </x:c>
      <x:c r="Q888" s="97" t="n">
        <x:f>IF(P888="已退款",M888,0)</x:f>
        <x:v>0</x:v>
      </x:c>
      <x:c r="R888" s="97" t="n">
        <x:f>IF(P888="已退款",O888,0)</x:f>
        <x:v>0</x:v>
      </x:c>
      <x:c r="S888" s="97" t="n">
        <x:f>O888-R888</x:f>
        <x:v>33.15</x:v>
      </x:c>
      <x:c r="T888" s="94" t="n">
        <x:v>2</x:v>
      </x:c>
      <x:c r="U888" s="94" t="str">
        <x:v>模拟：Amazon Associates订单回传</x:v>
      </x:c>
    </x:row>
    <x:row r="889">
      <x:c r="A889" s="92" t="str">
        <x:v>AMZ-ORD-00888</x:v>
      </x:c>
      <x:c r="B889" s="94" t="str">
        <x:v>PROC-0889</x:v>
      </x:c>
      <x:c r="C889" s="108" t="n">
        <x:v>46186.808333333334</x:v>
      </x:c>
      <x:c r="D889" s="93" t="n">
        <x:v>46183</x:v>
      </x:c>
      <x:c r="E889" s="94" t="str">
        <x:v>Google Ads</x:v>
      </x:c>
      <x:c r="F889" s="94" t="str">
        <x:v>英国</x:v>
      </x:c>
      <x:c r="G889" s="94" t="str">
        <x:v>通用搜索</x:v>
      </x:c>
      <x:c r="H889" s="94" t="str">
        <x:v>SKU-0001</x:v>
      </x:c>
      <x:c r="I889" s="94" t="str">
        <x:v>电子产品</x:v>
      </x:c>
      <x:c r="J889" s="94" t="str">
        <x:v>无线耳机 A</x:v>
      </x:c>
      <x:c r="K889" s="97" t="n">
        <x:v>352.27</x:v>
      </x:c>
      <x:c r="L889" s="95" t="n">
        <x:v>1</x:v>
      </x:c>
      <x:c r="M889" s="97" t="n">
        <x:f>ROUND(K889*L889,2)</x:f>
        <x:v>352.27</x:v>
      </x:c>
      <x:c r="N889" s="109" t="n">
        <x:v>0.05</x:v>
      </x:c>
      <x:c r="O889" s="97" t="n">
        <x:f>ROUND(M889*N889,2)</x:f>
        <x:v>17.61</x:v>
      </x:c>
      <x:c r="P889" s="94" t="str">
        <x:v>已确认</x:v>
      </x:c>
      <x:c r="Q889" s="97" t="n">
        <x:f>IF(P889="已退款",M889,0)</x:f>
        <x:v>0</x:v>
      </x:c>
      <x:c r="R889" s="97" t="n">
        <x:f>IF(P889="已退款",O889,0)</x:f>
        <x:v>0</x:v>
      </x:c>
      <x:c r="S889" s="97" t="n">
        <x:f>O889-R889</x:f>
        <x:v>17.61</x:v>
      </x:c>
      <x:c r="T889" s="94" t="n">
        <x:v>3</x:v>
      </x:c>
      <x:c r="U889" s="94" t="str">
        <x:v>模拟：Amazon Associates订单回传</x:v>
      </x:c>
    </x:row>
    <x:row r="890">
      <x:c r="A890" s="92" t="str">
        <x:v>AMZ-ORD-00889</x:v>
      </x:c>
      <x:c r="B890" s="94" t="str">
        <x:v>PROC-0890</x:v>
      </x:c>
      <x:c r="C890" s="108" t="n">
        <x:v>46186.677083333336</x:v>
      </x:c>
      <x:c r="D890" s="93" t="n">
        <x:v>46183</x:v>
      </x:c>
      <x:c r="E890" s="94" t="str">
        <x:v>Google Ads</x:v>
      </x:c>
      <x:c r="F890" s="94" t="str">
        <x:v>英国</x:v>
      </x:c>
      <x:c r="G890" s="94" t="str">
        <x:v>购物广告</x:v>
      </x:c>
      <x:c r="H890" s="94" t="str">
        <x:v>SKU-0008</x:v>
      </x:c>
      <x:c r="I890" s="94" t="str">
        <x:v>电子产品</x:v>
      </x:c>
      <x:c r="J890" s="94" t="str">
        <x:v>Wi-Fi路由器 H</x:v>
      </x:c>
      <x:c r="K890" s="97" t="n">
        <x:v>246.9</x:v>
      </x:c>
      <x:c r="L890" s="95" t="n">
        <x:v>1</x:v>
      </x:c>
      <x:c r="M890" s="97" t="n">
        <x:f>ROUND(K890*L890,2)</x:f>
        <x:v>246.9</x:v>
      </x:c>
      <x:c r="N890" s="109" t="n">
        <x:v>0.05</x:v>
      </x:c>
      <x:c r="O890" s="97" t="n">
        <x:f>ROUND(M890*N890,2)</x:f>
        <x:v>12.35</x:v>
      </x:c>
      <x:c r="P890" s="94" t="str">
        <x:v>已确认</x:v>
      </x:c>
      <x:c r="Q890" s="97" t="n">
        <x:f>IF(P890="已退款",M890,0)</x:f>
        <x:v>0</x:v>
      </x:c>
      <x:c r="R890" s="97" t="n">
        <x:f>IF(P890="已退款",O890,0)</x:f>
        <x:v>0</x:v>
      </x:c>
      <x:c r="S890" s="97" t="n">
        <x:f>O890-R890</x:f>
        <x:v>12.35</x:v>
      </x:c>
      <x:c r="T890" s="94" t="n">
        <x:v>3</x:v>
      </x:c>
      <x:c r="U890" s="94" t="str">
        <x:v>模拟：Amazon Associates订单回传</x:v>
      </x:c>
    </x:row>
    <x:row r="891">
      <x:c r="A891" s="92" t="str">
        <x:v>AMZ-ORD-00890</x:v>
      </x:c>
      <x:c r="B891" s="94" t="str">
        <x:v>PROC-0891</x:v>
      </x:c>
      <x:c r="C891" s="108" t="n">
        <x:v>46184.416666666664</x:v>
      </x:c>
      <x:c r="D891" s="93" t="n">
        <x:v>46184</x:v>
      </x:c>
      <x:c r="E891" s="94" t="str">
        <x:v>Microsoft Ads</x:v>
      </x:c>
      <x:c r="F891" s="94" t="str">
        <x:v>英国</x:v>
      </x:c>
      <x:c r="G891" s="94" t="str">
        <x:v>竞品搜索</x:v>
      </x:c>
      <x:c r="H891" s="94" t="str">
        <x:v>SKU-0010</x:v>
      </x:c>
      <x:c r="I891" s="94" t="str">
        <x:v>电子产品</x:v>
      </x:c>
      <x:c r="J891" s="94" t="str">
        <x:v>多口扩展坞 J</x:v>
      </x:c>
      <x:c r="K891" s="97" t="n">
        <x:v>378.35</x:v>
      </x:c>
      <x:c r="L891" s="95" t="n">
        <x:v>1</x:v>
      </x:c>
      <x:c r="M891" s="97" t="n">
        <x:f>ROUND(K891*L891,2)</x:f>
        <x:v>378.35</x:v>
      </x:c>
      <x:c r="N891" s="109" t="n">
        <x:v>0.05</x:v>
      </x:c>
      <x:c r="O891" s="97" t="n">
        <x:f>ROUND(M891*N891,2)</x:f>
        <x:v>18.92</x:v>
      </x:c>
      <x:c r="P891" s="94" t="str">
        <x:v>已确认</x:v>
      </x:c>
      <x:c r="Q891" s="97" t="n">
        <x:f>IF(P891="已退款",M891,0)</x:f>
        <x:v>0</x:v>
      </x:c>
      <x:c r="R891" s="97" t="n">
        <x:f>IF(P891="已退款",O891,0)</x:f>
        <x:v>0</x:v>
      </x:c>
      <x:c r="S891" s="97" t="n">
        <x:f>O891-R891</x:f>
        <x:v>18.92</x:v>
      </x:c>
      <x:c r="T891" s="94" t="n">
        <x:v>0</x:v>
      </x:c>
      <x:c r="U891" s="94" t="str">
        <x:v>模拟：Amazon Associates订单回传</x:v>
      </x:c>
    </x:row>
    <x:row r="892">
      <x:c r="A892" s="92" t="str">
        <x:v>AMZ-ORD-00891</x:v>
      </x:c>
      <x:c r="B892" s="94" t="str">
        <x:v>PROC-0892</x:v>
      </x:c>
      <x:c r="C892" s="108" t="n">
        <x:v>46185.7875</x:v>
      </x:c>
      <x:c r="D892" s="93" t="n">
        <x:v>46184</x:v>
      </x:c>
      <x:c r="E892" s="94" t="str">
        <x:v>Google Ads</x:v>
      </x:c>
      <x:c r="F892" s="94" t="str">
        <x:v>美国</x:v>
      </x:c>
      <x:c r="G892" s="94" t="str">
        <x:v>品牌搜索</x:v>
      </x:c>
      <x:c r="H892" s="94" t="str">
        <x:v>SKU-0014</x:v>
      </x:c>
      <x:c r="I892" s="94" t="str">
        <x:v>家居生活</x:v>
      </x:c>
      <x:c r="J892" s="94" t="str">
        <x:v>扫地机器人 D</x:v>
      </x:c>
      <x:c r="K892" s="97" t="n">
        <x:v>258.15</x:v>
      </x:c>
      <x:c r="L892" s="95" t="n">
        <x:v>2</x:v>
      </x:c>
      <x:c r="M892" s="97" t="n">
        <x:f>ROUND(K892*L892,2)</x:f>
        <x:v>516.3</x:v>
      </x:c>
      <x:c r="N892" s="109" t="n">
        <x:v>0.07</x:v>
      </x:c>
      <x:c r="O892" s="97" t="n">
        <x:f>ROUND(M892*N892,2)</x:f>
        <x:v>36.14</x:v>
      </x:c>
      <x:c r="P892" s="94" t="str">
        <x:v>已确认</x:v>
      </x:c>
      <x:c r="Q892" s="97" t="n">
        <x:f>IF(P892="已退款",M892,0)</x:f>
        <x:v>0</x:v>
      </x:c>
      <x:c r="R892" s="97" t="n">
        <x:f>IF(P892="已退款",O892,0)</x:f>
        <x:v>0</x:v>
      </x:c>
      <x:c r="S892" s="97" t="n">
        <x:f>O892-R892</x:f>
        <x:v>36.14</x:v>
      </x:c>
      <x:c r="T892" s="94" t="n">
        <x:v>1</x:v>
      </x:c>
      <x:c r="U892" s="94" t="str">
        <x:v>模拟：Amazon Associates订单回传</x:v>
      </x:c>
    </x:row>
    <x:row r="893">
      <x:c r="A893" s="92" t="str">
        <x:v>AMZ-ORD-00892</x:v>
      </x:c>
      <x:c r="B893" s="94" t="str">
        <x:v>PROC-0892</x:v>
      </x:c>
      <x:c r="C893" s="108" t="n">
        <x:v>46185.399305555555</x:v>
      </x:c>
      <x:c r="D893" s="93" t="n">
        <x:v>46184</x:v>
      </x:c>
      <x:c r="E893" s="94" t="str">
        <x:v>Google Ads</x:v>
      </x:c>
      <x:c r="F893" s="94" t="str">
        <x:v>美国</x:v>
      </x:c>
      <x:c r="G893" s="94" t="str">
        <x:v>品牌搜索</x:v>
      </x:c>
      <x:c r="H893" s="94" t="str">
        <x:v>SKU-0042</x:v>
      </x:c>
      <x:c r="I893" s="94" t="str">
        <x:v>办公学习</x:v>
      </x:c>
      <x:c r="J893" s="94" t="str">
        <x:v>护眼台灯 B</x:v>
      </x:c>
      <x:c r="K893" s="97" t="n">
        <x:v>233.15</x:v>
      </x:c>
      <x:c r="L893" s="95" t="n">
        <x:v>1</x:v>
      </x:c>
      <x:c r="M893" s="97" t="n">
        <x:f>ROUND(K893*L893,2)</x:f>
        <x:v>233.15</x:v>
      </x:c>
      <x:c r="N893" s="109" t="n">
        <x:v>0.07</x:v>
      </x:c>
      <x:c r="O893" s="97" t="n">
        <x:f>ROUND(M893*N893,2)</x:f>
        <x:v>16.32</x:v>
      </x:c>
      <x:c r="P893" s="94" t="str">
        <x:v>已确认</x:v>
      </x:c>
      <x:c r="Q893" s="97" t="n">
        <x:f>IF(P893="已退款",M893,0)</x:f>
        <x:v>0</x:v>
      </x:c>
      <x:c r="R893" s="97" t="n">
        <x:f>IF(P893="已退款",O893,0)</x:f>
        <x:v>0</x:v>
      </x:c>
      <x:c r="S893" s="97" t="n">
        <x:f>O893-R893</x:f>
        <x:v>16.32</x:v>
      </x:c>
      <x:c r="T893" s="94" t="n">
        <x:v>1</x:v>
      </x:c>
      <x:c r="U893" s="94" t="str">
        <x:v>模拟：Amazon Associates订单回传</x:v>
      </x:c>
    </x:row>
    <x:row r="894">
      <x:c r="A894" s="92" t="str">
        <x:v>AMZ-ORD-00893</x:v>
      </x:c>
      <x:c r="B894" s="94" t="str">
        <x:v>PROC-0893</x:v>
      </x:c>
      <x:c r="C894" s="108" t="n">
        <x:v>46187.54305555556</x:v>
      </x:c>
      <x:c r="D894" s="93" t="n">
        <x:v>46184</x:v>
      </x:c>
      <x:c r="E894" s="94" t="str">
        <x:v>Google Ads</x:v>
      </x:c>
      <x:c r="F894" s="94" t="str">
        <x:v>美国</x:v>
      </x:c>
      <x:c r="G894" s="94" t="str">
        <x:v>品牌搜索</x:v>
      </x:c>
      <x:c r="H894" s="94" t="str">
        <x:v>SKU-0027</x:v>
      </x:c>
      <x:c r="I894" s="94" t="str">
        <x:v>运动健康</x:v>
      </x:c>
      <x:c r="J894" s="94" t="str">
        <x:v>户外背包 G</x:v>
      </x:c>
      <x:c r="K894" s="97" t="n">
        <x:v>168.12</x:v>
      </x:c>
      <x:c r="L894" s="95" t="n">
        <x:v>1</x:v>
      </x:c>
      <x:c r="M894" s="97" t="n">
        <x:f>ROUND(K894*L894,2)</x:f>
        <x:v>168.12</x:v>
      </x:c>
      <x:c r="N894" s="109" t="n">
        <x:v>0.08</x:v>
      </x:c>
      <x:c r="O894" s="97" t="n">
        <x:f>ROUND(M894*N894,2)</x:f>
        <x:v>13.45</x:v>
      </x:c>
      <x:c r="P894" s="94" t="str">
        <x:v>已确认</x:v>
      </x:c>
      <x:c r="Q894" s="97" t="n">
        <x:f>IF(P894="已退款",M894,0)</x:f>
        <x:v>0</x:v>
      </x:c>
      <x:c r="R894" s="97" t="n">
        <x:f>IF(P894="已退款",O894,0)</x:f>
        <x:v>0</x:v>
      </x:c>
      <x:c r="S894" s="97" t="n">
        <x:f>O894-R894</x:f>
        <x:v>13.45</x:v>
      </x:c>
      <x:c r="T894" s="94" t="n">
        <x:v>3</x:v>
      </x:c>
      <x:c r="U894" s="94" t="str">
        <x:v>模拟：Amazon Associates订单回传</x:v>
      </x:c>
    </x:row>
    <x:row r="895">
      <x:c r="A895" s="92" t="str">
        <x:v>AMZ-ORD-00894</x:v>
      </x:c>
      <x:c r="B895" s="94" t="str">
        <x:v>PROC-0894</x:v>
      </x:c>
      <x:c r="C895" s="108" t="n">
        <x:v>46185.35763888889</x:v>
      </x:c>
      <x:c r="D895" s="93" t="n">
        <x:v>46184</x:v>
      </x:c>
      <x:c r="E895" s="94" t="str">
        <x:v>Google Ads</x:v>
      </x:c>
      <x:c r="F895" s="94" t="str">
        <x:v>英国</x:v>
      </x:c>
      <x:c r="G895" s="94" t="str">
        <x:v>通用搜索</x:v>
      </x:c>
      <x:c r="H895" s="94" t="str">
        <x:v>SKU-0019</x:v>
      </x:c>
      <x:c r="I895" s="94" t="str">
        <x:v>家居生活</x:v>
      </x:c>
      <x:c r="J895" s="94" t="str">
        <x:v>无线吸尘器 I</x:v>
      </x:c>
      <x:c r="K895" s="97" t="n">
        <x:v>274.87</x:v>
      </x:c>
      <x:c r="L895" s="95" t="n">
        <x:v>1</x:v>
      </x:c>
      <x:c r="M895" s="97" t="n">
        <x:f>ROUND(K895*L895,2)</x:f>
        <x:v>274.87</x:v>
      </x:c>
      <x:c r="N895" s="109" t="n">
        <x:v>0.07</x:v>
      </x:c>
      <x:c r="O895" s="97" t="n">
        <x:f>ROUND(M895*N895,2)</x:f>
        <x:v>19.24</x:v>
      </x:c>
      <x:c r="P895" s="94" t="str">
        <x:v>已确认</x:v>
      </x:c>
      <x:c r="Q895" s="97" t="n">
        <x:f>IF(P895="已退款",M895,0)</x:f>
        <x:v>0</x:v>
      </x:c>
      <x:c r="R895" s="97" t="n">
        <x:f>IF(P895="已退款",O895,0)</x:f>
        <x:v>0</x:v>
      </x:c>
      <x:c r="S895" s="97" t="n">
        <x:f>O895-R895</x:f>
        <x:v>19.24</x:v>
      </x:c>
      <x:c r="T895" s="94" t="n">
        <x:v>1</x:v>
      </x:c>
      <x:c r="U895" s="94" t="str">
        <x:v>模拟：Amazon Associates订单回传</x:v>
      </x:c>
    </x:row>
    <x:row r="896">
      <x:c r="A896" s="92" t="str">
        <x:v>AMZ-ORD-00895</x:v>
      </x:c>
      <x:c r="B896" s="94" t="str">
        <x:v>PROC-0895</x:v>
      </x:c>
      <x:c r="C896" s="108" t="n">
        <x:v>46184.69375</x:v>
      </x:c>
      <x:c r="D896" s="93" t="n">
        <x:v>46184</x:v>
      </x:c>
      <x:c r="E896" s="94" t="str">
        <x:v>Microsoft Ads</x:v>
      </x:c>
      <x:c r="F896" s="94" t="str">
        <x:v>美国</x:v>
      </x:c>
      <x:c r="G896" s="94" t="str">
        <x:v>通用搜索</x:v>
      </x:c>
      <x:c r="H896" s="94" t="str">
        <x:v>SKU-0033</x:v>
      </x:c>
      <x:c r="I896" s="94" t="str">
        <x:v>美妆个护</x:v>
      </x:c>
      <x:c r="J896" s="94" t="str">
        <x:v>护肤套装 C</x:v>
      </x:c>
      <x:c r="K896" s="97" t="n">
        <x:v>153.43</x:v>
      </x:c>
      <x:c r="L896" s="95" t="n">
        <x:v>2</x:v>
      </x:c>
      <x:c r="M896" s="97" t="n">
        <x:f>ROUND(K896*L896,2)</x:f>
        <x:v>306.86</x:v>
      </x:c>
      <x:c r="N896" s="109" t="n">
        <x:v>0.1</x:v>
      </x:c>
      <x:c r="O896" s="97" t="n">
        <x:f>ROUND(M896*N896,2)</x:f>
        <x:v>30.69</x:v>
      </x:c>
      <x:c r="P896" s="94" t="str">
        <x:v>已确认</x:v>
      </x:c>
      <x:c r="Q896" s="97" t="n">
        <x:f>IF(P896="已退款",M896,0)</x:f>
        <x:v>0</x:v>
      </x:c>
      <x:c r="R896" s="97" t="n">
        <x:f>IF(P896="已退款",O896,0)</x:f>
        <x:v>0</x:v>
      </x:c>
      <x:c r="S896" s="97" t="n">
        <x:f>O896-R896</x:f>
        <x:v>30.69</x:v>
      </x:c>
      <x:c r="T896" s="94" t="n">
        <x:v>0</x:v>
      </x:c>
      <x:c r="U896" s="94" t="str">
        <x:v>模拟：Amazon Associates订单回传</x:v>
      </x:c>
    </x:row>
    <x:row r="897">
      <x:c r="A897" s="92" t="str">
        <x:v>AMZ-ORD-00896</x:v>
      </x:c>
      <x:c r="B897" s="94" t="str">
        <x:v>PROC-0896</x:v>
      </x:c>
      <x:c r="C897" s="108" t="n">
        <x:v>46186.83194444444</x:v>
      </x:c>
      <x:c r="D897" s="93" t="n">
        <x:v>46184</x:v>
      </x:c>
      <x:c r="E897" s="94" t="str">
        <x:v>Google Ads</x:v>
      </x:c>
      <x:c r="F897" s="94" t="str">
        <x:v>美国</x:v>
      </x:c>
      <x:c r="G897" s="94" t="str">
        <x:v>通用搜索</x:v>
      </x:c>
      <x:c r="H897" s="94" t="str">
        <x:v>SKU-0006</x:v>
      </x:c>
      <x:c r="I897" s="94" t="str">
        <x:v>电子产品</x:v>
      </x:c>
      <x:c r="J897" s="94" t="str">
        <x:v>迷你投影仪 F</x:v>
      </x:c>
      <x:c r="K897" s="97" t="n">
        <x:v>408.34</x:v>
      </x:c>
      <x:c r="L897" s="95" t="n">
        <x:v>1</x:v>
      </x:c>
      <x:c r="M897" s="97" t="n">
        <x:f>ROUND(K897*L897,2)</x:f>
        <x:v>408.34</x:v>
      </x:c>
      <x:c r="N897" s="109" t="n">
        <x:v>0.05</x:v>
      </x:c>
      <x:c r="O897" s="97" t="n">
        <x:f>ROUND(M897*N897,2)</x:f>
        <x:v>20.42</x:v>
      </x:c>
      <x:c r="P897" s="94" t="str">
        <x:v>已确认</x:v>
      </x:c>
      <x:c r="Q897" s="97" t="n">
        <x:f>IF(P897="已退款",M897,0)</x:f>
        <x:v>0</x:v>
      </x:c>
      <x:c r="R897" s="97" t="n">
        <x:f>IF(P897="已退款",O897,0)</x:f>
        <x:v>0</x:v>
      </x:c>
      <x:c r="S897" s="97" t="n">
        <x:f>O897-R897</x:f>
        <x:v>20.42</x:v>
      </x:c>
      <x:c r="T897" s="94" t="n">
        <x:v>2</x:v>
      </x:c>
      <x:c r="U897" s="94" t="str">
        <x:v>模拟：Amazon Associates订单回传</x:v>
      </x:c>
    </x:row>
    <x:row r="898">
      <x:c r="A898" s="92" t="str">
        <x:v>AMZ-ORD-00897</x:v>
      </x:c>
      <x:c r="B898" s="94" t="str">
        <x:v>PROC-0897</x:v>
      </x:c>
      <x:c r="C898" s="108" t="n">
        <x:v>46189.61597222222</x:v>
      </x:c>
      <x:c r="D898" s="93" t="n">
        <x:v>46185</x:v>
      </x:c>
      <x:c r="E898" s="94" t="str">
        <x:v>Google Ads</x:v>
      </x:c>
      <x:c r="F898" s="94" t="str">
        <x:v>德国</x:v>
      </x:c>
      <x:c r="G898" s="94" t="str">
        <x:v>购物广告</x:v>
      </x:c>
      <x:c r="H898" s="94" t="str">
        <x:v>SKU-0014</x:v>
      </x:c>
      <x:c r="I898" s="94" t="str">
        <x:v>家居生活</x:v>
      </x:c>
      <x:c r="J898" s="94" t="str">
        <x:v>扫地机器人 D</x:v>
      </x:c>
      <x:c r="K898" s="97" t="n">
        <x:v>215.52</x:v>
      </x:c>
      <x:c r="L898" s="95" t="n">
        <x:v>3</x:v>
      </x:c>
      <x:c r="M898" s="97" t="n">
        <x:f>ROUND(K898*L898,2)</x:f>
        <x:v>646.56</x:v>
      </x:c>
      <x:c r="N898" s="109" t="n">
        <x:v>0.07</x:v>
      </x:c>
      <x:c r="O898" s="97" t="n">
        <x:f>ROUND(M898*N898,2)</x:f>
        <x:v>45.26</x:v>
      </x:c>
      <x:c r="P898" s="94" t="str">
        <x:v>已确认</x:v>
      </x:c>
      <x:c r="Q898" s="97" t="n">
        <x:f>IF(P898="已退款",M898,0)</x:f>
        <x:v>0</x:v>
      </x:c>
      <x:c r="R898" s="97" t="n">
        <x:f>IF(P898="已退款",O898,0)</x:f>
        <x:v>0</x:v>
      </x:c>
      <x:c r="S898" s="97" t="n">
        <x:f>O898-R898</x:f>
        <x:v>45.26</x:v>
      </x:c>
      <x:c r="T898" s="94" t="n">
        <x:v>4</x:v>
      </x:c>
      <x:c r="U898" s="94" t="str">
        <x:v>模拟：Amazon Associates订单回传</x:v>
      </x:c>
    </x:row>
    <x:row r="899">
      <x:c r="A899" s="92" t="str">
        <x:v>AMZ-ORD-00898</x:v>
      </x:c>
      <x:c r="B899" s="94" t="str">
        <x:v>PROC-0898</x:v>
      </x:c>
      <x:c r="C899" s="108" t="n">
        <x:v>46189.433333333334</x:v>
      </x:c>
      <x:c r="D899" s="93" t="n">
        <x:v>46185</x:v>
      </x:c>
      <x:c r="E899" s="94" t="str">
        <x:v>Google Ads</x:v>
      </x:c>
      <x:c r="F899" s="94" t="str">
        <x:v>美国</x:v>
      </x:c>
      <x:c r="G899" s="94" t="str">
        <x:v>购物广告</x:v>
      </x:c>
      <x:c r="H899" s="94" t="str">
        <x:v>SKU-0031</x:v>
      </x:c>
      <x:c r="I899" s="94" t="str">
        <x:v>美妆个护</x:v>
      </x:c>
      <x:c r="J899" s="94" t="str">
        <x:v>洁面仪 A</x:v>
      </x:c>
      <x:c r="K899" s="97" t="n">
        <x:v>97.41</x:v>
      </x:c>
      <x:c r="L899" s="95" t="n">
        <x:v>1</x:v>
      </x:c>
      <x:c r="M899" s="97" t="n">
        <x:f>ROUND(K899*L899,2)</x:f>
        <x:v>97.41</x:v>
      </x:c>
      <x:c r="N899" s="109" t="n">
        <x:v>0.1</x:v>
      </x:c>
      <x:c r="O899" s="97" t="n">
        <x:f>ROUND(M899*N899,2)</x:f>
        <x:v>9.74</x:v>
      </x:c>
      <x:c r="P899" s="94" t="str">
        <x:v>已确认</x:v>
      </x:c>
      <x:c r="Q899" s="97" t="n">
        <x:f>IF(P899="已退款",M899,0)</x:f>
        <x:v>0</x:v>
      </x:c>
      <x:c r="R899" s="97" t="n">
        <x:f>IF(P899="已退款",O899,0)</x:f>
        <x:v>0</x:v>
      </x:c>
      <x:c r="S899" s="97" t="n">
        <x:f>O899-R899</x:f>
        <x:v>9.74</x:v>
      </x:c>
      <x:c r="T899" s="94" t="n">
        <x:v>4</x:v>
      </x:c>
      <x:c r="U899" s="94" t="str">
        <x:v>模拟：Amazon Associates订单回传</x:v>
      </x:c>
    </x:row>
    <x:row r="900">
      <x:c r="A900" s="92" t="str">
        <x:v>AMZ-ORD-00899</x:v>
      </x:c>
      <x:c r="B900" s="94" t="str">
        <x:v>PROC-0899</x:v>
      </x:c>
      <x:c r="C900" s="108" t="n">
        <x:v>46185.759722222225</x:v>
      </x:c>
      <x:c r="D900" s="93" t="n">
        <x:v>46185</x:v>
      </x:c>
      <x:c r="E900" s="94" t="str">
        <x:v>Google Ads</x:v>
      </x:c>
      <x:c r="F900" s="94" t="str">
        <x:v>美国</x:v>
      </x:c>
      <x:c r="G900" s="94" t="str">
        <x:v>品牌搜索</x:v>
      </x:c>
      <x:c r="H900" s="94" t="str">
        <x:v>SKU-0005</x:v>
      </x:c>
      <x:c r="I900" s="94" t="str">
        <x:v>电子产品</x:v>
      </x:c>
      <x:c r="J900" s="94" t="str">
        <x:v>降噪耳机 E</x:v>
      </x:c>
      <x:c r="K900" s="97" t="n">
        <x:v>320.47</x:v>
      </x:c>
      <x:c r="L900" s="95" t="n">
        <x:v>2</x:v>
      </x:c>
      <x:c r="M900" s="97" t="n">
        <x:f>ROUND(K900*L900,2)</x:f>
        <x:v>640.94</x:v>
      </x:c>
      <x:c r="N900" s="109" t="n">
        <x:v>0.05</x:v>
      </x:c>
      <x:c r="O900" s="97" t="n">
        <x:f>ROUND(M900*N900,2)</x:f>
        <x:v>32.05</x:v>
      </x:c>
      <x:c r="P900" s="94" t="str">
        <x:v>已确认</x:v>
      </x:c>
      <x:c r="Q900" s="97" t="n">
        <x:f>IF(P900="已退款",M900,0)</x:f>
        <x:v>0</x:v>
      </x:c>
      <x:c r="R900" s="97" t="n">
        <x:f>IF(P900="已退款",O900,0)</x:f>
        <x:v>0</x:v>
      </x:c>
      <x:c r="S900" s="97" t="n">
        <x:f>O900-R900</x:f>
        <x:v>32.05</x:v>
      </x:c>
      <x:c r="T900" s="94" t="n">
        <x:v>0</x:v>
      </x:c>
      <x:c r="U900" s="94" t="str">
        <x:v>模拟：Amazon Associates订单回传</x:v>
      </x:c>
    </x:row>
    <x:row r="901">
      <x:c r="A901" s="92" t="str">
        <x:v>AMZ-ORD-00900</x:v>
      </x:c>
      <x:c r="B901" s="94" t="str">
        <x:v>PROC-0899</x:v>
      </x:c>
      <x:c r="C901" s="108" t="n">
        <x:v>46186.85208333333</x:v>
      </x:c>
      <x:c r="D901" s="93" t="n">
        <x:v>46185</x:v>
      </x:c>
      <x:c r="E901" s="94" t="str">
        <x:v>Google Ads</x:v>
      </x:c>
      <x:c r="F901" s="94" t="str">
        <x:v>美国</x:v>
      </x:c>
      <x:c r="G901" s="94" t="str">
        <x:v>品牌搜索</x:v>
      </x:c>
      <x:c r="H901" s="94" t="str">
        <x:v>SKU-0008</x:v>
      </x:c>
      <x:c r="I901" s="94" t="str">
        <x:v>电子产品</x:v>
      </x:c>
      <x:c r="J901" s="94" t="str">
        <x:v>Wi-Fi路由器 H</x:v>
      </x:c>
      <x:c r="K901" s="97" t="n">
        <x:v>262.9</x:v>
      </x:c>
      <x:c r="L901" s="95" t="n">
        <x:v>2</x:v>
      </x:c>
      <x:c r="M901" s="97" t="n">
        <x:f>ROUND(K901*L901,2)</x:f>
        <x:v>525.8</x:v>
      </x:c>
      <x:c r="N901" s="109" t="n">
        <x:v>0.05</x:v>
      </x:c>
      <x:c r="O901" s="97" t="n">
        <x:f>ROUND(M901*N901,2)</x:f>
        <x:v>26.29</x:v>
      </x:c>
      <x:c r="P901" s="94" t="str">
        <x:v>已确认</x:v>
      </x:c>
      <x:c r="Q901" s="97" t="n">
        <x:f>IF(P901="已退款",M901,0)</x:f>
        <x:v>0</x:v>
      </x:c>
      <x:c r="R901" s="97" t="n">
        <x:f>IF(P901="已退款",O901,0)</x:f>
        <x:v>0</x:v>
      </x:c>
      <x:c r="S901" s="97" t="n">
        <x:f>O901-R901</x:f>
        <x:v>26.29</x:v>
      </x:c>
      <x:c r="T901" s="94" t="n">
        <x:v>1</x:v>
      </x:c>
      <x:c r="U901" s="94" t="str">
        <x:v>模拟：Amazon Associates订单回传</x:v>
      </x:c>
    </x:row>
    <x:row r="902">
      <x:c r="A902" s="92" t="str">
        <x:v>AMZ-ORD-00901</x:v>
      </x:c>
      <x:c r="B902" s="94" t="str">
        <x:v>PROC-0902</x:v>
      </x:c>
      <x:c r="C902" s="108" t="n">
        <x:v>46190.36666666667</x:v>
      </x:c>
      <x:c r="D902" s="93" t="n">
        <x:v>46186</x:v>
      </x:c>
      <x:c r="E902" s="94" t="str">
        <x:v>Microsoft Ads</x:v>
      </x:c>
      <x:c r="F902" s="94" t="str">
        <x:v>德国</x:v>
      </x:c>
      <x:c r="G902" s="94" t="str">
        <x:v>品牌搜索</x:v>
      </x:c>
      <x:c r="H902" s="94" t="str">
        <x:v>SKU-0008</x:v>
      </x:c>
      <x:c r="I902" s="94" t="str">
        <x:v>电子产品</x:v>
      </x:c>
      <x:c r="J902" s="94" t="str">
        <x:v>Wi-Fi路由器 H</x:v>
      </x:c>
      <x:c r="K902" s="97" t="n">
        <x:v>732.19</x:v>
      </x:c>
      <x:c r="L902" s="95" t="n">
        <x:v>1</x:v>
      </x:c>
      <x:c r="M902" s="97" t="n">
        <x:f>ROUND(K902*L902,2)</x:f>
        <x:v>732.19</x:v>
      </x:c>
      <x:c r="N902" s="109" t="n">
        <x:v>0.05</x:v>
      </x:c>
      <x:c r="O902" s="97" t="n">
        <x:f>ROUND(M902*N902,2)</x:f>
        <x:v>36.61</x:v>
      </x:c>
      <x:c r="P902" s="94" t="str">
        <x:v>已确认</x:v>
      </x:c>
      <x:c r="Q902" s="97" t="n">
        <x:f>IF(P902="已退款",M902,0)</x:f>
        <x:v>0</x:v>
      </x:c>
      <x:c r="R902" s="97" t="n">
        <x:f>IF(P902="已退款",O902,0)</x:f>
        <x:v>0</x:v>
      </x:c>
      <x:c r="S902" s="97" t="n">
        <x:f>O902-R902</x:f>
        <x:v>36.61</x:v>
      </x:c>
      <x:c r="T902" s="94" t="n">
        <x:v>4</x:v>
      </x:c>
      <x:c r="U902" s="94" t="str">
        <x:v>模拟：Amazon Associates订单回传</x:v>
      </x:c>
    </x:row>
    <x:row r="903">
      <x:c r="A903" s="92" t="str">
        <x:v>AMZ-ORD-00902</x:v>
      </x:c>
      <x:c r="B903" s="94" t="str">
        <x:v>PROC-0902</x:v>
      </x:c>
      <x:c r="C903" s="108" t="n">
        <x:v>46186.381944444445</x:v>
      </x:c>
      <x:c r="D903" s="93" t="n">
        <x:v>46186</x:v>
      </x:c>
      <x:c r="E903" s="94" t="str">
        <x:v>Microsoft Ads</x:v>
      </x:c>
      <x:c r="F903" s="94" t="str">
        <x:v>德国</x:v>
      </x:c>
      <x:c r="G903" s="94" t="str">
        <x:v>品牌搜索</x:v>
      </x:c>
      <x:c r="H903" s="94" t="str">
        <x:v>SKU-0006</x:v>
      </x:c>
      <x:c r="I903" s="94" t="str">
        <x:v>电子产品</x:v>
      </x:c>
      <x:c r="J903" s="94" t="str">
        <x:v>迷你投影仪 F</x:v>
      </x:c>
      <x:c r="K903" s="97" t="n">
        <x:v>239.19</x:v>
      </x:c>
      <x:c r="L903" s="95" t="n">
        <x:v>1</x:v>
      </x:c>
      <x:c r="M903" s="97" t="n">
        <x:f>ROUND(K903*L903,2)</x:f>
        <x:v>239.19</x:v>
      </x:c>
      <x:c r="N903" s="109" t="n">
        <x:v>0.05</x:v>
      </x:c>
      <x:c r="O903" s="97" t="n">
        <x:f>ROUND(M903*N903,2)</x:f>
        <x:v>11.96</x:v>
      </x:c>
      <x:c r="P903" s="94" t="str">
        <x:v>已确认</x:v>
      </x:c>
      <x:c r="Q903" s="97" t="n">
        <x:f>IF(P903="已退款",M903,0)</x:f>
        <x:v>0</x:v>
      </x:c>
      <x:c r="R903" s="97" t="n">
        <x:f>IF(P903="已退款",O903,0)</x:f>
        <x:v>0</x:v>
      </x:c>
      <x:c r="S903" s="97" t="n">
        <x:f>O903-R903</x:f>
        <x:v>11.96</x:v>
      </x:c>
      <x:c r="T903" s="94" t="n">
        <x:v>0</x:v>
      </x:c>
      <x:c r="U903" s="94" t="str">
        <x:v>模拟：Amazon Associates订单回传</x:v>
      </x:c>
    </x:row>
    <x:row r="904">
      <x:c r="A904" s="92" t="str">
        <x:v>AMZ-ORD-00903</x:v>
      </x:c>
      <x:c r="B904" s="94" t="str">
        <x:v>PROC-0903</x:v>
      </x:c>
      <x:c r="C904" s="108" t="n">
        <x:v>46190.365277777775</x:v>
      </x:c>
      <x:c r="D904" s="93" t="n">
        <x:v>46186</x:v>
      </x:c>
      <x:c r="E904" s="94" t="str">
        <x:v>Google Ads</x:v>
      </x:c>
      <x:c r="F904" s="94" t="str">
        <x:v>德国</x:v>
      </x:c>
      <x:c r="G904" s="94" t="str">
        <x:v>购物广告</x:v>
      </x:c>
      <x:c r="H904" s="94" t="str">
        <x:v>SKU-0024</x:v>
      </x:c>
      <x:c r="I904" s="94" t="str">
        <x:v>运动健康</x:v>
      </x:c>
      <x:c r="J904" s="94" t="str">
        <x:v>筋膜枪 D</x:v>
      </x:c>
      <x:c r="K904" s="97" t="n">
        <x:v>220.02</x:v>
      </x:c>
      <x:c r="L904" s="95" t="n">
        <x:v>1</x:v>
      </x:c>
      <x:c r="M904" s="97" t="n">
        <x:f>ROUND(K904*L904,2)</x:f>
        <x:v>220.02</x:v>
      </x:c>
      <x:c r="N904" s="109" t="n">
        <x:v>0.08</x:v>
      </x:c>
      <x:c r="O904" s="97" t="n">
        <x:f>ROUND(M904*N904,2)</x:f>
        <x:v>17.6</x:v>
      </x:c>
      <x:c r="P904" s="94" t="str">
        <x:v>已退款</x:v>
      </x:c>
      <x:c r="Q904" s="97" t="n">
        <x:f>IF(P904="已退款",M904,0)</x:f>
        <x:v>220.02</x:v>
      </x:c>
      <x:c r="R904" s="97" t="n">
        <x:f>IF(P904="已退款",O904,0)</x:f>
        <x:v>17.6</x:v>
      </x:c>
      <x:c r="S904" s="97" t="n">
        <x:f>O904-R904</x:f>
        <x:v>0</x:v>
      </x:c>
      <x:c r="T904" s="94" t="n">
        <x:v>4</x:v>
      </x:c>
      <x:c r="U904" s="94" t="str">
        <x:v>模拟：Amazon Associates订单回传</x:v>
      </x:c>
    </x:row>
    <x:row r="905">
      <x:c r="A905" s="92" t="str">
        <x:v>AMZ-ORD-00904</x:v>
      </x:c>
      <x:c r="B905" s="94" t="str">
        <x:v>PROC-0904</x:v>
      </x:c>
      <x:c r="C905" s="108" t="n">
        <x:v>46186.72222222222</x:v>
      </x:c>
      <x:c r="D905" s="93" t="n">
        <x:v>46186</x:v>
      </x:c>
      <x:c r="E905" s="94" t="str">
        <x:v>Google Ads</x:v>
      </x:c>
      <x:c r="F905" s="94" t="str">
        <x:v>美国</x:v>
      </x:c>
      <x:c r="G905" s="94" t="str">
        <x:v>购物广告</x:v>
      </x:c>
      <x:c r="H905" s="94" t="str">
        <x:v>SKU-0002</x:v>
      </x:c>
      <x:c r="I905" s="94" t="str">
        <x:v>电子产品</x:v>
      </x:c>
      <x:c r="J905" s="94" t="str">
        <x:v>便携显示器 B</x:v>
      </x:c>
      <x:c r="K905" s="97" t="n">
        <x:v>230.14</x:v>
      </x:c>
      <x:c r="L905" s="95" t="n">
        <x:v>1</x:v>
      </x:c>
      <x:c r="M905" s="97" t="n">
        <x:f>ROUND(K905*L905,2)</x:f>
        <x:v>230.14</x:v>
      </x:c>
      <x:c r="N905" s="109" t="n">
        <x:v>0.05</x:v>
      </x:c>
      <x:c r="O905" s="97" t="n">
        <x:f>ROUND(M905*N905,2)</x:f>
        <x:v>11.51</x:v>
      </x:c>
      <x:c r="P905" s="94" t="str">
        <x:v>已确认</x:v>
      </x:c>
      <x:c r="Q905" s="97" t="n">
        <x:f>IF(P905="已退款",M905,0)</x:f>
        <x:v>0</x:v>
      </x:c>
      <x:c r="R905" s="97" t="n">
        <x:f>IF(P905="已退款",O905,0)</x:f>
        <x:v>0</x:v>
      </x:c>
      <x:c r="S905" s="97" t="n">
        <x:f>O905-R905</x:f>
        <x:v>11.51</x:v>
      </x:c>
      <x:c r="T905" s="94" t="n">
        <x:v>0</x:v>
      </x:c>
      <x:c r="U905" s="94" t="str">
        <x:v>模拟：Amazon Associates订单回传</x:v>
      </x:c>
    </x:row>
    <x:row r="906">
      <x:c r="A906" s="92" t="str">
        <x:v>AMZ-ORD-00905</x:v>
      </x:c>
      <x:c r="B906" s="94" t="str">
        <x:v>PROC-0904</x:v>
      </x:c>
      <x:c r="C906" s="108" t="n">
        <x:v>46189.76944444444</x:v>
      </x:c>
      <x:c r="D906" s="93" t="n">
        <x:v>46186</x:v>
      </x:c>
      <x:c r="E906" s="94" t="str">
        <x:v>Google Ads</x:v>
      </x:c>
      <x:c r="F906" s="94" t="str">
        <x:v>美国</x:v>
      </x:c>
      <x:c r="G906" s="94" t="str">
        <x:v>购物广告</x:v>
      </x:c>
      <x:c r="H906" s="94" t="str">
        <x:v>SKU-0024</x:v>
      </x:c>
      <x:c r="I906" s="94" t="str">
        <x:v>运动健康</x:v>
      </x:c>
      <x:c r="J906" s="94" t="str">
        <x:v>筋膜枪 D</x:v>
      </x:c>
      <x:c r="K906" s="97" t="n">
        <x:v>199.7</x:v>
      </x:c>
      <x:c r="L906" s="95" t="n">
        <x:v>1</x:v>
      </x:c>
      <x:c r="M906" s="97" t="n">
        <x:f>ROUND(K906*L906,2)</x:f>
        <x:v>199.7</x:v>
      </x:c>
      <x:c r="N906" s="109" t="n">
        <x:v>0.08</x:v>
      </x:c>
      <x:c r="O906" s="97" t="n">
        <x:f>ROUND(M906*N906,2)</x:f>
        <x:v>15.98</x:v>
      </x:c>
      <x:c r="P906" s="94" t="str">
        <x:v>已确认</x:v>
      </x:c>
      <x:c r="Q906" s="97" t="n">
        <x:f>IF(P906="已退款",M906,0)</x:f>
        <x:v>0</x:v>
      </x:c>
      <x:c r="R906" s="97" t="n">
        <x:f>IF(P906="已退款",O906,0)</x:f>
        <x:v>0</x:v>
      </x:c>
      <x:c r="S906" s="97" t="n">
        <x:f>O906-R906</x:f>
        <x:v>15.98</x:v>
      </x:c>
      <x:c r="T906" s="94" t="n">
        <x:v>3</x:v>
      </x:c>
      <x:c r="U906" s="94" t="str">
        <x:v>模拟：Amazon Associates订单回传</x:v>
      </x:c>
    </x:row>
    <x:row r="907">
      <x:c r="A907" s="92" t="str">
        <x:v>AMZ-ORD-00906</x:v>
      </x:c>
      <x:c r="B907" s="94" t="str">
        <x:v>PROC-0905</x:v>
      </x:c>
      <x:c r="C907" s="108" t="n">
        <x:v>46187.74930555555</x:v>
      </x:c>
      <x:c r="D907" s="93" t="n">
        <x:v>46186</x:v>
      </x:c>
      <x:c r="E907" s="94" t="str">
        <x:v>Microsoft Ads</x:v>
      </x:c>
      <x:c r="F907" s="94" t="str">
        <x:v>美国</x:v>
      </x:c>
      <x:c r="G907" s="94" t="str">
        <x:v>购物广告</x:v>
      </x:c>
      <x:c r="H907" s="94" t="str">
        <x:v>SKU-0029</x:v>
      </x:c>
      <x:c r="I907" s="94" t="str">
        <x:v>运动健康</x:v>
      </x:c>
      <x:c r="J907" s="94" t="str">
        <x:v>运动耳机 I</x:v>
      </x:c>
      <x:c r="K907" s="97" t="n">
        <x:v>84.56</x:v>
      </x:c>
      <x:c r="L907" s="95" t="n">
        <x:v>1</x:v>
      </x:c>
      <x:c r="M907" s="97" t="n">
        <x:f>ROUND(K907*L907,2)</x:f>
        <x:v>84.56</x:v>
      </x:c>
      <x:c r="N907" s="109" t="n">
        <x:v>0.08</x:v>
      </x:c>
      <x:c r="O907" s="97" t="n">
        <x:f>ROUND(M907*N907,2)</x:f>
        <x:v>6.76</x:v>
      </x:c>
      <x:c r="P907" s="94" t="str">
        <x:v>待确认</x:v>
      </x:c>
      <x:c r="Q907" s="97" t="n">
        <x:f>IF(P907="已退款",M907,0)</x:f>
        <x:v>0</x:v>
      </x:c>
      <x:c r="R907" s="97" t="n">
        <x:f>IF(P907="已退款",O907,0)</x:f>
        <x:v>0</x:v>
      </x:c>
      <x:c r="S907" s="97" t="n">
        <x:f>O907-R907</x:f>
        <x:v>6.76</x:v>
      </x:c>
      <x:c r="T907" s="94" t="n">
        <x:v>1</x:v>
      </x:c>
      <x:c r="U907" s="94" t="str">
        <x:v>模拟：Amazon Associates订单回传</x:v>
      </x:c>
    </x:row>
    <x:row r="908">
      <x:c r="A908" s="92" t="str">
        <x:v>AMZ-ORD-00907</x:v>
      </x:c>
      <x:c r="B908" s="94" t="str">
        <x:v>PROC-0905</x:v>
      </x:c>
      <x:c r="C908" s="108" t="n">
        <x:v>46187.78611111111</x:v>
      </x:c>
      <x:c r="D908" s="93" t="n">
        <x:v>46186</x:v>
      </x:c>
      <x:c r="E908" s="94" t="str">
        <x:v>Microsoft Ads</x:v>
      </x:c>
      <x:c r="F908" s="94" t="str">
        <x:v>美国</x:v>
      </x:c>
      <x:c r="G908" s="94" t="str">
        <x:v>购物广告</x:v>
      </x:c>
      <x:c r="H908" s="94" t="str">
        <x:v>SKU-0028</x:v>
      </x:c>
      <x:c r="I908" s="94" t="str">
        <x:v>运动健康</x:v>
      </x:c>
      <x:c r="J908" s="94" t="str">
        <x:v>体脂秤 H</x:v>
      </x:c>
      <x:c r="K908" s="97" t="n">
        <x:v>139.39</x:v>
      </x:c>
      <x:c r="L908" s="95" t="n">
        <x:v>1</x:v>
      </x:c>
      <x:c r="M908" s="97" t="n">
        <x:f>ROUND(K908*L908,2)</x:f>
        <x:v>139.39</x:v>
      </x:c>
      <x:c r="N908" s="109" t="n">
        <x:v>0.08</x:v>
      </x:c>
      <x:c r="O908" s="97" t="n">
        <x:f>ROUND(M908*N908,2)</x:f>
        <x:v>11.15</x:v>
      </x:c>
      <x:c r="P908" s="94" t="str">
        <x:v>已确认</x:v>
      </x:c>
      <x:c r="Q908" s="97" t="n">
        <x:f>IF(P908="已退款",M908,0)</x:f>
        <x:v>0</x:v>
      </x:c>
      <x:c r="R908" s="97" t="n">
        <x:f>IF(P908="已退款",O908,0)</x:f>
        <x:v>0</x:v>
      </x:c>
      <x:c r="S908" s="97" t="n">
        <x:f>O908-R908</x:f>
        <x:v>11.15</x:v>
      </x:c>
      <x:c r="T908" s="94" t="n">
        <x:v>1</x:v>
      </x:c>
      <x:c r="U908" s="94" t="str">
        <x:v>模拟：Amazon Associates订单回传</x:v>
      </x:c>
    </x:row>
    <x:row r="909">
      <x:c r="A909" s="92" t="str">
        <x:v>AMZ-ORD-00908</x:v>
      </x:c>
      <x:c r="B909" s="94" t="str">
        <x:v>PROC-0906</x:v>
      </x:c>
      <x:c r="C909" s="108" t="n">
        <x:v>46187.48888888889</x:v>
      </x:c>
      <x:c r="D909" s="93" t="n">
        <x:v>46186</x:v>
      </x:c>
      <x:c r="E909" s="94" t="str">
        <x:v>Google Ads</x:v>
      </x:c>
      <x:c r="F909" s="94" t="str">
        <x:v>日本</x:v>
      </x:c>
      <x:c r="G909" s="94" t="str">
        <x:v>竞品搜索</x:v>
      </x:c>
      <x:c r="H909" s="94" t="str">
        <x:v>SKU-0007</x:v>
      </x:c>
      <x:c r="I909" s="94" t="str">
        <x:v>电子产品</x:v>
      </x:c>
      <x:c r="J909" s="94" t="str">
        <x:v>运动相机 G</x:v>
      </x:c>
      <x:c r="K909" s="97" t="n">
        <x:v>600.74</x:v>
      </x:c>
      <x:c r="L909" s="95" t="n">
        <x:v>1</x:v>
      </x:c>
      <x:c r="M909" s="97" t="n">
        <x:f>ROUND(K909*L909,2)</x:f>
        <x:v>600.74</x:v>
      </x:c>
      <x:c r="N909" s="109" t="n">
        <x:v>0.05</x:v>
      </x:c>
      <x:c r="O909" s="97" t="n">
        <x:f>ROUND(M909*N909,2)</x:f>
        <x:v>30.04</x:v>
      </x:c>
      <x:c r="P909" s="94" t="str">
        <x:v>已确认</x:v>
      </x:c>
      <x:c r="Q909" s="97" t="n">
        <x:f>IF(P909="已退款",M909,0)</x:f>
        <x:v>0</x:v>
      </x:c>
      <x:c r="R909" s="97" t="n">
        <x:f>IF(P909="已退款",O909,0)</x:f>
        <x:v>0</x:v>
      </x:c>
      <x:c r="S909" s="97" t="n">
        <x:f>O909-R909</x:f>
        <x:v>30.04</x:v>
      </x:c>
      <x:c r="T909" s="94" t="n">
        <x:v>1</x:v>
      </x:c>
      <x:c r="U909" s="94" t="str">
        <x:v>模拟：Amazon Associates订单回传</x:v>
      </x:c>
    </x:row>
    <x:row r="910">
      <x:c r="A910" s="92" t="str">
        <x:v>AMZ-ORD-00909</x:v>
      </x:c>
      <x:c r="B910" s="94" t="str">
        <x:v>PROC-0907</x:v>
      </x:c>
      <x:c r="C910" s="108" t="n">
        <x:v>46187.38680555556</x:v>
      </x:c>
      <x:c r="D910" s="93" t="n">
        <x:v>46186</x:v>
      </x:c>
      <x:c r="E910" s="94" t="str">
        <x:v>Google Ads</x:v>
      </x:c>
      <x:c r="F910" s="94" t="str">
        <x:v>英国</x:v>
      </x:c>
      <x:c r="G910" s="94" t="str">
        <x:v>竞品搜索</x:v>
      </x:c>
      <x:c r="H910" s="94" t="str">
        <x:v>SKU-0011</x:v>
      </x:c>
      <x:c r="I910" s="94" t="str">
        <x:v>家居生活</x:v>
      </x:c>
      <x:c r="J910" s="94" t="str">
        <x:v>空气净化器 A</x:v>
      </x:c>
      <x:c r="K910" s="97" t="n">
        <x:v>337.97</x:v>
      </x:c>
      <x:c r="L910" s="95" t="n">
        <x:v>1</x:v>
      </x:c>
      <x:c r="M910" s="97" t="n">
        <x:f>ROUND(K910*L910,2)</x:f>
        <x:v>337.97</x:v>
      </x:c>
      <x:c r="N910" s="109" t="n">
        <x:v>0.07</x:v>
      </x:c>
      <x:c r="O910" s="97" t="n">
        <x:f>ROUND(M910*N910,2)</x:f>
        <x:v>23.66</x:v>
      </x:c>
      <x:c r="P910" s="94" t="str">
        <x:v>已确认</x:v>
      </x:c>
      <x:c r="Q910" s="97" t="n">
        <x:f>IF(P910="已退款",M910,0)</x:f>
        <x:v>0</x:v>
      </x:c>
      <x:c r="R910" s="97" t="n">
        <x:f>IF(P910="已退款",O910,0)</x:f>
        <x:v>0</x:v>
      </x:c>
      <x:c r="S910" s="97" t="n">
        <x:f>O910-R910</x:f>
        <x:v>23.66</x:v>
      </x:c>
      <x:c r="T910" s="94" t="n">
        <x:v>1</x:v>
      </x:c>
      <x:c r="U910" s="94" t="str">
        <x:v>模拟：Amazon Associates订单回传</x:v>
      </x:c>
    </x:row>
    <x:row r="911">
      <x:c r="A911" s="92" t="str">
        <x:v>AMZ-ORD-00910</x:v>
      </x:c>
      <x:c r="B911" s="94" t="str">
        <x:v>PROC-0908</x:v>
      </x:c>
      <x:c r="C911" s="108" t="n">
        <x:v>46190.592361111114</x:v>
      </x:c>
      <x:c r="D911" s="93" t="n">
        <x:v>46187</x:v>
      </x:c>
      <x:c r="E911" s="94" t="str">
        <x:v>Microsoft Ads</x:v>
      </x:c>
      <x:c r="F911" s="94" t="str">
        <x:v>德国</x:v>
      </x:c>
      <x:c r="G911" s="94" t="str">
        <x:v>通用搜索</x:v>
      </x:c>
      <x:c r="H911" s="94" t="str">
        <x:v>SKU-0031</x:v>
      </x:c>
      <x:c r="I911" s="94" t="str">
        <x:v>美妆个护</x:v>
      </x:c>
      <x:c r="J911" s="94" t="str">
        <x:v>洁面仪 A</x:v>
      </x:c>
      <x:c r="K911" s="97" t="n">
        <x:v>143.12</x:v>
      </x:c>
      <x:c r="L911" s="95" t="n">
        <x:v>1</x:v>
      </x:c>
      <x:c r="M911" s="97" t="n">
        <x:f>ROUND(K911*L911,2)</x:f>
        <x:v>143.12</x:v>
      </x:c>
      <x:c r="N911" s="109" t="n">
        <x:v>0.1</x:v>
      </x:c>
      <x:c r="O911" s="97" t="n">
        <x:f>ROUND(M911*N911,2)</x:f>
        <x:v>14.31</x:v>
      </x:c>
      <x:c r="P911" s="94" t="str">
        <x:v>已确认</x:v>
      </x:c>
      <x:c r="Q911" s="97" t="n">
        <x:f>IF(P911="已退款",M911,0)</x:f>
        <x:v>0</x:v>
      </x:c>
      <x:c r="R911" s="97" t="n">
        <x:f>IF(P911="已退款",O911,0)</x:f>
        <x:v>0</x:v>
      </x:c>
      <x:c r="S911" s="97" t="n">
        <x:f>O911-R911</x:f>
        <x:v>14.31</x:v>
      </x:c>
      <x:c r="T911" s="94" t="n">
        <x:v>3</x:v>
      </x:c>
      <x:c r="U911" s="94" t="str">
        <x:v>模拟：Amazon Associates订单回传</x:v>
      </x:c>
    </x:row>
    <x:row r="912">
      <x:c r="A912" s="92" t="str">
        <x:v>AMZ-ORD-00911</x:v>
      </x:c>
      <x:c r="B912" s="94" t="str">
        <x:v>PROC-0909</x:v>
      </x:c>
      <x:c r="C912" s="108" t="n">
        <x:v>46188.57083333333</x:v>
      </x:c>
      <x:c r="D912" s="93" t="n">
        <x:v>46187</x:v>
      </x:c>
      <x:c r="E912" s="94" t="str">
        <x:v>Microsoft Ads</x:v>
      </x:c>
      <x:c r="F912" s="94" t="str">
        <x:v>德国</x:v>
      </x:c>
      <x:c r="G912" s="94" t="str">
        <x:v>通用搜索</x:v>
      </x:c>
      <x:c r="H912" s="94" t="str">
        <x:v>SKU-0016</x:v>
      </x:c>
      <x:c r="I912" s="94" t="str">
        <x:v>家居生活</x:v>
      </x:c>
      <x:c r="J912" s="94" t="str">
        <x:v>厨师机 F</x:v>
      </x:c>
      <x:c r="K912" s="97" t="n">
        <x:v>91.48</x:v>
      </x:c>
      <x:c r="L912" s="95" t="n">
        <x:v>1</x:v>
      </x:c>
      <x:c r="M912" s="97" t="n">
        <x:f>ROUND(K912*L912,2)</x:f>
        <x:v>91.48</x:v>
      </x:c>
      <x:c r="N912" s="109" t="n">
        <x:v>0.07</x:v>
      </x:c>
      <x:c r="O912" s="97" t="n">
        <x:f>ROUND(M912*N912,2)</x:f>
        <x:v>6.4</x:v>
      </x:c>
      <x:c r="P912" s="94" t="str">
        <x:v>已确认</x:v>
      </x:c>
      <x:c r="Q912" s="97" t="n">
        <x:f>IF(P912="已退款",M912,0)</x:f>
        <x:v>0</x:v>
      </x:c>
      <x:c r="R912" s="97" t="n">
        <x:f>IF(P912="已退款",O912,0)</x:f>
        <x:v>0</x:v>
      </x:c>
      <x:c r="S912" s="97" t="n">
        <x:f>O912-R912</x:f>
        <x:v>6.4</x:v>
      </x:c>
      <x:c r="T912" s="94" t="n">
        <x:v>1</x:v>
      </x:c>
      <x:c r="U912" s="94" t="str">
        <x:v>模拟：Amazon Associates订单回传</x:v>
      </x:c>
    </x:row>
    <x:row r="913">
      <x:c r="A913" s="92" t="str">
        <x:v>AMZ-ORD-00912</x:v>
      </x:c>
      <x:c r="B913" s="94" t="str">
        <x:v>PROC-0911</x:v>
      </x:c>
      <x:c r="C913" s="108" t="n">
        <x:v>46191.876388888886</x:v>
      </x:c>
      <x:c r="D913" s="93" t="n">
        <x:v>46187</x:v>
      </x:c>
      <x:c r="E913" s="94" t="str">
        <x:v>Google Ads</x:v>
      </x:c>
      <x:c r="F913" s="94" t="str">
        <x:v>德国</x:v>
      </x:c>
      <x:c r="G913" s="94" t="str">
        <x:v>购物广告</x:v>
      </x:c>
      <x:c r="H913" s="94" t="str">
        <x:v>SKU-0020</x:v>
      </x:c>
      <x:c r="I913" s="94" t="str">
        <x:v>家居生活</x:v>
      </x:c>
      <x:c r="J913" s="94" t="str">
        <x:v>智能门锁 J</x:v>
      </x:c>
      <x:c r="K913" s="97" t="n">
        <x:v>312.9</x:v>
      </x:c>
      <x:c r="L913" s="95" t="n">
        <x:v>1</x:v>
      </x:c>
      <x:c r="M913" s="97" t="n">
        <x:f>ROUND(K913*L913,2)</x:f>
        <x:v>312.9</x:v>
      </x:c>
      <x:c r="N913" s="109" t="n">
        <x:v>0.07</x:v>
      </x:c>
      <x:c r="O913" s="97" t="n">
        <x:f>ROUND(M913*N913,2)</x:f>
        <x:v>21.9</x:v>
      </x:c>
      <x:c r="P913" s="94" t="str">
        <x:v>已确认</x:v>
      </x:c>
      <x:c r="Q913" s="97" t="n">
        <x:f>IF(P913="已退款",M913,0)</x:f>
        <x:v>0</x:v>
      </x:c>
      <x:c r="R913" s="97" t="n">
        <x:f>IF(P913="已退款",O913,0)</x:f>
        <x:v>0</x:v>
      </x:c>
      <x:c r="S913" s="97" t="n">
        <x:f>O913-R913</x:f>
        <x:v>21.9</x:v>
      </x:c>
      <x:c r="T913" s="94" t="n">
        <x:v>4</x:v>
      </x:c>
      <x:c r="U913" s="94" t="str">
        <x:v>模拟：Amazon Associates订单回传</x:v>
      </x:c>
    </x:row>
    <x:row r="914">
      <x:c r="A914" s="92" t="str">
        <x:v>AMZ-ORD-00913</x:v>
      </x:c>
      <x:c r="B914" s="94" t="str">
        <x:v>PROC-0912</x:v>
      </x:c>
      <x:c r="C914" s="108" t="n">
        <x:v>46188.48402777778</x:v>
      </x:c>
      <x:c r="D914" s="93" t="n">
        <x:v>46187</x:v>
      </x:c>
      <x:c r="E914" s="94" t="str">
        <x:v>Google Ads</x:v>
      </x:c>
      <x:c r="F914" s="94" t="str">
        <x:v>美国</x:v>
      </x:c>
      <x:c r="G914" s="94" t="str">
        <x:v>通用搜索</x:v>
      </x:c>
      <x:c r="H914" s="94" t="str">
        <x:v>SKU-0015</x:v>
      </x:c>
      <x:c r="I914" s="94" t="str">
        <x:v>家居生活</x:v>
      </x:c>
      <x:c r="J914" s="94" t="str">
        <x:v>床品套装 E</x:v>
      </x:c>
      <x:c r="K914" s="97" t="n">
        <x:v>109.65</x:v>
      </x:c>
      <x:c r="L914" s="95" t="n">
        <x:v>1</x:v>
      </x:c>
      <x:c r="M914" s="97" t="n">
        <x:f>ROUND(K914*L914,2)</x:f>
        <x:v>109.65</x:v>
      </x:c>
      <x:c r="N914" s="109" t="n">
        <x:v>0.07</x:v>
      </x:c>
      <x:c r="O914" s="97" t="n">
        <x:f>ROUND(M914*N914,2)</x:f>
        <x:v>7.68</x:v>
      </x:c>
      <x:c r="P914" s="94" t="str">
        <x:v>已确认</x:v>
      </x:c>
      <x:c r="Q914" s="97" t="n">
        <x:f>IF(P914="已退款",M914,0)</x:f>
        <x:v>0</x:v>
      </x:c>
      <x:c r="R914" s="97" t="n">
        <x:f>IF(P914="已退款",O914,0)</x:f>
        <x:v>0</x:v>
      </x:c>
      <x:c r="S914" s="97" t="n">
        <x:f>O914-R914</x:f>
        <x:v>7.68</x:v>
      </x:c>
      <x:c r="T914" s="94" t="n">
        <x:v>1</x:v>
      </x:c>
      <x:c r="U914" s="94" t="str">
        <x:v>模拟：Amazon Associates订单回传</x:v>
      </x:c>
    </x:row>
    <x:row r="915">
      <x:c r="A915" s="92" t="str">
        <x:v>AMZ-ORD-00914</x:v>
      </x:c>
      <x:c r="B915" s="94" t="str">
        <x:v>PROC-0913</x:v>
      </x:c>
      <x:c r="C915" s="108" t="n">
        <x:v>46189.54375</x:v>
      </x:c>
      <x:c r="D915" s="93" t="n">
        <x:v>46188</x:v>
      </x:c>
      <x:c r="E915" s="94" t="str">
        <x:v>Microsoft Ads</x:v>
      </x:c>
      <x:c r="F915" s="94" t="str">
        <x:v>日本</x:v>
      </x:c>
      <x:c r="G915" s="94" t="str">
        <x:v>竞品搜索</x:v>
      </x:c>
      <x:c r="H915" s="94" t="str">
        <x:v>SKU-0006</x:v>
      </x:c>
      <x:c r="I915" s="94" t="str">
        <x:v>电子产品</x:v>
      </x:c>
      <x:c r="J915" s="94" t="str">
        <x:v>迷你投影仪 F</x:v>
      </x:c>
      <x:c r="K915" s="97" t="n">
        <x:v>301.4</x:v>
      </x:c>
      <x:c r="L915" s="95" t="n">
        <x:v>2</x:v>
      </x:c>
      <x:c r="M915" s="97" t="n">
        <x:f>ROUND(K915*L915,2)</x:f>
        <x:v>602.8</x:v>
      </x:c>
      <x:c r="N915" s="109" t="n">
        <x:v>0.05</x:v>
      </x:c>
      <x:c r="O915" s="97" t="n">
        <x:f>ROUND(M915*N915,2)</x:f>
        <x:v>30.14</x:v>
      </x:c>
      <x:c r="P915" s="94" t="str">
        <x:v>已确认</x:v>
      </x:c>
      <x:c r="Q915" s="97" t="n">
        <x:f>IF(P915="已退款",M915,0)</x:f>
        <x:v>0</x:v>
      </x:c>
      <x:c r="R915" s="97" t="n">
        <x:f>IF(P915="已退款",O915,0)</x:f>
        <x:v>0</x:v>
      </x:c>
      <x:c r="S915" s="97" t="n">
        <x:f>O915-R915</x:f>
        <x:v>30.14</x:v>
      </x:c>
      <x:c r="T915" s="94" t="n">
        <x:v>1</x:v>
      </x:c>
      <x:c r="U915" s="94" t="str">
        <x:v>模拟：Amazon Associates订单回传</x:v>
      </x:c>
    </x:row>
    <x:row r="916">
      <x:c r="A916" s="92" t="str">
        <x:v>AMZ-ORD-00915</x:v>
      </x:c>
      <x:c r="B916" s="94" t="str">
        <x:v>PROC-0914</x:v>
      </x:c>
      <x:c r="C916" s="108" t="n">
        <x:v>46191.45277777778</x:v>
      </x:c>
      <x:c r="D916" s="93" t="n">
        <x:v>46188</x:v>
      </x:c>
      <x:c r="E916" s="94" t="str">
        <x:v>Google Ads</x:v>
      </x:c>
      <x:c r="F916" s="94" t="str">
        <x:v>英国</x:v>
      </x:c>
      <x:c r="G916" s="94" t="str">
        <x:v>竞品搜索</x:v>
      </x:c>
      <x:c r="H916" s="94" t="str">
        <x:v>SKU-0029</x:v>
      </x:c>
      <x:c r="I916" s="94" t="str">
        <x:v>运动健康</x:v>
      </x:c>
      <x:c r="J916" s="94" t="str">
        <x:v>运动耳机 I</x:v>
      </x:c>
      <x:c r="K916" s="97" t="n">
        <x:v>138.27</x:v>
      </x:c>
      <x:c r="L916" s="95" t="n">
        <x:v>1</x:v>
      </x:c>
      <x:c r="M916" s="97" t="n">
        <x:f>ROUND(K916*L916,2)</x:f>
        <x:v>138.27</x:v>
      </x:c>
      <x:c r="N916" s="109" t="n">
        <x:v>0.08</x:v>
      </x:c>
      <x:c r="O916" s="97" t="n">
        <x:f>ROUND(M916*N916,2)</x:f>
        <x:v>11.06</x:v>
      </x:c>
      <x:c r="P916" s="94" t="str">
        <x:v>已确认</x:v>
      </x:c>
      <x:c r="Q916" s="97" t="n">
        <x:f>IF(P916="已退款",M916,0)</x:f>
        <x:v>0</x:v>
      </x:c>
      <x:c r="R916" s="97" t="n">
        <x:f>IF(P916="已退款",O916,0)</x:f>
        <x:v>0</x:v>
      </x:c>
      <x:c r="S916" s="97" t="n">
        <x:f>O916-R916</x:f>
        <x:v>11.06</x:v>
      </x:c>
      <x:c r="T916" s="94" t="n">
        <x:v>3</x:v>
      </x:c>
      <x:c r="U916" s="94" t="str">
        <x:v>模拟：Amazon Associates订单回传</x:v>
      </x:c>
    </x:row>
    <x:row r="917">
      <x:c r="A917" s="92" t="str">
        <x:v>AMZ-ORD-00916</x:v>
      </x:c>
      <x:c r="B917" s="94" t="str">
        <x:v>PROC-0915</x:v>
      </x:c>
      <x:c r="C917" s="108" t="n">
        <x:v>46192.66736111111</x:v>
      </x:c>
      <x:c r="D917" s="93" t="n">
        <x:v>46188</x:v>
      </x:c>
      <x:c r="E917" s="94" t="str">
        <x:v>Microsoft Ads</x:v>
      </x:c>
      <x:c r="F917" s="94" t="str">
        <x:v>美国</x:v>
      </x:c>
      <x:c r="G917" s="94" t="str">
        <x:v>购物广告</x:v>
      </x:c>
      <x:c r="H917" s="94" t="str">
        <x:v>SKU-0050</x:v>
      </x:c>
      <x:c r="I917" s="94" t="str">
        <x:v>办公学习</x:v>
      </x:c>
      <x:c r="J917" s="94" t="str">
        <x:v>静音鼠标 J</x:v>
      </x:c>
      <x:c r="K917" s="97" t="n">
        <x:v>114.28</x:v>
      </x:c>
      <x:c r="L917" s="95" t="n">
        <x:v>1</x:v>
      </x:c>
      <x:c r="M917" s="97" t="n">
        <x:f>ROUND(K917*L917,2)</x:f>
        <x:v>114.28</x:v>
      </x:c>
      <x:c r="N917" s="109" t="n">
        <x:v>0.07</x:v>
      </x:c>
      <x:c r="O917" s="97" t="n">
        <x:f>ROUND(M917*N917,2)</x:f>
        <x:v>8</x:v>
      </x:c>
      <x:c r="P917" s="94" t="str">
        <x:v>已确认</x:v>
      </x:c>
      <x:c r="Q917" s="97" t="n">
        <x:f>IF(P917="已退款",M917,0)</x:f>
        <x:v>0</x:v>
      </x:c>
      <x:c r="R917" s="97" t="n">
        <x:f>IF(P917="已退款",O917,0)</x:f>
        <x:v>0</x:v>
      </x:c>
      <x:c r="S917" s="97" t="n">
        <x:f>O917-R917</x:f>
        <x:v>8</x:v>
      </x:c>
      <x:c r="T917" s="94" t="n">
        <x:v>4</x:v>
      </x:c>
      <x:c r="U917" s="94" t="str">
        <x:v>模拟：Amazon Associates订单回传</x:v>
      </x:c>
    </x:row>
    <x:row r="918">
      <x:c r="A918" s="92" t="str">
        <x:v>AMZ-ORD-00917</x:v>
      </x:c>
      <x:c r="B918" s="94" t="str">
        <x:v>PROC-0916</x:v>
      </x:c>
      <x:c r="C918" s="108" t="n">
        <x:v>46188.36319444444</x:v>
      </x:c>
      <x:c r="D918" s="93" t="n">
        <x:v>46188</x:v>
      </x:c>
      <x:c r="E918" s="94" t="str">
        <x:v>Microsoft Ads</x:v>
      </x:c>
      <x:c r="F918" s="94" t="str">
        <x:v>美国</x:v>
      </x:c>
      <x:c r="G918" s="94" t="str">
        <x:v>购物广告</x:v>
      </x:c>
      <x:c r="H918" s="94" t="str">
        <x:v>SKU-0001</x:v>
      </x:c>
      <x:c r="I918" s="94" t="str">
        <x:v>电子产品</x:v>
      </x:c>
      <x:c r="J918" s="94" t="str">
        <x:v>无线耳机 A</x:v>
      </x:c>
      <x:c r="K918" s="97" t="n">
        <x:v>225.23</x:v>
      </x:c>
      <x:c r="L918" s="95" t="n">
        <x:v>1</x:v>
      </x:c>
      <x:c r="M918" s="97" t="n">
        <x:f>ROUND(K918*L918,2)</x:f>
        <x:v>225.23</x:v>
      </x:c>
      <x:c r="N918" s="109" t="n">
        <x:v>0.05</x:v>
      </x:c>
      <x:c r="O918" s="97" t="n">
        <x:f>ROUND(M918*N918,2)</x:f>
        <x:v>11.26</x:v>
      </x:c>
      <x:c r="P918" s="94" t="str">
        <x:v>已确认</x:v>
      </x:c>
      <x:c r="Q918" s="97" t="n">
        <x:f>IF(P918="已退款",M918,0)</x:f>
        <x:v>0</x:v>
      </x:c>
      <x:c r="R918" s="97" t="n">
        <x:f>IF(P918="已退款",O918,0)</x:f>
        <x:v>0</x:v>
      </x:c>
      <x:c r="S918" s="97" t="n">
        <x:f>O918-R918</x:f>
        <x:v>11.26</x:v>
      </x:c>
      <x:c r="T918" s="94" t="n">
        <x:v>0</x:v>
      </x:c>
      <x:c r="U918" s="94" t="str">
        <x:v>模拟：Amazon Associates订单回传</x:v>
      </x:c>
    </x:row>
    <x:row r="919">
      <x:c r="A919" s="92" t="str">
        <x:v>AMZ-ORD-00918</x:v>
      </x:c>
      <x:c r="B919" s="94" t="str">
        <x:v>PROC-0917</x:v>
      </x:c>
      <x:c r="C919" s="108" t="n">
        <x:v>46191.48541666667</x:v>
      </x:c>
      <x:c r="D919" s="93" t="n">
        <x:v>46188</x:v>
      </x:c>
      <x:c r="E919" s="94" t="str">
        <x:v>Microsoft Ads</x:v>
      </x:c>
      <x:c r="F919" s="94" t="str">
        <x:v>美国</x:v>
      </x:c>
      <x:c r="G919" s="94" t="str">
        <x:v>品牌搜索</x:v>
      </x:c>
      <x:c r="H919" s="94" t="str">
        <x:v>SKU-0009</x:v>
      </x:c>
      <x:c r="I919" s="94" t="str">
        <x:v>电子产品</x:v>
      </x:c>
      <x:c r="J919" s="94" t="str">
        <x:v>电子阅读器 I</x:v>
      </x:c>
      <x:c r="K919" s="97" t="n">
        <x:v>514.5</x:v>
      </x:c>
      <x:c r="L919" s="95" t="n">
        <x:v>1</x:v>
      </x:c>
      <x:c r="M919" s="97" t="n">
        <x:f>ROUND(K919*L919,2)</x:f>
        <x:v>514.5</x:v>
      </x:c>
      <x:c r="N919" s="109" t="n">
        <x:v>0.05</x:v>
      </x:c>
      <x:c r="O919" s="97" t="n">
        <x:f>ROUND(M919*N919,2)</x:f>
        <x:v>25.73</x:v>
      </x:c>
      <x:c r="P919" s="94" t="str">
        <x:v>已确认</x:v>
      </x:c>
      <x:c r="Q919" s="97" t="n">
        <x:f>IF(P919="已退款",M919,0)</x:f>
        <x:v>0</x:v>
      </x:c>
      <x:c r="R919" s="97" t="n">
        <x:f>IF(P919="已退款",O919,0)</x:f>
        <x:v>0</x:v>
      </x:c>
      <x:c r="S919" s="97" t="n">
        <x:f>O919-R919</x:f>
        <x:v>25.73</x:v>
      </x:c>
      <x:c r="T919" s="94" t="n">
        <x:v>3</x:v>
      </x:c>
      <x:c r="U919" s="94" t="str">
        <x:v>模拟：Amazon Associates订单回传</x:v>
      </x:c>
    </x:row>
    <x:row r="920">
      <x:c r="A920" s="92" t="str">
        <x:v>AMZ-ORD-00919</x:v>
      </x:c>
      <x:c r="B920" s="94" t="str">
        <x:v>PROC-0917</x:v>
      </x:c>
      <x:c r="C920" s="108" t="n">
        <x:v>46188.725</x:v>
      </x:c>
      <x:c r="D920" s="93" t="n">
        <x:v>46188</x:v>
      </x:c>
      <x:c r="E920" s="94" t="str">
        <x:v>Microsoft Ads</x:v>
      </x:c>
      <x:c r="F920" s="94" t="str">
        <x:v>美国</x:v>
      </x:c>
      <x:c r="G920" s="94" t="str">
        <x:v>品牌搜索</x:v>
      </x:c>
      <x:c r="H920" s="94" t="str">
        <x:v>SKU-0005</x:v>
      </x:c>
      <x:c r="I920" s="94" t="str">
        <x:v>电子产品</x:v>
      </x:c>
      <x:c r="J920" s="94" t="str">
        <x:v>降噪耳机 E</x:v>
      </x:c>
      <x:c r="K920" s="97" t="n">
        <x:v>348.53</x:v>
      </x:c>
      <x:c r="L920" s="95" t="n">
        <x:v>1</x:v>
      </x:c>
      <x:c r="M920" s="97" t="n">
        <x:f>ROUND(K920*L920,2)</x:f>
        <x:v>348.53</x:v>
      </x:c>
      <x:c r="N920" s="109" t="n">
        <x:v>0.05</x:v>
      </x:c>
      <x:c r="O920" s="97" t="n">
        <x:f>ROUND(M920*N920,2)</x:f>
        <x:v>17.43</x:v>
      </x:c>
      <x:c r="P920" s="94" t="str">
        <x:v>已退款</x:v>
      </x:c>
      <x:c r="Q920" s="97" t="n">
        <x:f>IF(P920="已退款",M920,0)</x:f>
        <x:v>348.53</x:v>
      </x:c>
      <x:c r="R920" s="97" t="n">
        <x:f>IF(P920="已退款",O920,0)</x:f>
        <x:v>17.43</x:v>
      </x:c>
      <x:c r="S920" s="97" t="n">
        <x:f>O920-R920</x:f>
        <x:v>0</x:v>
      </x:c>
      <x:c r="T920" s="94" t="n">
        <x:v>0</x:v>
      </x:c>
      <x:c r="U920" s="94" t="str">
        <x:v>模拟：Amazon Associates订单回传</x:v>
      </x:c>
    </x:row>
    <x:row r="921">
      <x:c r="A921" s="92" t="str">
        <x:v>AMZ-ORD-00920</x:v>
      </x:c>
      <x:c r="B921" s="94" t="str">
        <x:v>PROC-0918</x:v>
      </x:c>
      <x:c r="C921" s="108" t="n">
        <x:v>46191.464583333334</x:v>
      </x:c>
      <x:c r="D921" s="93" t="n">
        <x:v>46188</x:v>
      </x:c>
      <x:c r="E921" s="94" t="str">
        <x:v>Google Ads</x:v>
      </x:c>
      <x:c r="F921" s="94" t="str">
        <x:v>德国</x:v>
      </x:c>
      <x:c r="G921" s="94" t="str">
        <x:v>通用搜索</x:v>
      </x:c>
      <x:c r="H921" s="94" t="str">
        <x:v>SKU-0030</x:v>
      </x:c>
      <x:c r="I921" s="94" t="str">
        <x:v>运动健康</x:v>
      </x:c>
      <x:c r="J921" s="94" t="str">
        <x:v>露营套装 J</x:v>
      </x:c>
      <x:c r="K921" s="97" t="n">
        <x:v>70.3</x:v>
      </x:c>
      <x:c r="L921" s="95" t="n">
        <x:v>1</x:v>
      </x:c>
      <x:c r="M921" s="97" t="n">
        <x:f>ROUND(K921*L921,2)</x:f>
        <x:v>70.3</x:v>
      </x:c>
      <x:c r="N921" s="109" t="n">
        <x:v>0.08</x:v>
      </x:c>
      <x:c r="O921" s="97" t="n">
        <x:f>ROUND(M921*N921,2)</x:f>
        <x:v>5.62</x:v>
      </x:c>
      <x:c r="P921" s="94" t="str">
        <x:v>已确认</x:v>
      </x:c>
      <x:c r="Q921" s="97" t="n">
        <x:f>IF(P921="已退款",M921,0)</x:f>
        <x:v>0</x:v>
      </x:c>
      <x:c r="R921" s="97" t="n">
        <x:f>IF(P921="已退款",O921,0)</x:f>
        <x:v>0</x:v>
      </x:c>
      <x:c r="S921" s="97" t="n">
        <x:f>O921-R921</x:f>
        <x:v>5.62</x:v>
      </x:c>
      <x:c r="T921" s="94" t="n">
        <x:v>3</x:v>
      </x:c>
      <x:c r="U921" s="94" t="str">
        <x:v>模拟：Amazon Associates订单回传</x:v>
      </x:c>
    </x:row>
    <x:row r="922">
      <x:c r="A922" s="92" t="str">
        <x:v>AMZ-ORD-00921</x:v>
      </x:c>
      <x:c r="B922" s="94" t="str">
        <x:v>PROC-0919</x:v>
      </x:c>
      <x:c r="C922" s="108" t="n">
        <x:v>46192.56527777778</x:v>
      </x:c>
      <x:c r="D922" s="93" t="n">
        <x:v>46189</x:v>
      </x:c>
      <x:c r="E922" s="94" t="str">
        <x:v>Google Ads</x:v>
      </x:c>
      <x:c r="F922" s="94" t="str">
        <x:v>美国</x:v>
      </x:c>
      <x:c r="G922" s="94" t="str">
        <x:v>购物广告</x:v>
      </x:c>
      <x:c r="H922" s="94" t="str">
        <x:v>SKU-0037</x:v>
      </x:c>
      <x:c r="I922" s="94" t="str">
        <x:v>美妆个护</x:v>
      </x:c>
      <x:c r="J922" s="94" t="str">
        <x:v>美容仪 G</x:v>
      </x:c>
      <x:c r="K922" s="97" t="n">
        <x:v>132</x:v>
      </x:c>
      <x:c r="L922" s="95" t="n">
        <x:v>3</x:v>
      </x:c>
      <x:c r="M922" s="97" t="n">
        <x:f>ROUND(K922*L922,2)</x:f>
        <x:v>396</x:v>
      </x:c>
      <x:c r="N922" s="109" t="n">
        <x:v>0.1</x:v>
      </x:c>
      <x:c r="O922" s="97" t="n">
        <x:f>ROUND(M922*N922,2)</x:f>
        <x:v>39.6</x:v>
      </x:c>
      <x:c r="P922" s="94" t="str">
        <x:v>已退款</x:v>
      </x:c>
      <x:c r="Q922" s="97" t="n">
        <x:f>IF(P922="已退款",M922,0)</x:f>
        <x:v>396</x:v>
      </x:c>
      <x:c r="R922" s="97" t="n">
        <x:f>IF(P922="已退款",O922,0)</x:f>
        <x:v>39.6</x:v>
      </x:c>
      <x:c r="S922" s="97" t="n">
        <x:f>O922-R922</x:f>
        <x:v>0</x:v>
      </x:c>
      <x:c r="T922" s="94" t="n">
        <x:v>3</x:v>
      </x:c>
      <x:c r="U922" s="94" t="str">
        <x:v>模拟：Amazon Associates订单回传</x:v>
      </x:c>
    </x:row>
    <x:row r="923">
      <x:c r="A923" s="92" t="str">
        <x:v>AMZ-ORD-00922</x:v>
      </x:c>
      <x:c r="B923" s="94" t="str">
        <x:v>PROC-0920</x:v>
      </x:c>
      <x:c r="C923" s="108" t="n">
        <x:v>46193.78888888889</x:v>
      </x:c>
      <x:c r="D923" s="93" t="n">
        <x:v>46189</x:v>
      </x:c>
      <x:c r="E923" s="94" t="str">
        <x:v>Microsoft Ads</x:v>
      </x:c>
      <x:c r="F923" s="94" t="str">
        <x:v>美国</x:v>
      </x:c>
      <x:c r="G923" s="94" t="str">
        <x:v>通用搜索</x:v>
      </x:c>
      <x:c r="H923" s="94" t="str">
        <x:v>SKU-0003</x:v>
      </x:c>
      <x:c r="I923" s="94" t="str">
        <x:v>电子产品</x:v>
      </x:c>
      <x:c r="J923" s="94" t="str">
        <x:v>智能家居中枢 C</x:v>
      </x:c>
      <x:c r="K923" s="97" t="n">
        <x:v>563.69</x:v>
      </x:c>
      <x:c r="L923" s="95" t="n">
        <x:v>1</x:v>
      </x:c>
      <x:c r="M923" s="97" t="n">
        <x:f>ROUND(K923*L923,2)</x:f>
        <x:v>563.69</x:v>
      </x:c>
      <x:c r="N923" s="109" t="n">
        <x:v>0.05</x:v>
      </x:c>
      <x:c r="O923" s="97" t="n">
        <x:f>ROUND(M923*N923,2)</x:f>
        <x:v>28.18</x:v>
      </x:c>
      <x:c r="P923" s="94" t="str">
        <x:v>已确认</x:v>
      </x:c>
      <x:c r="Q923" s="97" t="n">
        <x:f>IF(P923="已退款",M923,0)</x:f>
        <x:v>0</x:v>
      </x:c>
      <x:c r="R923" s="97" t="n">
        <x:f>IF(P923="已退款",O923,0)</x:f>
        <x:v>0</x:v>
      </x:c>
      <x:c r="S923" s="97" t="n">
        <x:f>O923-R923</x:f>
        <x:v>28.18</x:v>
      </x:c>
      <x:c r="T923" s="94" t="n">
        <x:v>4</x:v>
      </x:c>
      <x:c r="U923" s="94" t="str">
        <x:v>模拟：Amazon Associates订单回传</x:v>
      </x:c>
    </x:row>
    <x:row r="924">
      <x:c r="A924" s="92" t="str">
        <x:v>AMZ-ORD-00923</x:v>
      </x:c>
      <x:c r="B924" s="94" t="str">
        <x:v>PROC-0921</x:v>
      </x:c>
      <x:c r="C924" s="108" t="n">
        <x:v>46190.49513888889</x:v>
      </x:c>
      <x:c r="D924" s="93" t="n">
        <x:v>46189</x:v>
      </x:c>
      <x:c r="E924" s="94" t="str">
        <x:v>Microsoft Ads</x:v>
      </x:c>
      <x:c r="F924" s="94" t="str">
        <x:v>美国</x:v>
      </x:c>
      <x:c r="G924" s="94" t="str">
        <x:v>通用搜索</x:v>
      </x:c>
      <x:c r="H924" s="94" t="str">
        <x:v>SKU-0004</x:v>
      </x:c>
      <x:c r="I924" s="94" t="str">
        <x:v>电子产品</x:v>
      </x:c>
      <x:c r="J924" s="94" t="str">
        <x:v>机械键盘 D</x:v>
      </x:c>
      <x:c r="K924" s="97" t="n">
        <x:v>772.17</x:v>
      </x:c>
      <x:c r="L924" s="95" t="n">
        <x:v>1</x:v>
      </x:c>
      <x:c r="M924" s="97" t="n">
        <x:f>ROUND(K924*L924,2)</x:f>
        <x:v>772.17</x:v>
      </x:c>
      <x:c r="N924" s="109" t="n">
        <x:v>0.05</x:v>
      </x:c>
      <x:c r="O924" s="97" t="n">
        <x:f>ROUND(M924*N924,2)</x:f>
        <x:v>38.61</x:v>
      </x:c>
      <x:c r="P924" s="94" t="str">
        <x:v>已确认</x:v>
      </x:c>
      <x:c r="Q924" s="97" t="n">
        <x:f>IF(P924="已退款",M924,0)</x:f>
        <x:v>0</x:v>
      </x:c>
      <x:c r="R924" s="97" t="n">
        <x:f>IF(P924="已退款",O924,0)</x:f>
        <x:v>0</x:v>
      </x:c>
      <x:c r="S924" s="97" t="n">
        <x:f>O924-R924</x:f>
        <x:v>38.61</x:v>
      </x:c>
      <x:c r="T924" s="94" t="n">
        <x:v>1</x:v>
      </x:c>
      <x:c r="U924" s="94" t="str">
        <x:v>模拟：Amazon Associates订单回传</x:v>
      </x:c>
    </x:row>
    <x:row r="925">
      <x:c r="A925" s="92" t="str">
        <x:v>AMZ-ORD-00924</x:v>
      </x:c>
      <x:c r="B925" s="94" t="str">
        <x:v>PROC-0922</x:v>
      </x:c>
      <x:c r="C925" s="108" t="n">
        <x:v>46193.35625</x:v>
      </x:c>
      <x:c r="D925" s="93" t="n">
        <x:v>46189</x:v>
      </x:c>
      <x:c r="E925" s="94" t="str">
        <x:v>Google Ads</x:v>
      </x:c>
      <x:c r="F925" s="94" t="str">
        <x:v>英国</x:v>
      </x:c>
      <x:c r="G925" s="94" t="str">
        <x:v>通用搜索</x:v>
      </x:c>
      <x:c r="H925" s="94" t="str">
        <x:v>SKU-0003</x:v>
      </x:c>
      <x:c r="I925" s="94" t="str">
        <x:v>电子产品</x:v>
      </x:c>
      <x:c r="J925" s="94" t="str">
        <x:v>智能家居中枢 C</x:v>
      </x:c>
      <x:c r="K925" s="97" t="n">
        <x:v>777.59</x:v>
      </x:c>
      <x:c r="L925" s="95" t="n">
        <x:v>1</x:v>
      </x:c>
      <x:c r="M925" s="97" t="n">
        <x:f>ROUND(K925*L925,2)</x:f>
        <x:v>777.59</x:v>
      </x:c>
      <x:c r="N925" s="109" t="n">
        <x:v>0.05</x:v>
      </x:c>
      <x:c r="O925" s="97" t="n">
        <x:f>ROUND(M925*N925,2)</x:f>
        <x:v>38.88</x:v>
      </x:c>
      <x:c r="P925" s="94" t="str">
        <x:v>已确认</x:v>
      </x:c>
      <x:c r="Q925" s="97" t="n">
        <x:f>IF(P925="已退款",M925,0)</x:f>
        <x:v>0</x:v>
      </x:c>
      <x:c r="R925" s="97" t="n">
        <x:f>IF(P925="已退款",O925,0)</x:f>
        <x:v>0</x:v>
      </x:c>
      <x:c r="S925" s="97" t="n">
        <x:f>O925-R925</x:f>
        <x:v>38.88</x:v>
      </x:c>
      <x:c r="T925" s="94" t="n">
        <x:v>4</x:v>
      </x:c>
      <x:c r="U925" s="94" t="str">
        <x:v>模拟：Amazon Associates订单回传</x:v>
      </x:c>
    </x:row>
    <x:row r="926">
      <x:c r="A926" s="92" t="str">
        <x:v>AMZ-ORD-00925</x:v>
      </x:c>
      <x:c r="B926" s="94" t="str">
        <x:v>PROC-0923</x:v>
      </x:c>
      <x:c r="C926" s="108" t="n">
        <x:v>46191.7125</x:v>
      </x:c>
      <x:c r="D926" s="93" t="n">
        <x:v>46189</x:v>
      </x:c>
      <x:c r="E926" s="94" t="str">
        <x:v>Microsoft Ads</x:v>
      </x:c>
      <x:c r="F926" s="94" t="str">
        <x:v>德国</x:v>
      </x:c>
      <x:c r="G926" s="94" t="str">
        <x:v>品牌搜索</x:v>
      </x:c>
      <x:c r="H926" s="94" t="str">
        <x:v>SKU-0030</x:v>
      </x:c>
      <x:c r="I926" s="94" t="str">
        <x:v>运动健康</x:v>
      </x:c>
      <x:c r="J926" s="94" t="str">
        <x:v>露营套装 J</x:v>
      </x:c>
      <x:c r="K926" s="97" t="n">
        <x:v>209.94</x:v>
      </x:c>
      <x:c r="L926" s="95" t="n">
        <x:v>1</x:v>
      </x:c>
      <x:c r="M926" s="97" t="n">
        <x:f>ROUND(K926*L926,2)</x:f>
        <x:v>209.94</x:v>
      </x:c>
      <x:c r="N926" s="109" t="n">
        <x:v>0.08</x:v>
      </x:c>
      <x:c r="O926" s="97" t="n">
        <x:f>ROUND(M926*N926,2)</x:f>
        <x:v>16.8</x:v>
      </x:c>
      <x:c r="P926" s="94" t="str">
        <x:v>已确认</x:v>
      </x:c>
      <x:c r="Q926" s="97" t="n">
        <x:f>IF(P926="已退款",M926,0)</x:f>
        <x:v>0</x:v>
      </x:c>
      <x:c r="R926" s="97" t="n">
        <x:f>IF(P926="已退款",O926,0)</x:f>
        <x:v>0</x:v>
      </x:c>
      <x:c r="S926" s="97" t="n">
        <x:f>O926-R926</x:f>
        <x:v>16.8</x:v>
      </x:c>
      <x:c r="T926" s="94" t="n">
        <x:v>2</x:v>
      </x:c>
      <x:c r="U926" s="94" t="str">
        <x:v>模拟：Amazon Associates订单回传</x:v>
      </x:c>
    </x:row>
    <x:row r="927">
      <x:c r="A927" s="92" t="str">
        <x:v>AMZ-ORD-00926</x:v>
      </x:c>
      <x:c r="B927" s="94" t="str">
        <x:v>PROC-0923</x:v>
      </x:c>
      <x:c r="C927" s="108" t="n">
        <x:v>46189.45138888889</x:v>
      </x:c>
      <x:c r="D927" s="93" t="n">
        <x:v>46189</x:v>
      </x:c>
      <x:c r="E927" s="94" t="str">
        <x:v>Microsoft Ads</x:v>
      </x:c>
      <x:c r="F927" s="94" t="str">
        <x:v>德国</x:v>
      </x:c>
      <x:c r="G927" s="94" t="str">
        <x:v>品牌搜索</x:v>
      </x:c>
      <x:c r="H927" s="94" t="str">
        <x:v>SKU-0017</x:v>
      </x:c>
      <x:c r="I927" s="94" t="str">
        <x:v>家居生活</x:v>
      </x:c>
      <x:c r="J927" s="94" t="str">
        <x:v>落地灯 G</x:v>
      </x:c>
      <x:c r="K927" s="97" t="n">
        <x:v>138.98</x:v>
      </x:c>
      <x:c r="L927" s="95" t="n">
        <x:v>3</x:v>
      </x:c>
      <x:c r="M927" s="97" t="n">
        <x:f>ROUND(K927*L927,2)</x:f>
        <x:v>416.94</x:v>
      </x:c>
      <x:c r="N927" s="109" t="n">
        <x:v>0.07</x:v>
      </x:c>
      <x:c r="O927" s="97" t="n">
        <x:f>ROUND(M927*N927,2)</x:f>
        <x:v>29.19</x:v>
      </x:c>
      <x:c r="P927" s="94" t="str">
        <x:v>已确认</x:v>
      </x:c>
      <x:c r="Q927" s="97" t="n">
        <x:f>IF(P927="已退款",M927,0)</x:f>
        <x:v>0</x:v>
      </x:c>
      <x:c r="R927" s="97" t="n">
        <x:f>IF(P927="已退款",O927,0)</x:f>
        <x:v>0</x:v>
      </x:c>
      <x:c r="S927" s="97" t="n">
        <x:f>O927-R927</x:f>
        <x:v>29.19</x:v>
      </x:c>
      <x:c r="T927" s="94" t="n">
        <x:v>0</x:v>
      </x:c>
      <x:c r="U927" s="94" t="str">
        <x:v>模拟：Amazon Associates订单回传</x:v>
      </x:c>
    </x:row>
    <x:row r="928">
      <x:c r="A928" s="92" t="str">
        <x:v>AMZ-ORD-00927</x:v>
      </x:c>
      <x:c r="B928" s="94" t="str">
        <x:v>PROC-0924</x:v>
      </x:c>
      <x:c r="C928" s="108" t="n">
        <x:v>46191.65069444444</x:v>
      </x:c>
      <x:c r="D928" s="93" t="n">
        <x:v>46190</x:v>
      </x:c>
      <x:c r="E928" s="94" t="str">
        <x:v>Google Ads</x:v>
      </x:c>
      <x:c r="F928" s="94" t="str">
        <x:v>美国</x:v>
      </x:c>
      <x:c r="G928" s="94" t="str">
        <x:v>通用搜索</x:v>
      </x:c>
      <x:c r="H928" s="94" t="str">
        <x:v>SKU-0033</x:v>
      </x:c>
      <x:c r="I928" s="94" t="str">
        <x:v>美妆个护</x:v>
      </x:c>
      <x:c r="J928" s="94" t="str">
        <x:v>护肤套装 C</x:v>
      </x:c>
      <x:c r="K928" s="97" t="n">
        <x:v>133.46</x:v>
      </x:c>
      <x:c r="L928" s="95" t="n">
        <x:v>1</x:v>
      </x:c>
      <x:c r="M928" s="97" t="n">
        <x:f>ROUND(K928*L928,2)</x:f>
        <x:v>133.46</x:v>
      </x:c>
      <x:c r="N928" s="109" t="n">
        <x:v>0.1</x:v>
      </x:c>
      <x:c r="O928" s="97" t="n">
        <x:f>ROUND(M928*N928,2)</x:f>
        <x:v>13.35</x:v>
      </x:c>
      <x:c r="P928" s="94" t="str">
        <x:v>已确认</x:v>
      </x:c>
      <x:c r="Q928" s="97" t="n">
        <x:f>IF(P928="已退款",M928,0)</x:f>
        <x:v>0</x:v>
      </x:c>
      <x:c r="R928" s="97" t="n">
        <x:f>IF(P928="已退款",O928,0)</x:f>
        <x:v>0</x:v>
      </x:c>
      <x:c r="S928" s="97" t="n">
        <x:f>O928-R928</x:f>
        <x:v>13.35</x:v>
      </x:c>
      <x:c r="T928" s="94" t="n">
        <x:v>1</x:v>
      </x:c>
      <x:c r="U928" s="94" t="str">
        <x:v>模拟：Amazon Associates订单回传</x:v>
      </x:c>
    </x:row>
    <x:row r="929">
      <x:c r="A929" s="92" t="str">
        <x:v>AMZ-ORD-00928</x:v>
      </x:c>
      <x:c r="B929" s="94" t="str">
        <x:v>PROC-0925</x:v>
      </x:c>
      <x:c r="C929" s="108" t="n">
        <x:v>46190.39513888889</x:v>
      </x:c>
      <x:c r="D929" s="93" t="n">
        <x:v>46190</x:v>
      </x:c>
      <x:c r="E929" s="94" t="str">
        <x:v>Google Ads</x:v>
      </x:c>
      <x:c r="F929" s="94" t="str">
        <x:v>英国</x:v>
      </x:c>
      <x:c r="G929" s="94" t="str">
        <x:v>购物广告</x:v>
      </x:c>
      <x:c r="H929" s="94" t="str">
        <x:v>SKU-0024</x:v>
      </x:c>
      <x:c r="I929" s="94" t="str">
        <x:v>运动健康</x:v>
      </x:c>
      <x:c r="J929" s="94" t="str">
        <x:v>筋膜枪 D</x:v>
      </x:c>
      <x:c r="K929" s="97" t="n">
        <x:v>124.51</x:v>
      </x:c>
      <x:c r="L929" s="95" t="n">
        <x:v>2</x:v>
      </x:c>
      <x:c r="M929" s="97" t="n">
        <x:f>ROUND(K929*L929,2)</x:f>
        <x:v>249.02</x:v>
      </x:c>
      <x:c r="N929" s="109" t="n">
        <x:v>0.08</x:v>
      </x:c>
      <x:c r="O929" s="97" t="n">
        <x:f>ROUND(M929*N929,2)</x:f>
        <x:v>19.92</x:v>
      </x:c>
      <x:c r="P929" s="94" t="str">
        <x:v>已确认</x:v>
      </x:c>
      <x:c r="Q929" s="97" t="n">
        <x:f>IF(P929="已退款",M929,0)</x:f>
        <x:v>0</x:v>
      </x:c>
      <x:c r="R929" s="97" t="n">
        <x:f>IF(P929="已退款",O929,0)</x:f>
        <x:v>0</x:v>
      </x:c>
      <x:c r="S929" s="97" t="n">
        <x:f>O929-R929</x:f>
        <x:v>19.92</x:v>
      </x:c>
      <x:c r="T929" s="94" t="n">
        <x:v>0</x:v>
      </x:c>
      <x:c r="U929" s="94" t="str">
        <x:v>模拟：Amazon Associates订单回传</x:v>
      </x:c>
    </x:row>
    <x:row r="930">
      <x:c r="A930" s="92" t="str">
        <x:v>AMZ-ORD-00929</x:v>
      </x:c>
      <x:c r="B930" s="94" t="str">
        <x:v>PROC-0925</x:v>
      </x:c>
      <x:c r="C930" s="108" t="n">
        <x:v>46192.60277777778</x:v>
      </x:c>
      <x:c r="D930" s="93" t="n">
        <x:v>46190</x:v>
      </x:c>
      <x:c r="E930" s="94" t="str">
        <x:v>Google Ads</x:v>
      </x:c>
      <x:c r="F930" s="94" t="str">
        <x:v>英国</x:v>
      </x:c>
      <x:c r="G930" s="94" t="str">
        <x:v>购物广告</x:v>
      </x:c>
      <x:c r="H930" s="94" t="str">
        <x:v>SKU-0034</x:v>
      </x:c>
      <x:c r="I930" s="94" t="str">
        <x:v>美妆个护</x:v>
      </x:c>
      <x:c r="J930" s="94" t="str">
        <x:v>电动牙刷 D</x:v>
      </x:c>
      <x:c r="K930" s="97" t="n">
        <x:v>38.11</x:v>
      </x:c>
      <x:c r="L930" s="95" t="n">
        <x:v>2</x:v>
      </x:c>
      <x:c r="M930" s="97" t="n">
        <x:f>ROUND(K930*L930,2)</x:f>
        <x:v>76.22</x:v>
      </x:c>
      <x:c r="N930" s="109" t="n">
        <x:v>0.1</x:v>
      </x:c>
      <x:c r="O930" s="97" t="n">
        <x:f>ROUND(M930*N930,2)</x:f>
        <x:v>7.62</x:v>
      </x:c>
      <x:c r="P930" s="94" t="str">
        <x:v>已确认</x:v>
      </x:c>
      <x:c r="Q930" s="97" t="n">
        <x:f>IF(P930="已退款",M930,0)</x:f>
        <x:v>0</x:v>
      </x:c>
      <x:c r="R930" s="97" t="n">
        <x:f>IF(P930="已退款",O930,0)</x:f>
        <x:v>0</x:v>
      </x:c>
      <x:c r="S930" s="97" t="n">
        <x:f>O930-R930</x:f>
        <x:v>7.62</x:v>
      </x:c>
      <x:c r="T930" s="94" t="n">
        <x:v>2</x:v>
      </x:c>
      <x:c r="U930" s="94" t="str">
        <x:v>模拟：Amazon Associates订单回传</x:v>
      </x:c>
    </x:row>
    <x:row r="931">
      <x:c r="A931" s="92" t="str">
        <x:v>AMZ-ORD-00930</x:v>
      </x:c>
      <x:c r="B931" s="94" t="str">
        <x:v>PROC-0926</x:v>
      </x:c>
      <x:c r="C931" s="108" t="n">
        <x:v>46192.35763888889</x:v>
      </x:c>
      <x:c r="D931" s="93" t="n">
        <x:v>46190</x:v>
      </x:c>
      <x:c r="E931" s="94" t="str">
        <x:v>Microsoft Ads</x:v>
      </x:c>
      <x:c r="F931" s="94" t="str">
        <x:v>美国</x:v>
      </x:c>
      <x:c r="G931" s="94" t="str">
        <x:v>购物广告</x:v>
      </x:c>
      <x:c r="H931" s="94" t="str">
        <x:v>SKU-0042</x:v>
      </x:c>
      <x:c r="I931" s="94" t="str">
        <x:v>办公学习</x:v>
      </x:c>
      <x:c r="J931" s="94" t="str">
        <x:v>护眼台灯 B</x:v>
      </x:c>
      <x:c r="K931" s="97" t="n">
        <x:v>226.45</x:v>
      </x:c>
      <x:c r="L931" s="95" t="n">
        <x:v>1</x:v>
      </x:c>
      <x:c r="M931" s="97" t="n">
        <x:f>ROUND(K931*L931,2)</x:f>
        <x:v>226.45</x:v>
      </x:c>
      <x:c r="N931" s="109" t="n">
        <x:v>0.07</x:v>
      </x:c>
      <x:c r="O931" s="97" t="n">
        <x:f>ROUND(M931*N931,2)</x:f>
        <x:v>15.85</x:v>
      </x:c>
      <x:c r="P931" s="94" t="str">
        <x:v>待确认</x:v>
      </x:c>
      <x:c r="Q931" s="97" t="n">
        <x:f>IF(P931="已退款",M931,0)</x:f>
        <x:v>0</x:v>
      </x:c>
      <x:c r="R931" s="97" t="n">
        <x:f>IF(P931="已退款",O931,0)</x:f>
        <x:v>0</x:v>
      </x:c>
      <x:c r="S931" s="97" t="n">
        <x:f>O931-R931</x:f>
        <x:v>15.85</x:v>
      </x:c>
      <x:c r="T931" s="94" t="n">
        <x:v>2</x:v>
      </x:c>
      <x:c r="U931" s="94" t="str">
        <x:v>模拟：Amazon Associates订单回传</x:v>
      </x:c>
    </x:row>
    <x:row r="932">
      <x:c r="A932" s="92" t="str">
        <x:v>AMZ-ORD-00931</x:v>
      </x:c>
      <x:c r="B932" s="94" t="str">
        <x:v>PROC-0926</x:v>
      </x:c>
      <x:c r="C932" s="108" t="n">
        <x:v>46190.71111111111</x:v>
      </x:c>
      <x:c r="D932" s="93" t="n">
        <x:v>46190</x:v>
      </x:c>
      <x:c r="E932" s="94" t="str">
        <x:v>Microsoft Ads</x:v>
      </x:c>
      <x:c r="F932" s="94" t="str">
        <x:v>美国</x:v>
      </x:c>
      <x:c r="G932" s="94" t="str">
        <x:v>购物广告</x:v>
      </x:c>
      <x:c r="H932" s="94" t="str">
        <x:v>SKU-0012</x:v>
      </x:c>
      <x:c r="I932" s="94" t="str">
        <x:v>家居生活</x:v>
      </x:c>
      <x:c r="J932" s="94" t="str">
        <x:v>咖啡机 B</x:v>
      </x:c>
      <x:c r="K932" s="97" t="n">
        <x:v>264.25</x:v>
      </x:c>
      <x:c r="L932" s="95" t="n">
        <x:v>1</x:v>
      </x:c>
      <x:c r="M932" s="97" t="n">
        <x:f>ROUND(K932*L932,2)</x:f>
        <x:v>264.25</x:v>
      </x:c>
      <x:c r="N932" s="109" t="n">
        <x:v>0.07</x:v>
      </x:c>
      <x:c r="O932" s="97" t="n">
        <x:f>ROUND(M932*N932,2)</x:f>
        <x:v>18.5</x:v>
      </x:c>
      <x:c r="P932" s="94" t="str">
        <x:v>已确认</x:v>
      </x:c>
      <x:c r="Q932" s="97" t="n">
        <x:f>IF(P932="已退款",M932,0)</x:f>
        <x:v>0</x:v>
      </x:c>
      <x:c r="R932" s="97" t="n">
        <x:f>IF(P932="已退款",O932,0)</x:f>
        <x:v>0</x:v>
      </x:c>
      <x:c r="S932" s="97" t="n">
        <x:f>O932-R932</x:f>
        <x:v>18.5</x:v>
      </x:c>
      <x:c r="T932" s="94" t="n">
        <x:v>0</x:v>
      </x:c>
      <x:c r="U932" s="94" t="str">
        <x:v>模拟：Amazon Associates订单回传</x:v>
      </x:c>
    </x:row>
    <x:row r="933">
      <x:c r="A933" s="92" t="str">
        <x:v>AMZ-ORD-00932</x:v>
      </x:c>
      <x:c r="B933" s="94" t="str">
        <x:v>PROC-0927</x:v>
      </x:c>
      <x:c r="C933" s="108" t="n">
        <x:v>46194.36041666667</x:v>
      </x:c>
      <x:c r="D933" s="93" t="n">
        <x:v>46190</x:v>
      </x:c>
      <x:c r="E933" s="94" t="str">
        <x:v>Google Ads</x:v>
      </x:c>
      <x:c r="F933" s="94" t="str">
        <x:v>美国</x:v>
      </x:c>
      <x:c r="G933" s="94" t="str">
        <x:v>购物广告</x:v>
      </x:c>
      <x:c r="H933" s="94" t="str">
        <x:v>SKU-0015</x:v>
      </x:c>
      <x:c r="I933" s="94" t="str">
        <x:v>家居生活</x:v>
      </x:c>
      <x:c r="J933" s="94" t="str">
        <x:v>床品套装 E</x:v>
      </x:c>
      <x:c r="K933" s="97" t="n">
        <x:v>103.88</x:v>
      </x:c>
      <x:c r="L933" s="95" t="n">
        <x:v>1</x:v>
      </x:c>
      <x:c r="M933" s="97" t="n">
        <x:f>ROUND(K933*L933,2)</x:f>
        <x:v>103.88</x:v>
      </x:c>
      <x:c r="N933" s="109" t="n">
        <x:v>0.07</x:v>
      </x:c>
      <x:c r="O933" s="97" t="n">
        <x:f>ROUND(M933*N933,2)</x:f>
        <x:v>7.27</x:v>
      </x:c>
      <x:c r="P933" s="94" t="str">
        <x:v>已确认</x:v>
      </x:c>
      <x:c r="Q933" s="97" t="n">
        <x:f>IF(P933="已退款",M933,0)</x:f>
        <x:v>0</x:v>
      </x:c>
      <x:c r="R933" s="97" t="n">
        <x:f>IF(P933="已退款",O933,0)</x:f>
        <x:v>0</x:v>
      </x:c>
      <x:c r="S933" s="97" t="n">
        <x:f>O933-R933</x:f>
        <x:v>7.27</x:v>
      </x:c>
      <x:c r="T933" s="94" t="n">
        <x:v>4</x:v>
      </x:c>
      <x:c r="U933" s="94" t="str">
        <x:v>模拟：Amazon Associates订单回传</x:v>
      </x:c>
    </x:row>
    <x:row r="934">
      <x:c r="A934" s="92" t="str">
        <x:v>AMZ-ORD-00933</x:v>
      </x:c>
      <x:c r="B934" s="94" t="str">
        <x:v>PROC-0928</x:v>
      </x:c>
      <x:c r="C934" s="108" t="n">
        <x:v>46194.895833333336</x:v>
      </x:c>
      <x:c r="D934" s="93" t="n">
        <x:v>46190</x:v>
      </x:c>
      <x:c r="E934" s="94" t="str">
        <x:v>Google Ads</x:v>
      </x:c>
      <x:c r="F934" s="94" t="str">
        <x:v>美国</x:v>
      </x:c>
      <x:c r="G934" s="94" t="str">
        <x:v>竞品搜索</x:v>
      </x:c>
      <x:c r="H934" s="94" t="str">
        <x:v>SKU-0031</x:v>
      </x:c>
      <x:c r="I934" s="94" t="str">
        <x:v>美妆个护</x:v>
      </x:c>
      <x:c r="J934" s="94" t="str">
        <x:v>洁面仪 A</x:v>
      </x:c>
      <x:c r="K934" s="97" t="n">
        <x:v>115.64</x:v>
      </x:c>
      <x:c r="L934" s="95" t="n">
        <x:v>2</x:v>
      </x:c>
      <x:c r="M934" s="97" t="n">
        <x:f>ROUND(K934*L934,2)</x:f>
        <x:v>231.28</x:v>
      </x:c>
      <x:c r="N934" s="109" t="n">
        <x:v>0.1</x:v>
      </x:c>
      <x:c r="O934" s="97" t="n">
        <x:f>ROUND(M934*N934,2)</x:f>
        <x:v>23.13</x:v>
      </x:c>
      <x:c r="P934" s="94" t="str">
        <x:v>已确认</x:v>
      </x:c>
      <x:c r="Q934" s="97" t="n">
        <x:f>IF(P934="已退款",M934,0)</x:f>
        <x:v>0</x:v>
      </x:c>
      <x:c r="R934" s="97" t="n">
        <x:f>IF(P934="已退款",O934,0)</x:f>
        <x:v>0</x:v>
      </x:c>
      <x:c r="S934" s="97" t="n">
        <x:f>O934-R934</x:f>
        <x:v>23.13</x:v>
      </x:c>
      <x:c r="T934" s="94" t="n">
        <x:v>4</x:v>
      </x:c>
      <x:c r="U934" s="94" t="str">
        <x:v>模拟：Amazon Associates订单回传</x:v>
      </x:c>
    </x:row>
    <x:row r="935">
      <x:c r="A935" s="92" t="str">
        <x:v>AMZ-ORD-00934</x:v>
      </x:c>
      <x:c r="B935" s="94" t="str">
        <x:v>PROC-0932</x:v>
      </x:c>
      <x:c r="C935" s="108" t="n">
        <x:v>46192.82777777778</x:v>
      </x:c>
      <x:c r="D935" s="93" t="n">
        <x:v>46191</x:v>
      </x:c>
      <x:c r="E935" s="94" t="str">
        <x:v>Google Ads</x:v>
      </x:c>
      <x:c r="F935" s="94" t="str">
        <x:v>美国</x:v>
      </x:c>
      <x:c r="G935" s="94" t="str">
        <x:v>品牌搜索</x:v>
      </x:c>
      <x:c r="H935" s="94" t="str">
        <x:v>SKU-0010</x:v>
      </x:c>
      <x:c r="I935" s="94" t="str">
        <x:v>电子产品</x:v>
      </x:c>
      <x:c r="J935" s="94" t="str">
        <x:v>多口扩展坞 J</x:v>
      </x:c>
      <x:c r="K935" s="97" t="n">
        <x:v>335.59</x:v>
      </x:c>
      <x:c r="L935" s="95" t="n">
        <x:v>2</x:v>
      </x:c>
      <x:c r="M935" s="97" t="n">
        <x:f>ROUND(K935*L935,2)</x:f>
        <x:v>671.18</x:v>
      </x:c>
      <x:c r="N935" s="109" t="n">
        <x:v>0.05</x:v>
      </x:c>
      <x:c r="O935" s="97" t="n">
        <x:f>ROUND(M935*N935,2)</x:f>
        <x:v>33.56</x:v>
      </x:c>
      <x:c r="P935" s="94" t="str">
        <x:v>已退款</x:v>
      </x:c>
      <x:c r="Q935" s="97" t="n">
        <x:f>IF(P935="已退款",M935,0)</x:f>
        <x:v>671.18</x:v>
      </x:c>
      <x:c r="R935" s="97" t="n">
        <x:f>IF(P935="已退款",O935,0)</x:f>
        <x:v>33.56</x:v>
      </x:c>
      <x:c r="S935" s="97" t="n">
        <x:f>O935-R935</x:f>
        <x:v>0</x:v>
      </x:c>
      <x:c r="T935" s="94" t="n">
        <x:v>1</x:v>
      </x:c>
      <x:c r="U935" s="94" t="str">
        <x:v>模拟：Amazon Associates订单回传</x:v>
      </x:c>
    </x:row>
    <x:row r="936">
      <x:c r="A936" s="92" t="str">
        <x:v>AMZ-ORD-00935</x:v>
      </x:c>
      <x:c r="B936" s="94" t="str">
        <x:v>PROC-0933</x:v>
      </x:c>
      <x:c r="C936" s="108" t="n">
        <x:v>46193.82847222222</x:v>
      </x:c>
      <x:c r="D936" s="93" t="n">
        <x:v>46191</x:v>
      </x:c>
      <x:c r="E936" s="94" t="str">
        <x:v>Google Ads</x:v>
      </x:c>
      <x:c r="F936" s="94" t="str">
        <x:v>美国</x:v>
      </x:c>
      <x:c r="G936" s="94" t="str">
        <x:v>购物广告</x:v>
      </x:c>
      <x:c r="H936" s="94" t="str">
        <x:v>SKU-0001</x:v>
      </x:c>
      <x:c r="I936" s="94" t="str">
        <x:v>电子产品</x:v>
      </x:c>
      <x:c r="J936" s="94" t="str">
        <x:v>无线耳机 A</x:v>
      </x:c>
      <x:c r="K936" s="97" t="n">
        <x:v>665.4</x:v>
      </x:c>
      <x:c r="L936" s="95" t="n">
        <x:v>1</x:v>
      </x:c>
      <x:c r="M936" s="97" t="n">
        <x:f>ROUND(K936*L936,2)</x:f>
        <x:v>665.4</x:v>
      </x:c>
      <x:c r="N936" s="109" t="n">
        <x:v>0.05</x:v>
      </x:c>
      <x:c r="O936" s="97" t="n">
        <x:f>ROUND(M936*N936,2)</x:f>
        <x:v>33.27</x:v>
      </x:c>
      <x:c r="P936" s="94" t="str">
        <x:v>已确认</x:v>
      </x:c>
      <x:c r="Q936" s="97" t="n">
        <x:f>IF(P936="已退款",M936,0)</x:f>
        <x:v>0</x:v>
      </x:c>
      <x:c r="R936" s="97" t="n">
        <x:f>IF(P936="已退款",O936,0)</x:f>
        <x:v>0</x:v>
      </x:c>
      <x:c r="S936" s="97" t="n">
        <x:f>O936-R936</x:f>
        <x:v>33.27</x:v>
      </x:c>
      <x:c r="T936" s="94" t="n">
        <x:v>2</x:v>
      </x:c>
      <x:c r="U936" s="94" t="str">
        <x:v>模拟：Amazon Associates订单回传</x:v>
      </x:c>
    </x:row>
    <x:row r="937">
      <x:c r="A937" s="92" t="str">
        <x:v>AMZ-ORD-00936</x:v>
      </x:c>
      <x:c r="B937" s="94" t="str">
        <x:v>PROC-0935</x:v>
      </x:c>
      <x:c r="C937" s="108" t="n">
        <x:v>46194.472916666666</x:v>
      </x:c>
      <x:c r="D937" s="93" t="n">
        <x:v>46192</x:v>
      </x:c>
      <x:c r="E937" s="94" t="str">
        <x:v>Google Ads</x:v>
      </x:c>
      <x:c r="F937" s="94" t="str">
        <x:v>德国</x:v>
      </x:c>
      <x:c r="G937" s="94" t="str">
        <x:v>品牌搜索</x:v>
      </x:c>
      <x:c r="H937" s="94" t="str">
        <x:v>SKU-0022</x:v>
      </x:c>
      <x:c r="I937" s="94" t="str">
        <x:v>运动健康</x:v>
      </x:c>
      <x:c r="J937" s="94" t="str">
        <x:v>瑜伽套装 B</x:v>
      </x:c>
      <x:c r="K937" s="97" t="n">
        <x:v>190.51</x:v>
      </x:c>
      <x:c r="L937" s="95" t="n">
        <x:v>1</x:v>
      </x:c>
      <x:c r="M937" s="97" t="n">
        <x:f>ROUND(K937*L937,2)</x:f>
        <x:v>190.51</x:v>
      </x:c>
      <x:c r="N937" s="109" t="n">
        <x:v>0.08</x:v>
      </x:c>
      <x:c r="O937" s="97" t="n">
        <x:f>ROUND(M937*N937,2)</x:f>
        <x:v>15.24</x:v>
      </x:c>
      <x:c r="P937" s="94" t="str">
        <x:v>已退款</x:v>
      </x:c>
      <x:c r="Q937" s="97" t="n">
        <x:f>IF(P937="已退款",M937,0)</x:f>
        <x:v>190.51</x:v>
      </x:c>
      <x:c r="R937" s="97" t="n">
        <x:f>IF(P937="已退款",O937,0)</x:f>
        <x:v>15.24</x:v>
      </x:c>
      <x:c r="S937" s="97" t="n">
        <x:f>O937-R937</x:f>
        <x:v>0</x:v>
      </x:c>
      <x:c r="T937" s="94" t="n">
        <x:v>2</x:v>
      </x:c>
      <x:c r="U937" s="94" t="str">
        <x:v>模拟：Amazon Associates订单回传</x:v>
      </x:c>
    </x:row>
    <x:row r="938">
      <x:c r="A938" s="92" t="str">
        <x:v>AMZ-ORD-00937</x:v>
      </x:c>
      <x:c r="B938" s="94" t="str">
        <x:v>PROC-0936</x:v>
      </x:c>
      <x:c r="C938" s="108" t="n">
        <x:v>46192.70625</x:v>
      </x:c>
      <x:c r="D938" s="93" t="n">
        <x:v>46192</x:v>
      </x:c>
      <x:c r="E938" s="94" t="str">
        <x:v>Microsoft Ads</x:v>
      </x:c>
      <x:c r="F938" s="94" t="str">
        <x:v>美国</x:v>
      </x:c>
      <x:c r="G938" s="94" t="str">
        <x:v>通用搜索</x:v>
      </x:c>
      <x:c r="H938" s="94" t="str">
        <x:v>SKU-0004</x:v>
      </x:c>
      <x:c r="I938" s="94" t="str">
        <x:v>电子产品</x:v>
      </x:c>
      <x:c r="J938" s="94" t="str">
        <x:v>机械键盘 D</x:v>
      </x:c>
      <x:c r="K938" s="97" t="n">
        <x:v>632.73</x:v>
      </x:c>
      <x:c r="L938" s="95" t="n">
        <x:v>1</x:v>
      </x:c>
      <x:c r="M938" s="97" t="n">
        <x:f>ROUND(K938*L938,2)</x:f>
        <x:v>632.73</x:v>
      </x:c>
      <x:c r="N938" s="109" t="n">
        <x:v>0.05</x:v>
      </x:c>
      <x:c r="O938" s="97" t="n">
        <x:f>ROUND(M938*N938,2)</x:f>
        <x:v>31.64</x:v>
      </x:c>
      <x:c r="P938" s="94" t="str">
        <x:v>已退款</x:v>
      </x:c>
      <x:c r="Q938" s="97" t="n">
        <x:f>IF(P938="已退款",M938,0)</x:f>
        <x:v>632.73</x:v>
      </x:c>
      <x:c r="R938" s="97" t="n">
        <x:f>IF(P938="已退款",O938,0)</x:f>
        <x:v>31.64</x:v>
      </x:c>
      <x:c r="S938" s="97" t="n">
        <x:f>O938-R938</x:f>
        <x:v>0</x:v>
      </x:c>
      <x:c r="T938" s="94" t="n">
        <x:v>0</x:v>
      </x:c>
      <x:c r="U938" s="94" t="str">
        <x:v>模拟：Amazon Associates订单回传</x:v>
      </x:c>
    </x:row>
    <x:row r="939">
      <x:c r="A939" s="92" t="str">
        <x:v>AMZ-ORD-00938</x:v>
      </x:c>
      <x:c r="B939" s="94" t="str">
        <x:v>PROC-0937</x:v>
      </x:c>
      <x:c r="C939" s="108" t="n">
        <x:v>46195.34652777778</x:v>
      </x:c>
      <x:c r="D939" s="93" t="n">
        <x:v>46192</x:v>
      </x:c>
      <x:c r="E939" s="94" t="str">
        <x:v>Microsoft Ads</x:v>
      </x:c>
      <x:c r="F939" s="94" t="str">
        <x:v>美国</x:v>
      </x:c>
      <x:c r="G939" s="94" t="str">
        <x:v>通用搜索</x:v>
      </x:c>
      <x:c r="H939" s="94" t="str">
        <x:v>SKU-0002</x:v>
      </x:c>
      <x:c r="I939" s="94" t="str">
        <x:v>电子产品</x:v>
      </x:c>
      <x:c r="J939" s="94" t="str">
        <x:v>便携显示器 B</x:v>
      </x:c>
      <x:c r="K939" s="97" t="n">
        <x:v>500.95</x:v>
      </x:c>
      <x:c r="L939" s="95" t="n">
        <x:v>1</x:v>
      </x:c>
      <x:c r="M939" s="97" t="n">
        <x:f>ROUND(K939*L939,2)</x:f>
        <x:v>500.95</x:v>
      </x:c>
      <x:c r="N939" s="109" t="n">
        <x:v>0.05</x:v>
      </x:c>
      <x:c r="O939" s="97" t="n">
        <x:f>ROUND(M939*N939,2)</x:f>
        <x:v>25.05</x:v>
      </x:c>
      <x:c r="P939" s="94" t="str">
        <x:v>已确认</x:v>
      </x:c>
      <x:c r="Q939" s="97" t="n">
        <x:f>IF(P939="已退款",M939,0)</x:f>
        <x:v>0</x:v>
      </x:c>
      <x:c r="R939" s="97" t="n">
        <x:f>IF(P939="已退款",O939,0)</x:f>
        <x:v>0</x:v>
      </x:c>
      <x:c r="S939" s="97" t="n">
        <x:f>O939-R939</x:f>
        <x:v>25.05</x:v>
      </x:c>
      <x:c r="T939" s="94" t="n">
        <x:v>3</x:v>
      </x:c>
      <x:c r="U939" s="94" t="str">
        <x:v>模拟：Amazon Associates订单回传</x:v>
      </x:c>
    </x:row>
    <x:row r="940">
      <x:c r="A940" s="92" t="str">
        <x:v>AMZ-ORD-00939</x:v>
      </x:c>
      <x:c r="B940" s="94" t="str">
        <x:v>PROC-0938</x:v>
      </x:c>
      <x:c r="C940" s="108" t="n">
        <x:v>46194.569444444445</x:v>
      </x:c>
      <x:c r="D940" s="93" t="n">
        <x:v>46192</x:v>
      </x:c>
      <x:c r="E940" s="94" t="str">
        <x:v>Google Ads</x:v>
      </x:c>
      <x:c r="F940" s="94" t="str">
        <x:v>美国</x:v>
      </x:c>
      <x:c r="G940" s="94" t="str">
        <x:v>通用搜索</x:v>
      </x:c>
      <x:c r="H940" s="94" t="str">
        <x:v>SKU-0002</x:v>
      </x:c>
      <x:c r="I940" s="94" t="str">
        <x:v>电子产品</x:v>
      </x:c>
      <x:c r="J940" s="94" t="str">
        <x:v>便携显示器 B</x:v>
      </x:c>
      <x:c r="K940" s="97" t="n">
        <x:v>268.16</x:v>
      </x:c>
      <x:c r="L940" s="95" t="n">
        <x:v>1</x:v>
      </x:c>
      <x:c r="M940" s="97" t="n">
        <x:f>ROUND(K940*L940,2)</x:f>
        <x:v>268.16</x:v>
      </x:c>
      <x:c r="N940" s="109" t="n">
        <x:v>0.05</x:v>
      </x:c>
      <x:c r="O940" s="97" t="n">
        <x:f>ROUND(M940*N940,2)</x:f>
        <x:v>13.41</x:v>
      </x:c>
      <x:c r="P940" s="94" t="str">
        <x:v>已确认</x:v>
      </x:c>
      <x:c r="Q940" s="97" t="n">
        <x:f>IF(P940="已退款",M940,0)</x:f>
        <x:v>0</x:v>
      </x:c>
      <x:c r="R940" s="97" t="n">
        <x:f>IF(P940="已退款",O940,0)</x:f>
        <x:v>0</x:v>
      </x:c>
      <x:c r="S940" s="97" t="n">
        <x:f>O940-R940</x:f>
        <x:v>13.41</x:v>
      </x:c>
      <x:c r="T940" s="94" t="n">
        <x:v>2</x:v>
      </x:c>
      <x:c r="U940" s="94" t="str">
        <x:v>模拟：Amazon Associates订单回传</x:v>
      </x:c>
    </x:row>
    <x:row r="941">
      <x:c r="A941" s="92" t="str">
        <x:v>AMZ-ORD-00940</x:v>
      </x:c>
      <x:c r="B941" s="94" t="str">
        <x:v>PROC-0939</x:v>
      </x:c>
      <x:c r="C941" s="108" t="n">
        <x:v>46196.455555555556</x:v>
      </x:c>
      <x:c r="D941" s="93" t="n">
        <x:v>46192</x:v>
      </x:c>
      <x:c r="E941" s="94" t="str">
        <x:v>Microsoft Ads</x:v>
      </x:c>
      <x:c r="F941" s="94" t="str">
        <x:v>美国</x:v>
      </x:c>
      <x:c r="G941" s="94" t="str">
        <x:v>通用搜索</x:v>
      </x:c>
      <x:c r="H941" s="94" t="str">
        <x:v>SKU-0040</x:v>
      </x:c>
      <x:c r="I941" s="94" t="str">
        <x:v>美妆个护</x:v>
      </x:c>
      <x:c r="J941" s="94" t="str">
        <x:v>旅行护理套装 J</x:v>
      </x:c>
      <x:c r="K941" s="97" t="n">
        <x:v>141.74</x:v>
      </x:c>
      <x:c r="L941" s="95" t="n">
        <x:v>1</x:v>
      </x:c>
      <x:c r="M941" s="97" t="n">
        <x:f>ROUND(K941*L941,2)</x:f>
        <x:v>141.74</x:v>
      </x:c>
      <x:c r="N941" s="109" t="n">
        <x:v>0.1</x:v>
      </x:c>
      <x:c r="O941" s="97" t="n">
        <x:f>ROUND(M941*N941,2)</x:f>
        <x:v>14.17</x:v>
      </x:c>
      <x:c r="P941" s="94" t="str">
        <x:v>已确认</x:v>
      </x:c>
      <x:c r="Q941" s="97" t="n">
        <x:f>IF(P941="已退款",M941,0)</x:f>
        <x:v>0</x:v>
      </x:c>
      <x:c r="R941" s="97" t="n">
        <x:f>IF(P941="已退款",O941,0)</x:f>
        <x:v>0</x:v>
      </x:c>
      <x:c r="S941" s="97" t="n">
        <x:f>O941-R941</x:f>
        <x:v>14.17</x:v>
      </x:c>
      <x:c r="T941" s="94" t="n">
        <x:v>4</x:v>
      </x:c>
      <x:c r="U941" s="94" t="str">
        <x:v>模拟：Amazon Associates订单回传</x:v>
      </x:c>
    </x:row>
    <x:row r="942">
      <x:c r="A942" s="92" t="str">
        <x:v>AMZ-ORD-00941</x:v>
      </x:c>
      <x:c r="B942" s="94" t="str">
        <x:v>PROC-0943</x:v>
      </x:c>
      <x:c r="C942" s="108" t="n">
        <x:v>46194.71944444445</x:v>
      </x:c>
      <x:c r="D942" s="93" t="n">
        <x:v>46193</x:v>
      </x:c>
      <x:c r="E942" s="94" t="str">
        <x:v>Microsoft Ads</x:v>
      </x:c>
      <x:c r="F942" s="94" t="str">
        <x:v>美国</x:v>
      </x:c>
      <x:c r="G942" s="94" t="str">
        <x:v>竞品搜索</x:v>
      </x:c>
      <x:c r="H942" s="94" t="str">
        <x:v>SKU-0002</x:v>
      </x:c>
      <x:c r="I942" s="94" t="str">
        <x:v>电子产品</x:v>
      </x:c>
      <x:c r="J942" s="94" t="str">
        <x:v>便携显示器 B</x:v>
      </x:c>
      <x:c r="K942" s="97" t="n">
        <x:v>232.49</x:v>
      </x:c>
      <x:c r="L942" s="95" t="n">
        <x:v>3</x:v>
      </x:c>
      <x:c r="M942" s="97" t="n">
        <x:f>ROUND(K942*L942,2)</x:f>
        <x:v>697.47</x:v>
      </x:c>
      <x:c r="N942" s="109" t="n">
        <x:v>0.05</x:v>
      </x:c>
      <x:c r="O942" s="97" t="n">
        <x:f>ROUND(M942*N942,2)</x:f>
        <x:v>34.87</x:v>
      </x:c>
      <x:c r="P942" s="94" t="str">
        <x:v>已确认</x:v>
      </x:c>
      <x:c r="Q942" s="97" t="n">
        <x:f>IF(P942="已退款",M942,0)</x:f>
        <x:v>0</x:v>
      </x:c>
      <x:c r="R942" s="97" t="n">
        <x:f>IF(P942="已退款",O942,0)</x:f>
        <x:v>0</x:v>
      </x:c>
      <x:c r="S942" s="97" t="n">
        <x:f>O942-R942</x:f>
        <x:v>34.87</x:v>
      </x:c>
      <x:c r="T942" s="94" t="n">
        <x:v>1</x:v>
      </x:c>
      <x:c r="U942" s="94" t="str">
        <x:v>模拟：Amazon Associates订单回传</x:v>
      </x:c>
    </x:row>
    <x:row r="943">
      <x:c r="A943" s="92" t="str">
        <x:v>AMZ-ORD-00942</x:v>
      </x:c>
      <x:c r="B943" s="94" t="str">
        <x:v>PROC-0944</x:v>
      </x:c>
      <x:c r="C943" s="108" t="n">
        <x:v>46195.77916666667</x:v>
      </x:c>
      <x:c r="D943" s="93" t="n">
        <x:v>46193</x:v>
      </x:c>
      <x:c r="E943" s="94" t="str">
        <x:v>Google Ads</x:v>
      </x:c>
      <x:c r="F943" s="94" t="str">
        <x:v>美国</x:v>
      </x:c>
      <x:c r="G943" s="94" t="str">
        <x:v>通用搜索</x:v>
      </x:c>
      <x:c r="H943" s="94" t="str">
        <x:v>SKU-0002</x:v>
      </x:c>
      <x:c r="I943" s="94" t="str">
        <x:v>电子产品</x:v>
      </x:c>
      <x:c r="J943" s="94" t="str">
        <x:v>便携显示器 B</x:v>
      </x:c>
      <x:c r="K943" s="97" t="n">
        <x:v>600.17</x:v>
      </x:c>
      <x:c r="L943" s="95" t="n">
        <x:v>1</x:v>
      </x:c>
      <x:c r="M943" s="97" t="n">
        <x:f>ROUND(K943*L943,2)</x:f>
        <x:v>600.17</x:v>
      </x:c>
      <x:c r="N943" s="109" t="n">
        <x:v>0.05</x:v>
      </x:c>
      <x:c r="O943" s="97" t="n">
        <x:f>ROUND(M943*N943,2)</x:f>
        <x:v>30.01</x:v>
      </x:c>
      <x:c r="P943" s="94" t="str">
        <x:v>已确认</x:v>
      </x:c>
      <x:c r="Q943" s="97" t="n">
        <x:f>IF(P943="已退款",M943,0)</x:f>
        <x:v>0</x:v>
      </x:c>
      <x:c r="R943" s="97" t="n">
        <x:f>IF(P943="已退款",O943,0)</x:f>
        <x:v>0</x:v>
      </x:c>
      <x:c r="S943" s="97" t="n">
        <x:f>O943-R943</x:f>
        <x:v>30.01</x:v>
      </x:c>
      <x:c r="T943" s="94" t="n">
        <x:v>2</x:v>
      </x:c>
      <x:c r="U943" s="94" t="str">
        <x:v>模拟：Amazon Associates订单回传</x:v>
      </x:c>
    </x:row>
    <x:row r="944">
      <x:c r="A944" s="92" t="str">
        <x:v>AMZ-ORD-00943</x:v>
      </x:c>
      <x:c r="B944" s="94" t="str">
        <x:v>PROC-0946</x:v>
      </x:c>
      <x:c r="C944" s="108" t="n">
        <x:v>46195.592361111114</x:v>
      </x:c>
      <x:c r="D944" s="93" t="n">
        <x:v>46194</x:v>
      </x:c>
      <x:c r="E944" s="94" t="str">
        <x:v>Google Ads</x:v>
      </x:c>
      <x:c r="F944" s="94" t="str">
        <x:v>日本</x:v>
      </x:c>
      <x:c r="G944" s="94" t="str">
        <x:v>品牌搜索</x:v>
      </x:c>
      <x:c r="H944" s="94" t="str">
        <x:v>SKU-0021</x:v>
      </x:c>
      <x:c r="I944" s="94" t="str">
        <x:v>运动健康</x:v>
      </x:c>
      <x:c r="J944" s="94" t="str">
        <x:v>智能手表 A</x:v>
      </x:c>
      <x:c r="K944" s="97" t="n">
        <x:v>145.94</x:v>
      </x:c>
      <x:c r="L944" s="95" t="n">
        <x:v>3</x:v>
      </x:c>
      <x:c r="M944" s="97" t="n">
        <x:f>ROUND(K944*L944,2)</x:f>
        <x:v>437.82</x:v>
      </x:c>
      <x:c r="N944" s="109" t="n">
        <x:v>0.08</x:v>
      </x:c>
      <x:c r="O944" s="97" t="n">
        <x:f>ROUND(M944*N944,2)</x:f>
        <x:v>35.03</x:v>
      </x:c>
      <x:c r="P944" s="94" t="str">
        <x:v>已确认</x:v>
      </x:c>
      <x:c r="Q944" s="97" t="n">
        <x:f>IF(P944="已退款",M944,0)</x:f>
        <x:v>0</x:v>
      </x:c>
      <x:c r="R944" s="97" t="n">
        <x:f>IF(P944="已退款",O944,0)</x:f>
        <x:v>0</x:v>
      </x:c>
      <x:c r="S944" s="97" t="n">
        <x:f>O944-R944</x:f>
        <x:v>35.03</x:v>
      </x:c>
      <x:c r="T944" s="94" t="n">
        <x:v>1</x:v>
      </x:c>
      <x:c r="U944" s="94" t="str">
        <x:v>模拟：Amazon Associates订单回传</x:v>
      </x:c>
    </x:row>
    <x:row r="945">
      <x:c r="A945" s="92" t="str">
        <x:v>AMZ-ORD-00944</x:v>
      </x:c>
      <x:c r="B945" s="94" t="str">
        <x:v>PROC-0946</x:v>
      </x:c>
      <x:c r="C945" s="108" t="n">
        <x:v>46194.78125</x:v>
      </x:c>
      <x:c r="D945" s="93" t="n">
        <x:v>46194</x:v>
      </x:c>
      <x:c r="E945" s="94" t="str">
        <x:v>Google Ads</x:v>
      </x:c>
      <x:c r="F945" s="94" t="str">
        <x:v>日本</x:v>
      </x:c>
      <x:c r="G945" s="94" t="str">
        <x:v>品牌搜索</x:v>
      </x:c>
      <x:c r="H945" s="94" t="str">
        <x:v>SKU-0046</x:v>
      </x:c>
      <x:c r="I945" s="94" t="str">
        <x:v>办公学习</x:v>
      </x:c>
      <x:c r="J945" s="94" t="str">
        <x:v>高清摄像头 F</x:v>
      </x:c>
      <x:c r="K945" s="97" t="n">
        <x:v>168.6</x:v>
      </x:c>
      <x:c r="L945" s="95" t="n">
        <x:v>1</x:v>
      </x:c>
      <x:c r="M945" s="97" t="n">
        <x:f>ROUND(K945*L945,2)</x:f>
        <x:v>168.6</x:v>
      </x:c>
      <x:c r="N945" s="109" t="n">
        <x:v>0.07</x:v>
      </x:c>
      <x:c r="O945" s="97" t="n">
        <x:f>ROUND(M945*N945,2)</x:f>
        <x:v>11.8</x:v>
      </x:c>
      <x:c r="P945" s="94" t="str">
        <x:v>已确认</x:v>
      </x:c>
      <x:c r="Q945" s="97" t="n">
        <x:f>IF(P945="已退款",M945,0)</x:f>
        <x:v>0</x:v>
      </x:c>
      <x:c r="R945" s="97" t="n">
        <x:f>IF(P945="已退款",O945,0)</x:f>
        <x:v>0</x:v>
      </x:c>
      <x:c r="S945" s="97" t="n">
        <x:f>O945-R945</x:f>
        <x:v>11.8</x:v>
      </x:c>
      <x:c r="T945" s="94" t="n">
        <x:v>0</x:v>
      </x:c>
      <x:c r="U945" s="94" t="str">
        <x:v>模拟：Amazon Associates订单回传</x:v>
      </x:c>
    </x:row>
    <x:row r="946">
      <x:c r="A946" s="92" t="str">
        <x:v>AMZ-ORD-00945</x:v>
      </x:c>
      <x:c r="B946" s="94" t="str">
        <x:v>PROC-0947</x:v>
      </x:c>
      <x:c r="C946" s="108" t="n">
        <x:v>46195.36666666667</x:v>
      </x:c>
      <x:c r="D946" s="93" t="n">
        <x:v>46194</x:v>
      </x:c>
      <x:c r="E946" s="94" t="str">
        <x:v>Google Ads</x:v>
      </x:c>
      <x:c r="F946" s="94" t="str">
        <x:v>日本</x:v>
      </x:c>
      <x:c r="G946" s="94" t="str">
        <x:v>品牌搜索</x:v>
      </x:c>
      <x:c r="H946" s="94" t="str">
        <x:v>SKU-0050</x:v>
      </x:c>
      <x:c r="I946" s="94" t="str">
        <x:v>办公学习</x:v>
      </x:c>
      <x:c r="J946" s="94" t="str">
        <x:v>静音鼠标 J</x:v>
      </x:c>
      <x:c r="K946" s="97" t="n">
        <x:v>135.73</x:v>
      </x:c>
      <x:c r="L946" s="95" t="n">
        <x:v>1</x:v>
      </x:c>
      <x:c r="M946" s="97" t="n">
        <x:f>ROUND(K946*L946,2)</x:f>
        <x:v>135.73</x:v>
      </x:c>
      <x:c r="N946" s="109" t="n">
        <x:v>0.07</x:v>
      </x:c>
      <x:c r="O946" s="97" t="n">
        <x:f>ROUND(M946*N946,2)</x:f>
        <x:v>9.5</x:v>
      </x:c>
      <x:c r="P946" s="94" t="str">
        <x:v>已确认</x:v>
      </x:c>
      <x:c r="Q946" s="97" t="n">
        <x:f>IF(P946="已退款",M946,0)</x:f>
        <x:v>0</x:v>
      </x:c>
      <x:c r="R946" s="97" t="n">
        <x:f>IF(P946="已退款",O946,0)</x:f>
        <x:v>0</x:v>
      </x:c>
      <x:c r="S946" s="97" t="n">
        <x:f>O946-R946</x:f>
        <x:v>9.5</x:v>
      </x:c>
      <x:c r="T946" s="94" t="n">
        <x:v>1</x:v>
      </x:c>
      <x:c r="U946" s="94" t="str">
        <x:v>模拟：Amazon Associates订单回传</x:v>
      </x:c>
    </x:row>
    <x:row r="947">
      <x:c r="A947" s="92" t="str">
        <x:v>AMZ-ORD-00946</x:v>
      </x:c>
      <x:c r="B947" s="94" t="str">
        <x:v>PROC-0947</x:v>
      </x:c>
      <x:c r="C947" s="108" t="n">
        <x:v>46194.604166666664</x:v>
      </x:c>
      <x:c r="D947" s="93" t="n">
        <x:v>46194</x:v>
      </x:c>
      <x:c r="E947" s="94" t="str">
        <x:v>Google Ads</x:v>
      </x:c>
      <x:c r="F947" s="94" t="str">
        <x:v>日本</x:v>
      </x:c>
      <x:c r="G947" s="94" t="str">
        <x:v>品牌搜索</x:v>
      </x:c>
      <x:c r="H947" s="94" t="str">
        <x:v>SKU-0004</x:v>
      </x:c>
      <x:c r="I947" s="94" t="str">
        <x:v>电子产品</x:v>
      </x:c>
      <x:c r="J947" s="94" t="str">
        <x:v>机械键盘 D</x:v>
      </x:c>
      <x:c r="K947" s="97" t="n">
        <x:v>417.24</x:v>
      </x:c>
      <x:c r="L947" s="95" t="n">
        <x:v>2</x:v>
      </x:c>
      <x:c r="M947" s="97" t="n">
        <x:f>ROUND(K947*L947,2)</x:f>
        <x:v>834.48</x:v>
      </x:c>
      <x:c r="N947" s="109" t="n">
        <x:v>0.05</x:v>
      </x:c>
      <x:c r="O947" s="97" t="n">
        <x:f>ROUND(M947*N947,2)</x:f>
        <x:v>41.72</x:v>
      </x:c>
      <x:c r="P947" s="94" t="str">
        <x:v>已退款</x:v>
      </x:c>
      <x:c r="Q947" s="97" t="n">
        <x:f>IF(P947="已退款",M947,0)</x:f>
        <x:v>834.48</x:v>
      </x:c>
      <x:c r="R947" s="97" t="n">
        <x:f>IF(P947="已退款",O947,0)</x:f>
        <x:v>41.72</x:v>
      </x:c>
      <x:c r="S947" s="97" t="n">
        <x:f>O947-R947</x:f>
        <x:v>0</x:v>
      </x:c>
      <x:c r="T947" s="94" t="n">
        <x:v>0</x:v>
      </x:c>
      <x:c r="U947" s="94" t="str">
        <x:v>模拟：Amazon Associates订单回传</x:v>
      </x:c>
    </x:row>
    <x:row r="948">
      <x:c r="A948" s="92" t="str">
        <x:v>AMZ-ORD-00947</x:v>
      </x:c>
      <x:c r="B948" s="94" t="str">
        <x:v>PROC-0947</x:v>
      </x:c>
      <x:c r="C948" s="108" t="n">
        <x:v>46197.3375</x:v>
      </x:c>
      <x:c r="D948" s="93" t="n">
        <x:v>46194</x:v>
      </x:c>
      <x:c r="E948" s="94" t="str">
        <x:v>Google Ads</x:v>
      </x:c>
      <x:c r="F948" s="94" t="str">
        <x:v>日本</x:v>
      </x:c>
      <x:c r="G948" s="94" t="str">
        <x:v>品牌搜索</x:v>
      </x:c>
      <x:c r="H948" s="94" t="str">
        <x:v>SKU-0047</x:v>
      </x:c>
      <x:c r="I948" s="94" t="str">
        <x:v>办公学习</x:v>
      </x:c>
      <x:c r="J948" s="94" t="str">
        <x:v>标签打印机 G</x:v>
      </x:c>
      <x:c r="K948" s="97" t="n">
        <x:v>207.43</x:v>
      </x:c>
      <x:c r="L948" s="95" t="n">
        <x:v>1</x:v>
      </x:c>
      <x:c r="M948" s="97" t="n">
        <x:f>ROUND(K948*L948,2)</x:f>
        <x:v>207.43</x:v>
      </x:c>
      <x:c r="N948" s="109" t="n">
        <x:v>0.07</x:v>
      </x:c>
      <x:c r="O948" s="97" t="n">
        <x:f>ROUND(M948*N948,2)</x:f>
        <x:v>14.52</x:v>
      </x:c>
      <x:c r="P948" s="94" t="str">
        <x:v>已确认</x:v>
      </x:c>
      <x:c r="Q948" s="97" t="n">
        <x:f>IF(P948="已退款",M948,0)</x:f>
        <x:v>0</x:v>
      </x:c>
      <x:c r="R948" s="97" t="n">
        <x:f>IF(P948="已退款",O948,0)</x:f>
        <x:v>0</x:v>
      </x:c>
      <x:c r="S948" s="97" t="n">
        <x:f>O948-R948</x:f>
        <x:v>14.52</x:v>
      </x:c>
      <x:c r="T948" s="94" t="n">
        <x:v>3</x:v>
      </x:c>
      <x:c r="U948" s="94" t="str">
        <x:v>模拟：Amazon Associates订单回传</x:v>
      </x:c>
    </x:row>
    <x:row r="949">
      <x:c r="A949" s="92" t="str">
        <x:v>AMZ-ORD-00948</x:v>
      </x:c>
      <x:c r="B949" s="94" t="str">
        <x:v>PROC-0948</x:v>
      </x:c>
      <x:c r="C949" s="108" t="n">
        <x:v>46197.665972222225</x:v>
      </x:c>
      <x:c r="D949" s="93" t="n">
        <x:v>46194</x:v>
      </x:c>
      <x:c r="E949" s="94" t="str">
        <x:v>Google Ads</x:v>
      </x:c>
      <x:c r="F949" s="94" t="str">
        <x:v>美国</x:v>
      </x:c>
      <x:c r="G949" s="94" t="str">
        <x:v>品牌搜索</x:v>
      </x:c>
      <x:c r="H949" s="94" t="str">
        <x:v>SKU-0005</x:v>
      </x:c>
      <x:c r="I949" s="94" t="str">
        <x:v>电子产品</x:v>
      </x:c>
      <x:c r="J949" s="94" t="str">
        <x:v>降噪耳机 E</x:v>
      </x:c>
      <x:c r="K949" s="97" t="n">
        <x:v>742.55</x:v>
      </x:c>
      <x:c r="L949" s="95" t="n">
        <x:v>1</x:v>
      </x:c>
      <x:c r="M949" s="97" t="n">
        <x:f>ROUND(K949*L949,2)</x:f>
        <x:v>742.55</x:v>
      </x:c>
      <x:c r="N949" s="109" t="n">
        <x:v>0.05</x:v>
      </x:c>
      <x:c r="O949" s="97" t="n">
        <x:f>ROUND(M949*N949,2)</x:f>
        <x:v>37.13</x:v>
      </x:c>
      <x:c r="P949" s="94" t="str">
        <x:v>已确认</x:v>
      </x:c>
      <x:c r="Q949" s="97" t="n">
        <x:f>IF(P949="已退款",M949,0)</x:f>
        <x:v>0</x:v>
      </x:c>
      <x:c r="R949" s="97" t="n">
        <x:f>IF(P949="已退款",O949,0)</x:f>
        <x:v>0</x:v>
      </x:c>
      <x:c r="S949" s="97" t="n">
        <x:f>O949-R949</x:f>
        <x:v>37.13</x:v>
      </x:c>
      <x:c r="T949" s="94" t="n">
        <x:v>3</x:v>
      </x:c>
      <x:c r="U949" s="94" t="str">
        <x:v>模拟：Amazon Associates订单回传</x:v>
      </x:c>
    </x:row>
    <x:row r="950">
      <x:c r="A950" s="92" t="str">
        <x:v>AMZ-ORD-00949</x:v>
      </x:c>
      <x:c r="B950" s="94" t="str">
        <x:v>PROC-0949</x:v>
      </x:c>
      <x:c r="C950" s="108" t="n">
        <x:v>46195.677083333336</x:v>
      </x:c>
      <x:c r="D950" s="93" t="n">
        <x:v>46194</x:v>
      </x:c>
      <x:c r="E950" s="94" t="str">
        <x:v>Google Ads</x:v>
      </x:c>
      <x:c r="F950" s="94" t="str">
        <x:v>美国</x:v>
      </x:c>
      <x:c r="G950" s="94" t="str">
        <x:v>通用搜索</x:v>
      </x:c>
      <x:c r="H950" s="94" t="str">
        <x:v>SKU-0027</x:v>
      </x:c>
      <x:c r="I950" s="94" t="str">
        <x:v>运动健康</x:v>
      </x:c>
      <x:c r="J950" s="94" t="str">
        <x:v>户外背包 G</x:v>
      </x:c>
      <x:c r="K950" s="97" t="n">
        <x:v>240.42</x:v>
      </x:c>
      <x:c r="L950" s="95" t="n">
        <x:v>1</x:v>
      </x:c>
      <x:c r="M950" s="97" t="n">
        <x:f>ROUND(K950*L950,2)</x:f>
        <x:v>240.42</x:v>
      </x:c>
      <x:c r="N950" s="109" t="n">
        <x:v>0.08</x:v>
      </x:c>
      <x:c r="O950" s="97" t="n">
        <x:f>ROUND(M950*N950,2)</x:f>
        <x:v>19.23</x:v>
      </x:c>
      <x:c r="P950" s="94" t="str">
        <x:v>待确认</x:v>
      </x:c>
      <x:c r="Q950" s="97" t="n">
        <x:f>IF(P950="已退款",M950,0)</x:f>
        <x:v>0</x:v>
      </x:c>
      <x:c r="R950" s="97" t="n">
        <x:f>IF(P950="已退款",O950,0)</x:f>
        <x:v>0</x:v>
      </x:c>
      <x:c r="S950" s="97" t="n">
        <x:f>O950-R950</x:f>
        <x:v>19.23</x:v>
      </x:c>
      <x:c r="T950" s="94" t="n">
        <x:v>1</x:v>
      </x:c>
      <x:c r="U950" s="94" t="str">
        <x:v>模拟：Amazon Associates订单回传</x:v>
      </x:c>
    </x:row>
    <x:row r="951">
      <x:c r="A951" s="92" t="str">
        <x:v>AMZ-ORD-00950</x:v>
      </x:c>
      <x:c r="B951" s="94" t="str">
        <x:v>PROC-0950</x:v>
      </x:c>
      <x:c r="C951" s="108" t="n">
        <x:v>46198.4</x:v>
      </x:c>
      <x:c r="D951" s="93" t="n">
        <x:v>46194</x:v>
      </x:c>
      <x:c r="E951" s="94" t="str">
        <x:v>Google Ads</x:v>
      </x:c>
      <x:c r="F951" s="94" t="str">
        <x:v>德国</x:v>
      </x:c>
      <x:c r="G951" s="94" t="str">
        <x:v>购物广告</x:v>
      </x:c>
      <x:c r="H951" s="94" t="str">
        <x:v>SKU-0001</x:v>
      </x:c>
      <x:c r="I951" s="94" t="str">
        <x:v>电子产品</x:v>
      </x:c>
      <x:c r="J951" s="94" t="str">
        <x:v>无线耳机 A</x:v>
      </x:c>
      <x:c r="K951" s="97" t="n">
        <x:v>380.14</x:v>
      </x:c>
      <x:c r="L951" s="95" t="n">
        <x:v>1</x:v>
      </x:c>
      <x:c r="M951" s="97" t="n">
        <x:f>ROUND(K951*L951,2)</x:f>
        <x:v>380.14</x:v>
      </x:c>
      <x:c r="N951" s="109" t="n">
        <x:v>0.05</x:v>
      </x:c>
      <x:c r="O951" s="97" t="n">
        <x:f>ROUND(M951*N951,2)</x:f>
        <x:v>19.01</x:v>
      </x:c>
      <x:c r="P951" s="94" t="str">
        <x:v>已确认</x:v>
      </x:c>
      <x:c r="Q951" s="97" t="n">
        <x:f>IF(P951="已退款",M951,0)</x:f>
        <x:v>0</x:v>
      </x:c>
      <x:c r="R951" s="97" t="n">
        <x:f>IF(P951="已退款",O951,0)</x:f>
        <x:v>0</x:v>
      </x:c>
      <x:c r="S951" s="97" t="n">
        <x:f>O951-R951</x:f>
        <x:v>19.01</x:v>
      </x:c>
      <x:c r="T951" s="94" t="n">
        <x:v>4</x:v>
      </x:c>
      <x:c r="U951" s="94" t="str">
        <x:v>模拟：Amazon Associates订单回传</x:v>
      </x:c>
    </x:row>
    <x:row r="952">
      <x:c r="A952" s="92" t="str">
        <x:v>AMZ-ORD-00951</x:v>
      </x:c>
      <x:c r="B952" s="94" t="str">
        <x:v>PROC-0951</x:v>
      </x:c>
      <x:c r="C952" s="108" t="n">
        <x:v>46196.35763888889</x:v>
      </x:c>
      <x:c r="D952" s="93" t="n">
        <x:v>46194</x:v>
      </x:c>
      <x:c r="E952" s="94" t="str">
        <x:v>Microsoft Ads</x:v>
      </x:c>
      <x:c r="F952" s="94" t="str">
        <x:v>美国</x:v>
      </x:c>
      <x:c r="G952" s="94" t="str">
        <x:v>购物广告</x:v>
      </x:c>
      <x:c r="H952" s="94" t="str">
        <x:v>SKU-0014</x:v>
      </x:c>
      <x:c r="I952" s="94" t="str">
        <x:v>家居生活</x:v>
      </x:c>
      <x:c r="J952" s="94" t="str">
        <x:v>扫地机器人 D</x:v>
      </x:c>
      <x:c r="K952" s="97" t="n">
        <x:v>139.46</x:v>
      </x:c>
      <x:c r="L952" s="95" t="n">
        <x:v>1</x:v>
      </x:c>
      <x:c r="M952" s="97" t="n">
        <x:f>ROUND(K952*L952,2)</x:f>
        <x:v>139.46</x:v>
      </x:c>
      <x:c r="N952" s="109" t="n">
        <x:v>0.07</x:v>
      </x:c>
      <x:c r="O952" s="97" t="n">
        <x:f>ROUND(M952*N952,2)</x:f>
        <x:v>9.76</x:v>
      </x:c>
      <x:c r="P952" s="94" t="str">
        <x:v>已确认</x:v>
      </x:c>
      <x:c r="Q952" s="97" t="n">
        <x:f>IF(P952="已退款",M952,0)</x:f>
        <x:v>0</x:v>
      </x:c>
      <x:c r="R952" s="97" t="n">
        <x:f>IF(P952="已退款",O952,0)</x:f>
        <x:v>0</x:v>
      </x:c>
      <x:c r="S952" s="97" t="n">
        <x:f>O952-R952</x:f>
        <x:v>9.76</x:v>
      </x:c>
      <x:c r="T952" s="94" t="n">
        <x:v>2</x:v>
      </x:c>
      <x:c r="U952" s="94" t="str">
        <x:v>模拟：Amazon Associates订单回传</x:v>
      </x:c>
    </x:row>
    <x:row r="953">
      <x:c r="A953" s="92" t="str">
        <x:v>AMZ-ORD-00952</x:v>
      </x:c>
      <x:c r="B953" s="94" t="str">
        <x:v>PROC-0951</x:v>
      </x:c>
      <x:c r="C953" s="108" t="n">
        <x:v>46195.8625</x:v>
      </x:c>
      <x:c r="D953" s="93" t="n">
        <x:v>46194</x:v>
      </x:c>
      <x:c r="E953" s="94" t="str">
        <x:v>Microsoft Ads</x:v>
      </x:c>
      <x:c r="F953" s="94" t="str">
        <x:v>美国</x:v>
      </x:c>
      <x:c r="G953" s="94" t="str">
        <x:v>购物广告</x:v>
      </x:c>
      <x:c r="H953" s="94" t="str">
        <x:v>SKU-0008</x:v>
      </x:c>
      <x:c r="I953" s="94" t="str">
        <x:v>电子产品</x:v>
      </x:c>
      <x:c r="J953" s="94" t="str">
        <x:v>Wi-Fi路由器 H</x:v>
      </x:c>
      <x:c r="K953" s="97" t="n">
        <x:v>665.04</x:v>
      </x:c>
      <x:c r="L953" s="95" t="n">
        <x:v>1</x:v>
      </x:c>
      <x:c r="M953" s="97" t="n">
        <x:f>ROUND(K953*L953,2)</x:f>
        <x:v>665.04</x:v>
      </x:c>
      <x:c r="N953" s="109" t="n">
        <x:v>0.05</x:v>
      </x:c>
      <x:c r="O953" s="97" t="n">
        <x:f>ROUND(M953*N953,2)</x:f>
        <x:v>33.25</x:v>
      </x:c>
      <x:c r="P953" s="94" t="str">
        <x:v>已确认</x:v>
      </x:c>
      <x:c r="Q953" s="97" t="n">
        <x:f>IF(P953="已退款",M953,0)</x:f>
        <x:v>0</x:v>
      </x:c>
      <x:c r="R953" s="97" t="n">
        <x:f>IF(P953="已退款",O953,0)</x:f>
        <x:v>0</x:v>
      </x:c>
      <x:c r="S953" s="97" t="n">
        <x:f>O953-R953</x:f>
        <x:v>33.25</x:v>
      </x:c>
      <x:c r="T953" s="94" t="n">
        <x:v>1</x:v>
      </x:c>
      <x:c r="U953" s="94" t="str">
        <x:v>模拟：Amazon Associates订单回传</x:v>
      </x:c>
    </x:row>
    <x:row r="954">
      <x:c r="A954" s="92" t="str">
        <x:v>AMZ-ORD-00953</x:v>
      </x:c>
      <x:c r="B954" s="94" t="str">
        <x:v>PROC-0952</x:v>
      </x:c>
      <x:c r="C954" s="108" t="n">
        <x:v>46196.915972222225</x:v>
      </x:c>
      <x:c r="D954" s="93" t="n">
        <x:v>46195</x:v>
      </x:c>
      <x:c r="E954" s="94" t="str">
        <x:v>Microsoft Ads</x:v>
      </x:c>
      <x:c r="F954" s="94" t="str">
        <x:v>英国</x:v>
      </x:c>
      <x:c r="G954" s="94" t="str">
        <x:v>通用搜索</x:v>
      </x:c>
      <x:c r="H954" s="94" t="str">
        <x:v>SKU-0032</x:v>
      </x:c>
      <x:c r="I954" s="94" t="str">
        <x:v>美妆个护</x:v>
      </x:c>
      <x:c r="J954" s="94" t="str">
        <x:v>吹风机 B</x:v>
      </x:c>
      <x:c r="K954" s="97" t="n">
        <x:v>74.34</x:v>
      </x:c>
      <x:c r="L954" s="95" t="n">
        <x:v>3</x:v>
      </x:c>
      <x:c r="M954" s="97" t="n">
        <x:f>ROUND(K954*L954,2)</x:f>
        <x:v>223.02</x:v>
      </x:c>
      <x:c r="N954" s="109" t="n">
        <x:v>0.1</x:v>
      </x:c>
      <x:c r="O954" s="97" t="n">
        <x:f>ROUND(M954*N954,2)</x:f>
        <x:v>22.3</x:v>
      </x:c>
      <x:c r="P954" s="94" t="str">
        <x:v>已确认</x:v>
      </x:c>
      <x:c r="Q954" s="97" t="n">
        <x:f>IF(P954="已退款",M954,0)</x:f>
        <x:v>0</x:v>
      </x:c>
      <x:c r="R954" s="97" t="n">
        <x:f>IF(P954="已退款",O954,0)</x:f>
        <x:v>0</x:v>
      </x:c>
      <x:c r="S954" s="97" t="n">
        <x:f>O954-R954</x:f>
        <x:v>22.3</x:v>
      </x:c>
      <x:c r="T954" s="94" t="n">
        <x:v>1</x:v>
      </x:c>
      <x:c r="U954" s="94" t="str">
        <x:v>模拟：Amazon Associates订单回传</x:v>
      </x:c>
    </x:row>
    <x:row r="955">
      <x:c r="A955" s="92" t="str">
        <x:v>AMZ-ORD-00954</x:v>
      </x:c>
      <x:c r="B955" s="94" t="str">
        <x:v>PROC-0953</x:v>
      </x:c>
      <x:c r="C955" s="108" t="n">
        <x:v>46199.868055555555</x:v>
      </x:c>
      <x:c r="D955" s="93" t="n">
        <x:v>46195</x:v>
      </x:c>
      <x:c r="E955" s="94" t="str">
        <x:v>Google Ads</x:v>
      </x:c>
      <x:c r="F955" s="94" t="str">
        <x:v>英国</x:v>
      </x:c>
      <x:c r="G955" s="94" t="str">
        <x:v>品牌搜索</x:v>
      </x:c>
      <x:c r="H955" s="94" t="str">
        <x:v>SKU-0050</x:v>
      </x:c>
      <x:c r="I955" s="94" t="str">
        <x:v>办公学习</x:v>
      </x:c>
      <x:c r="J955" s="94" t="str">
        <x:v>静音鼠标 J</x:v>
      </x:c>
      <x:c r="K955" s="97" t="n">
        <x:v>155.25</x:v>
      </x:c>
      <x:c r="L955" s="95" t="n">
        <x:v>1</x:v>
      </x:c>
      <x:c r="M955" s="97" t="n">
        <x:f>ROUND(K955*L955,2)</x:f>
        <x:v>155.25</x:v>
      </x:c>
      <x:c r="N955" s="109" t="n">
        <x:v>0.07</x:v>
      </x:c>
      <x:c r="O955" s="97" t="n">
        <x:f>ROUND(M955*N955,2)</x:f>
        <x:v>10.87</x:v>
      </x:c>
      <x:c r="P955" s="94" t="str">
        <x:v>已确认</x:v>
      </x:c>
      <x:c r="Q955" s="97" t="n">
        <x:f>IF(P955="已退款",M955,0)</x:f>
        <x:v>0</x:v>
      </x:c>
      <x:c r="R955" s="97" t="n">
        <x:f>IF(P955="已退款",O955,0)</x:f>
        <x:v>0</x:v>
      </x:c>
      <x:c r="S955" s="97" t="n">
        <x:f>O955-R955</x:f>
        <x:v>10.87</x:v>
      </x:c>
      <x:c r="T955" s="94" t="n">
        <x:v>4</x:v>
      </x:c>
      <x:c r="U955" s="94" t="str">
        <x:v>模拟：Amazon Associates订单回传</x:v>
      </x:c>
    </x:row>
    <x:row r="956">
      <x:c r="A956" s="92" t="str">
        <x:v>AMZ-ORD-00955</x:v>
      </x:c>
      <x:c r="B956" s="94" t="str">
        <x:v>PROC-0953</x:v>
      </x:c>
      <x:c r="C956" s="108" t="n">
        <x:v>46198.677777777775</x:v>
      </x:c>
      <x:c r="D956" s="93" t="n">
        <x:v>46195</x:v>
      </x:c>
      <x:c r="E956" s="94" t="str">
        <x:v>Google Ads</x:v>
      </x:c>
      <x:c r="F956" s="94" t="str">
        <x:v>英国</x:v>
      </x:c>
      <x:c r="G956" s="94" t="str">
        <x:v>品牌搜索</x:v>
      </x:c>
      <x:c r="H956" s="94" t="str">
        <x:v>SKU-0042</x:v>
      </x:c>
      <x:c r="I956" s="94" t="str">
        <x:v>办公学习</x:v>
      </x:c>
      <x:c r="J956" s="94" t="str">
        <x:v>护眼台灯 B</x:v>
      </x:c>
      <x:c r="K956" s="97" t="n">
        <x:v>209.11</x:v>
      </x:c>
      <x:c r="L956" s="95" t="n">
        <x:v>1</x:v>
      </x:c>
      <x:c r="M956" s="97" t="n">
        <x:f>ROUND(K956*L956,2)</x:f>
        <x:v>209.11</x:v>
      </x:c>
      <x:c r="N956" s="109" t="n">
        <x:v>0.07</x:v>
      </x:c>
      <x:c r="O956" s="97" t="n">
        <x:f>ROUND(M956*N956,2)</x:f>
        <x:v>14.64</x:v>
      </x:c>
      <x:c r="P956" s="94" t="str">
        <x:v>已确认</x:v>
      </x:c>
      <x:c r="Q956" s="97" t="n">
        <x:f>IF(P956="已退款",M956,0)</x:f>
        <x:v>0</x:v>
      </x:c>
      <x:c r="R956" s="97" t="n">
        <x:f>IF(P956="已退款",O956,0)</x:f>
        <x:v>0</x:v>
      </x:c>
      <x:c r="S956" s="97" t="n">
        <x:f>O956-R956</x:f>
        <x:v>14.64</x:v>
      </x:c>
      <x:c r="T956" s="94" t="n">
        <x:v>3</x:v>
      </x:c>
      <x:c r="U956" s="94" t="str">
        <x:v>模拟：Amazon Associates订单回传</x:v>
      </x:c>
    </x:row>
    <x:row r="957">
      <x:c r="A957" s="92" t="str">
        <x:v>AMZ-ORD-00956</x:v>
      </x:c>
      <x:c r="B957" s="94" t="str">
        <x:v>PROC-0954</x:v>
      </x:c>
      <x:c r="C957" s="108" t="n">
        <x:v>46199.74652777778</x:v>
      </x:c>
      <x:c r="D957" s="93" t="n">
        <x:v>46195</x:v>
      </x:c>
      <x:c r="E957" s="94" t="str">
        <x:v>Google Ads</x:v>
      </x:c>
      <x:c r="F957" s="94" t="str">
        <x:v>美国</x:v>
      </x:c>
      <x:c r="G957" s="94" t="str">
        <x:v>购物广告</x:v>
      </x:c>
      <x:c r="H957" s="94" t="str">
        <x:v>SKU-0015</x:v>
      </x:c>
      <x:c r="I957" s="94" t="str">
        <x:v>家居生活</x:v>
      </x:c>
      <x:c r="J957" s="94" t="str">
        <x:v>床品套装 E</x:v>
      </x:c>
      <x:c r="K957" s="97" t="n">
        <x:v>339.03</x:v>
      </x:c>
      <x:c r="L957" s="95" t="n">
        <x:v>1</x:v>
      </x:c>
      <x:c r="M957" s="97" t="n">
        <x:f>ROUND(K957*L957,2)</x:f>
        <x:v>339.03</x:v>
      </x:c>
      <x:c r="N957" s="109" t="n">
        <x:v>0.07</x:v>
      </x:c>
      <x:c r="O957" s="97" t="n">
        <x:f>ROUND(M957*N957,2)</x:f>
        <x:v>23.73</x:v>
      </x:c>
      <x:c r="P957" s="94" t="str">
        <x:v>已确认</x:v>
      </x:c>
      <x:c r="Q957" s="97" t="n">
        <x:f>IF(P957="已退款",M957,0)</x:f>
        <x:v>0</x:v>
      </x:c>
      <x:c r="R957" s="97" t="n">
        <x:f>IF(P957="已退款",O957,0)</x:f>
        <x:v>0</x:v>
      </x:c>
      <x:c r="S957" s="97" t="n">
        <x:f>O957-R957</x:f>
        <x:v>23.73</x:v>
      </x:c>
      <x:c r="T957" s="94" t="n">
        <x:v>4</x:v>
      </x:c>
      <x:c r="U957" s="94" t="str">
        <x:v>模拟：Amazon Associates订单回传</x:v>
      </x:c>
    </x:row>
    <x:row r="958">
      <x:c r="A958" s="92" t="str">
        <x:v>AMZ-ORD-00957</x:v>
      </x:c>
      <x:c r="B958" s="94" t="str">
        <x:v>PROC-0955</x:v>
      </x:c>
      <x:c r="C958" s="108" t="n">
        <x:v>46196.55069444444</x:v>
      </x:c>
      <x:c r="D958" s="93" t="n">
        <x:v>46195</x:v>
      </x:c>
      <x:c r="E958" s="94" t="str">
        <x:v>Google Ads</x:v>
      </x:c>
      <x:c r="F958" s="94" t="str">
        <x:v>美国</x:v>
      </x:c>
      <x:c r="G958" s="94" t="str">
        <x:v>品牌搜索</x:v>
      </x:c>
      <x:c r="H958" s="94" t="str">
        <x:v>SKU-0036</x:v>
      </x:c>
      <x:c r="I958" s="94" t="str">
        <x:v>美妆个护</x:v>
      </x:c>
      <x:c r="J958" s="94" t="str">
        <x:v>剃须刀 F</x:v>
      </x:c>
      <x:c r="K958" s="97" t="n">
        <x:v>109.28</x:v>
      </x:c>
      <x:c r="L958" s="95" t="n">
        <x:v>1</x:v>
      </x:c>
      <x:c r="M958" s="97" t="n">
        <x:f>ROUND(K958*L958,2)</x:f>
        <x:v>109.28</x:v>
      </x:c>
      <x:c r="N958" s="109" t="n">
        <x:v>0.1</x:v>
      </x:c>
      <x:c r="O958" s="97" t="n">
        <x:f>ROUND(M958*N958,2)</x:f>
        <x:v>10.93</x:v>
      </x:c>
      <x:c r="P958" s="94" t="str">
        <x:v>已确认</x:v>
      </x:c>
      <x:c r="Q958" s="97" t="n">
        <x:f>IF(P958="已退款",M958,0)</x:f>
        <x:v>0</x:v>
      </x:c>
      <x:c r="R958" s="97" t="n">
        <x:f>IF(P958="已退款",O958,0)</x:f>
        <x:v>0</x:v>
      </x:c>
      <x:c r="S958" s="97" t="n">
        <x:f>O958-R958</x:f>
        <x:v>10.93</x:v>
      </x:c>
      <x:c r="T958" s="94" t="n">
        <x:v>1</x:v>
      </x:c>
      <x:c r="U958" s="94" t="str">
        <x:v>模拟：Amazon Associates订单回传</x:v>
      </x:c>
    </x:row>
    <x:row r="959">
      <x:c r="A959" s="92" t="str">
        <x:v>AMZ-ORD-00958</x:v>
      </x:c>
      <x:c r="B959" s="94" t="str">
        <x:v>PROC-0955</x:v>
      </x:c>
      <x:c r="C959" s="108" t="n">
        <x:v>46198.81527777778</x:v>
      </x:c>
      <x:c r="D959" s="93" t="n">
        <x:v>46195</x:v>
      </x:c>
      <x:c r="E959" s="94" t="str">
        <x:v>Google Ads</x:v>
      </x:c>
      <x:c r="F959" s="94" t="str">
        <x:v>美国</x:v>
      </x:c>
      <x:c r="G959" s="94" t="str">
        <x:v>品牌搜索</x:v>
      </x:c>
      <x:c r="H959" s="94" t="str">
        <x:v>SKU-0002</x:v>
      </x:c>
      <x:c r="I959" s="94" t="str">
        <x:v>电子产品</x:v>
      </x:c>
      <x:c r="J959" s="94" t="str">
        <x:v>便携显示器 B</x:v>
      </x:c>
      <x:c r="K959" s="97" t="n">
        <x:v>614.33</x:v>
      </x:c>
      <x:c r="L959" s="95" t="n">
        <x:v>1</x:v>
      </x:c>
      <x:c r="M959" s="97" t="n">
        <x:f>ROUND(K959*L959,2)</x:f>
        <x:v>614.33</x:v>
      </x:c>
      <x:c r="N959" s="109" t="n">
        <x:v>0.05</x:v>
      </x:c>
      <x:c r="O959" s="97" t="n">
        <x:f>ROUND(M959*N959,2)</x:f>
        <x:v>30.72</x:v>
      </x:c>
      <x:c r="P959" s="94" t="str">
        <x:v>已确认</x:v>
      </x:c>
      <x:c r="Q959" s="97" t="n">
        <x:f>IF(P959="已退款",M959,0)</x:f>
        <x:v>0</x:v>
      </x:c>
      <x:c r="R959" s="97" t="n">
        <x:f>IF(P959="已退款",O959,0)</x:f>
        <x:v>0</x:v>
      </x:c>
      <x:c r="S959" s="97" t="n">
        <x:f>O959-R959</x:f>
        <x:v>30.72</x:v>
      </x:c>
      <x:c r="T959" s="94" t="n">
        <x:v>3</x:v>
      </x:c>
      <x:c r="U959" s="94" t="str">
        <x:v>模拟：Amazon Associates订单回传</x:v>
      </x:c>
    </x:row>
    <x:row r="960">
      <x:c r="A960" s="92" t="str">
        <x:v>AMZ-ORD-00959</x:v>
      </x:c>
      <x:c r="B960" s="94" t="str">
        <x:v>PROC-0956</x:v>
      </x:c>
      <x:c r="C960" s="108" t="n">
        <x:v>46195.86388888889</x:v>
      </x:c>
      <x:c r="D960" s="93" t="n">
        <x:v>46195</x:v>
      </x:c>
      <x:c r="E960" s="94" t="str">
        <x:v>Google Ads</x:v>
      </x:c>
      <x:c r="F960" s="94" t="str">
        <x:v>美国</x:v>
      </x:c>
      <x:c r="G960" s="94" t="str">
        <x:v>通用搜索</x:v>
      </x:c>
      <x:c r="H960" s="94" t="str">
        <x:v>SKU-0001</x:v>
      </x:c>
      <x:c r="I960" s="94" t="str">
        <x:v>电子产品</x:v>
      </x:c>
      <x:c r="J960" s="94" t="str">
        <x:v>无线耳机 A</x:v>
      </x:c>
      <x:c r="K960" s="97" t="n">
        <x:v>706.26</x:v>
      </x:c>
      <x:c r="L960" s="95" t="n">
        <x:v>1</x:v>
      </x:c>
      <x:c r="M960" s="97" t="n">
        <x:f>ROUND(K960*L960,2)</x:f>
        <x:v>706.26</x:v>
      </x:c>
      <x:c r="N960" s="109" t="n">
        <x:v>0.05</x:v>
      </x:c>
      <x:c r="O960" s="97" t="n">
        <x:f>ROUND(M960*N960,2)</x:f>
        <x:v>35.31</x:v>
      </x:c>
      <x:c r="P960" s="94" t="str">
        <x:v>已确认</x:v>
      </x:c>
      <x:c r="Q960" s="97" t="n">
        <x:f>IF(P960="已退款",M960,0)</x:f>
        <x:v>0</x:v>
      </x:c>
      <x:c r="R960" s="97" t="n">
        <x:f>IF(P960="已退款",O960,0)</x:f>
        <x:v>0</x:v>
      </x:c>
      <x:c r="S960" s="97" t="n">
        <x:f>O960-R960</x:f>
        <x:v>35.31</x:v>
      </x:c>
      <x:c r="T960" s="94" t="n">
        <x:v>0</x:v>
      </x:c>
      <x:c r="U960" s="94" t="str">
        <x:v>模拟：Amazon Associates订单回传</x:v>
      </x:c>
    </x:row>
    <x:row r="961">
      <x:c r="A961" s="92" t="str">
        <x:v>AMZ-ORD-00960</x:v>
      </x:c>
      <x:c r="B961" s="94" t="str">
        <x:v>PROC-0957</x:v>
      </x:c>
      <x:c r="C961" s="108" t="n">
        <x:v>46198.42361111111</x:v>
      </x:c>
      <x:c r="D961" s="93" t="n">
        <x:v>46196</x:v>
      </x:c>
      <x:c r="E961" s="94" t="str">
        <x:v>Microsoft Ads</x:v>
      </x:c>
      <x:c r="F961" s="94" t="str">
        <x:v>美国</x:v>
      </x:c>
      <x:c r="G961" s="94" t="str">
        <x:v>购物广告</x:v>
      </x:c>
      <x:c r="H961" s="94" t="str">
        <x:v>SKU-0032</x:v>
      </x:c>
      <x:c r="I961" s="94" t="str">
        <x:v>美妆个护</x:v>
      </x:c>
      <x:c r="J961" s="94" t="str">
        <x:v>吹风机 B</x:v>
      </x:c>
      <x:c r="K961" s="97" t="n">
        <x:v>120.85</x:v>
      </x:c>
      <x:c r="L961" s="95" t="n">
        <x:v>1</x:v>
      </x:c>
      <x:c r="M961" s="97" t="n">
        <x:f>ROUND(K961*L961,2)</x:f>
        <x:v>120.85</x:v>
      </x:c>
      <x:c r="N961" s="109" t="n">
        <x:v>0.1</x:v>
      </x:c>
      <x:c r="O961" s="97" t="n">
        <x:f>ROUND(M961*N961,2)</x:f>
        <x:v>12.09</x:v>
      </x:c>
      <x:c r="P961" s="94" t="str">
        <x:v>已确认</x:v>
      </x:c>
      <x:c r="Q961" s="97" t="n">
        <x:f>IF(P961="已退款",M961,0)</x:f>
        <x:v>0</x:v>
      </x:c>
      <x:c r="R961" s="97" t="n">
        <x:f>IF(P961="已退款",O961,0)</x:f>
        <x:v>0</x:v>
      </x:c>
      <x:c r="S961" s="97" t="n">
        <x:f>O961-R961</x:f>
        <x:v>12.09</x:v>
      </x:c>
      <x:c r="T961" s="94" t="n">
        <x:v>2</x:v>
      </x:c>
      <x:c r="U961" s="94" t="str">
        <x:v>模拟：Amazon Associates订单回传</x:v>
      </x:c>
    </x:row>
    <x:row r="962">
      <x:c r="A962" s="92" t="str">
        <x:v>AMZ-ORD-00961</x:v>
      </x:c>
      <x:c r="B962" s="94" t="str">
        <x:v>PROC-0959</x:v>
      </x:c>
      <x:c r="C962" s="108" t="n">
        <x:v>46196.59027777778</x:v>
      </x:c>
      <x:c r="D962" s="93" t="n">
        <x:v>46196</x:v>
      </x:c>
      <x:c r="E962" s="94" t="str">
        <x:v>Microsoft Ads</x:v>
      </x:c>
      <x:c r="F962" s="94" t="str">
        <x:v>美国</x:v>
      </x:c>
      <x:c r="G962" s="94" t="str">
        <x:v>品牌搜索</x:v>
      </x:c>
      <x:c r="H962" s="94" t="str">
        <x:v>SKU-0028</x:v>
      </x:c>
      <x:c r="I962" s="94" t="str">
        <x:v>运动健康</x:v>
      </x:c>
      <x:c r="J962" s="94" t="str">
        <x:v>体脂秤 H</x:v>
      </x:c>
      <x:c r="K962" s="97" t="n">
        <x:v>168.81</x:v>
      </x:c>
      <x:c r="L962" s="95" t="n">
        <x:v>1</x:v>
      </x:c>
      <x:c r="M962" s="97" t="n">
        <x:f>ROUND(K962*L962,2)</x:f>
        <x:v>168.81</x:v>
      </x:c>
      <x:c r="N962" s="109" t="n">
        <x:v>0.08</x:v>
      </x:c>
      <x:c r="O962" s="97" t="n">
        <x:f>ROUND(M962*N962,2)</x:f>
        <x:v>13.5</x:v>
      </x:c>
      <x:c r="P962" s="94" t="str">
        <x:v>已确认</x:v>
      </x:c>
      <x:c r="Q962" s="97" t="n">
        <x:f>IF(P962="已退款",M962,0)</x:f>
        <x:v>0</x:v>
      </x:c>
      <x:c r="R962" s="97" t="n">
        <x:f>IF(P962="已退款",O962,0)</x:f>
        <x:v>0</x:v>
      </x:c>
      <x:c r="S962" s="97" t="n">
        <x:f>O962-R962</x:f>
        <x:v>13.5</x:v>
      </x:c>
      <x:c r="T962" s="94" t="n">
        <x:v>0</x:v>
      </x:c>
      <x:c r="U962" s="94" t="str">
        <x:v>模拟：Amazon Associates订单回传</x:v>
      </x:c>
    </x:row>
    <x:row r="963">
      <x:c r="A963" s="92" t="str">
        <x:v>AMZ-ORD-00962</x:v>
      </x:c>
      <x:c r="B963" s="94" t="str">
        <x:v>PROC-0959</x:v>
      </x:c>
      <x:c r="C963" s="108" t="n">
        <x:v>46196.82986111111</x:v>
      </x:c>
      <x:c r="D963" s="93" t="n">
        <x:v>46196</x:v>
      </x:c>
      <x:c r="E963" s="94" t="str">
        <x:v>Microsoft Ads</x:v>
      </x:c>
      <x:c r="F963" s="94" t="str">
        <x:v>美国</x:v>
      </x:c>
      <x:c r="G963" s="94" t="str">
        <x:v>品牌搜索</x:v>
      </x:c>
      <x:c r="H963" s="94" t="str">
        <x:v>SKU-0047</x:v>
      </x:c>
      <x:c r="I963" s="94" t="str">
        <x:v>办公学习</x:v>
      </x:c>
      <x:c r="J963" s="94" t="str">
        <x:v>标签打印机 G</x:v>
      </x:c>
      <x:c r="K963" s="97" t="n">
        <x:v>89.51</x:v>
      </x:c>
      <x:c r="L963" s="95" t="n">
        <x:v>3</x:v>
      </x:c>
      <x:c r="M963" s="97" t="n">
        <x:f>ROUND(K963*L963,2)</x:f>
        <x:v>268.53</x:v>
      </x:c>
      <x:c r="N963" s="109" t="n">
        <x:v>0.07</x:v>
      </x:c>
      <x:c r="O963" s="97" t="n">
        <x:f>ROUND(M963*N963,2)</x:f>
        <x:v>18.8</x:v>
      </x:c>
      <x:c r="P963" s="94" t="str">
        <x:v>已确认</x:v>
      </x:c>
      <x:c r="Q963" s="97" t="n">
        <x:f>IF(P963="已退款",M963,0)</x:f>
        <x:v>0</x:v>
      </x:c>
      <x:c r="R963" s="97" t="n">
        <x:f>IF(P963="已退款",O963,0)</x:f>
        <x:v>0</x:v>
      </x:c>
      <x:c r="S963" s="97" t="n">
        <x:f>O963-R963</x:f>
        <x:v>18.8</x:v>
      </x:c>
      <x:c r="T963" s="94" t="n">
        <x:v>0</x:v>
      </x:c>
      <x:c r="U963" s="94" t="str">
        <x:v>模拟：Amazon Associates订单回传</x:v>
      </x:c>
    </x:row>
    <x:row r="964">
      <x:c r="A964" s="92" t="str">
        <x:v>AMZ-ORD-00963</x:v>
      </x:c>
      <x:c r="B964" s="94" t="str">
        <x:v>PROC-0962</x:v>
      </x:c>
      <x:c r="C964" s="108" t="n">
        <x:v>46197.82013888889</x:v>
      </x:c>
      <x:c r="D964" s="93" t="n">
        <x:v>46196</x:v>
      </x:c>
      <x:c r="E964" s="94" t="str">
        <x:v>Google Ads</x:v>
      </x:c>
      <x:c r="F964" s="94" t="str">
        <x:v>美国</x:v>
      </x:c>
      <x:c r="G964" s="94" t="str">
        <x:v>购物广告</x:v>
      </x:c>
      <x:c r="H964" s="94" t="str">
        <x:v>SKU-0020</x:v>
      </x:c>
      <x:c r="I964" s="94" t="str">
        <x:v>家居生活</x:v>
      </x:c>
      <x:c r="J964" s="94" t="str">
        <x:v>智能门锁 J</x:v>
      </x:c>
      <x:c r="K964" s="97" t="n">
        <x:v>307.19</x:v>
      </x:c>
      <x:c r="L964" s="95" t="n">
        <x:v>1</x:v>
      </x:c>
      <x:c r="M964" s="97" t="n">
        <x:f>ROUND(K964*L964,2)</x:f>
        <x:v>307.19</x:v>
      </x:c>
      <x:c r="N964" s="109" t="n">
        <x:v>0.07</x:v>
      </x:c>
      <x:c r="O964" s="97" t="n">
        <x:f>ROUND(M964*N964,2)</x:f>
        <x:v>21.5</x:v>
      </x:c>
      <x:c r="P964" s="94" t="str">
        <x:v>已确认</x:v>
      </x:c>
      <x:c r="Q964" s="97" t="n">
        <x:f>IF(P964="已退款",M964,0)</x:f>
        <x:v>0</x:v>
      </x:c>
      <x:c r="R964" s="97" t="n">
        <x:f>IF(P964="已退款",O964,0)</x:f>
        <x:v>0</x:v>
      </x:c>
      <x:c r="S964" s="97" t="n">
        <x:f>O964-R964</x:f>
        <x:v>21.5</x:v>
      </x:c>
      <x:c r="T964" s="94" t="n">
        <x:v>1</x:v>
      </x:c>
      <x:c r="U964" s="94" t="str">
        <x:v>模拟：Amazon Associates订单回传</x:v>
      </x:c>
    </x:row>
    <x:row r="965">
      <x:c r="A965" s="92" t="str">
        <x:v>AMZ-ORD-00964</x:v>
      </x:c>
      <x:c r="B965" s="94" t="str">
        <x:v>PROC-0963</x:v>
      </x:c>
      <x:c r="C965" s="108" t="n">
        <x:v>46201.45694444444</x:v>
      </x:c>
      <x:c r="D965" s="93" t="n">
        <x:v>46197</x:v>
      </x:c>
      <x:c r="E965" s="94" t="str">
        <x:v>Google Ads</x:v>
      </x:c>
      <x:c r="F965" s="94" t="str">
        <x:v>日本</x:v>
      </x:c>
      <x:c r="G965" s="94" t="str">
        <x:v>品牌搜索</x:v>
      </x:c>
      <x:c r="H965" s="94" t="str">
        <x:v>SKU-0040</x:v>
      </x:c>
      <x:c r="I965" s="94" t="str">
        <x:v>美妆个护</x:v>
      </x:c>
      <x:c r="J965" s="94" t="str">
        <x:v>旅行护理套装 J</x:v>
      </x:c>
      <x:c r="K965" s="97" t="n">
        <x:v>130.05</x:v>
      </x:c>
      <x:c r="L965" s="95" t="n">
        <x:v>1</x:v>
      </x:c>
      <x:c r="M965" s="97" t="n">
        <x:f>ROUND(K965*L965,2)</x:f>
        <x:v>130.05</x:v>
      </x:c>
      <x:c r="N965" s="109" t="n">
        <x:v>0.1</x:v>
      </x:c>
      <x:c r="O965" s="97" t="n">
        <x:f>ROUND(M965*N965,2)</x:f>
        <x:v>13.01</x:v>
      </x:c>
      <x:c r="P965" s="94" t="str">
        <x:v>已确认</x:v>
      </x:c>
      <x:c r="Q965" s="97" t="n">
        <x:f>IF(P965="已退款",M965,0)</x:f>
        <x:v>0</x:v>
      </x:c>
      <x:c r="R965" s="97" t="n">
        <x:f>IF(P965="已退款",O965,0)</x:f>
        <x:v>0</x:v>
      </x:c>
      <x:c r="S965" s="97" t="n">
        <x:f>O965-R965</x:f>
        <x:v>13.01</x:v>
      </x:c>
      <x:c r="T965" s="94" t="n">
        <x:v>4</x:v>
      </x:c>
      <x:c r="U965" s="94" t="str">
        <x:v>模拟：Amazon Associates订单回传</x:v>
      </x:c>
    </x:row>
    <x:row r="966">
      <x:c r="A966" s="92" t="str">
        <x:v>AMZ-ORD-00965</x:v>
      </x:c>
      <x:c r="B966" s="94" t="str">
        <x:v>PROC-0963</x:v>
      </x:c>
      <x:c r="C966" s="108" t="n">
        <x:v>46199.45277777778</x:v>
      </x:c>
      <x:c r="D966" s="93" t="n">
        <x:v>46197</x:v>
      </x:c>
      <x:c r="E966" s="94" t="str">
        <x:v>Google Ads</x:v>
      </x:c>
      <x:c r="F966" s="94" t="str">
        <x:v>日本</x:v>
      </x:c>
      <x:c r="G966" s="94" t="str">
        <x:v>品牌搜索</x:v>
      </x:c>
      <x:c r="H966" s="94" t="str">
        <x:v>SKU-0019</x:v>
      </x:c>
      <x:c r="I966" s="94" t="str">
        <x:v>家居生活</x:v>
      </x:c>
      <x:c r="J966" s="94" t="str">
        <x:v>无线吸尘器 I</x:v>
      </x:c>
      <x:c r="K966" s="97" t="n">
        <x:v>236.4</x:v>
      </x:c>
      <x:c r="L966" s="95" t="n">
        <x:v>1</x:v>
      </x:c>
      <x:c r="M966" s="97" t="n">
        <x:f>ROUND(K966*L966,2)</x:f>
        <x:v>236.4</x:v>
      </x:c>
      <x:c r="N966" s="109" t="n">
        <x:v>0.07</x:v>
      </x:c>
      <x:c r="O966" s="97" t="n">
        <x:f>ROUND(M966*N966,2)</x:f>
        <x:v>16.55</x:v>
      </x:c>
      <x:c r="P966" s="94" t="str">
        <x:v>已确认</x:v>
      </x:c>
      <x:c r="Q966" s="97" t="n">
        <x:f>IF(P966="已退款",M966,0)</x:f>
        <x:v>0</x:v>
      </x:c>
      <x:c r="R966" s="97" t="n">
        <x:f>IF(P966="已退款",O966,0)</x:f>
        <x:v>0</x:v>
      </x:c>
      <x:c r="S966" s="97" t="n">
        <x:f>O966-R966</x:f>
        <x:v>16.55</x:v>
      </x:c>
      <x:c r="T966" s="94" t="n">
        <x:v>2</x:v>
      </x:c>
      <x:c r="U966" s="94" t="str">
        <x:v>模拟：Amazon Associates订单回传</x:v>
      </x:c>
    </x:row>
    <x:row r="967">
      <x:c r="A967" s="92" t="str">
        <x:v>AMZ-ORD-00966</x:v>
      </x:c>
      <x:c r="B967" s="94" t="str">
        <x:v>PROC-0964</x:v>
      </x:c>
      <x:c r="C967" s="108" t="n">
        <x:v>46199.64027777778</x:v>
      </x:c>
      <x:c r="D967" s="93" t="n">
        <x:v>46197</x:v>
      </x:c>
      <x:c r="E967" s="94" t="str">
        <x:v>Microsoft Ads</x:v>
      </x:c>
      <x:c r="F967" s="94" t="str">
        <x:v>美国</x:v>
      </x:c>
      <x:c r="G967" s="94" t="str">
        <x:v>通用搜索</x:v>
      </x:c>
      <x:c r="H967" s="94" t="str">
        <x:v>SKU-0005</x:v>
      </x:c>
      <x:c r="I967" s="94" t="str">
        <x:v>电子产品</x:v>
      </x:c>
      <x:c r="J967" s="94" t="str">
        <x:v>降噪耳机 E</x:v>
      </x:c>
      <x:c r="K967" s="97" t="n">
        <x:v>658.08</x:v>
      </x:c>
      <x:c r="L967" s="95" t="n">
        <x:v>2</x:v>
      </x:c>
      <x:c r="M967" s="97" t="n">
        <x:f>ROUND(K967*L967,2)</x:f>
        <x:v>1316.16</x:v>
      </x:c>
      <x:c r="N967" s="109" t="n">
        <x:v>0.05</x:v>
      </x:c>
      <x:c r="O967" s="97" t="n">
        <x:f>ROUND(M967*N967,2)</x:f>
        <x:v>65.81</x:v>
      </x:c>
      <x:c r="P967" s="94" t="str">
        <x:v>已确认</x:v>
      </x:c>
      <x:c r="Q967" s="97" t="n">
        <x:f>IF(P967="已退款",M967,0)</x:f>
        <x:v>0</x:v>
      </x:c>
      <x:c r="R967" s="97" t="n">
        <x:f>IF(P967="已退款",O967,0)</x:f>
        <x:v>0</x:v>
      </x:c>
      <x:c r="S967" s="97" t="n">
        <x:f>O967-R967</x:f>
        <x:v>65.81</x:v>
      </x:c>
      <x:c r="T967" s="94" t="n">
        <x:v>2</x:v>
      </x:c>
      <x:c r="U967" s="94" t="str">
        <x:v>模拟：Amazon Associates订单回传</x:v>
      </x:c>
    </x:row>
    <x:row r="968">
      <x:c r="A968" s="92" t="str">
        <x:v>AMZ-ORD-00967</x:v>
      </x:c>
      <x:c r="B968" s="94" t="str">
        <x:v>PROC-0965</x:v>
      </x:c>
      <x:c r="C968" s="108" t="n">
        <x:v>46198.49722222222</x:v>
      </x:c>
      <x:c r="D968" s="93" t="n">
        <x:v>46197</x:v>
      </x:c>
      <x:c r="E968" s="94" t="str">
        <x:v>Google Ads</x:v>
      </x:c>
      <x:c r="F968" s="94" t="str">
        <x:v>美国</x:v>
      </x:c>
      <x:c r="G968" s="94" t="str">
        <x:v>竞品搜索</x:v>
      </x:c>
      <x:c r="H968" s="94" t="str">
        <x:v>SKU-0010</x:v>
      </x:c>
      <x:c r="I968" s="94" t="str">
        <x:v>电子产品</x:v>
      </x:c>
      <x:c r="J968" s="94" t="str">
        <x:v>多口扩展坞 J</x:v>
      </x:c>
      <x:c r="K968" s="97" t="n">
        <x:v>452.49</x:v>
      </x:c>
      <x:c r="L968" s="95" t="n">
        <x:v>2</x:v>
      </x:c>
      <x:c r="M968" s="97" t="n">
        <x:f>ROUND(K968*L968,2)</x:f>
        <x:v>904.98</x:v>
      </x:c>
      <x:c r="N968" s="109" t="n">
        <x:v>0.05</x:v>
      </x:c>
      <x:c r="O968" s="97" t="n">
        <x:f>ROUND(M968*N968,2)</x:f>
        <x:v>45.25</x:v>
      </x:c>
      <x:c r="P968" s="94" t="str">
        <x:v>已确认</x:v>
      </x:c>
      <x:c r="Q968" s="97" t="n">
        <x:f>IF(P968="已退款",M968,0)</x:f>
        <x:v>0</x:v>
      </x:c>
      <x:c r="R968" s="97" t="n">
        <x:f>IF(P968="已退款",O968,0)</x:f>
        <x:v>0</x:v>
      </x:c>
      <x:c r="S968" s="97" t="n">
        <x:f>O968-R968</x:f>
        <x:v>45.25</x:v>
      </x:c>
      <x:c r="T968" s="94" t="n">
        <x:v>1</x:v>
      </x:c>
      <x:c r="U968" s="94" t="str">
        <x:v>模拟：Amazon Associates订单回传</x:v>
      </x:c>
    </x:row>
    <x:row r="969">
      <x:c r="A969" s="92" t="str">
        <x:v>AMZ-ORD-00968</x:v>
      </x:c>
      <x:c r="B969" s="94" t="str">
        <x:v>PROC-0967</x:v>
      </x:c>
      <x:c r="C969" s="108" t="n">
        <x:v>46201.41527777778</x:v>
      </x:c>
      <x:c r="D969" s="93" t="n">
        <x:v>46197</x:v>
      </x:c>
      <x:c r="E969" s="94" t="str">
        <x:v>Google Ads</x:v>
      </x:c>
      <x:c r="F969" s="94" t="str">
        <x:v>德国</x:v>
      </x:c>
      <x:c r="G969" s="94" t="str">
        <x:v>购物广告</x:v>
      </x:c>
      <x:c r="H969" s="94" t="str">
        <x:v>SKU-0017</x:v>
      </x:c>
      <x:c r="I969" s="94" t="str">
        <x:v>家居生活</x:v>
      </x:c>
      <x:c r="J969" s="94" t="str">
        <x:v>落地灯 G</x:v>
      </x:c>
      <x:c r="K969" s="97" t="n">
        <x:v>238.67</x:v>
      </x:c>
      <x:c r="L969" s="95" t="n">
        <x:v>1</x:v>
      </x:c>
      <x:c r="M969" s="97" t="n">
        <x:f>ROUND(K969*L969,2)</x:f>
        <x:v>238.67</x:v>
      </x:c>
      <x:c r="N969" s="109" t="n">
        <x:v>0.07</x:v>
      </x:c>
      <x:c r="O969" s="97" t="n">
        <x:f>ROUND(M969*N969,2)</x:f>
        <x:v>16.71</x:v>
      </x:c>
      <x:c r="P969" s="94" t="str">
        <x:v>已确认</x:v>
      </x:c>
      <x:c r="Q969" s="97" t="n">
        <x:f>IF(P969="已退款",M969,0)</x:f>
        <x:v>0</x:v>
      </x:c>
      <x:c r="R969" s="97" t="n">
        <x:f>IF(P969="已退款",O969,0)</x:f>
        <x:v>0</x:v>
      </x:c>
      <x:c r="S969" s="97" t="n">
        <x:f>O969-R969</x:f>
        <x:v>16.71</x:v>
      </x:c>
      <x:c r="T969" s="94" t="n">
        <x:v>4</x:v>
      </x:c>
      <x:c r="U969" s="94" t="str">
        <x:v>模拟：Amazon Associates订单回传</x:v>
      </x:c>
    </x:row>
    <x:row r="970">
      <x:c r="A970" s="92" t="str">
        <x:v>AMZ-ORD-00969</x:v>
      </x:c>
      <x:c r="B970" s="94" t="str">
        <x:v>PROC-0968</x:v>
      </x:c>
      <x:c r="C970" s="108" t="n">
        <x:v>46202.8</x:v>
      </x:c>
      <x:c r="D970" s="93" t="n">
        <x:v>46198</x:v>
      </x:c>
      <x:c r="E970" s="94" t="str">
        <x:v>Google Ads</x:v>
      </x:c>
      <x:c r="F970" s="94" t="str">
        <x:v>美国</x:v>
      </x:c>
      <x:c r="G970" s="94" t="str">
        <x:v>通用搜索</x:v>
      </x:c>
      <x:c r="H970" s="94" t="str">
        <x:v>SKU-0037</x:v>
      </x:c>
      <x:c r="I970" s="94" t="str">
        <x:v>美妆个护</x:v>
      </x:c>
      <x:c r="J970" s="94" t="str">
        <x:v>美容仪 G</x:v>
      </x:c>
      <x:c r="K970" s="97" t="n">
        <x:v>149.72</x:v>
      </x:c>
      <x:c r="L970" s="95" t="n">
        <x:v>1</x:v>
      </x:c>
      <x:c r="M970" s="97" t="n">
        <x:f>ROUND(K970*L970,2)</x:f>
        <x:v>149.72</x:v>
      </x:c>
      <x:c r="N970" s="109" t="n">
        <x:v>0.1</x:v>
      </x:c>
      <x:c r="O970" s="97" t="n">
        <x:f>ROUND(M970*N970,2)</x:f>
        <x:v>14.97</x:v>
      </x:c>
      <x:c r="P970" s="94" t="str">
        <x:v>已确认</x:v>
      </x:c>
      <x:c r="Q970" s="97" t="n">
        <x:f>IF(P970="已退款",M970,0)</x:f>
        <x:v>0</x:v>
      </x:c>
      <x:c r="R970" s="97" t="n">
        <x:f>IF(P970="已退款",O970,0)</x:f>
        <x:v>0</x:v>
      </x:c>
      <x:c r="S970" s="97" t="n">
        <x:f>O970-R970</x:f>
        <x:v>14.97</x:v>
      </x:c>
      <x:c r="T970" s="94" t="n">
        <x:v>4</x:v>
      </x:c>
      <x:c r="U970" s="94" t="str">
        <x:v>模拟：Amazon Associates订单回传</x:v>
      </x:c>
    </x:row>
    <x:row r="971">
      <x:c r="A971" s="92" t="str">
        <x:v>AMZ-ORD-00970</x:v>
      </x:c>
      <x:c r="B971" s="94" t="str">
        <x:v>PROC-0969</x:v>
      </x:c>
      <x:c r="C971" s="108" t="n">
        <x:v>46201.76458333333</x:v>
      </x:c>
      <x:c r="D971" s="93" t="n">
        <x:v>46198</x:v>
      </x:c>
      <x:c r="E971" s="94" t="str">
        <x:v>Google Ads</x:v>
      </x:c>
      <x:c r="F971" s="94" t="str">
        <x:v>日本</x:v>
      </x:c>
      <x:c r="G971" s="94" t="str">
        <x:v>品牌搜索</x:v>
      </x:c>
      <x:c r="H971" s="94" t="str">
        <x:v>SKU-0049</x:v>
      </x:c>
      <x:c r="I971" s="94" t="str">
        <x:v>办公学习</x:v>
      </x:c>
      <x:c r="J971" s="94" t="str">
        <x:v>移动白板 I</x:v>
      </x:c>
      <x:c r="K971" s="97" t="n">
        <x:v>196.92</x:v>
      </x:c>
      <x:c r="L971" s="95" t="n">
        <x:v>2</x:v>
      </x:c>
      <x:c r="M971" s="97" t="n">
        <x:f>ROUND(K971*L971,2)</x:f>
        <x:v>393.84</x:v>
      </x:c>
      <x:c r="N971" s="109" t="n">
        <x:v>0.07</x:v>
      </x:c>
      <x:c r="O971" s="97" t="n">
        <x:f>ROUND(M971*N971,2)</x:f>
        <x:v>27.57</x:v>
      </x:c>
      <x:c r="P971" s="94" t="str">
        <x:v>已退款</x:v>
      </x:c>
      <x:c r="Q971" s="97" t="n">
        <x:f>IF(P971="已退款",M971,0)</x:f>
        <x:v>393.84</x:v>
      </x:c>
      <x:c r="R971" s="97" t="n">
        <x:f>IF(P971="已退款",O971,0)</x:f>
        <x:v>27.57</x:v>
      </x:c>
      <x:c r="S971" s="97" t="n">
        <x:f>O971-R971</x:f>
        <x:v>0</x:v>
      </x:c>
      <x:c r="T971" s="94" t="n">
        <x:v>3</x:v>
      </x:c>
      <x:c r="U971" s="94" t="str">
        <x:v>模拟：Amazon Associates订单回传</x:v>
      </x:c>
    </x:row>
    <x:row r="972">
      <x:c r="A972" s="92" t="str">
        <x:v>AMZ-ORD-00971</x:v>
      </x:c>
      <x:c r="B972" s="94" t="str">
        <x:v>PROC-0970</x:v>
      </x:c>
      <x:c r="C972" s="108" t="n">
        <x:v>46200.50277777778</x:v>
      </x:c>
      <x:c r="D972" s="93" t="n">
        <x:v>46198</x:v>
      </x:c>
      <x:c r="E972" s="94" t="str">
        <x:v>Microsoft Ads</x:v>
      </x:c>
      <x:c r="F972" s="94" t="str">
        <x:v>德国</x:v>
      </x:c>
      <x:c r="G972" s="94" t="str">
        <x:v>通用搜索</x:v>
      </x:c>
      <x:c r="H972" s="94" t="str">
        <x:v>SKU-0010</x:v>
      </x:c>
      <x:c r="I972" s="94" t="str">
        <x:v>电子产品</x:v>
      </x:c>
      <x:c r="J972" s="94" t="str">
        <x:v>多口扩展坞 J</x:v>
      </x:c>
      <x:c r="K972" s="97" t="n">
        <x:v>595.82</x:v>
      </x:c>
      <x:c r="L972" s="95" t="n">
        <x:v>1</x:v>
      </x:c>
      <x:c r="M972" s="97" t="n">
        <x:f>ROUND(K972*L972,2)</x:f>
        <x:v>595.82</x:v>
      </x:c>
      <x:c r="N972" s="109" t="n">
        <x:v>0.05</x:v>
      </x:c>
      <x:c r="O972" s="97" t="n">
        <x:f>ROUND(M972*N972,2)</x:f>
        <x:v>29.79</x:v>
      </x:c>
      <x:c r="P972" s="94" t="str">
        <x:v>已确认</x:v>
      </x:c>
      <x:c r="Q972" s="97" t="n">
        <x:f>IF(P972="已退款",M972,0)</x:f>
        <x:v>0</x:v>
      </x:c>
      <x:c r="R972" s="97" t="n">
        <x:f>IF(P972="已退款",O972,0)</x:f>
        <x:v>0</x:v>
      </x:c>
      <x:c r="S972" s="97" t="n">
        <x:f>O972-R972</x:f>
        <x:v>29.79</x:v>
      </x:c>
      <x:c r="T972" s="94" t="n">
        <x:v>2</x:v>
      </x:c>
      <x:c r="U972" s="94" t="str">
        <x:v>模拟：Amazon Associates订单回传</x:v>
      </x:c>
    </x:row>
    <x:row r="973">
      <x:c r="A973" s="92" t="str">
        <x:v>AMZ-ORD-00972</x:v>
      </x:c>
      <x:c r="B973" s="94" t="str">
        <x:v>PROC-0971</x:v>
      </x:c>
      <x:c r="C973" s="108" t="n">
        <x:v>46202.49791666667</x:v>
      </x:c>
      <x:c r="D973" s="93" t="n">
        <x:v>46198</x:v>
      </x:c>
      <x:c r="E973" s="94" t="str">
        <x:v>Google Ads</x:v>
      </x:c>
      <x:c r="F973" s="94" t="str">
        <x:v>日本</x:v>
      </x:c>
      <x:c r="G973" s="94" t="str">
        <x:v>购物广告</x:v>
      </x:c>
      <x:c r="H973" s="94" t="str">
        <x:v>SKU-0001</x:v>
      </x:c>
      <x:c r="I973" s="94" t="str">
        <x:v>电子产品</x:v>
      </x:c>
      <x:c r="J973" s="94" t="str">
        <x:v>无线耳机 A</x:v>
      </x:c>
      <x:c r="K973" s="97" t="n">
        <x:v>380.95</x:v>
      </x:c>
      <x:c r="L973" s="95" t="n">
        <x:v>1</x:v>
      </x:c>
      <x:c r="M973" s="97" t="n">
        <x:f>ROUND(K973*L973,2)</x:f>
        <x:v>380.95</x:v>
      </x:c>
      <x:c r="N973" s="109" t="n">
        <x:v>0.05</x:v>
      </x:c>
      <x:c r="O973" s="97" t="n">
        <x:f>ROUND(M973*N973,2)</x:f>
        <x:v>19.05</x:v>
      </x:c>
      <x:c r="P973" s="94" t="str">
        <x:v>已确认</x:v>
      </x:c>
      <x:c r="Q973" s="97" t="n">
        <x:f>IF(P973="已退款",M973,0)</x:f>
        <x:v>0</x:v>
      </x:c>
      <x:c r="R973" s="97" t="n">
        <x:f>IF(P973="已退款",O973,0)</x:f>
        <x:v>0</x:v>
      </x:c>
      <x:c r="S973" s="97" t="n">
        <x:f>O973-R973</x:f>
        <x:v>19.05</x:v>
      </x:c>
      <x:c r="T973" s="94" t="n">
        <x:v>4</x:v>
      </x:c>
      <x:c r="U973" s="94" t="str">
        <x:v>模拟：Amazon Associates订单回传</x:v>
      </x:c>
    </x:row>
    <x:row r="974">
      <x:c r="A974" s="92" t="str">
        <x:v>AMZ-ORD-00973</x:v>
      </x:c>
      <x:c r="B974" s="94" t="str">
        <x:v>PROC-0972</x:v>
      </x:c>
      <x:c r="C974" s="108" t="n">
        <x:v>46202.51527777778</x:v>
      </x:c>
      <x:c r="D974" s="93" t="n">
        <x:v>46198</x:v>
      </x:c>
      <x:c r="E974" s="94" t="str">
        <x:v>Google Ads</x:v>
      </x:c>
      <x:c r="F974" s="94" t="str">
        <x:v>美国</x:v>
      </x:c>
      <x:c r="G974" s="94" t="str">
        <x:v>购物广告</x:v>
      </x:c>
      <x:c r="H974" s="94" t="str">
        <x:v>SKU-0031</x:v>
      </x:c>
      <x:c r="I974" s="94" t="str">
        <x:v>美妆个护</x:v>
      </x:c>
      <x:c r="J974" s="94" t="str">
        <x:v>洁面仪 A</x:v>
      </x:c>
      <x:c r="K974" s="97" t="n">
        <x:v>105.41</x:v>
      </x:c>
      <x:c r="L974" s="95" t="n">
        <x:v>1</x:v>
      </x:c>
      <x:c r="M974" s="97" t="n">
        <x:f>ROUND(K974*L974,2)</x:f>
        <x:v>105.41</x:v>
      </x:c>
      <x:c r="N974" s="109" t="n">
        <x:v>0.1</x:v>
      </x:c>
      <x:c r="O974" s="97" t="n">
        <x:f>ROUND(M974*N974,2)</x:f>
        <x:v>10.54</x:v>
      </x:c>
      <x:c r="P974" s="94" t="str">
        <x:v>已确认</x:v>
      </x:c>
      <x:c r="Q974" s="97" t="n">
        <x:f>IF(P974="已退款",M974,0)</x:f>
        <x:v>0</x:v>
      </x:c>
      <x:c r="R974" s="97" t="n">
        <x:f>IF(P974="已退款",O974,0)</x:f>
        <x:v>0</x:v>
      </x:c>
      <x:c r="S974" s="97" t="n">
        <x:f>O974-R974</x:f>
        <x:v>10.54</x:v>
      </x:c>
      <x:c r="T974" s="94" t="n">
        <x:v>4</x:v>
      </x:c>
      <x:c r="U974" s="94" t="str">
        <x:v>模拟：Amazon Associates订单回传</x:v>
      </x:c>
    </x:row>
    <x:row r="975">
      <x:c r="A975" s="92" t="str">
        <x:v>AMZ-ORD-00974</x:v>
      </x:c>
      <x:c r="B975" s="94" t="str">
        <x:v>PROC-0973</x:v>
      </x:c>
      <x:c r="C975" s="108" t="n">
        <x:v>46200.36875</x:v>
      </x:c>
      <x:c r="D975" s="93" t="n">
        <x:v>46198</x:v>
      </x:c>
      <x:c r="E975" s="94" t="str">
        <x:v>Microsoft Ads</x:v>
      </x:c>
      <x:c r="F975" s="94" t="str">
        <x:v>日本</x:v>
      </x:c>
      <x:c r="G975" s="94" t="str">
        <x:v>通用搜索</x:v>
      </x:c>
      <x:c r="H975" s="94" t="str">
        <x:v>SKU-0027</x:v>
      </x:c>
      <x:c r="I975" s="94" t="str">
        <x:v>运动健康</x:v>
      </x:c>
      <x:c r="J975" s="94" t="str">
        <x:v>户外背包 G</x:v>
      </x:c>
      <x:c r="K975" s="97" t="n">
        <x:v>143.51</x:v>
      </x:c>
      <x:c r="L975" s="95" t="n">
        <x:v>1</x:v>
      </x:c>
      <x:c r="M975" s="97" t="n">
        <x:f>ROUND(K975*L975,2)</x:f>
        <x:v>143.51</x:v>
      </x:c>
      <x:c r="N975" s="109" t="n">
        <x:v>0.08</x:v>
      </x:c>
      <x:c r="O975" s="97" t="n">
        <x:f>ROUND(M975*N975,2)</x:f>
        <x:v>11.48</x:v>
      </x:c>
      <x:c r="P975" s="94" t="str">
        <x:v>已退款</x:v>
      </x:c>
      <x:c r="Q975" s="97" t="n">
        <x:f>IF(P975="已退款",M975,0)</x:f>
        <x:v>143.51</x:v>
      </x:c>
      <x:c r="R975" s="97" t="n">
        <x:f>IF(P975="已退款",O975,0)</x:f>
        <x:v>11.48</x:v>
      </x:c>
      <x:c r="S975" s="97" t="n">
        <x:f>O975-R975</x:f>
        <x:v>0</x:v>
      </x:c>
      <x:c r="T975" s="94" t="n">
        <x:v>2</x:v>
      </x:c>
      <x:c r="U975" s="94" t="str">
        <x:v>模拟：Amazon Associates订单回传</x:v>
      </x:c>
    </x:row>
    <x:row r="976">
      <x:c r="A976" s="92" t="str">
        <x:v>AMZ-ORD-00975</x:v>
      </x:c>
      <x:c r="B976" s="94" t="str">
        <x:v>PROC-0974</x:v>
      </x:c>
      <x:c r="C976" s="108" t="n">
        <x:v>46200.83472222222</x:v>
      </x:c>
      <x:c r="D976" s="93" t="n">
        <x:v>46199</x:v>
      </x:c>
      <x:c r="E976" s="94" t="str">
        <x:v>Google Ads</x:v>
      </x:c>
      <x:c r="F976" s="94" t="str">
        <x:v>美国</x:v>
      </x:c>
      <x:c r="G976" s="94" t="str">
        <x:v>通用搜索</x:v>
      </x:c>
      <x:c r="H976" s="94" t="str">
        <x:v>SKU-0008</x:v>
      </x:c>
      <x:c r="I976" s="94" t="str">
        <x:v>电子产品</x:v>
      </x:c>
      <x:c r="J976" s="94" t="str">
        <x:v>Wi-Fi路由器 H</x:v>
      </x:c>
      <x:c r="K976" s="97" t="n">
        <x:v>708.97</x:v>
      </x:c>
      <x:c r="L976" s="95" t="n">
        <x:v>1</x:v>
      </x:c>
      <x:c r="M976" s="97" t="n">
        <x:f>ROUND(K976*L976,2)</x:f>
        <x:v>708.97</x:v>
      </x:c>
      <x:c r="N976" s="109" t="n">
        <x:v>0.05</x:v>
      </x:c>
      <x:c r="O976" s="97" t="n">
        <x:f>ROUND(M976*N976,2)</x:f>
        <x:v>35.45</x:v>
      </x:c>
      <x:c r="P976" s="94" t="str">
        <x:v>已确认</x:v>
      </x:c>
      <x:c r="Q976" s="97" t="n">
        <x:f>IF(P976="已退款",M976,0)</x:f>
        <x:v>0</x:v>
      </x:c>
      <x:c r="R976" s="97" t="n">
        <x:f>IF(P976="已退款",O976,0)</x:f>
        <x:v>0</x:v>
      </x:c>
      <x:c r="S976" s="97" t="n">
        <x:f>O976-R976</x:f>
        <x:v>35.45</x:v>
      </x:c>
      <x:c r="T976" s="94" t="n">
        <x:v>1</x:v>
      </x:c>
      <x:c r="U976" s="94" t="str">
        <x:v>模拟：Amazon Associates订单回传</x:v>
      </x:c>
    </x:row>
    <x:row r="977">
      <x:c r="A977" s="92" t="str">
        <x:v>AMZ-ORD-00976</x:v>
      </x:c>
      <x:c r="B977" s="94" t="str">
        <x:v>PROC-0975</x:v>
      </x:c>
      <x:c r="C977" s="108" t="n">
        <x:v>46199.35</x:v>
      </x:c>
      <x:c r="D977" s="93" t="n">
        <x:v>46199</x:v>
      </x:c>
      <x:c r="E977" s="94" t="str">
        <x:v>Google Ads</x:v>
      </x:c>
      <x:c r="F977" s="94" t="str">
        <x:v>日本</x:v>
      </x:c>
      <x:c r="G977" s="94" t="str">
        <x:v>品牌搜索</x:v>
      </x:c>
      <x:c r="H977" s="94" t="str">
        <x:v>SKU-0013</x:v>
      </x:c>
      <x:c r="I977" s="94" t="str">
        <x:v>家居生活</x:v>
      </x:c>
      <x:c r="J977" s="94" t="str">
        <x:v>人体工学椅 C</x:v>
      </x:c>
      <x:c r="K977" s="97" t="n">
        <x:v>257.66</x:v>
      </x:c>
      <x:c r="L977" s="95" t="n">
        <x:v>1</x:v>
      </x:c>
      <x:c r="M977" s="97" t="n">
        <x:f>ROUND(K977*L977,2)</x:f>
        <x:v>257.66</x:v>
      </x:c>
      <x:c r="N977" s="109" t="n">
        <x:v>0.07</x:v>
      </x:c>
      <x:c r="O977" s="97" t="n">
        <x:f>ROUND(M977*N977,2)</x:f>
        <x:v>18.04</x:v>
      </x:c>
      <x:c r="P977" s="94" t="str">
        <x:v>已确认</x:v>
      </x:c>
      <x:c r="Q977" s="97" t="n">
        <x:f>IF(P977="已退款",M977,0)</x:f>
        <x:v>0</x:v>
      </x:c>
      <x:c r="R977" s="97" t="n">
        <x:f>IF(P977="已退款",O977,0)</x:f>
        <x:v>0</x:v>
      </x:c>
      <x:c r="S977" s="97" t="n">
        <x:f>O977-R977</x:f>
        <x:v>18.04</x:v>
      </x:c>
      <x:c r="T977" s="94" t="n">
        <x:v>0</x:v>
      </x:c>
      <x:c r="U977" s="94" t="str">
        <x:v>模拟：Amazon Associates订单回传</x:v>
      </x:c>
    </x:row>
    <x:row r="978">
      <x:c r="A978" s="92" t="str">
        <x:v>AMZ-ORD-00977</x:v>
      </x:c>
      <x:c r="B978" s="94" t="str">
        <x:v>PROC-0976</x:v>
      </x:c>
      <x:c r="C978" s="108" t="n">
        <x:v>46203.40625</x:v>
      </x:c>
      <x:c r="D978" s="93" t="n">
        <x:v>46199</x:v>
      </x:c>
      <x:c r="E978" s="94" t="str">
        <x:v>Google Ads</x:v>
      </x:c>
      <x:c r="F978" s="94" t="str">
        <x:v>美国</x:v>
      </x:c>
      <x:c r="G978" s="94" t="str">
        <x:v>竞品搜索</x:v>
      </x:c>
      <x:c r="H978" s="94" t="str">
        <x:v>SKU-0041</x:v>
      </x:c>
      <x:c r="I978" s="94" t="str">
        <x:v>办公学习</x:v>
      </x:c>
      <x:c r="J978" s="94" t="str">
        <x:v>桌面升降台 A</x:v>
      </x:c>
      <x:c r="K978" s="97" t="n">
        <x:v>133.59</x:v>
      </x:c>
      <x:c r="L978" s="95" t="n">
        <x:v>1</x:v>
      </x:c>
      <x:c r="M978" s="97" t="n">
        <x:f>ROUND(K978*L978,2)</x:f>
        <x:v>133.59</x:v>
      </x:c>
      <x:c r="N978" s="109" t="n">
        <x:v>0.07</x:v>
      </x:c>
      <x:c r="O978" s="97" t="n">
        <x:f>ROUND(M978*N978,2)</x:f>
        <x:v>9.35</x:v>
      </x:c>
      <x:c r="P978" s="94" t="str">
        <x:v>已确认</x:v>
      </x:c>
      <x:c r="Q978" s="97" t="n">
        <x:f>IF(P978="已退款",M978,0)</x:f>
        <x:v>0</x:v>
      </x:c>
      <x:c r="R978" s="97" t="n">
        <x:f>IF(P978="已退款",O978,0)</x:f>
        <x:v>0</x:v>
      </x:c>
      <x:c r="S978" s="97" t="n">
        <x:f>O978-R978</x:f>
        <x:v>9.35</x:v>
      </x:c>
      <x:c r="T978" s="94" t="n">
        <x:v>4</x:v>
      </x:c>
      <x:c r="U978" s="94" t="str">
        <x:v>模拟：Amazon Associates订单回传</x:v>
      </x:c>
    </x:row>
    <x:row r="979">
      <x:c r="A979" s="92" t="str">
        <x:v>AMZ-ORD-00978</x:v>
      </x:c>
      <x:c r="B979" s="94" t="str">
        <x:v>PROC-0978</x:v>
      </x:c>
      <x:c r="C979" s="108" t="n">
        <x:v>46199.80069444444</x:v>
      </x:c>
      <x:c r="D979" s="93" t="n">
        <x:v>46199</x:v>
      </x:c>
      <x:c r="E979" s="94" t="str">
        <x:v>Google Ads</x:v>
      </x:c>
      <x:c r="F979" s="94" t="str">
        <x:v>日本</x:v>
      </x:c>
      <x:c r="G979" s="94" t="str">
        <x:v>品牌搜索</x:v>
      </x:c>
      <x:c r="H979" s="94" t="str">
        <x:v>SKU-0003</x:v>
      </x:c>
      <x:c r="I979" s="94" t="str">
        <x:v>电子产品</x:v>
      </x:c>
      <x:c r="J979" s="94" t="str">
        <x:v>智能家居中枢 C</x:v>
      </x:c>
      <x:c r="K979" s="97" t="n">
        <x:v>532.81</x:v>
      </x:c>
      <x:c r="L979" s="95" t="n">
        <x:v>1</x:v>
      </x:c>
      <x:c r="M979" s="97" t="n">
        <x:f>ROUND(K979*L979,2)</x:f>
        <x:v>532.81</x:v>
      </x:c>
      <x:c r="N979" s="109" t="n">
        <x:v>0.05</x:v>
      </x:c>
      <x:c r="O979" s="97" t="n">
        <x:f>ROUND(M979*N979,2)</x:f>
        <x:v>26.64</x:v>
      </x:c>
      <x:c r="P979" s="94" t="str">
        <x:v>已确认</x:v>
      </x:c>
      <x:c r="Q979" s="97" t="n">
        <x:f>IF(P979="已退款",M979,0)</x:f>
        <x:v>0</x:v>
      </x:c>
      <x:c r="R979" s="97" t="n">
        <x:f>IF(P979="已退款",O979,0)</x:f>
        <x:v>0</x:v>
      </x:c>
      <x:c r="S979" s="97" t="n">
        <x:f>O979-R979</x:f>
        <x:v>26.64</x:v>
      </x:c>
      <x:c r="T979" s="94" t="n">
        <x:v>0</x:v>
      </x:c>
      <x:c r="U979" s="94" t="str">
        <x:v>模拟：Amazon Associates订单回传</x:v>
      </x:c>
    </x:row>
    <x:row r="980">
      <x:c r="A980" s="92" t="str">
        <x:v>AMZ-ORD-00979</x:v>
      </x:c>
      <x:c r="B980" s="94" t="str">
        <x:v>PROC-0979</x:v>
      </x:c>
      <x:c r="C980" s="108" t="n">
        <x:v>46200.55625</x:v>
      </x:c>
      <x:c r="D980" s="93" t="n">
        <x:v>46200</x:v>
      </x:c>
      <x:c r="E980" s="94" t="str">
        <x:v>Google Ads</x:v>
      </x:c>
      <x:c r="F980" s="94" t="str">
        <x:v>美国</x:v>
      </x:c>
      <x:c r="G980" s="94" t="str">
        <x:v>竞品搜索</x:v>
      </x:c>
      <x:c r="H980" s="94" t="str">
        <x:v>SKU-0031</x:v>
      </x:c>
      <x:c r="I980" s="94" t="str">
        <x:v>美妆个护</x:v>
      </x:c>
      <x:c r="J980" s="94" t="str">
        <x:v>洁面仪 A</x:v>
      </x:c>
      <x:c r="K980" s="97" t="n">
        <x:v>111.91</x:v>
      </x:c>
      <x:c r="L980" s="95" t="n">
        <x:v>1</x:v>
      </x:c>
      <x:c r="M980" s="97" t="n">
        <x:f>ROUND(K980*L980,2)</x:f>
        <x:v>111.91</x:v>
      </x:c>
      <x:c r="N980" s="109" t="n">
        <x:v>0.1</x:v>
      </x:c>
      <x:c r="O980" s="97" t="n">
        <x:f>ROUND(M980*N980,2)</x:f>
        <x:v>11.19</x:v>
      </x:c>
      <x:c r="P980" s="94" t="str">
        <x:v>已确认</x:v>
      </x:c>
      <x:c r="Q980" s="97" t="n">
        <x:f>IF(P980="已退款",M980,0)</x:f>
        <x:v>0</x:v>
      </x:c>
      <x:c r="R980" s="97" t="n">
        <x:f>IF(P980="已退款",O980,0)</x:f>
        <x:v>0</x:v>
      </x:c>
      <x:c r="S980" s="97" t="n">
        <x:f>O980-R980</x:f>
        <x:v>11.19</x:v>
      </x:c>
      <x:c r="T980" s="94" t="n">
        <x:v>0</x:v>
      </x:c>
      <x:c r="U980" s="94" t="str">
        <x:v>模拟：Amazon Associates订单回传</x:v>
      </x:c>
    </x:row>
    <x:row r="981">
      <x:c r="A981" s="92" t="str">
        <x:v>AMZ-ORD-00980</x:v>
      </x:c>
      <x:c r="B981" s="94" t="str">
        <x:v>PROC-0981</x:v>
      </x:c>
      <x:c r="C981" s="108" t="n">
        <x:v>46201.59166666667</x:v>
      </x:c>
      <x:c r="D981" s="93" t="n">
        <x:v>46200</x:v>
      </x:c>
      <x:c r="E981" s="94" t="str">
        <x:v>Google Ads</x:v>
      </x:c>
      <x:c r="F981" s="94" t="str">
        <x:v>美国</x:v>
      </x:c>
      <x:c r="G981" s="94" t="str">
        <x:v>购物广告</x:v>
      </x:c>
      <x:c r="H981" s="94" t="str">
        <x:v>SKU-0037</x:v>
      </x:c>
      <x:c r="I981" s="94" t="str">
        <x:v>美妆个护</x:v>
      </x:c>
      <x:c r="J981" s="94" t="str">
        <x:v>美容仪 G</x:v>
      </x:c>
      <x:c r="K981" s="97" t="n">
        <x:v>122.21</x:v>
      </x:c>
      <x:c r="L981" s="95" t="n">
        <x:v>1</x:v>
      </x:c>
      <x:c r="M981" s="97" t="n">
        <x:f>ROUND(K981*L981,2)</x:f>
        <x:v>122.21</x:v>
      </x:c>
      <x:c r="N981" s="109" t="n">
        <x:v>0.1</x:v>
      </x:c>
      <x:c r="O981" s="97" t="n">
        <x:f>ROUND(M981*N981,2)</x:f>
        <x:v>12.22</x:v>
      </x:c>
      <x:c r="P981" s="94" t="str">
        <x:v>已确认</x:v>
      </x:c>
      <x:c r="Q981" s="97" t="n">
        <x:f>IF(P981="已退款",M981,0)</x:f>
        <x:v>0</x:v>
      </x:c>
      <x:c r="R981" s="97" t="n">
        <x:f>IF(P981="已退款",O981,0)</x:f>
        <x:v>0</x:v>
      </x:c>
      <x:c r="S981" s="97" t="n">
        <x:f>O981-R981</x:f>
        <x:v>12.22</x:v>
      </x:c>
      <x:c r="T981" s="94" t="n">
        <x:v>1</x:v>
      </x:c>
      <x:c r="U981" s="94" t="str">
        <x:v>模拟：Amazon Associates订单回传</x:v>
      </x:c>
    </x:row>
    <x:row r="982">
      <x:c r="A982" s="92" t="str">
        <x:v>AMZ-ORD-00981</x:v>
      </x:c>
      <x:c r="B982" s="94" t="str">
        <x:v>PROC-0982</x:v>
      </x:c>
      <x:c r="C982" s="108" t="n">
        <x:v>46204.89791666667</x:v>
      </x:c>
      <x:c r="D982" s="93" t="n">
        <x:v>46200</x:v>
      </x:c>
      <x:c r="E982" s="94" t="str">
        <x:v>Google Ads</x:v>
      </x:c>
      <x:c r="F982" s="94" t="str">
        <x:v>德国</x:v>
      </x:c>
      <x:c r="G982" s="94" t="str">
        <x:v>品牌搜索</x:v>
      </x:c>
      <x:c r="H982" s="94" t="str">
        <x:v>SKU-0010</x:v>
      </x:c>
      <x:c r="I982" s="94" t="str">
        <x:v>电子产品</x:v>
      </x:c>
      <x:c r="J982" s="94" t="str">
        <x:v>多口扩展坞 J</x:v>
      </x:c>
      <x:c r="K982" s="97" t="n">
        <x:v>754.81</x:v>
      </x:c>
      <x:c r="L982" s="95" t="n">
        <x:v>2</x:v>
      </x:c>
      <x:c r="M982" s="97" t="n">
        <x:f>ROUND(K982*L982,2)</x:f>
        <x:v>1509.62</x:v>
      </x:c>
      <x:c r="N982" s="109" t="n">
        <x:v>0.05</x:v>
      </x:c>
      <x:c r="O982" s="97" t="n">
        <x:f>ROUND(M982*N982,2)</x:f>
        <x:v>75.48</x:v>
      </x:c>
      <x:c r="P982" s="94" t="str">
        <x:v>已确认</x:v>
      </x:c>
      <x:c r="Q982" s="97" t="n">
        <x:f>IF(P982="已退款",M982,0)</x:f>
        <x:v>0</x:v>
      </x:c>
      <x:c r="R982" s="97" t="n">
        <x:f>IF(P982="已退款",O982,0)</x:f>
        <x:v>0</x:v>
      </x:c>
      <x:c r="S982" s="97" t="n">
        <x:f>O982-R982</x:f>
        <x:v>75.48</x:v>
      </x:c>
      <x:c r="T982" s="94" t="n">
        <x:v>4</x:v>
      </x:c>
      <x:c r="U982" s="94" t="str">
        <x:v>模拟：Amazon Associates订单回传</x:v>
      </x:c>
    </x:row>
    <x:row r="983">
      <x:c r="A983" s="92" t="str">
        <x:v>AMZ-ORD-00982</x:v>
      </x:c>
      <x:c r="B983" s="94" t="str">
        <x:v>PROC-0982</x:v>
      </x:c>
      <x:c r="C983" s="108" t="n">
        <x:v>46204.71805555555</x:v>
      </x:c>
      <x:c r="D983" s="93" t="n">
        <x:v>46200</x:v>
      </x:c>
      <x:c r="E983" s="94" t="str">
        <x:v>Google Ads</x:v>
      </x:c>
      <x:c r="F983" s="94" t="str">
        <x:v>德国</x:v>
      </x:c>
      <x:c r="G983" s="94" t="str">
        <x:v>品牌搜索</x:v>
      </x:c>
      <x:c r="H983" s="94" t="str">
        <x:v>SKU-0027</x:v>
      </x:c>
      <x:c r="I983" s="94" t="str">
        <x:v>运动健康</x:v>
      </x:c>
      <x:c r="J983" s="94" t="str">
        <x:v>户外背包 G</x:v>
      </x:c>
      <x:c r="K983" s="97" t="n">
        <x:v>99.78</x:v>
      </x:c>
      <x:c r="L983" s="95" t="n">
        <x:v>1</x:v>
      </x:c>
      <x:c r="M983" s="97" t="n">
        <x:f>ROUND(K983*L983,2)</x:f>
        <x:v>99.78</x:v>
      </x:c>
      <x:c r="N983" s="109" t="n">
        <x:v>0.08</x:v>
      </x:c>
      <x:c r="O983" s="97" t="n">
        <x:f>ROUND(M983*N983,2)</x:f>
        <x:v>7.98</x:v>
      </x:c>
      <x:c r="P983" s="94" t="str">
        <x:v>已确认</x:v>
      </x:c>
      <x:c r="Q983" s="97" t="n">
        <x:f>IF(P983="已退款",M983,0)</x:f>
        <x:v>0</x:v>
      </x:c>
      <x:c r="R983" s="97" t="n">
        <x:f>IF(P983="已退款",O983,0)</x:f>
        <x:v>0</x:v>
      </x:c>
      <x:c r="S983" s="97" t="n">
        <x:f>O983-R983</x:f>
        <x:v>7.98</x:v>
      </x:c>
      <x:c r="T983" s="94" t="n">
        <x:v>4</x:v>
      </x:c>
      <x:c r="U983" s="94" t="str">
        <x:v>模拟：Amazon Associates订单回传</x:v>
      </x:c>
    </x:row>
    <x:row r="984">
      <x:c r="A984" s="92" t="str">
        <x:v>AMZ-ORD-00983</x:v>
      </x:c>
      <x:c r="B984" s="94" t="str">
        <x:v>PROC-0983</x:v>
      </x:c>
      <x:c r="C984" s="108" t="n">
        <x:v>46204.67013888889</x:v>
      </x:c>
      <x:c r="D984" s="93" t="n">
        <x:v>46200</x:v>
      </x:c>
      <x:c r="E984" s="94" t="str">
        <x:v>Google Ads</x:v>
      </x:c>
      <x:c r="F984" s="94" t="str">
        <x:v>英国</x:v>
      </x:c>
      <x:c r="G984" s="94" t="str">
        <x:v>购物广告</x:v>
      </x:c>
      <x:c r="H984" s="94" t="str">
        <x:v>SKU-0013</x:v>
      </x:c>
      <x:c r="I984" s="94" t="str">
        <x:v>家居生活</x:v>
      </x:c>
      <x:c r="J984" s="94" t="str">
        <x:v>人体工学椅 C</x:v>
      </x:c>
      <x:c r="K984" s="97" t="n">
        <x:v>153.37</x:v>
      </x:c>
      <x:c r="L984" s="95" t="n">
        <x:v>1</x:v>
      </x:c>
      <x:c r="M984" s="97" t="n">
        <x:f>ROUND(K984*L984,2)</x:f>
        <x:v>153.37</x:v>
      </x:c>
      <x:c r="N984" s="109" t="n">
        <x:v>0.07</x:v>
      </x:c>
      <x:c r="O984" s="97" t="n">
        <x:f>ROUND(M984*N984,2)</x:f>
        <x:v>10.74</x:v>
      </x:c>
      <x:c r="P984" s="94" t="str">
        <x:v>已确认</x:v>
      </x:c>
      <x:c r="Q984" s="97" t="n">
        <x:f>IF(P984="已退款",M984,0)</x:f>
        <x:v>0</x:v>
      </x:c>
      <x:c r="R984" s="97" t="n">
        <x:f>IF(P984="已退款",O984,0)</x:f>
        <x:v>0</x:v>
      </x:c>
      <x:c r="S984" s="97" t="n">
        <x:f>O984-R984</x:f>
        <x:v>10.74</x:v>
      </x:c>
      <x:c r="T984" s="94" t="n">
        <x:v>4</x:v>
      </x:c>
      <x:c r="U984" s="94" t="str">
        <x:v>模拟：Amazon Associates订单回传</x:v>
      </x:c>
    </x:row>
    <x:row r="985">
      <x:c r="A985" s="92" t="str">
        <x:v>AMZ-ORD-00984</x:v>
      </x:c>
      <x:c r="B985" s="94" t="str">
        <x:v>PROC-0984</x:v>
      </x:c>
      <x:c r="C985" s="108" t="n">
        <x:v>46200.611805555556</x:v>
      </x:c>
      <x:c r="D985" s="93" t="n">
        <x:v>46200</x:v>
      </x:c>
      <x:c r="E985" s="94" t="str">
        <x:v>Google Ads</x:v>
      </x:c>
      <x:c r="F985" s="94" t="str">
        <x:v>美国</x:v>
      </x:c>
      <x:c r="G985" s="94" t="str">
        <x:v>通用搜索</x:v>
      </x:c>
      <x:c r="H985" s="94" t="str">
        <x:v>SKU-0019</x:v>
      </x:c>
      <x:c r="I985" s="94" t="str">
        <x:v>家居生活</x:v>
      </x:c>
      <x:c r="J985" s="94" t="str">
        <x:v>无线吸尘器 I</x:v>
      </x:c>
      <x:c r="K985" s="97" t="n">
        <x:v>131.76</x:v>
      </x:c>
      <x:c r="L985" s="95" t="n">
        <x:v>1</x:v>
      </x:c>
      <x:c r="M985" s="97" t="n">
        <x:f>ROUND(K985*L985,2)</x:f>
        <x:v>131.76</x:v>
      </x:c>
      <x:c r="N985" s="109" t="n">
        <x:v>0.07</x:v>
      </x:c>
      <x:c r="O985" s="97" t="n">
        <x:f>ROUND(M985*N985,2)</x:f>
        <x:v>9.22</x:v>
      </x:c>
      <x:c r="P985" s="94" t="str">
        <x:v>已确认</x:v>
      </x:c>
      <x:c r="Q985" s="97" t="n">
        <x:f>IF(P985="已退款",M985,0)</x:f>
        <x:v>0</x:v>
      </x:c>
      <x:c r="R985" s="97" t="n">
        <x:f>IF(P985="已退款",O985,0)</x:f>
        <x:v>0</x:v>
      </x:c>
      <x:c r="S985" s="97" t="n">
        <x:f>O985-R985</x:f>
        <x:v>9.22</x:v>
      </x:c>
      <x:c r="T985" s="94" t="n">
        <x:v>0</x:v>
      </x:c>
      <x:c r="U985" s="94" t="str">
        <x:v>模拟：Amazon Associates订单回传</x:v>
      </x:c>
    </x:row>
    <x:row r="986">
      <x:c r="A986" s="92" t="str">
        <x:v>AMZ-ORD-00985</x:v>
      </x:c>
      <x:c r="B986" s="94" t="str">
        <x:v>PROC-0985</x:v>
      </x:c>
      <x:c r="C986" s="108" t="n">
        <x:v>46203.4375</x:v>
      </x:c>
      <x:c r="D986" s="93" t="n">
        <x:v>46201</x:v>
      </x:c>
      <x:c r="E986" s="94" t="str">
        <x:v>Microsoft Ads</x:v>
      </x:c>
      <x:c r="F986" s="94" t="str">
        <x:v>美国</x:v>
      </x:c>
      <x:c r="G986" s="94" t="str">
        <x:v>购物广告</x:v>
      </x:c>
      <x:c r="H986" s="94" t="str">
        <x:v>SKU-0031</x:v>
      </x:c>
      <x:c r="I986" s="94" t="str">
        <x:v>美妆个护</x:v>
      </x:c>
      <x:c r="J986" s="94" t="str">
        <x:v>洁面仪 A</x:v>
      </x:c>
      <x:c r="K986" s="97" t="n">
        <x:v>121.1</x:v>
      </x:c>
      <x:c r="L986" s="95" t="n">
        <x:v>1</x:v>
      </x:c>
      <x:c r="M986" s="97" t="n">
        <x:f>ROUND(K986*L986,2)</x:f>
        <x:v>121.1</x:v>
      </x:c>
      <x:c r="N986" s="109" t="n">
        <x:v>0.1</x:v>
      </x:c>
      <x:c r="O986" s="97" t="n">
        <x:f>ROUND(M986*N986,2)</x:f>
        <x:v>12.11</x:v>
      </x:c>
      <x:c r="P986" s="94" t="str">
        <x:v>已确认</x:v>
      </x:c>
      <x:c r="Q986" s="97" t="n">
        <x:f>IF(P986="已退款",M986,0)</x:f>
        <x:v>0</x:v>
      </x:c>
      <x:c r="R986" s="97" t="n">
        <x:f>IF(P986="已退款",O986,0)</x:f>
        <x:v>0</x:v>
      </x:c>
      <x:c r="S986" s="97" t="n">
        <x:f>O986-R986</x:f>
        <x:v>12.11</x:v>
      </x:c>
      <x:c r="T986" s="94" t="n">
        <x:v>2</x:v>
      </x:c>
      <x:c r="U986" s="94" t="str">
        <x:v>模拟：Amazon Associates订单回传</x:v>
      </x:c>
    </x:row>
    <x:row r="987">
      <x:c r="A987" s="92" t="str">
        <x:v>AMZ-ORD-00986</x:v>
      </x:c>
      <x:c r="B987" s="94" t="str">
        <x:v>PROC-0986</x:v>
      </x:c>
      <x:c r="C987" s="108" t="n">
        <x:v>46203.55</x:v>
      </x:c>
      <x:c r="D987" s="93" t="n">
        <x:v>46201</x:v>
      </x:c>
      <x:c r="E987" s="94" t="str">
        <x:v>Google Ads</x:v>
      </x:c>
      <x:c r="F987" s="94" t="str">
        <x:v>英国</x:v>
      </x:c>
      <x:c r="G987" s="94" t="str">
        <x:v>通用搜索</x:v>
      </x:c>
      <x:c r="H987" s="94" t="str">
        <x:v>SKU-0040</x:v>
      </x:c>
      <x:c r="I987" s="94" t="str">
        <x:v>美妆个护</x:v>
      </x:c>
      <x:c r="J987" s="94" t="str">
        <x:v>旅行护理套装 J</x:v>
      </x:c>
      <x:c r="K987" s="97" t="n">
        <x:v>39.15</x:v>
      </x:c>
      <x:c r="L987" s="95" t="n">
        <x:v>1</x:v>
      </x:c>
      <x:c r="M987" s="97" t="n">
        <x:f>ROUND(K987*L987,2)</x:f>
        <x:v>39.15</x:v>
      </x:c>
      <x:c r="N987" s="109" t="n">
        <x:v>0.1</x:v>
      </x:c>
      <x:c r="O987" s="97" t="n">
        <x:f>ROUND(M987*N987,2)</x:f>
        <x:v>3.92</x:v>
      </x:c>
      <x:c r="P987" s="94" t="str">
        <x:v>已确认</x:v>
      </x:c>
      <x:c r="Q987" s="97" t="n">
        <x:f>IF(P987="已退款",M987,0)</x:f>
        <x:v>0</x:v>
      </x:c>
      <x:c r="R987" s="97" t="n">
        <x:f>IF(P987="已退款",O987,0)</x:f>
        <x:v>0</x:v>
      </x:c>
      <x:c r="S987" s="97" t="n">
        <x:f>O987-R987</x:f>
        <x:v>3.92</x:v>
      </x:c>
      <x:c r="T987" s="94" t="n">
        <x:v>2</x:v>
      </x:c>
      <x:c r="U987" s="94" t="str">
        <x:v>模拟：Amazon Associates订单回传</x:v>
      </x:c>
    </x:row>
    <x:row r="988">
      <x:c r="A988" s="92" t="str">
        <x:v>AMZ-ORD-00987</x:v>
      </x:c>
      <x:c r="B988" s="94" t="str">
        <x:v>PROC-0988</x:v>
      </x:c>
      <x:c r="C988" s="108" t="n">
        <x:v>46205.72152777778</x:v>
      </x:c>
      <x:c r="D988" s="93" t="n">
        <x:v>46201</x:v>
      </x:c>
      <x:c r="E988" s="94" t="str">
        <x:v>Microsoft Ads</x:v>
      </x:c>
      <x:c r="F988" s="94" t="str">
        <x:v>德国</x:v>
      </x:c>
      <x:c r="G988" s="94" t="str">
        <x:v>购物广告</x:v>
      </x:c>
      <x:c r="H988" s="94" t="str">
        <x:v>SKU-0028</x:v>
      </x:c>
      <x:c r="I988" s="94" t="str">
        <x:v>运动健康</x:v>
      </x:c>
      <x:c r="J988" s="94" t="str">
        <x:v>体脂秤 H</x:v>
      </x:c>
      <x:c r="K988" s="97" t="n">
        <x:v>110.47</x:v>
      </x:c>
      <x:c r="L988" s="95" t="n">
        <x:v>1</x:v>
      </x:c>
      <x:c r="M988" s="97" t="n">
        <x:f>ROUND(K988*L988,2)</x:f>
        <x:v>110.47</x:v>
      </x:c>
      <x:c r="N988" s="109" t="n">
        <x:v>0.08</x:v>
      </x:c>
      <x:c r="O988" s="97" t="n">
        <x:f>ROUND(M988*N988,2)</x:f>
        <x:v>8.84</x:v>
      </x:c>
      <x:c r="P988" s="94" t="str">
        <x:v>已确认</x:v>
      </x:c>
      <x:c r="Q988" s="97" t="n">
        <x:f>IF(P988="已退款",M988,0)</x:f>
        <x:v>0</x:v>
      </x:c>
      <x:c r="R988" s="97" t="n">
        <x:f>IF(P988="已退款",O988,0)</x:f>
        <x:v>0</x:v>
      </x:c>
      <x:c r="S988" s="97" t="n">
        <x:f>O988-R988</x:f>
        <x:v>8.84</x:v>
      </x:c>
      <x:c r="T988" s="94" t="n">
        <x:v>4</x:v>
      </x:c>
      <x:c r="U988" s="94" t="str">
        <x:v>模拟：Amazon Associates订单回传</x:v>
      </x:c>
    </x:row>
    <x:row r="989">
      <x:c r="A989" s="92" t="str">
        <x:v>AMZ-ORD-00988</x:v>
      </x:c>
      <x:c r="B989" s="94" t="str">
        <x:v>PROC-0988</x:v>
      </x:c>
      <x:c r="C989" s="108" t="n">
        <x:v>46205.802777777775</x:v>
      </x:c>
      <x:c r="D989" s="93" t="n">
        <x:v>46201</x:v>
      </x:c>
      <x:c r="E989" s="94" t="str">
        <x:v>Microsoft Ads</x:v>
      </x:c>
      <x:c r="F989" s="94" t="str">
        <x:v>德国</x:v>
      </x:c>
      <x:c r="G989" s="94" t="str">
        <x:v>购物广告</x:v>
      </x:c>
      <x:c r="H989" s="94" t="str">
        <x:v>SKU-0003</x:v>
      </x:c>
      <x:c r="I989" s="94" t="str">
        <x:v>电子产品</x:v>
      </x:c>
      <x:c r="J989" s="94" t="str">
        <x:v>智能家居中枢 C</x:v>
      </x:c>
      <x:c r="K989" s="97" t="n">
        <x:v>328.03</x:v>
      </x:c>
      <x:c r="L989" s="95" t="n">
        <x:v>1</x:v>
      </x:c>
      <x:c r="M989" s="97" t="n">
        <x:f>ROUND(K989*L989,2)</x:f>
        <x:v>328.03</x:v>
      </x:c>
      <x:c r="N989" s="109" t="n">
        <x:v>0.05</x:v>
      </x:c>
      <x:c r="O989" s="97" t="n">
        <x:f>ROUND(M989*N989,2)</x:f>
        <x:v>16.4</x:v>
      </x:c>
      <x:c r="P989" s="94" t="str">
        <x:v>已确认</x:v>
      </x:c>
      <x:c r="Q989" s="97" t="n">
        <x:f>IF(P989="已退款",M989,0)</x:f>
        <x:v>0</x:v>
      </x:c>
      <x:c r="R989" s="97" t="n">
        <x:f>IF(P989="已退款",O989,0)</x:f>
        <x:v>0</x:v>
      </x:c>
      <x:c r="S989" s="97" t="n">
        <x:f>O989-R989</x:f>
        <x:v>16.4</x:v>
      </x:c>
      <x:c r="T989" s="94" t="n">
        <x:v>4</x:v>
      </x:c>
      <x:c r="U989" s="94" t="str">
        <x:v>模拟：Amazon Associates订单回传</x:v>
      </x:c>
    </x:row>
    <x:row r="990">
      <x:c r="A990" s="92" t="str">
        <x:v>AMZ-ORD-00989</x:v>
      </x:c>
      <x:c r="B990" s="94" t="str">
        <x:v>PROC-0989</x:v>
      </x:c>
      <x:c r="C990" s="108" t="n">
        <x:v>46203.57013888889</x:v>
      </x:c>
      <x:c r="D990" s="93" t="n">
        <x:v>46201</x:v>
      </x:c>
      <x:c r="E990" s="94" t="str">
        <x:v>Microsoft Ads</x:v>
      </x:c>
      <x:c r="F990" s="94" t="str">
        <x:v>英国</x:v>
      </x:c>
      <x:c r="G990" s="94" t="str">
        <x:v>购物广告</x:v>
      </x:c>
      <x:c r="H990" s="94" t="str">
        <x:v>SKU-0002</x:v>
      </x:c>
      <x:c r="I990" s="94" t="str">
        <x:v>电子产品</x:v>
      </x:c>
      <x:c r="J990" s="94" t="str">
        <x:v>便携显示器 B</x:v>
      </x:c>
      <x:c r="K990" s="97" t="n">
        <x:v>534.34</x:v>
      </x:c>
      <x:c r="L990" s="95" t="n">
        <x:v>1</x:v>
      </x:c>
      <x:c r="M990" s="97" t="n">
        <x:f>ROUND(K990*L990,2)</x:f>
        <x:v>534.34</x:v>
      </x:c>
      <x:c r="N990" s="109" t="n">
        <x:v>0.05</x:v>
      </x:c>
      <x:c r="O990" s="97" t="n">
        <x:f>ROUND(M990*N990,2)</x:f>
        <x:v>26.72</x:v>
      </x:c>
      <x:c r="P990" s="94" t="str">
        <x:v>已确认</x:v>
      </x:c>
      <x:c r="Q990" s="97" t="n">
        <x:f>IF(P990="已退款",M990,0)</x:f>
        <x:v>0</x:v>
      </x:c>
      <x:c r="R990" s="97" t="n">
        <x:f>IF(P990="已退款",O990,0)</x:f>
        <x:v>0</x:v>
      </x:c>
      <x:c r="S990" s="97" t="n">
        <x:f>O990-R990</x:f>
        <x:v>26.72</x:v>
      </x:c>
      <x:c r="T990" s="94" t="n">
        <x:v>2</x:v>
      </x:c>
      <x:c r="U990" s="94" t="str">
        <x:v>模拟：Amazon Associates订单回传</x:v>
      </x:c>
    </x:row>
    <x:row r="991">
      <x:c r="A991" s="92" t="str">
        <x:v>AMZ-ORD-00990</x:v>
      </x:c>
      <x:c r="B991" s="94" t="str">
        <x:v>PROC-0990</x:v>
      </x:c>
      <x:c r="C991" s="108" t="n">
        <x:v>46203.48888888889</x:v>
      </x:c>
      <x:c r="D991" s="93" t="n">
        <x:v>46202</x:v>
      </x:c>
      <x:c r="E991" s="94" t="str">
        <x:v>Google Ads</x:v>
      </x:c>
      <x:c r="F991" s="94" t="str">
        <x:v>英国</x:v>
      </x:c>
      <x:c r="G991" s="94" t="str">
        <x:v>购物广告</x:v>
      </x:c>
      <x:c r="H991" s="94" t="str">
        <x:v>SKU-0041</x:v>
      </x:c>
      <x:c r="I991" s="94" t="str">
        <x:v>办公学习</x:v>
      </x:c>
      <x:c r="J991" s="94" t="str">
        <x:v>桌面升降台 A</x:v>
      </x:c>
      <x:c r="K991" s="97" t="n">
        <x:v>216.7</x:v>
      </x:c>
      <x:c r="L991" s="95" t="n">
        <x:v>1</x:v>
      </x:c>
      <x:c r="M991" s="97" t="n">
        <x:f>ROUND(K991*L991,2)</x:f>
        <x:v>216.7</x:v>
      </x:c>
      <x:c r="N991" s="109" t="n">
        <x:v>0.07</x:v>
      </x:c>
      <x:c r="O991" s="97" t="n">
        <x:f>ROUND(M991*N991,2)</x:f>
        <x:v>15.17</x:v>
      </x:c>
      <x:c r="P991" s="94" t="str">
        <x:v>已确认</x:v>
      </x:c>
      <x:c r="Q991" s="97" t="n">
        <x:f>IF(P991="已退款",M991,0)</x:f>
        <x:v>0</x:v>
      </x:c>
      <x:c r="R991" s="97" t="n">
        <x:f>IF(P991="已退款",O991,0)</x:f>
        <x:v>0</x:v>
      </x:c>
      <x:c r="S991" s="97" t="n">
        <x:f>O991-R991</x:f>
        <x:v>15.17</x:v>
      </x:c>
      <x:c r="T991" s="94" t="n">
        <x:v>1</x:v>
      </x:c>
      <x:c r="U991" s="94" t="str">
        <x:v>模拟：Amazon Associates订单回传</x:v>
      </x:c>
    </x:row>
    <x:row r="992">
      <x:c r="A992" s="92" t="str">
        <x:v>AMZ-ORD-00991</x:v>
      </x:c>
      <x:c r="B992" s="94" t="str">
        <x:v>PROC-0991</x:v>
      </x:c>
      <x:c r="C992" s="108" t="n">
        <x:v>46205.90277777778</x:v>
      </x:c>
      <x:c r="D992" s="93" t="n">
        <x:v>46202</x:v>
      </x:c>
      <x:c r="E992" s="94" t="str">
        <x:v>Google Ads</x:v>
      </x:c>
      <x:c r="F992" s="94" t="str">
        <x:v>美国</x:v>
      </x:c>
      <x:c r="G992" s="94" t="str">
        <x:v>购物广告</x:v>
      </x:c>
      <x:c r="H992" s="94" t="str">
        <x:v>SKU-0036</x:v>
      </x:c>
      <x:c r="I992" s="94" t="str">
        <x:v>美妆个护</x:v>
      </x:c>
      <x:c r="J992" s="94" t="str">
        <x:v>剃须刀 F</x:v>
      </x:c>
      <x:c r="K992" s="97" t="n">
        <x:v>107.9</x:v>
      </x:c>
      <x:c r="L992" s="95" t="n">
        <x:v>2</x:v>
      </x:c>
      <x:c r="M992" s="97" t="n">
        <x:f>ROUND(K992*L992,2)</x:f>
        <x:v>215.8</x:v>
      </x:c>
      <x:c r="N992" s="109" t="n">
        <x:v>0.1</x:v>
      </x:c>
      <x:c r="O992" s="97" t="n">
        <x:f>ROUND(M992*N992,2)</x:f>
        <x:v>21.58</x:v>
      </x:c>
      <x:c r="P992" s="94" t="str">
        <x:v>已确认</x:v>
      </x:c>
      <x:c r="Q992" s="97" t="n">
        <x:f>IF(P992="已退款",M992,0)</x:f>
        <x:v>0</x:v>
      </x:c>
      <x:c r="R992" s="97" t="n">
        <x:f>IF(P992="已退款",O992,0)</x:f>
        <x:v>0</x:v>
      </x:c>
      <x:c r="S992" s="97" t="n">
        <x:f>O992-R992</x:f>
        <x:v>21.58</x:v>
      </x:c>
      <x:c r="T992" s="94" t="n">
        <x:v>3</x:v>
      </x:c>
      <x:c r="U992" s="94" t="str">
        <x:v>模拟：Amazon Associates订单回传</x:v>
      </x:c>
    </x:row>
    <x:row r="993">
      <x:c r="A993" s="92" t="str">
        <x:v>AMZ-ORD-00992</x:v>
      </x:c>
      <x:c r="B993" s="94" t="str">
        <x:v>PROC-0991</x:v>
      </x:c>
      <x:c r="C993" s="108" t="n">
        <x:v>46202.645833333336</x:v>
      </x:c>
      <x:c r="D993" s="93" t="n">
        <x:v>46202</x:v>
      </x:c>
      <x:c r="E993" s="94" t="str">
        <x:v>Google Ads</x:v>
      </x:c>
      <x:c r="F993" s="94" t="str">
        <x:v>美国</x:v>
      </x:c>
      <x:c r="G993" s="94" t="str">
        <x:v>购物广告</x:v>
      </x:c>
      <x:c r="H993" s="94" t="str">
        <x:v>SKU-0001</x:v>
      </x:c>
      <x:c r="I993" s="94" t="str">
        <x:v>电子产品</x:v>
      </x:c>
      <x:c r="J993" s="94" t="str">
        <x:v>无线耳机 A</x:v>
      </x:c>
      <x:c r="K993" s="97" t="n">
        <x:v>479.45</x:v>
      </x:c>
      <x:c r="L993" s="95" t="n">
        <x:v>1</x:v>
      </x:c>
      <x:c r="M993" s="97" t="n">
        <x:f>ROUND(K993*L993,2)</x:f>
        <x:v>479.45</x:v>
      </x:c>
      <x:c r="N993" s="109" t="n">
        <x:v>0.05</x:v>
      </x:c>
      <x:c r="O993" s="97" t="n">
        <x:f>ROUND(M993*N993,2)</x:f>
        <x:v>23.97</x:v>
      </x:c>
      <x:c r="P993" s="94" t="str">
        <x:v>已确认</x:v>
      </x:c>
      <x:c r="Q993" s="97" t="n">
        <x:f>IF(P993="已退款",M993,0)</x:f>
        <x:v>0</x:v>
      </x:c>
      <x:c r="R993" s="97" t="n">
        <x:f>IF(P993="已退款",O993,0)</x:f>
        <x:v>0</x:v>
      </x:c>
      <x:c r="S993" s="97" t="n">
        <x:f>O993-R993</x:f>
        <x:v>23.97</x:v>
      </x:c>
      <x:c r="T993" s="94" t="n">
        <x:v>0</x:v>
      </x:c>
      <x:c r="U993" s="94" t="str">
        <x:v>模拟：Amazon Associates订单回传</x:v>
      </x:c>
    </x:row>
    <x:row r="994">
      <x:c r="A994" s="92" t="str">
        <x:v>AMZ-ORD-00993</x:v>
      </x:c>
      <x:c r="B994" s="94" t="str">
        <x:v>PROC-0992</x:v>
      </x:c>
      <x:c r="C994" s="108" t="n">
        <x:v>46203.89097222222</x:v>
      </x:c>
      <x:c r="D994" s="93" t="n">
        <x:v>46202</x:v>
      </x:c>
      <x:c r="E994" s="94" t="str">
        <x:v>Microsoft Ads</x:v>
      </x:c>
      <x:c r="F994" s="94" t="str">
        <x:v>日本</x:v>
      </x:c>
      <x:c r="G994" s="94" t="str">
        <x:v>竞品搜索</x:v>
      </x:c>
      <x:c r="H994" s="94" t="str">
        <x:v>SKU-0015</x:v>
      </x:c>
      <x:c r="I994" s="94" t="str">
        <x:v>家居生活</x:v>
      </x:c>
      <x:c r="J994" s="94" t="str">
        <x:v>床品套装 E</x:v>
      </x:c>
      <x:c r="K994" s="97" t="n">
        <x:v>151.63</x:v>
      </x:c>
      <x:c r="L994" s="95" t="n">
        <x:v>2</x:v>
      </x:c>
      <x:c r="M994" s="97" t="n">
        <x:f>ROUND(K994*L994,2)</x:f>
        <x:v>303.26</x:v>
      </x:c>
      <x:c r="N994" s="109" t="n">
        <x:v>0.07</x:v>
      </x:c>
      <x:c r="O994" s="97" t="n">
        <x:f>ROUND(M994*N994,2)</x:f>
        <x:v>21.23</x:v>
      </x:c>
      <x:c r="P994" s="94" t="str">
        <x:v>已确认</x:v>
      </x:c>
      <x:c r="Q994" s="97" t="n">
        <x:f>IF(P994="已退款",M994,0)</x:f>
        <x:v>0</x:v>
      </x:c>
      <x:c r="R994" s="97" t="n">
        <x:f>IF(P994="已退款",O994,0)</x:f>
        <x:v>0</x:v>
      </x:c>
      <x:c r="S994" s="97" t="n">
        <x:f>O994-R994</x:f>
        <x:v>21.23</x:v>
      </x:c>
      <x:c r="T994" s="94" t="n">
        <x:v>1</x:v>
      </x:c>
      <x:c r="U994" s="94" t="str">
        <x:v>模拟：Amazon Associates订单回传</x:v>
      </x:c>
    </x:row>
    <x:row r="995">
      <x:c r="A995" s="92" t="str">
        <x:v>AMZ-ORD-00994</x:v>
      </x:c>
      <x:c r="B995" s="94" t="str">
        <x:v>PROC-0993</x:v>
      </x:c>
      <x:c r="C995" s="108" t="n">
        <x:v>46203.85902777778</x:v>
      </x:c>
      <x:c r="D995" s="93" t="n">
        <x:v>46202</x:v>
      </x:c>
      <x:c r="E995" s="94" t="str">
        <x:v>Microsoft Ads</x:v>
      </x:c>
      <x:c r="F995" s="94" t="str">
        <x:v>德国</x:v>
      </x:c>
      <x:c r="G995" s="94" t="str">
        <x:v>购物广告</x:v>
      </x:c>
      <x:c r="H995" s="94" t="str">
        <x:v>SKU-0003</x:v>
      </x:c>
      <x:c r="I995" s="94" t="str">
        <x:v>电子产品</x:v>
      </x:c>
      <x:c r="J995" s="94" t="str">
        <x:v>智能家居中枢 C</x:v>
      </x:c>
      <x:c r="K995" s="97" t="n">
        <x:v>642.07</x:v>
      </x:c>
      <x:c r="L995" s="95" t="n">
        <x:v>2</x:v>
      </x:c>
      <x:c r="M995" s="97" t="n">
        <x:f>ROUND(K995*L995,2)</x:f>
        <x:v>1284.14</x:v>
      </x:c>
      <x:c r="N995" s="109" t="n">
        <x:v>0.05</x:v>
      </x:c>
      <x:c r="O995" s="97" t="n">
        <x:f>ROUND(M995*N995,2)</x:f>
        <x:v>64.21</x:v>
      </x:c>
      <x:c r="P995" s="94" t="str">
        <x:v>已确认</x:v>
      </x:c>
      <x:c r="Q995" s="97" t="n">
        <x:f>IF(P995="已退款",M995,0)</x:f>
        <x:v>0</x:v>
      </x:c>
      <x:c r="R995" s="97" t="n">
        <x:f>IF(P995="已退款",O995,0)</x:f>
        <x:v>0</x:v>
      </x:c>
      <x:c r="S995" s="97" t="n">
        <x:f>O995-R995</x:f>
        <x:v>64.21</x:v>
      </x:c>
      <x:c r="T995" s="94" t="n">
        <x:v>1</x:v>
      </x:c>
      <x:c r="U995" s="94" t="str">
        <x:v>模拟：Amazon Associates订单回传</x:v>
      </x:c>
    </x:row>
    <x:row r="996">
      <x:c r="A996" s="92" t="str">
        <x:v>AMZ-ORD-00995</x:v>
      </x:c>
      <x:c r="B996" s="94" t="str">
        <x:v>PROC-0995</x:v>
      </x:c>
      <x:c r="C996" s="108" t="n">
        <x:v>46204.86736111111</x:v>
      </x:c>
      <x:c r="D996" s="93" t="n">
        <x:v>46202</x:v>
      </x:c>
      <x:c r="E996" s="94" t="str">
        <x:v>Microsoft Ads</x:v>
      </x:c>
      <x:c r="F996" s="94" t="str">
        <x:v>英国</x:v>
      </x:c>
      <x:c r="G996" s="94" t="str">
        <x:v>品牌搜索</x:v>
      </x:c>
      <x:c r="H996" s="94" t="str">
        <x:v>SKU-0048</x:v>
      </x:c>
      <x:c r="I996" s="94" t="str">
        <x:v>办公学习</x:v>
      </x:c>
      <x:c r="J996" s="94" t="str">
        <x:v>阅读支架 H</x:v>
      </x:c>
      <x:c r="K996" s="97" t="n">
        <x:v>56.59</x:v>
      </x:c>
      <x:c r="L996" s="95" t="n">
        <x:v>1</x:v>
      </x:c>
      <x:c r="M996" s="97" t="n">
        <x:f>ROUND(K996*L996,2)</x:f>
        <x:v>56.59</x:v>
      </x:c>
      <x:c r="N996" s="109" t="n">
        <x:v>0.07</x:v>
      </x:c>
      <x:c r="O996" s="97" t="n">
        <x:f>ROUND(M996*N996,2)</x:f>
        <x:v>3.96</x:v>
      </x:c>
      <x:c r="P996" s="94" t="str">
        <x:v>已确认</x:v>
      </x:c>
      <x:c r="Q996" s="97" t="n">
        <x:f>IF(P996="已退款",M996,0)</x:f>
        <x:v>0</x:v>
      </x:c>
      <x:c r="R996" s="97" t="n">
        <x:f>IF(P996="已退款",O996,0)</x:f>
        <x:v>0</x:v>
      </x:c>
      <x:c r="S996" s="97" t="n">
        <x:f>O996-R996</x:f>
        <x:v>3.96</x:v>
      </x:c>
      <x:c r="T996" s="94" t="n">
        <x:v>2</x:v>
      </x:c>
      <x:c r="U996" s="94" t="str">
        <x:v>模拟：Amazon Associates订单回传</x:v>
      </x:c>
    </x:row>
    <x:row r="997">
      <x:c r="A997" s="92" t="str">
        <x:v>AMZ-ORD-00996</x:v>
      </x:c>
      <x:c r="B997" s="94" t="str">
        <x:v>PROC-0995</x:v>
      </x:c>
      <x:c r="C997" s="108" t="n">
        <x:v>46206.59930555556</x:v>
      </x:c>
      <x:c r="D997" s="93" t="n">
        <x:v>46202</x:v>
      </x:c>
      <x:c r="E997" s="94" t="str">
        <x:v>Microsoft Ads</x:v>
      </x:c>
      <x:c r="F997" s="94" t="str">
        <x:v>英国</x:v>
      </x:c>
      <x:c r="G997" s="94" t="str">
        <x:v>品牌搜索</x:v>
      </x:c>
      <x:c r="H997" s="94" t="str">
        <x:v>SKU-0006</x:v>
      </x:c>
      <x:c r="I997" s="94" t="str">
        <x:v>电子产品</x:v>
      </x:c>
      <x:c r="J997" s="94" t="str">
        <x:v>迷你投影仪 F</x:v>
      </x:c>
      <x:c r="K997" s="97" t="n">
        <x:v>626.87</x:v>
      </x:c>
      <x:c r="L997" s="95" t="n">
        <x:v>1</x:v>
      </x:c>
      <x:c r="M997" s="97" t="n">
        <x:f>ROUND(K997*L997,2)</x:f>
        <x:v>626.87</x:v>
      </x:c>
      <x:c r="N997" s="109" t="n">
        <x:v>0.05</x:v>
      </x:c>
      <x:c r="O997" s="97" t="n">
        <x:f>ROUND(M997*N997,2)</x:f>
        <x:v>31.34</x:v>
      </x:c>
      <x:c r="P997" s="94" t="str">
        <x:v>已确认</x:v>
      </x:c>
      <x:c r="Q997" s="97" t="n">
        <x:f>IF(P997="已退款",M997,0)</x:f>
        <x:v>0</x:v>
      </x:c>
      <x:c r="R997" s="97" t="n">
        <x:f>IF(P997="已退款",O997,0)</x:f>
        <x:v>0</x:v>
      </x:c>
      <x:c r="S997" s="97" t="n">
        <x:f>O997-R997</x:f>
        <x:v>31.34</x:v>
      </x:c>
      <x:c r="T997" s="94" t="n">
        <x:v>4</x:v>
      </x:c>
      <x:c r="U997" s="94" t="str">
        <x:v>模拟：Amazon Associates订单回传</x:v>
      </x:c>
    </x:row>
    <x:row r="998">
      <x:c r="A998" s="92" t="str">
        <x:v>AMZ-ORD-00997</x:v>
      </x:c>
      <x:c r="B998" s="94" t="str">
        <x:v>PROC-0996</x:v>
      </x:c>
      <x:c r="C998" s="108" t="n">
        <x:v>46206.61597222222</x:v>
      </x:c>
      <x:c r="D998" s="93" t="n">
        <x:v>46203</x:v>
      </x:c>
      <x:c r="E998" s="94" t="str">
        <x:v>Google Ads</x:v>
      </x:c>
      <x:c r="F998" s="94" t="str">
        <x:v>美国</x:v>
      </x:c>
      <x:c r="G998" s="94" t="str">
        <x:v>购物广告</x:v>
      </x:c>
      <x:c r="H998" s="94" t="str">
        <x:v>SKU-0021</x:v>
      </x:c>
      <x:c r="I998" s="94" t="str">
        <x:v>运动健康</x:v>
      </x:c>
      <x:c r="J998" s="94" t="str">
        <x:v>智能手表 A</x:v>
      </x:c>
      <x:c r="K998" s="97" t="n">
        <x:v>193.55</x:v>
      </x:c>
      <x:c r="L998" s="95" t="n">
        <x:v>1</x:v>
      </x:c>
      <x:c r="M998" s="97" t="n">
        <x:f>ROUND(K998*L998,2)</x:f>
        <x:v>193.55</x:v>
      </x:c>
      <x:c r="N998" s="109" t="n">
        <x:v>0.08</x:v>
      </x:c>
      <x:c r="O998" s="97" t="n">
        <x:f>ROUND(M998*N998,2)</x:f>
        <x:v>15.48</x:v>
      </x:c>
      <x:c r="P998" s="94" t="str">
        <x:v>已确认</x:v>
      </x:c>
      <x:c r="Q998" s="97" t="n">
        <x:f>IF(P998="已退款",M998,0)</x:f>
        <x:v>0</x:v>
      </x:c>
      <x:c r="R998" s="97" t="n">
        <x:f>IF(P998="已退款",O998,0)</x:f>
        <x:v>0</x:v>
      </x:c>
      <x:c r="S998" s="97" t="n">
        <x:f>O998-R998</x:f>
        <x:v>15.48</x:v>
      </x:c>
      <x:c r="T998" s="94" t="n">
        <x:v>3</x:v>
      </x:c>
      <x:c r="U998" s="94" t="str">
        <x:v>模拟：Amazon Associates订单回传</x:v>
      </x:c>
    </x:row>
    <x:row r="999">
      <x:c r="A999" s="92" t="str">
        <x:v>AMZ-ORD-00998</x:v>
      </x:c>
      <x:c r="B999" s="94" t="str">
        <x:v>PROC-0997</x:v>
      </x:c>
      <x:c r="C999" s="108" t="n">
        <x:v>46205.498611111114</x:v>
      </x:c>
      <x:c r="D999" s="93" t="n">
        <x:v>46203</x:v>
      </x:c>
      <x:c r="E999" s="94" t="str">
        <x:v>Microsoft Ads</x:v>
      </x:c>
      <x:c r="F999" s="94" t="str">
        <x:v>日本</x:v>
      </x:c>
      <x:c r="G999" s="94" t="str">
        <x:v>品牌搜索</x:v>
      </x:c>
      <x:c r="H999" s="94" t="str">
        <x:v>SKU-0026</x:v>
      </x:c>
      <x:c r="I999" s="94" t="str">
        <x:v>运动健康</x:v>
      </x:c>
      <x:c r="J999" s="94" t="str">
        <x:v>骑行头盔 F</x:v>
      </x:c>
      <x:c r="K999" s="97" t="n">
        <x:v>193.95</x:v>
      </x:c>
      <x:c r="L999" s="95" t="n">
        <x:v>3</x:v>
      </x:c>
      <x:c r="M999" s="97" t="n">
        <x:f>ROUND(K999*L999,2)</x:f>
        <x:v>581.85</x:v>
      </x:c>
      <x:c r="N999" s="109" t="n">
        <x:v>0.08</x:v>
      </x:c>
      <x:c r="O999" s="97" t="n">
        <x:f>ROUND(M999*N999,2)</x:f>
        <x:v>46.55</x:v>
      </x:c>
      <x:c r="P999" s="94" t="str">
        <x:v>已确认</x:v>
      </x:c>
      <x:c r="Q999" s="97" t="n">
        <x:f>IF(P999="已退款",M999,0)</x:f>
        <x:v>0</x:v>
      </x:c>
      <x:c r="R999" s="97" t="n">
        <x:f>IF(P999="已退款",O999,0)</x:f>
        <x:v>0</x:v>
      </x:c>
      <x:c r="S999" s="97" t="n">
        <x:f>O999-R999</x:f>
        <x:v>46.55</x:v>
      </x:c>
      <x:c r="T999" s="94" t="n">
        <x:v>2</x:v>
      </x:c>
      <x:c r="U999" s="94" t="str">
        <x:v>模拟：Amazon Associates订单回传</x:v>
      </x:c>
    </x:row>
    <x:row r="1000">
      <x:c r="A1000" s="92" t="str">
        <x:v>AMZ-ORD-00999</x:v>
      </x:c>
      <x:c r="B1000" s="94" t="str">
        <x:v>PROC-0998</x:v>
      </x:c>
      <x:c r="C1000" s="108" t="n">
        <x:v>46206.90069444444</x:v>
      </x:c>
      <x:c r="D1000" s="93" t="n">
        <x:v>46203</x:v>
      </x:c>
      <x:c r="E1000" s="94" t="str">
        <x:v>Microsoft Ads</x:v>
      </x:c>
      <x:c r="F1000" s="94" t="str">
        <x:v>德国</x:v>
      </x:c>
      <x:c r="G1000" s="94" t="str">
        <x:v>通用搜索</x:v>
      </x:c>
      <x:c r="H1000" s="94" t="str">
        <x:v>SKU-0009</x:v>
      </x:c>
      <x:c r="I1000" s="94" t="str">
        <x:v>电子产品</x:v>
      </x:c>
      <x:c r="J1000" s="94" t="str">
        <x:v>电子阅读器 I</x:v>
      </x:c>
      <x:c r="K1000" s="97" t="n">
        <x:v>455.12</x:v>
      </x:c>
      <x:c r="L1000" s="95" t="n">
        <x:v>1</x:v>
      </x:c>
      <x:c r="M1000" s="97" t="n">
        <x:f>ROUND(K1000*L1000,2)</x:f>
        <x:v>455.12</x:v>
      </x:c>
      <x:c r="N1000" s="109" t="n">
        <x:v>0.05</x:v>
      </x:c>
      <x:c r="O1000" s="97" t="n">
        <x:f>ROUND(M1000*N1000,2)</x:f>
        <x:v>22.76</x:v>
      </x:c>
      <x:c r="P1000" s="94" t="str">
        <x:v>已确认</x:v>
      </x:c>
      <x:c r="Q1000" s="97" t="n">
        <x:f>IF(P1000="已退款",M1000,0)</x:f>
        <x:v>0</x:v>
      </x:c>
      <x:c r="R1000" s="97" t="n">
        <x:f>IF(P1000="已退款",O1000,0)</x:f>
        <x:v>0</x:v>
      </x:c>
      <x:c r="S1000" s="97" t="n">
        <x:f>O1000-R1000</x:f>
        <x:v>22.76</x:v>
      </x:c>
      <x:c r="T1000" s="94" t="n">
        <x:v>3</x:v>
      </x:c>
      <x:c r="U1000" s="94" t="str">
        <x:v>模拟：Amazon Associates订单回传</x:v>
      </x:c>
    </x:row>
    <x:row r="1001">
      <x:c r="A1001" s="98" t="str">
        <x:v>AMZ-ORD-01000</x:v>
      </x:c>
      <x:c r="B1001" s="100" t="str">
        <x:v>PROC-1000</x:v>
      </x:c>
      <x:c r="C1001" s="110" t="n">
        <x:v>46205.89513888889</x:v>
      </x:c>
      <x:c r="D1001" s="99" t="n">
        <x:v>46203</x:v>
      </x:c>
      <x:c r="E1001" s="100" t="str">
        <x:v>Google Ads</x:v>
      </x:c>
      <x:c r="F1001" s="100" t="str">
        <x:v>美国</x:v>
      </x:c>
      <x:c r="G1001" s="100" t="str">
        <x:v>品牌搜索</x:v>
      </x:c>
      <x:c r="H1001" s="100" t="str">
        <x:v>SKU-0046</x:v>
      </x:c>
      <x:c r="I1001" s="100" t="str">
        <x:v>办公学习</x:v>
      </x:c>
      <x:c r="J1001" s="100" t="str">
        <x:v>高清摄像头 F</x:v>
      </x:c>
      <x:c r="K1001" s="103" t="n">
        <x:v>111.66</x:v>
      </x:c>
      <x:c r="L1001" s="101" t="n">
        <x:v>1</x:v>
      </x:c>
      <x:c r="M1001" s="103" t="n">
        <x:f>ROUND(K1001*L1001,2)</x:f>
        <x:v>111.66</x:v>
      </x:c>
      <x:c r="N1001" s="111" t="n">
        <x:v>0.07</x:v>
      </x:c>
      <x:c r="O1001" s="103" t="n">
        <x:f>ROUND(M1001*N1001,2)</x:f>
        <x:v>7.82</x:v>
      </x:c>
      <x:c r="P1001" s="100" t="str">
        <x:v>已确认</x:v>
      </x:c>
      <x:c r="Q1001" s="103" t="n">
        <x:f>IF(P1001="已退款",M1001,0)</x:f>
        <x:v>0</x:v>
      </x:c>
      <x:c r="R1001" s="103" t="n">
        <x:f>IF(P1001="已退款",O1001,0)</x:f>
        <x:v>0</x:v>
      </x:c>
      <x:c r="S1001" s="103" t="n">
        <x:f>O1001-R1001</x:f>
        <x:v>7.82</x:v>
      </x:c>
      <x:c r="T1001" s="100" t="n">
        <x:v>2</x:v>
      </x:c>
      <x:c r="U1001" s="100" t="str">
        <x:v>模拟：Amazon Associates订单回传</x:v>
      </x:c>
    </x:row>
  </x:sheetData>
  <x:conditionalFormatting sqref="P2:P1001">
    <x:cfRule type="containsText" dxfId="0" priority="1" operator="containsText" text="已退款"/>
    <x:cfRule type="containsText" dxfId="1" priority="2" operator="containsText" text="已确认"/>
  </x:conditionalFormatting>
  <x:pageMargins left="0.7" right="0.7" top="0.75" bottom="0.75" header="0.3" footer="0.3"/>
  <x:tableParts count="1">
    <x:tablePart xmlns:r="http://schemas.openxmlformats.org/officeDocument/2006/relationships" r:id="Rb8b6e70d125d40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6" hidden="0" customWidth="1"/>
    <x:col min="5" max="5" width="18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36" hidden="0" customWidth="1"/>
  </x:cols>
  <x:sheetData>
    <x:row r="1" ht="30" customHeight="1">
      <x:c r="A1" s="90" t="str">
        <x:v>成本ID</x:v>
      </x:c>
      <x:c r="B1" s="91" t="str">
        <x:v>采购ID</x:v>
      </x:c>
      <x:c r="C1" s="91" t="str">
        <x:v>日期</x:v>
      </x:c>
      <x:c r="D1" s="91" t="str">
        <x:v>平台</x:v>
      </x:c>
      <x:c r="E1" s="91" t="str">
        <x:v>成本类型</x:v>
      </x:c>
      <x:c r="F1" s="91" t="str">
        <x:v>分摊依据</x:v>
      </x:c>
      <x:c r="G1" s="91" t="str">
        <x:v>成本金额(USD)</x:v>
      </x:c>
      <x:c r="H1" s="91" t="str">
        <x:v>固定/变动</x:v>
      </x:c>
      <x:c r="I1" s="91" t="str">
        <x:v>责任团队</x:v>
      </x:c>
      <x:c r="J1" s="91" t="str">
        <x:v>备注</x:v>
      </x:c>
    </x:row>
    <x:row r="2">
      <x:c r="A2" s="92" t="str">
        <x:v>COST-0001</x:v>
      </x:c>
      <x:c r="B2" s="94" t="str">
        <x:v>PROC-0001</x:v>
      </x:c>
      <x:c r="C2" s="93" t="n">
        <x:v>46023</x:v>
      </x:c>
      <x:c r="D2" s="94" t="str">
        <x:v>Google Ads</x:v>
      </x:c>
      <x:c r="E2" s="94" t="str">
        <x:v>人工运营分摊</x:v>
      </x:c>
      <x:c r="F2" s="94" t="str">
        <x:v>按工时</x:v>
      </x:c>
      <x:c r="G2" s="97" t="n">
        <x:v>4.95</x:v>
      </x:c>
      <x:c r="H2" s="94" t="str">
        <x:v>部分固定</x:v>
      </x:c>
      <x:c r="I2" s="94" t="str">
        <x:v>运营团队</x:v>
      </x:c>
      <x:c r="J2" s="94" t="str">
        <x:v>模拟项目运营成本；统一折算USD</x:v>
      </x:c>
    </x:row>
    <x:row r="3">
      <x:c r="A3" s="92" t="str">
        <x:v>COST-0002</x:v>
      </x:c>
      <x:c r="B3" s="94" t="str">
        <x:v>PROC-0002</x:v>
      </x:c>
      <x:c r="C3" s="93" t="n">
        <x:v>46023</x:v>
      </x:c>
      <x:c r="D3" s="94" t="str">
        <x:v>Microsoft Ads</x:v>
      </x:c>
      <x:c r="E3" s="94" t="str">
        <x:v>数据与ETL</x:v>
      </x:c>
      <x:c r="F3" s="94" t="str">
        <x:v>按采购批次</x:v>
      </x:c>
      <x:c r="G3" s="97" t="n">
        <x:v>1.37</x:v>
      </x:c>
      <x:c r="H3" s="94" t="str">
        <x:v>变动</x:v>
      </x:c>
      <x:c r="I3" s="94" t="str">
        <x:v>数据团队</x:v>
      </x:c>
      <x:c r="J3" s="94" t="str">
        <x:v>模拟项目运营成本；统一折算USD</x:v>
      </x:c>
    </x:row>
    <x:row r="4">
      <x:c r="A4" s="92" t="str">
        <x:v>COST-0003</x:v>
      </x:c>
      <x:c r="B4" s="94" t="str">
        <x:v>PROC-0003</x:v>
      </x:c>
      <x:c r="C4" s="93" t="n">
        <x:v>46023</x:v>
      </x:c>
      <x:c r="D4" s="94" t="str">
        <x:v>Microsoft Ads</x:v>
      </x:c>
      <x:c r="E4" s="94" t="str">
        <x:v>归因与监测工具</x:v>
      </x:c>
      <x:c r="F4" s="94" t="str">
        <x:v>按点击量</x:v>
      </x:c>
      <x:c r="G4" s="97" t="n">
        <x:v>0.52</x:v>
      </x:c>
      <x:c r="H4" s="94" t="str">
        <x:v>变动</x:v>
      </x:c>
      <x:c r="I4" s="94" t="str">
        <x:v>分析团队</x:v>
      </x:c>
      <x:c r="J4" s="94" t="str">
        <x:v>模拟项目运营成本；统一折算USD</x:v>
      </x:c>
    </x:row>
    <x:row r="5">
      <x:c r="A5" s="92" t="str">
        <x:v>COST-0004</x:v>
      </x:c>
      <x:c r="B5" s="94" t="str">
        <x:v>PROC-0004</x:v>
      </x:c>
      <x:c r="C5" s="93" t="n">
        <x:v>46023</x:v>
      </x:c>
      <x:c r="D5" s="94" t="str">
        <x:v>Google Ads</x:v>
      </x:c>
      <x:c r="E5" s="94" t="str">
        <x:v>云主机/CDN</x:v>
      </x:c>
      <x:c r="F5" s="94" t="str">
        <x:v>按访问量</x:v>
      </x:c>
      <x:c r="G5" s="97" t="n">
        <x:v>0.69</x:v>
      </x:c>
      <x:c r="H5" s="94" t="str">
        <x:v>变动</x:v>
      </x:c>
      <x:c r="I5" s="94" t="str">
        <x:v>技术团队</x:v>
      </x:c>
      <x:c r="J5" s="94" t="str">
        <x:v>模拟项目运营成本；统一折算USD</x:v>
      </x:c>
    </x:row>
    <x:row r="6">
      <x:c r="A6" s="92" t="str">
        <x:v>COST-0005</x:v>
      </x:c>
      <x:c r="B6" s="94" t="str">
        <x:v>PROC-0005</x:v>
      </x:c>
      <x:c r="C6" s="93" t="n">
        <x:v>46023</x:v>
      </x:c>
      <x:c r="D6" s="94" t="str">
        <x:v>Google Ads</x:v>
      </x:c>
      <x:c r="E6" s="94" t="str">
        <x:v>创意素材</x:v>
      </x:c>
      <x:c r="F6" s="94" t="str">
        <x:v>按活动</x:v>
      </x:c>
      <x:c r="G6" s="97" t="n">
        <x:v>2.35</x:v>
      </x:c>
      <x:c r="H6" s="94" t="str">
        <x:v>部分固定</x:v>
      </x:c>
      <x:c r="I6" s="94" t="str">
        <x:v>增长团队</x:v>
      </x:c>
      <x:c r="J6" s="94" t="str">
        <x:v>模拟项目运营成本；统一折算USD</x:v>
      </x:c>
    </x:row>
    <x:row r="7">
      <x:c r="A7" s="92" t="str">
        <x:v>COST-0006</x:v>
      </x:c>
      <x:c r="B7" s="94" t="str">
        <x:v>PROC-0006</x:v>
      </x:c>
      <x:c r="C7" s="93" t="n">
        <x:v>46023</x:v>
      </x:c>
      <x:c r="D7" s="94" t="str">
        <x:v>Microsoft Ads</x:v>
      </x:c>
      <x:c r="E7" s="94" t="str">
        <x:v>人工运营分摊</x:v>
      </x:c>
      <x:c r="F7" s="94" t="str">
        <x:v>按工时</x:v>
      </x:c>
      <x:c r="G7" s="97" t="n">
        <x:v>3.37</x:v>
      </x:c>
      <x:c r="H7" s="94" t="str">
        <x:v>部分固定</x:v>
      </x:c>
      <x:c r="I7" s="94" t="str">
        <x:v>运营团队</x:v>
      </x:c>
      <x:c r="J7" s="94" t="str">
        <x:v>模拟项目运营成本；统一折算USD</x:v>
      </x:c>
    </x:row>
    <x:row r="8">
      <x:c r="A8" s="92" t="str">
        <x:v>COST-0007</x:v>
      </x:c>
      <x:c r="B8" s="94" t="str">
        <x:v>PROC-0007</x:v>
      </x:c>
      <x:c r="C8" s="93" t="n">
        <x:v>46024</x:v>
      </x:c>
      <x:c r="D8" s="94" t="str">
        <x:v>Microsoft Ads</x:v>
      </x:c>
      <x:c r="E8" s="94" t="str">
        <x:v>创意素材</x:v>
      </x:c>
      <x:c r="F8" s="94" t="str">
        <x:v>按活动</x:v>
      </x:c>
      <x:c r="G8" s="97" t="n">
        <x:v>1</x:v>
      </x:c>
      <x:c r="H8" s="94" t="str">
        <x:v>部分固定</x:v>
      </x:c>
      <x:c r="I8" s="94" t="str">
        <x:v>增长团队</x:v>
      </x:c>
      <x:c r="J8" s="94" t="str">
        <x:v>模拟项目运营成本；统一折算USD</x:v>
      </x:c>
    </x:row>
    <x:row r="9">
      <x:c r="A9" s="92" t="str">
        <x:v>COST-0008</x:v>
      </x:c>
      <x:c r="B9" s="94" t="str">
        <x:v>PROC-0008</x:v>
      </x:c>
      <x:c r="C9" s="93" t="n">
        <x:v>46024</x:v>
      </x:c>
      <x:c r="D9" s="94" t="str">
        <x:v>Google Ads</x:v>
      </x:c>
      <x:c r="E9" s="94" t="str">
        <x:v>人工运营分摊</x:v>
      </x:c>
      <x:c r="F9" s="94" t="str">
        <x:v>按工时</x:v>
      </x:c>
      <x:c r="G9" s="97" t="n">
        <x:v>3.97</x:v>
      </x:c>
      <x:c r="H9" s="94" t="str">
        <x:v>部分固定</x:v>
      </x:c>
      <x:c r="I9" s="94" t="str">
        <x:v>运营团队</x:v>
      </x:c>
      <x:c r="J9" s="94" t="str">
        <x:v>模拟项目运营成本；统一折算USD</x:v>
      </x:c>
    </x:row>
    <x:row r="10">
      <x:c r="A10" s="92" t="str">
        <x:v>COST-0009</x:v>
      </x:c>
      <x:c r="B10" s="94" t="str">
        <x:v>PROC-0009</x:v>
      </x:c>
      <x:c r="C10" s="93" t="n">
        <x:v>46024</x:v>
      </x:c>
      <x:c r="D10" s="94" t="str">
        <x:v>Google Ads</x:v>
      </x:c>
      <x:c r="E10" s="94" t="str">
        <x:v>数据与ETL</x:v>
      </x:c>
      <x:c r="F10" s="94" t="str">
        <x:v>按采购批次</x:v>
      </x:c>
      <x:c r="G10" s="97" t="n">
        <x:v>1.55</x:v>
      </x:c>
      <x:c r="H10" s="94" t="str">
        <x:v>变动</x:v>
      </x:c>
      <x:c r="I10" s="94" t="str">
        <x:v>数据团队</x:v>
      </x:c>
      <x:c r="J10" s="94" t="str">
        <x:v>模拟项目运营成本；统一折算USD</x:v>
      </x:c>
    </x:row>
    <x:row r="11">
      <x:c r="A11" s="92" t="str">
        <x:v>COST-0010</x:v>
      </x:c>
      <x:c r="B11" s="94" t="str">
        <x:v>PROC-0010</x:v>
      </x:c>
      <x:c r="C11" s="93" t="n">
        <x:v>46024</x:v>
      </x:c>
      <x:c r="D11" s="94" t="str">
        <x:v>Google Ads</x:v>
      </x:c>
      <x:c r="E11" s="94" t="str">
        <x:v>数据与ETL</x:v>
      </x:c>
      <x:c r="F11" s="94" t="str">
        <x:v>按采购批次</x:v>
      </x:c>
      <x:c r="G11" s="97" t="n">
        <x:v>0.7</x:v>
      </x:c>
      <x:c r="H11" s="94" t="str">
        <x:v>变动</x:v>
      </x:c>
      <x:c r="I11" s="94" t="str">
        <x:v>数据团队</x:v>
      </x:c>
      <x:c r="J11" s="94" t="str">
        <x:v>模拟项目运营成本；统一折算USD</x:v>
      </x:c>
    </x:row>
    <x:row r="12">
      <x:c r="A12" s="92" t="str">
        <x:v>COST-0011</x:v>
      </x:c>
      <x:c r="B12" s="94" t="str">
        <x:v>PROC-0011</x:v>
      </x:c>
      <x:c r="C12" s="93" t="n">
        <x:v>46024</x:v>
      </x:c>
      <x:c r="D12" s="94" t="str">
        <x:v>Microsoft Ads</x:v>
      </x:c>
      <x:c r="E12" s="94" t="str">
        <x:v>创意素材</x:v>
      </x:c>
      <x:c r="F12" s="94" t="str">
        <x:v>按活动</x:v>
      </x:c>
      <x:c r="G12" s="97" t="n">
        <x:v>1.62</x:v>
      </x:c>
      <x:c r="H12" s="94" t="str">
        <x:v>部分固定</x:v>
      </x:c>
      <x:c r="I12" s="94" t="str">
        <x:v>增长团队</x:v>
      </x:c>
      <x:c r="J12" s="94" t="str">
        <x:v>模拟项目运营成本；统一折算USD</x:v>
      </x:c>
    </x:row>
    <x:row r="13">
      <x:c r="A13" s="92" t="str">
        <x:v>COST-0012</x:v>
      </x:c>
      <x:c r="B13" s="94" t="str">
        <x:v>PROC-0012</x:v>
      </x:c>
      <x:c r="C13" s="93" t="n">
        <x:v>46024</x:v>
      </x:c>
      <x:c r="D13" s="94" t="str">
        <x:v>Google Ads</x:v>
      </x:c>
      <x:c r="E13" s="94" t="str">
        <x:v>归因与监测工具</x:v>
      </x:c>
      <x:c r="F13" s="94" t="str">
        <x:v>按点击量</x:v>
      </x:c>
      <x:c r="G13" s="97" t="n">
        <x:v>1.28</x:v>
      </x:c>
      <x:c r="H13" s="94" t="str">
        <x:v>变动</x:v>
      </x:c>
      <x:c r="I13" s="94" t="str">
        <x:v>分析团队</x:v>
      </x:c>
      <x:c r="J13" s="94" t="str">
        <x:v>模拟项目运营成本；统一折算USD</x:v>
      </x:c>
    </x:row>
    <x:row r="14">
      <x:c r="A14" s="92" t="str">
        <x:v>COST-0013</x:v>
      </x:c>
      <x:c r="B14" s="94" t="str">
        <x:v>PROC-0013</x:v>
      </x:c>
      <x:c r="C14" s="93" t="n">
        <x:v>46025</x:v>
      </x:c>
      <x:c r="D14" s="94" t="str">
        <x:v>Google Ads</x:v>
      </x:c>
      <x:c r="E14" s="94" t="str">
        <x:v>云主机/CDN</x:v>
      </x:c>
      <x:c r="F14" s="94" t="str">
        <x:v>按访问量</x:v>
      </x:c>
      <x:c r="G14" s="97" t="n">
        <x:v>0.26</x:v>
      </x:c>
      <x:c r="H14" s="94" t="str">
        <x:v>变动</x:v>
      </x:c>
      <x:c r="I14" s="94" t="str">
        <x:v>技术团队</x:v>
      </x:c>
      <x:c r="J14" s="94" t="str">
        <x:v>模拟项目运营成本；统一折算USD</x:v>
      </x:c>
    </x:row>
    <x:row r="15">
      <x:c r="A15" s="92" t="str">
        <x:v>COST-0014</x:v>
      </x:c>
      <x:c r="B15" s="94" t="str">
        <x:v>PROC-0014</x:v>
      </x:c>
      <x:c r="C15" s="93" t="n">
        <x:v>46025</x:v>
      </x:c>
      <x:c r="D15" s="94" t="str">
        <x:v>Google Ads</x:v>
      </x:c>
      <x:c r="E15" s="94" t="str">
        <x:v>数据与ETL</x:v>
      </x:c>
      <x:c r="F15" s="94" t="str">
        <x:v>按采购批次</x:v>
      </x:c>
      <x:c r="G15" s="97" t="n">
        <x:v>0.79</x:v>
      </x:c>
      <x:c r="H15" s="94" t="str">
        <x:v>变动</x:v>
      </x:c>
      <x:c r="I15" s="94" t="str">
        <x:v>数据团队</x:v>
      </x:c>
      <x:c r="J15" s="94" t="str">
        <x:v>模拟项目运营成本；统一折算USD</x:v>
      </x:c>
    </x:row>
    <x:row r="16">
      <x:c r="A16" s="92" t="str">
        <x:v>COST-0015</x:v>
      </x:c>
      <x:c r="B16" s="94" t="str">
        <x:v>PROC-0015</x:v>
      </x:c>
      <x:c r="C16" s="93" t="n">
        <x:v>46025</x:v>
      </x:c>
      <x:c r="D16" s="94" t="str">
        <x:v>Google Ads</x:v>
      </x:c>
      <x:c r="E16" s="94" t="str">
        <x:v>数据与ETL</x:v>
      </x:c>
      <x:c r="F16" s="94" t="str">
        <x:v>按采购批次</x:v>
      </x:c>
      <x:c r="G16" s="97" t="n">
        <x:v>1.68</x:v>
      </x:c>
      <x:c r="H16" s="94" t="str">
        <x:v>变动</x:v>
      </x:c>
      <x:c r="I16" s="94" t="str">
        <x:v>数据团队</x:v>
      </x:c>
      <x:c r="J16" s="94" t="str">
        <x:v>模拟项目运营成本；统一折算USD</x:v>
      </x:c>
    </x:row>
    <x:row r="17">
      <x:c r="A17" s="92" t="str">
        <x:v>COST-0016</x:v>
      </x:c>
      <x:c r="B17" s="94" t="str">
        <x:v>PROC-0016</x:v>
      </x:c>
      <x:c r="C17" s="93" t="n">
        <x:v>46025</x:v>
      </x:c>
      <x:c r="D17" s="94" t="str">
        <x:v>Google Ads</x:v>
      </x:c>
      <x:c r="E17" s="94" t="str">
        <x:v>归因与监测工具</x:v>
      </x:c>
      <x:c r="F17" s="94" t="str">
        <x:v>按点击量</x:v>
      </x:c>
      <x:c r="G17" s="97" t="n">
        <x:v>1.09</x:v>
      </x:c>
      <x:c r="H17" s="94" t="str">
        <x:v>变动</x:v>
      </x:c>
      <x:c r="I17" s="94" t="str">
        <x:v>分析团队</x:v>
      </x:c>
      <x:c r="J17" s="94" t="str">
        <x:v>模拟项目运营成本；统一折算USD</x:v>
      </x:c>
    </x:row>
    <x:row r="18">
      <x:c r="A18" s="92" t="str">
        <x:v>COST-0017</x:v>
      </x:c>
      <x:c r="B18" s="94" t="str">
        <x:v>PROC-0017</x:v>
      </x:c>
      <x:c r="C18" s="93" t="n">
        <x:v>46025</x:v>
      </x:c>
      <x:c r="D18" s="94" t="str">
        <x:v>Microsoft Ads</x:v>
      </x:c>
      <x:c r="E18" s="94" t="str">
        <x:v>人工运营分摊</x:v>
      </x:c>
      <x:c r="F18" s="94" t="str">
        <x:v>按工时</x:v>
      </x:c>
      <x:c r="G18" s="97" t="n">
        <x:v>1.92</x:v>
      </x:c>
      <x:c r="H18" s="94" t="str">
        <x:v>部分固定</x:v>
      </x:c>
      <x:c r="I18" s="94" t="str">
        <x:v>运营团队</x:v>
      </x:c>
      <x:c r="J18" s="94" t="str">
        <x:v>模拟项目运营成本；统一折算USD</x:v>
      </x:c>
    </x:row>
    <x:row r="19">
      <x:c r="A19" s="92" t="str">
        <x:v>COST-0018</x:v>
      </x:c>
      <x:c r="B19" s="94" t="str">
        <x:v>PROC-0018</x:v>
      </x:c>
      <x:c r="C19" s="93" t="n">
        <x:v>46026</x:v>
      </x:c>
      <x:c r="D19" s="94" t="str">
        <x:v>Microsoft Ads</x:v>
      </x:c>
      <x:c r="E19" s="94" t="str">
        <x:v>云主机/CDN</x:v>
      </x:c>
      <x:c r="F19" s="94" t="str">
        <x:v>按访问量</x:v>
      </x:c>
      <x:c r="G19" s="97" t="n">
        <x:v>0.44</x:v>
      </x:c>
      <x:c r="H19" s="94" t="str">
        <x:v>变动</x:v>
      </x:c>
      <x:c r="I19" s="94" t="str">
        <x:v>技术团队</x:v>
      </x:c>
      <x:c r="J19" s="94" t="str">
        <x:v>模拟项目运营成本；统一折算USD</x:v>
      </x:c>
    </x:row>
    <x:row r="20">
      <x:c r="A20" s="92" t="str">
        <x:v>COST-0019</x:v>
      </x:c>
      <x:c r="B20" s="94" t="str">
        <x:v>PROC-0019</x:v>
      </x:c>
      <x:c r="C20" s="93" t="n">
        <x:v>46026</x:v>
      </x:c>
      <x:c r="D20" s="94" t="str">
        <x:v>Google Ads</x:v>
      </x:c>
      <x:c r="E20" s="94" t="str">
        <x:v>云主机/CDN</x:v>
      </x:c>
      <x:c r="F20" s="94" t="str">
        <x:v>按访问量</x:v>
      </x:c>
      <x:c r="G20" s="97" t="n">
        <x:v>0.54</x:v>
      </x:c>
      <x:c r="H20" s="94" t="str">
        <x:v>变动</x:v>
      </x:c>
      <x:c r="I20" s="94" t="str">
        <x:v>技术团队</x:v>
      </x:c>
      <x:c r="J20" s="94" t="str">
        <x:v>模拟项目运营成本；统一折算USD</x:v>
      </x:c>
    </x:row>
    <x:row r="21">
      <x:c r="A21" s="92" t="str">
        <x:v>COST-0020</x:v>
      </x:c>
      <x:c r="B21" s="94" t="str">
        <x:v>PROC-0020</x:v>
      </x:c>
      <x:c r="C21" s="93" t="n">
        <x:v>46026</x:v>
      </x:c>
      <x:c r="D21" s="94" t="str">
        <x:v>Microsoft Ads</x:v>
      </x:c>
      <x:c r="E21" s="94" t="str">
        <x:v>人工运营分摊</x:v>
      </x:c>
      <x:c r="F21" s="94" t="str">
        <x:v>按工时</x:v>
      </x:c>
      <x:c r="G21" s="97" t="n">
        <x:v>2.49</x:v>
      </x:c>
      <x:c r="H21" s="94" t="str">
        <x:v>部分固定</x:v>
      </x:c>
      <x:c r="I21" s="94" t="str">
        <x:v>运营团队</x:v>
      </x:c>
      <x:c r="J21" s="94" t="str">
        <x:v>模拟项目运营成本；统一折算USD</x:v>
      </x:c>
    </x:row>
    <x:row r="22">
      <x:c r="A22" s="92" t="str">
        <x:v>COST-0021</x:v>
      </x:c>
      <x:c r="B22" s="94" t="str">
        <x:v>PROC-0021</x:v>
      </x:c>
      <x:c r="C22" s="93" t="n">
        <x:v>46026</x:v>
      </x:c>
      <x:c r="D22" s="94" t="str">
        <x:v>Microsoft Ads</x:v>
      </x:c>
      <x:c r="E22" s="94" t="str">
        <x:v>数据与ETL</x:v>
      </x:c>
      <x:c r="F22" s="94" t="str">
        <x:v>按采购批次</x:v>
      </x:c>
      <x:c r="G22" s="97" t="n">
        <x:v>0.5</x:v>
      </x:c>
      <x:c r="H22" s="94" t="str">
        <x:v>变动</x:v>
      </x:c>
      <x:c r="I22" s="94" t="str">
        <x:v>数据团队</x:v>
      </x:c>
      <x:c r="J22" s="94" t="str">
        <x:v>模拟项目运营成本；统一折算USD</x:v>
      </x:c>
    </x:row>
    <x:row r="23">
      <x:c r="A23" s="92" t="str">
        <x:v>COST-0022</x:v>
      </x:c>
      <x:c r="B23" s="94" t="str">
        <x:v>PROC-0022</x:v>
      </x:c>
      <x:c r="C23" s="93" t="n">
        <x:v>46026</x:v>
      </x:c>
      <x:c r="D23" s="94" t="str">
        <x:v>Google Ads</x:v>
      </x:c>
      <x:c r="E23" s="94" t="str">
        <x:v>创意素材</x:v>
      </x:c>
      <x:c r="F23" s="94" t="str">
        <x:v>按活动</x:v>
      </x:c>
      <x:c r="G23" s="97" t="n">
        <x:v>4.07</x:v>
      </x:c>
      <x:c r="H23" s="94" t="str">
        <x:v>部分固定</x:v>
      </x:c>
      <x:c r="I23" s="94" t="str">
        <x:v>增长团队</x:v>
      </x:c>
      <x:c r="J23" s="94" t="str">
        <x:v>模拟项目运营成本；统一折算USD</x:v>
      </x:c>
    </x:row>
    <x:row r="24">
      <x:c r="A24" s="92" t="str">
        <x:v>COST-0023</x:v>
      </x:c>
      <x:c r="B24" s="94" t="str">
        <x:v>PROC-0023</x:v>
      </x:c>
      <x:c r="C24" s="93" t="n">
        <x:v>46026</x:v>
      </x:c>
      <x:c r="D24" s="94" t="str">
        <x:v>Google Ads</x:v>
      </x:c>
      <x:c r="E24" s="94" t="str">
        <x:v>人工运营分摊</x:v>
      </x:c>
      <x:c r="F24" s="94" t="str">
        <x:v>按工时</x:v>
      </x:c>
      <x:c r="G24" s="97" t="n">
        <x:v>2.96</x:v>
      </x:c>
      <x:c r="H24" s="94" t="str">
        <x:v>部分固定</x:v>
      </x:c>
      <x:c r="I24" s="94" t="str">
        <x:v>运营团队</x:v>
      </x:c>
      <x:c r="J24" s="94" t="str">
        <x:v>模拟项目运营成本；统一折算USD</x:v>
      </x:c>
    </x:row>
    <x:row r="25">
      <x:c r="A25" s="92" t="str">
        <x:v>COST-0024</x:v>
      </x:c>
      <x:c r="B25" s="94" t="str">
        <x:v>PROC-0024</x:v>
      </x:c>
      <x:c r="C25" s="93" t="n">
        <x:v>46027</x:v>
      </x:c>
      <x:c r="D25" s="94" t="str">
        <x:v>Microsoft Ads</x:v>
      </x:c>
      <x:c r="E25" s="94" t="str">
        <x:v>创意素材</x:v>
      </x:c>
      <x:c r="F25" s="94" t="str">
        <x:v>按活动</x:v>
      </x:c>
      <x:c r="G25" s="97" t="n">
        <x:v>1.22</x:v>
      </x:c>
      <x:c r="H25" s="94" t="str">
        <x:v>部分固定</x:v>
      </x:c>
      <x:c r="I25" s="94" t="str">
        <x:v>增长团队</x:v>
      </x:c>
      <x:c r="J25" s="94" t="str">
        <x:v>模拟项目运营成本；统一折算USD</x:v>
      </x:c>
    </x:row>
    <x:row r="26">
      <x:c r="A26" s="92" t="str">
        <x:v>COST-0025</x:v>
      </x:c>
      <x:c r="B26" s="94" t="str">
        <x:v>PROC-0025</x:v>
      </x:c>
      <x:c r="C26" s="93" t="n">
        <x:v>46027</x:v>
      </x:c>
      <x:c r="D26" s="94" t="str">
        <x:v>Google Ads</x:v>
      </x:c>
      <x:c r="E26" s="94" t="str">
        <x:v>数据与ETL</x:v>
      </x:c>
      <x:c r="F26" s="94" t="str">
        <x:v>按采购批次</x:v>
      </x:c>
      <x:c r="G26" s="97" t="n">
        <x:v>1.43</x:v>
      </x:c>
      <x:c r="H26" s="94" t="str">
        <x:v>变动</x:v>
      </x:c>
      <x:c r="I26" s="94" t="str">
        <x:v>数据团队</x:v>
      </x:c>
      <x:c r="J26" s="94" t="str">
        <x:v>模拟项目运营成本；统一折算USD</x:v>
      </x:c>
    </x:row>
    <x:row r="27">
      <x:c r="A27" s="92" t="str">
        <x:v>COST-0026</x:v>
      </x:c>
      <x:c r="B27" s="94" t="str">
        <x:v>PROC-0026</x:v>
      </x:c>
      <x:c r="C27" s="93" t="n">
        <x:v>46027</x:v>
      </x:c>
      <x:c r="D27" s="94" t="str">
        <x:v>Google Ads</x:v>
      </x:c>
      <x:c r="E27" s="94" t="str">
        <x:v>云主机/CDN</x:v>
      </x:c>
      <x:c r="F27" s="94" t="str">
        <x:v>按访问量</x:v>
      </x:c>
      <x:c r="G27" s="97" t="n">
        <x:v>0.96</x:v>
      </x:c>
      <x:c r="H27" s="94" t="str">
        <x:v>变动</x:v>
      </x:c>
      <x:c r="I27" s="94" t="str">
        <x:v>技术团队</x:v>
      </x:c>
      <x:c r="J27" s="94" t="str">
        <x:v>模拟项目运营成本；统一折算USD</x:v>
      </x:c>
    </x:row>
    <x:row r="28">
      <x:c r="A28" s="92" t="str">
        <x:v>COST-0027</x:v>
      </x:c>
      <x:c r="B28" s="94" t="str">
        <x:v>PROC-0027</x:v>
      </x:c>
      <x:c r="C28" s="93" t="n">
        <x:v>46027</x:v>
      </x:c>
      <x:c r="D28" s="94" t="str">
        <x:v>Google Ads</x:v>
      </x:c>
      <x:c r="E28" s="94" t="str">
        <x:v>数据与ETL</x:v>
      </x:c>
      <x:c r="F28" s="94" t="str">
        <x:v>按采购批次</x:v>
      </x:c>
      <x:c r="G28" s="97" t="n">
        <x:v>0.4</x:v>
      </x:c>
      <x:c r="H28" s="94" t="str">
        <x:v>变动</x:v>
      </x:c>
      <x:c r="I28" s="94" t="str">
        <x:v>数据团队</x:v>
      </x:c>
      <x:c r="J28" s="94" t="str">
        <x:v>模拟项目运营成本；统一折算USD</x:v>
      </x:c>
    </x:row>
    <x:row r="29">
      <x:c r="A29" s="92" t="str">
        <x:v>COST-0028</x:v>
      </x:c>
      <x:c r="B29" s="94" t="str">
        <x:v>PROC-0028</x:v>
      </x:c>
      <x:c r="C29" s="93" t="n">
        <x:v>46027</x:v>
      </x:c>
      <x:c r="D29" s="94" t="str">
        <x:v>Microsoft Ads</x:v>
      </x:c>
      <x:c r="E29" s="94" t="str">
        <x:v>数据与ETL</x:v>
      </x:c>
      <x:c r="F29" s="94" t="str">
        <x:v>按采购批次</x:v>
      </x:c>
      <x:c r="G29" s="97" t="n">
        <x:v>1.35</x:v>
      </x:c>
      <x:c r="H29" s="94" t="str">
        <x:v>变动</x:v>
      </x:c>
      <x:c r="I29" s="94" t="str">
        <x:v>数据团队</x:v>
      </x:c>
      <x:c r="J29" s="94" t="str">
        <x:v>模拟项目运营成本；统一折算USD</x:v>
      </x:c>
    </x:row>
    <x:row r="30">
      <x:c r="A30" s="92" t="str">
        <x:v>COST-0029</x:v>
      </x:c>
      <x:c r="B30" s="94" t="str">
        <x:v>PROC-0029</x:v>
      </x:c>
      <x:c r="C30" s="93" t="n">
        <x:v>46028</x:v>
      </x:c>
      <x:c r="D30" s="94" t="str">
        <x:v>Google Ads</x:v>
      </x:c>
      <x:c r="E30" s="94" t="str">
        <x:v>数据与ETL</x:v>
      </x:c>
      <x:c r="F30" s="94" t="str">
        <x:v>按采购批次</x:v>
      </x:c>
      <x:c r="G30" s="97" t="n">
        <x:v>0.78</x:v>
      </x:c>
      <x:c r="H30" s="94" t="str">
        <x:v>变动</x:v>
      </x:c>
      <x:c r="I30" s="94" t="str">
        <x:v>数据团队</x:v>
      </x:c>
      <x:c r="J30" s="94" t="str">
        <x:v>模拟项目运营成本；统一折算USD</x:v>
      </x:c>
    </x:row>
    <x:row r="31">
      <x:c r="A31" s="92" t="str">
        <x:v>COST-0030</x:v>
      </x:c>
      <x:c r="B31" s="94" t="str">
        <x:v>PROC-0030</x:v>
      </x:c>
      <x:c r="C31" s="93" t="n">
        <x:v>46028</x:v>
      </x:c>
      <x:c r="D31" s="94" t="str">
        <x:v>Google Ads</x:v>
      </x:c>
      <x:c r="E31" s="94" t="str">
        <x:v>数据与ETL</x:v>
      </x:c>
      <x:c r="F31" s="94" t="str">
        <x:v>按采购批次</x:v>
      </x:c>
      <x:c r="G31" s="97" t="n">
        <x:v>1.41</x:v>
      </x:c>
      <x:c r="H31" s="94" t="str">
        <x:v>变动</x:v>
      </x:c>
      <x:c r="I31" s="94" t="str">
        <x:v>数据团队</x:v>
      </x:c>
      <x:c r="J31" s="94" t="str">
        <x:v>模拟项目运营成本；统一折算USD</x:v>
      </x:c>
    </x:row>
    <x:row r="32">
      <x:c r="A32" s="92" t="str">
        <x:v>COST-0031</x:v>
      </x:c>
      <x:c r="B32" s="94" t="str">
        <x:v>PROC-0031</x:v>
      </x:c>
      <x:c r="C32" s="93" t="n">
        <x:v>46028</x:v>
      </x:c>
      <x:c r="D32" s="94" t="str">
        <x:v>Microsoft Ads</x:v>
      </x:c>
      <x:c r="E32" s="94" t="str">
        <x:v>归因与监测工具</x:v>
      </x:c>
      <x:c r="F32" s="94" t="str">
        <x:v>按点击量</x:v>
      </x:c>
      <x:c r="G32" s="97" t="n">
        <x:v>0.98</x:v>
      </x:c>
      <x:c r="H32" s="94" t="str">
        <x:v>变动</x:v>
      </x:c>
      <x:c r="I32" s="94" t="str">
        <x:v>分析团队</x:v>
      </x:c>
      <x:c r="J32" s="94" t="str">
        <x:v>模拟项目运营成本；统一折算USD</x:v>
      </x:c>
    </x:row>
    <x:row r="33">
      <x:c r="A33" s="92" t="str">
        <x:v>COST-0032</x:v>
      </x:c>
      <x:c r="B33" s="94" t="str">
        <x:v>PROC-0032</x:v>
      </x:c>
      <x:c r="C33" s="93" t="n">
        <x:v>46028</x:v>
      </x:c>
      <x:c r="D33" s="94" t="str">
        <x:v>Microsoft Ads</x:v>
      </x:c>
      <x:c r="E33" s="94" t="str">
        <x:v>创意素材</x:v>
      </x:c>
      <x:c r="F33" s="94" t="str">
        <x:v>按活动</x:v>
      </x:c>
      <x:c r="G33" s="97" t="n">
        <x:v>1.86</x:v>
      </x:c>
      <x:c r="H33" s="94" t="str">
        <x:v>部分固定</x:v>
      </x:c>
      <x:c r="I33" s="94" t="str">
        <x:v>增长团队</x:v>
      </x:c>
      <x:c r="J33" s="94" t="str">
        <x:v>模拟项目运营成本；统一折算USD</x:v>
      </x:c>
    </x:row>
    <x:row r="34">
      <x:c r="A34" s="92" t="str">
        <x:v>COST-0033</x:v>
      </x:c>
      <x:c r="B34" s="94" t="str">
        <x:v>PROC-0033</x:v>
      </x:c>
      <x:c r="C34" s="93" t="n">
        <x:v>46028</x:v>
      </x:c>
      <x:c r="D34" s="94" t="str">
        <x:v>Microsoft Ads</x:v>
      </x:c>
      <x:c r="E34" s="94" t="str">
        <x:v>人工运营分摊</x:v>
      </x:c>
      <x:c r="F34" s="94" t="str">
        <x:v>按工时</x:v>
      </x:c>
      <x:c r="G34" s="97" t="n">
        <x:v>3.05</x:v>
      </x:c>
      <x:c r="H34" s="94" t="str">
        <x:v>部分固定</x:v>
      </x:c>
      <x:c r="I34" s="94" t="str">
        <x:v>运营团队</x:v>
      </x:c>
      <x:c r="J34" s="94" t="str">
        <x:v>模拟项目运营成本；统一折算USD</x:v>
      </x:c>
    </x:row>
    <x:row r="35">
      <x:c r="A35" s="92" t="str">
        <x:v>COST-0034</x:v>
      </x:c>
      <x:c r="B35" s="94" t="str">
        <x:v>PROC-0034</x:v>
      </x:c>
      <x:c r="C35" s="93" t="n">
        <x:v>46028</x:v>
      </x:c>
      <x:c r="D35" s="94" t="str">
        <x:v>Google Ads</x:v>
      </x:c>
      <x:c r="E35" s="94" t="str">
        <x:v>人工运营分摊</x:v>
      </x:c>
      <x:c r="F35" s="94" t="str">
        <x:v>按工时</x:v>
      </x:c>
      <x:c r="G35" s="97" t="n">
        <x:v>3.26</x:v>
      </x:c>
      <x:c r="H35" s="94" t="str">
        <x:v>部分固定</x:v>
      </x:c>
      <x:c r="I35" s="94" t="str">
        <x:v>运营团队</x:v>
      </x:c>
      <x:c r="J35" s="94" t="str">
        <x:v>模拟项目运营成本；统一折算USD</x:v>
      </x:c>
    </x:row>
    <x:row r="36">
      <x:c r="A36" s="92" t="str">
        <x:v>COST-0035</x:v>
      </x:c>
      <x:c r="B36" s="94" t="str">
        <x:v>PROC-0035</x:v>
      </x:c>
      <x:c r="C36" s="93" t="n">
        <x:v>46029</x:v>
      </x:c>
      <x:c r="D36" s="94" t="str">
        <x:v>Google Ads</x:v>
      </x:c>
      <x:c r="E36" s="94" t="str">
        <x:v>数据与ETL</x:v>
      </x:c>
      <x:c r="F36" s="94" t="str">
        <x:v>按采购批次</x:v>
      </x:c>
      <x:c r="G36" s="97" t="n">
        <x:v>1.48</x:v>
      </x:c>
      <x:c r="H36" s="94" t="str">
        <x:v>变动</x:v>
      </x:c>
      <x:c r="I36" s="94" t="str">
        <x:v>数据团队</x:v>
      </x:c>
      <x:c r="J36" s="94" t="str">
        <x:v>模拟项目运营成本；统一折算USD</x:v>
      </x:c>
    </x:row>
    <x:row r="37">
      <x:c r="A37" s="92" t="str">
        <x:v>COST-0036</x:v>
      </x:c>
      <x:c r="B37" s="94" t="str">
        <x:v>PROC-0036</x:v>
      </x:c>
      <x:c r="C37" s="93" t="n">
        <x:v>46029</x:v>
      </x:c>
      <x:c r="D37" s="94" t="str">
        <x:v>Google Ads</x:v>
      </x:c>
      <x:c r="E37" s="94" t="str">
        <x:v>归因与监测工具</x:v>
      </x:c>
      <x:c r="F37" s="94" t="str">
        <x:v>按点击量</x:v>
      </x:c>
      <x:c r="G37" s="97" t="n">
        <x:v>0.98</x:v>
      </x:c>
      <x:c r="H37" s="94" t="str">
        <x:v>变动</x:v>
      </x:c>
      <x:c r="I37" s="94" t="str">
        <x:v>分析团队</x:v>
      </x:c>
      <x:c r="J37" s="94" t="str">
        <x:v>模拟项目运营成本；统一折算USD</x:v>
      </x:c>
    </x:row>
    <x:row r="38">
      <x:c r="A38" s="92" t="str">
        <x:v>COST-0037</x:v>
      </x:c>
      <x:c r="B38" s="94" t="str">
        <x:v>PROC-0037</x:v>
      </x:c>
      <x:c r="C38" s="93" t="n">
        <x:v>46029</x:v>
      </x:c>
      <x:c r="D38" s="94" t="str">
        <x:v>Google Ads</x:v>
      </x:c>
      <x:c r="E38" s="94" t="str">
        <x:v>数据与ETL</x:v>
      </x:c>
      <x:c r="F38" s="94" t="str">
        <x:v>按采购批次</x:v>
      </x:c>
      <x:c r="G38" s="97" t="n">
        <x:v>0.9</x:v>
      </x:c>
      <x:c r="H38" s="94" t="str">
        <x:v>变动</x:v>
      </x:c>
      <x:c r="I38" s="94" t="str">
        <x:v>数据团队</x:v>
      </x:c>
      <x:c r="J38" s="94" t="str">
        <x:v>模拟项目运营成本；统一折算USD</x:v>
      </x:c>
    </x:row>
    <x:row r="39">
      <x:c r="A39" s="92" t="str">
        <x:v>COST-0038</x:v>
      </x:c>
      <x:c r="B39" s="94" t="str">
        <x:v>PROC-0038</x:v>
      </x:c>
      <x:c r="C39" s="93" t="n">
        <x:v>46029</x:v>
      </x:c>
      <x:c r="D39" s="94" t="str">
        <x:v>Google Ads</x:v>
      </x:c>
      <x:c r="E39" s="94" t="str">
        <x:v>创意素材</x:v>
      </x:c>
      <x:c r="F39" s="94" t="str">
        <x:v>按活动</x:v>
      </x:c>
      <x:c r="G39" s="97" t="n">
        <x:v>2.66</x:v>
      </x:c>
      <x:c r="H39" s="94" t="str">
        <x:v>部分固定</x:v>
      </x:c>
      <x:c r="I39" s="94" t="str">
        <x:v>增长团队</x:v>
      </x:c>
      <x:c r="J39" s="94" t="str">
        <x:v>模拟项目运营成本；统一折算USD</x:v>
      </x:c>
    </x:row>
    <x:row r="40">
      <x:c r="A40" s="92" t="str">
        <x:v>COST-0039</x:v>
      </x:c>
      <x:c r="B40" s="94" t="str">
        <x:v>PROC-0039</x:v>
      </x:c>
      <x:c r="C40" s="93" t="n">
        <x:v>46029</x:v>
      </x:c>
      <x:c r="D40" s="94" t="str">
        <x:v>Microsoft Ads</x:v>
      </x:c>
      <x:c r="E40" s="94" t="str">
        <x:v>数据与ETL</x:v>
      </x:c>
      <x:c r="F40" s="94" t="str">
        <x:v>按采购批次</x:v>
      </x:c>
      <x:c r="G40" s="97" t="n">
        <x:v>1.02</x:v>
      </x:c>
      <x:c r="H40" s="94" t="str">
        <x:v>变动</x:v>
      </x:c>
      <x:c r="I40" s="94" t="str">
        <x:v>数据团队</x:v>
      </x:c>
      <x:c r="J40" s="94" t="str">
        <x:v>模拟项目运营成本；统一折算USD</x:v>
      </x:c>
    </x:row>
    <x:row r="41">
      <x:c r="A41" s="92" t="str">
        <x:v>COST-0040</x:v>
      </x:c>
      <x:c r="B41" s="94" t="str">
        <x:v>PROC-0040</x:v>
      </x:c>
      <x:c r="C41" s="93" t="n">
        <x:v>46030</x:v>
      </x:c>
      <x:c r="D41" s="94" t="str">
        <x:v>Google Ads</x:v>
      </x:c>
      <x:c r="E41" s="94" t="str">
        <x:v>云主机/CDN</x:v>
      </x:c>
      <x:c r="F41" s="94" t="str">
        <x:v>按访问量</x:v>
      </x:c>
      <x:c r="G41" s="97" t="n">
        <x:v>1.14</x:v>
      </x:c>
      <x:c r="H41" s="94" t="str">
        <x:v>变动</x:v>
      </x:c>
      <x:c r="I41" s="94" t="str">
        <x:v>技术团队</x:v>
      </x:c>
      <x:c r="J41" s="94" t="str">
        <x:v>模拟项目运营成本；统一折算USD</x:v>
      </x:c>
    </x:row>
    <x:row r="42">
      <x:c r="A42" s="92" t="str">
        <x:v>COST-0041</x:v>
      </x:c>
      <x:c r="B42" s="94" t="str">
        <x:v>PROC-0041</x:v>
      </x:c>
      <x:c r="C42" s="93" t="n">
        <x:v>46030</x:v>
      </x:c>
      <x:c r="D42" s="94" t="str">
        <x:v>Microsoft Ads</x:v>
      </x:c>
      <x:c r="E42" s="94" t="str">
        <x:v>创意素材</x:v>
      </x:c>
      <x:c r="F42" s="94" t="str">
        <x:v>按活动</x:v>
      </x:c>
      <x:c r="G42" s="97" t="n">
        <x:v>2.72</x:v>
      </x:c>
      <x:c r="H42" s="94" t="str">
        <x:v>部分固定</x:v>
      </x:c>
      <x:c r="I42" s="94" t="str">
        <x:v>增长团队</x:v>
      </x:c>
      <x:c r="J42" s="94" t="str">
        <x:v>模拟项目运营成本；统一折算USD</x:v>
      </x:c>
    </x:row>
    <x:row r="43">
      <x:c r="A43" s="92" t="str">
        <x:v>COST-0042</x:v>
      </x:c>
      <x:c r="B43" s="94" t="str">
        <x:v>PROC-0042</x:v>
      </x:c>
      <x:c r="C43" s="93" t="n">
        <x:v>46030</x:v>
      </x:c>
      <x:c r="D43" s="94" t="str">
        <x:v>Google Ads</x:v>
      </x:c>
      <x:c r="E43" s="94" t="str">
        <x:v>人工运营分摊</x:v>
      </x:c>
      <x:c r="F43" s="94" t="str">
        <x:v>按工时</x:v>
      </x:c>
      <x:c r="G43" s="97" t="n">
        <x:v>2.67</x:v>
      </x:c>
      <x:c r="H43" s="94" t="str">
        <x:v>部分固定</x:v>
      </x:c>
      <x:c r="I43" s="94" t="str">
        <x:v>运营团队</x:v>
      </x:c>
      <x:c r="J43" s="94" t="str">
        <x:v>模拟项目运营成本；统一折算USD</x:v>
      </x:c>
    </x:row>
    <x:row r="44">
      <x:c r="A44" s="92" t="str">
        <x:v>COST-0043</x:v>
      </x:c>
      <x:c r="B44" s="94" t="str">
        <x:v>PROC-0043</x:v>
      </x:c>
      <x:c r="C44" s="93" t="n">
        <x:v>46030</x:v>
      </x:c>
      <x:c r="D44" s="94" t="str">
        <x:v>Google Ads</x:v>
      </x:c>
      <x:c r="E44" s="94" t="str">
        <x:v>人工运营分摊</x:v>
      </x:c>
      <x:c r="F44" s="94" t="str">
        <x:v>按工时</x:v>
      </x:c>
      <x:c r="G44" s="97" t="n">
        <x:v>3.54</x:v>
      </x:c>
      <x:c r="H44" s="94" t="str">
        <x:v>部分固定</x:v>
      </x:c>
      <x:c r="I44" s="94" t="str">
        <x:v>运营团队</x:v>
      </x:c>
      <x:c r="J44" s="94" t="str">
        <x:v>模拟项目运营成本；统一折算USD</x:v>
      </x:c>
    </x:row>
    <x:row r="45">
      <x:c r="A45" s="92" t="str">
        <x:v>COST-0044</x:v>
      </x:c>
      <x:c r="B45" s="94" t="str">
        <x:v>PROC-0044</x:v>
      </x:c>
      <x:c r="C45" s="93" t="n">
        <x:v>46030</x:v>
      </x:c>
      <x:c r="D45" s="94" t="str">
        <x:v>Google Ads</x:v>
      </x:c>
      <x:c r="E45" s="94" t="str">
        <x:v>云主机/CDN</x:v>
      </x:c>
      <x:c r="F45" s="94" t="str">
        <x:v>按访问量</x:v>
      </x:c>
      <x:c r="G45" s="97" t="n">
        <x:v>0.6</x:v>
      </x:c>
      <x:c r="H45" s="94" t="str">
        <x:v>变动</x:v>
      </x:c>
      <x:c r="I45" s="94" t="str">
        <x:v>技术团队</x:v>
      </x:c>
      <x:c r="J45" s="94" t="str">
        <x:v>模拟项目运营成本；统一折算USD</x:v>
      </x:c>
    </x:row>
    <x:row r="46">
      <x:c r="A46" s="92" t="str">
        <x:v>COST-0045</x:v>
      </x:c>
      <x:c r="B46" s="94" t="str">
        <x:v>PROC-0045</x:v>
      </x:c>
      <x:c r="C46" s="93" t="n">
        <x:v>46030</x:v>
      </x:c>
      <x:c r="D46" s="94" t="str">
        <x:v>Microsoft Ads</x:v>
      </x:c>
      <x:c r="E46" s="94" t="str">
        <x:v>云主机/CDN</x:v>
      </x:c>
      <x:c r="F46" s="94" t="str">
        <x:v>按访问量</x:v>
      </x:c>
      <x:c r="G46" s="97" t="n">
        <x:v>0.65</x:v>
      </x:c>
      <x:c r="H46" s="94" t="str">
        <x:v>变动</x:v>
      </x:c>
      <x:c r="I46" s="94" t="str">
        <x:v>技术团队</x:v>
      </x:c>
      <x:c r="J46" s="94" t="str">
        <x:v>模拟项目运营成本；统一折算USD</x:v>
      </x:c>
    </x:row>
    <x:row r="47">
      <x:c r="A47" s="92" t="str">
        <x:v>COST-0046</x:v>
      </x:c>
      <x:c r="B47" s="94" t="str">
        <x:v>PROC-0046</x:v>
      </x:c>
      <x:c r="C47" s="93" t="n">
        <x:v>46031</x:v>
      </x:c>
      <x:c r="D47" s="94" t="str">
        <x:v>Google Ads</x:v>
      </x:c>
      <x:c r="E47" s="94" t="str">
        <x:v>创意素材</x:v>
      </x:c>
      <x:c r="F47" s="94" t="str">
        <x:v>按活动</x:v>
      </x:c>
      <x:c r="G47" s="97" t="n">
        <x:v>3.09</x:v>
      </x:c>
      <x:c r="H47" s="94" t="str">
        <x:v>部分固定</x:v>
      </x:c>
      <x:c r="I47" s="94" t="str">
        <x:v>增长团队</x:v>
      </x:c>
      <x:c r="J47" s="94" t="str">
        <x:v>模拟项目运营成本；统一折算USD</x:v>
      </x:c>
    </x:row>
    <x:row r="48">
      <x:c r="A48" s="92" t="str">
        <x:v>COST-0047</x:v>
      </x:c>
      <x:c r="B48" s="94" t="str">
        <x:v>PROC-0047</x:v>
      </x:c>
      <x:c r="C48" s="93" t="n">
        <x:v>46031</x:v>
      </x:c>
      <x:c r="D48" s="94" t="str">
        <x:v>Google Ads</x:v>
      </x:c>
      <x:c r="E48" s="94" t="str">
        <x:v>数据与ETL</x:v>
      </x:c>
      <x:c r="F48" s="94" t="str">
        <x:v>按采购批次</x:v>
      </x:c>
      <x:c r="G48" s="97" t="n">
        <x:v>0.71</x:v>
      </x:c>
      <x:c r="H48" s="94" t="str">
        <x:v>变动</x:v>
      </x:c>
      <x:c r="I48" s="94" t="str">
        <x:v>数据团队</x:v>
      </x:c>
      <x:c r="J48" s="94" t="str">
        <x:v>模拟项目运营成本；统一折算USD</x:v>
      </x:c>
    </x:row>
    <x:row r="49">
      <x:c r="A49" s="92" t="str">
        <x:v>COST-0048</x:v>
      </x:c>
      <x:c r="B49" s="94" t="str">
        <x:v>PROC-0048</x:v>
      </x:c>
      <x:c r="C49" s="93" t="n">
        <x:v>46031</x:v>
      </x:c>
      <x:c r="D49" s="94" t="str">
        <x:v>Google Ads</x:v>
      </x:c>
      <x:c r="E49" s="94" t="str">
        <x:v>人工运营分摊</x:v>
      </x:c>
      <x:c r="F49" s="94" t="str">
        <x:v>按工时</x:v>
      </x:c>
      <x:c r="G49" s="97" t="n">
        <x:v>1.34</x:v>
      </x:c>
      <x:c r="H49" s="94" t="str">
        <x:v>部分固定</x:v>
      </x:c>
      <x:c r="I49" s="94" t="str">
        <x:v>运营团队</x:v>
      </x:c>
      <x:c r="J49" s="94" t="str">
        <x:v>模拟项目运营成本；统一折算USD</x:v>
      </x:c>
    </x:row>
    <x:row r="50">
      <x:c r="A50" s="92" t="str">
        <x:v>COST-0049</x:v>
      </x:c>
      <x:c r="B50" s="94" t="str">
        <x:v>PROC-0049</x:v>
      </x:c>
      <x:c r="C50" s="93" t="n">
        <x:v>46031</x:v>
      </x:c>
      <x:c r="D50" s="94" t="str">
        <x:v>Google Ads</x:v>
      </x:c>
      <x:c r="E50" s="94" t="str">
        <x:v>归因与监测工具</x:v>
      </x:c>
      <x:c r="F50" s="94" t="str">
        <x:v>按点击量</x:v>
      </x:c>
      <x:c r="G50" s="97" t="n">
        <x:v>1.19</x:v>
      </x:c>
      <x:c r="H50" s="94" t="str">
        <x:v>变动</x:v>
      </x:c>
      <x:c r="I50" s="94" t="str">
        <x:v>分析团队</x:v>
      </x:c>
      <x:c r="J50" s="94" t="str">
        <x:v>模拟项目运营成本；统一折算USD</x:v>
      </x:c>
    </x:row>
    <x:row r="51">
      <x:c r="A51" s="92" t="str">
        <x:v>COST-0050</x:v>
      </x:c>
      <x:c r="B51" s="94" t="str">
        <x:v>PROC-0050</x:v>
      </x:c>
      <x:c r="C51" s="93" t="n">
        <x:v>46031</x:v>
      </x:c>
      <x:c r="D51" s="94" t="str">
        <x:v>Google Ads</x:v>
      </x:c>
      <x:c r="E51" s="94" t="str">
        <x:v>归因与监测工具</x:v>
      </x:c>
      <x:c r="F51" s="94" t="str">
        <x:v>按点击量</x:v>
      </x:c>
      <x:c r="G51" s="97" t="n">
        <x:v>0.98</x:v>
      </x:c>
      <x:c r="H51" s="94" t="str">
        <x:v>变动</x:v>
      </x:c>
      <x:c r="I51" s="94" t="str">
        <x:v>分析团队</x:v>
      </x:c>
      <x:c r="J51" s="94" t="str">
        <x:v>模拟项目运营成本；统一折算USD</x:v>
      </x:c>
    </x:row>
    <x:row r="52">
      <x:c r="A52" s="92" t="str">
        <x:v>COST-0051</x:v>
      </x:c>
      <x:c r="B52" s="94" t="str">
        <x:v>PROC-0051</x:v>
      </x:c>
      <x:c r="C52" s="93" t="n">
        <x:v>46032</x:v>
      </x:c>
      <x:c r="D52" s="94" t="str">
        <x:v>Microsoft Ads</x:v>
      </x:c>
      <x:c r="E52" s="94" t="str">
        <x:v>云主机/CDN</x:v>
      </x:c>
      <x:c r="F52" s="94" t="str">
        <x:v>按访问量</x:v>
      </x:c>
      <x:c r="G52" s="97" t="n">
        <x:v>1</x:v>
      </x:c>
      <x:c r="H52" s="94" t="str">
        <x:v>变动</x:v>
      </x:c>
      <x:c r="I52" s="94" t="str">
        <x:v>技术团队</x:v>
      </x:c>
      <x:c r="J52" s="94" t="str">
        <x:v>模拟项目运营成本；统一折算USD</x:v>
      </x:c>
    </x:row>
    <x:row r="53">
      <x:c r="A53" s="92" t="str">
        <x:v>COST-0052</x:v>
      </x:c>
      <x:c r="B53" s="94" t="str">
        <x:v>PROC-0052</x:v>
      </x:c>
      <x:c r="C53" s="93" t="n">
        <x:v>46032</x:v>
      </x:c>
      <x:c r="D53" s="94" t="str">
        <x:v>Microsoft Ads</x:v>
      </x:c>
      <x:c r="E53" s="94" t="str">
        <x:v>数据与ETL</x:v>
      </x:c>
      <x:c r="F53" s="94" t="str">
        <x:v>按采购批次</x:v>
      </x:c>
      <x:c r="G53" s="97" t="n">
        <x:v>1.01</x:v>
      </x:c>
      <x:c r="H53" s="94" t="str">
        <x:v>变动</x:v>
      </x:c>
      <x:c r="I53" s="94" t="str">
        <x:v>数据团队</x:v>
      </x:c>
      <x:c r="J53" s="94" t="str">
        <x:v>模拟项目运营成本；统一折算USD</x:v>
      </x:c>
    </x:row>
    <x:row r="54">
      <x:c r="A54" s="92" t="str">
        <x:v>COST-0053</x:v>
      </x:c>
      <x:c r="B54" s="94" t="str">
        <x:v>PROC-0053</x:v>
      </x:c>
      <x:c r="C54" s="93" t="n">
        <x:v>46032</x:v>
      </x:c>
      <x:c r="D54" s="94" t="str">
        <x:v>Microsoft Ads</x:v>
      </x:c>
      <x:c r="E54" s="94" t="str">
        <x:v>创意素材</x:v>
      </x:c>
      <x:c r="F54" s="94" t="str">
        <x:v>按活动</x:v>
      </x:c>
      <x:c r="G54" s="97" t="n">
        <x:v>3.58</x:v>
      </x:c>
      <x:c r="H54" s="94" t="str">
        <x:v>部分固定</x:v>
      </x:c>
      <x:c r="I54" s="94" t="str">
        <x:v>增长团队</x:v>
      </x:c>
      <x:c r="J54" s="94" t="str">
        <x:v>模拟项目运营成本；统一折算USD</x:v>
      </x:c>
    </x:row>
    <x:row r="55">
      <x:c r="A55" s="92" t="str">
        <x:v>COST-0054</x:v>
      </x:c>
      <x:c r="B55" s="94" t="str">
        <x:v>PROC-0054</x:v>
      </x:c>
      <x:c r="C55" s="93" t="n">
        <x:v>46032</x:v>
      </x:c>
      <x:c r="D55" s="94" t="str">
        <x:v>Google Ads</x:v>
      </x:c>
      <x:c r="E55" s="94" t="str">
        <x:v>人工运营分摊</x:v>
      </x:c>
      <x:c r="F55" s="94" t="str">
        <x:v>按工时</x:v>
      </x:c>
      <x:c r="G55" s="97" t="n">
        <x:v>2.84</x:v>
      </x:c>
      <x:c r="H55" s="94" t="str">
        <x:v>部分固定</x:v>
      </x:c>
      <x:c r="I55" s="94" t="str">
        <x:v>运营团队</x:v>
      </x:c>
      <x:c r="J55" s="94" t="str">
        <x:v>模拟项目运营成本；统一折算USD</x:v>
      </x:c>
    </x:row>
    <x:row r="56">
      <x:c r="A56" s="92" t="str">
        <x:v>COST-0055</x:v>
      </x:c>
      <x:c r="B56" s="94" t="str">
        <x:v>PROC-0055</x:v>
      </x:c>
      <x:c r="C56" s="93" t="n">
        <x:v>46032</x:v>
      </x:c>
      <x:c r="D56" s="94" t="str">
        <x:v>Microsoft Ads</x:v>
      </x:c>
      <x:c r="E56" s="94" t="str">
        <x:v>云主机/CDN</x:v>
      </x:c>
      <x:c r="F56" s="94" t="str">
        <x:v>按访问量</x:v>
      </x:c>
      <x:c r="G56" s="97" t="n">
        <x:v>0.86</x:v>
      </x:c>
      <x:c r="H56" s="94" t="str">
        <x:v>变动</x:v>
      </x:c>
      <x:c r="I56" s="94" t="str">
        <x:v>技术团队</x:v>
      </x:c>
      <x:c r="J56" s="94" t="str">
        <x:v>模拟项目运营成本；统一折算USD</x:v>
      </x:c>
    </x:row>
    <x:row r="57">
      <x:c r="A57" s="92" t="str">
        <x:v>COST-0056</x:v>
      </x:c>
      <x:c r="B57" s="94" t="str">
        <x:v>PROC-0056</x:v>
      </x:c>
      <x:c r="C57" s="93" t="n">
        <x:v>46032</x:v>
      </x:c>
      <x:c r="D57" s="94" t="str">
        <x:v>Microsoft Ads</x:v>
      </x:c>
      <x:c r="E57" s="94" t="str">
        <x:v>云主机/CDN</x:v>
      </x:c>
      <x:c r="F57" s="94" t="str">
        <x:v>按访问量</x:v>
      </x:c>
      <x:c r="G57" s="97" t="n">
        <x:v>0.35</x:v>
      </x:c>
      <x:c r="H57" s="94" t="str">
        <x:v>变动</x:v>
      </x:c>
      <x:c r="I57" s="94" t="str">
        <x:v>技术团队</x:v>
      </x:c>
      <x:c r="J57" s="94" t="str">
        <x:v>模拟项目运营成本；统一折算USD</x:v>
      </x:c>
    </x:row>
    <x:row r="58">
      <x:c r="A58" s="92" t="str">
        <x:v>COST-0057</x:v>
      </x:c>
      <x:c r="B58" s="94" t="str">
        <x:v>PROC-0057</x:v>
      </x:c>
      <x:c r="C58" s="93" t="n">
        <x:v>46033</x:v>
      </x:c>
      <x:c r="D58" s="94" t="str">
        <x:v>Microsoft Ads</x:v>
      </x:c>
      <x:c r="E58" s="94" t="str">
        <x:v>云主机/CDN</x:v>
      </x:c>
      <x:c r="F58" s="94" t="str">
        <x:v>按访问量</x:v>
      </x:c>
      <x:c r="G58" s="97" t="n">
        <x:v>0.98</x:v>
      </x:c>
      <x:c r="H58" s="94" t="str">
        <x:v>变动</x:v>
      </x:c>
      <x:c r="I58" s="94" t="str">
        <x:v>技术团队</x:v>
      </x:c>
      <x:c r="J58" s="94" t="str">
        <x:v>模拟项目运营成本；统一折算USD</x:v>
      </x:c>
    </x:row>
    <x:row r="59">
      <x:c r="A59" s="92" t="str">
        <x:v>COST-0058</x:v>
      </x:c>
      <x:c r="B59" s="94" t="str">
        <x:v>PROC-0058</x:v>
      </x:c>
      <x:c r="C59" s="93" t="n">
        <x:v>46033</x:v>
      </x:c>
      <x:c r="D59" s="94" t="str">
        <x:v>Google Ads</x:v>
      </x:c>
      <x:c r="E59" s="94" t="str">
        <x:v>云主机/CDN</x:v>
      </x:c>
      <x:c r="F59" s="94" t="str">
        <x:v>按访问量</x:v>
      </x:c>
      <x:c r="G59" s="97" t="n">
        <x:v>0.58</x:v>
      </x:c>
      <x:c r="H59" s="94" t="str">
        <x:v>变动</x:v>
      </x:c>
      <x:c r="I59" s="94" t="str">
        <x:v>技术团队</x:v>
      </x:c>
      <x:c r="J59" s="94" t="str">
        <x:v>模拟项目运营成本；统一折算USD</x:v>
      </x:c>
    </x:row>
    <x:row r="60">
      <x:c r="A60" s="92" t="str">
        <x:v>COST-0059</x:v>
      </x:c>
      <x:c r="B60" s="94" t="str">
        <x:v>PROC-0059</x:v>
      </x:c>
      <x:c r="C60" s="93" t="n">
        <x:v>46033</x:v>
      </x:c>
      <x:c r="D60" s="94" t="str">
        <x:v>Microsoft Ads</x:v>
      </x:c>
      <x:c r="E60" s="94" t="str">
        <x:v>创意素材</x:v>
      </x:c>
      <x:c r="F60" s="94" t="str">
        <x:v>按活动</x:v>
      </x:c>
      <x:c r="G60" s="97" t="n">
        <x:v>1.09</x:v>
      </x:c>
      <x:c r="H60" s="94" t="str">
        <x:v>部分固定</x:v>
      </x:c>
      <x:c r="I60" s="94" t="str">
        <x:v>增长团队</x:v>
      </x:c>
      <x:c r="J60" s="94" t="str">
        <x:v>模拟项目运营成本；统一折算USD</x:v>
      </x:c>
    </x:row>
    <x:row r="61">
      <x:c r="A61" s="92" t="str">
        <x:v>COST-0060</x:v>
      </x:c>
      <x:c r="B61" s="94" t="str">
        <x:v>PROC-0060</x:v>
      </x:c>
      <x:c r="C61" s="93" t="n">
        <x:v>46033</x:v>
      </x:c>
      <x:c r="D61" s="94" t="str">
        <x:v>Google Ads</x:v>
      </x:c>
      <x:c r="E61" s="94" t="str">
        <x:v>数据与ETL</x:v>
      </x:c>
      <x:c r="F61" s="94" t="str">
        <x:v>按采购批次</x:v>
      </x:c>
      <x:c r="G61" s="97" t="n">
        <x:v>1.09</x:v>
      </x:c>
      <x:c r="H61" s="94" t="str">
        <x:v>变动</x:v>
      </x:c>
      <x:c r="I61" s="94" t="str">
        <x:v>数据团队</x:v>
      </x:c>
      <x:c r="J61" s="94" t="str">
        <x:v>模拟项目运营成本；统一折算USD</x:v>
      </x:c>
    </x:row>
    <x:row r="62">
      <x:c r="A62" s="92" t="str">
        <x:v>COST-0061</x:v>
      </x:c>
      <x:c r="B62" s="94" t="str">
        <x:v>PROC-0061</x:v>
      </x:c>
      <x:c r="C62" s="93" t="n">
        <x:v>46033</x:v>
      </x:c>
      <x:c r="D62" s="94" t="str">
        <x:v>Microsoft Ads</x:v>
      </x:c>
      <x:c r="E62" s="94" t="str">
        <x:v>云主机/CDN</x:v>
      </x:c>
      <x:c r="F62" s="94" t="str">
        <x:v>按访问量</x:v>
      </x:c>
      <x:c r="G62" s="97" t="n">
        <x:v>0.43</x:v>
      </x:c>
      <x:c r="H62" s="94" t="str">
        <x:v>变动</x:v>
      </x:c>
      <x:c r="I62" s="94" t="str">
        <x:v>技术团队</x:v>
      </x:c>
      <x:c r="J62" s="94" t="str">
        <x:v>模拟项目运营成本；统一折算USD</x:v>
      </x:c>
    </x:row>
    <x:row r="63">
      <x:c r="A63" s="92" t="str">
        <x:v>COST-0062</x:v>
      </x:c>
      <x:c r="B63" s="94" t="str">
        <x:v>PROC-0062</x:v>
      </x:c>
      <x:c r="C63" s="93" t="n">
        <x:v>46034</x:v>
      </x:c>
      <x:c r="D63" s="94" t="str">
        <x:v>Google Ads</x:v>
      </x:c>
      <x:c r="E63" s="94" t="str">
        <x:v>创意素材</x:v>
      </x:c>
      <x:c r="F63" s="94" t="str">
        <x:v>按活动</x:v>
      </x:c>
      <x:c r="G63" s="97" t="n">
        <x:v>3.3</x:v>
      </x:c>
      <x:c r="H63" s="94" t="str">
        <x:v>部分固定</x:v>
      </x:c>
      <x:c r="I63" s="94" t="str">
        <x:v>增长团队</x:v>
      </x:c>
      <x:c r="J63" s="94" t="str">
        <x:v>模拟项目运营成本；统一折算USD</x:v>
      </x:c>
    </x:row>
    <x:row r="64">
      <x:c r="A64" s="92" t="str">
        <x:v>COST-0063</x:v>
      </x:c>
      <x:c r="B64" s="94" t="str">
        <x:v>PROC-0063</x:v>
      </x:c>
      <x:c r="C64" s="93" t="n">
        <x:v>46034</x:v>
      </x:c>
      <x:c r="D64" s="94" t="str">
        <x:v>Google Ads</x:v>
      </x:c>
      <x:c r="E64" s="94" t="str">
        <x:v>云主机/CDN</x:v>
      </x:c>
      <x:c r="F64" s="94" t="str">
        <x:v>按访问量</x:v>
      </x:c>
      <x:c r="G64" s="97" t="n">
        <x:v>0.48</x:v>
      </x:c>
      <x:c r="H64" s="94" t="str">
        <x:v>变动</x:v>
      </x:c>
      <x:c r="I64" s="94" t="str">
        <x:v>技术团队</x:v>
      </x:c>
      <x:c r="J64" s="94" t="str">
        <x:v>模拟项目运营成本；统一折算USD</x:v>
      </x:c>
    </x:row>
    <x:row r="65">
      <x:c r="A65" s="92" t="str">
        <x:v>COST-0064</x:v>
      </x:c>
      <x:c r="B65" s="94" t="str">
        <x:v>PROC-0064</x:v>
      </x:c>
      <x:c r="C65" s="93" t="n">
        <x:v>46034</x:v>
      </x:c>
      <x:c r="D65" s="94" t="str">
        <x:v>Google Ads</x:v>
      </x:c>
      <x:c r="E65" s="94" t="str">
        <x:v>云主机/CDN</x:v>
      </x:c>
      <x:c r="F65" s="94" t="str">
        <x:v>按访问量</x:v>
      </x:c>
      <x:c r="G65" s="97" t="n">
        <x:v>0.43</x:v>
      </x:c>
      <x:c r="H65" s="94" t="str">
        <x:v>变动</x:v>
      </x:c>
      <x:c r="I65" s="94" t="str">
        <x:v>技术团队</x:v>
      </x:c>
      <x:c r="J65" s="94" t="str">
        <x:v>模拟项目运营成本；统一折算USD</x:v>
      </x:c>
    </x:row>
    <x:row r="66">
      <x:c r="A66" s="92" t="str">
        <x:v>COST-0065</x:v>
      </x:c>
      <x:c r="B66" s="94" t="str">
        <x:v>PROC-0065</x:v>
      </x:c>
      <x:c r="C66" s="93" t="n">
        <x:v>46034</x:v>
      </x:c>
      <x:c r="D66" s="94" t="str">
        <x:v>Microsoft Ads</x:v>
      </x:c>
      <x:c r="E66" s="94" t="str">
        <x:v>云主机/CDN</x:v>
      </x:c>
      <x:c r="F66" s="94" t="str">
        <x:v>按访问量</x:v>
      </x:c>
      <x:c r="G66" s="97" t="n">
        <x:v>0.56</x:v>
      </x:c>
      <x:c r="H66" s="94" t="str">
        <x:v>变动</x:v>
      </x:c>
      <x:c r="I66" s="94" t="str">
        <x:v>技术团队</x:v>
      </x:c>
      <x:c r="J66" s="94" t="str">
        <x:v>模拟项目运营成本；统一折算USD</x:v>
      </x:c>
    </x:row>
    <x:row r="67">
      <x:c r="A67" s="92" t="str">
        <x:v>COST-0066</x:v>
      </x:c>
      <x:c r="B67" s="94" t="str">
        <x:v>PROC-0066</x:v>
      </x:c>
      <x:c r="C67" s="93" t="n">
        <x:v>46034</x:v>
      </x:c>
      <x:c r="D67" s="94" t="str">
        <x:v>Google Ads</x:v>
      </x:c>
      <x:c r="E67" s="94" t="str">
        <x:v>创意素材</x:v>
      </x:c>
      <x:c r="F67" s="94" t="str">
        <x:v>按活动</x:v>
      </x:c>
      <x:c r="G67" s="97" t="n">
        <x:v>1.06</x:v>
      </x:c>
      <x:c r="H67" s="94" t="str">
        <x:v>部分固定</x:v>
      </x:c>
      <x:c r="I67" s="94" t="str">
        <x:v>增长团队</x:v>
      </x:c>
      <x:c r="J67" s="94" t="str">
        <x:v>模拟项目运营成本；统一折算USD</x:v>
      </x:c>
    </x:row>
    <x:row r="68">
      <x:c r="A68" s="92" t="str">
        <x:v>COST-0067</x:v>
      </x:c>
      <x:c r="B68" s="94" t="str">
        <x:v>PROC-0067</x:v>
      </x:c>
      <x:c r="C68" s="93" t="n">
        <x:v>46034</x:v>
      </x:c>
      <x:c r="D68" s="94" t="str">
        <x:v>Google Ads</x:v>
      </x:c>
      <x:c r="E68" s="94" t="str">
        <x:v>人工运营分摊</x:v>
      </x:c>
      <x:c r="F68" s="94" t="str">
        <x:v>按工时</x:v>
      </x:c>
      <x:c r="G68" s="97" t="n">
        <x:v>2.21</x:v>
      </x:c>
      <x:c r="H68" s="94" t="str">
        <x:v>部分固定</x:v>
      </x:c>
      <x:c r="I68" s="94" t="str">
        <x:v>运营团队</x:v>
      </x:c>
      <x:c r="J68" s="94" t="str">
        <x:v>模拟项目运营成本；统一折算USD</x:v>
      </x:c>
    </x:row>
    <x:row r="69">
      <x:c r="A69" s="92" t="str">
        <x:v>COST-0068</x:v>
      </x:c>
      <x:c r="B69" s="94" t="str">
        <x:v>PROC-0068</x:v>
      </x:c>
      <x:c r="C69" s="93" t="n">
        <x:v>46035</x:v>
      </x:c>
      <x:c r="D69" s="94" t="str">
        <x:v>Google Ads</x:v>
      </x:c>
      <x:c r="E69" s="94" t="str">
        <x:v>创意素材</x:v>
      </x:c>
      <x:c r="F69" s="94" t="str">
        <x:v>按活动</x:v>
      </x:c>
      <x:c r="G69" s="97" t="n">
        <x:v>1.89</x:v>
      </x:c>
      <x:c r="H69" s="94" t="str">
        <x:v>部分固定</x:v>
      </x:c>
      <x:c r="I69" s="94" t="str">
        <x:v>增长团队</x:v>
      </x:c>
      <x:c r="J69" s="94" t="str">
        <x:v>模拟项目运营成本；统一折算USD</x:v>
      </x:c>
    </x:row>
    <x:row r="70">
      <x:c r="A70" s="92" t="str">
        <x:v>COST-0069</x:v>
      </x:c>
      <x:c r="B70" s="94" t="str">
        <x:v>PROC-0069</x:v>
      </x:c>
      <x:c r="C70" s="93" t="n">
        <x:v>46035</x:v>
      </x:c>
      <x:c r="D70" s="94" t="str">
        <x:v>Google Ads</x:v>
      </x:c>
      <x:c r="E70" s="94" t="str">
        <x:v>云主机/CDN</x:v>
      </x:c>
      <x:c r="F70" s="94" t="str">
        <x:v>按访问量</x:v>
      </x:c>
      <x:c r="G70" s="97" t="n">
        <x:v>1.11</x:v>
      </x:c>
      <x:c r="H70" s="94" t="str">
        <x:v>变动</x:v>
      </x:c>
      <x:c r="I70" s="94" t="str">
        <x:v>技术团队</x:v>
      </x:c>
      <x:c r="J70" s="94" t="str">
        <x:v>模拟项目运营成本；统一折算USD</x:v>
      </x:c>
    </x:row>
    <x:row r="71">
      <x:c r="A71" s="92" t="str">
        <x:v>COST-0070</x:v>
      </x:c>
      <x:c r="B71" s="94" t="str">
        <x:v>PROC-0070</x:v>
      </x:c>
      <x:c r="C71" s="93" t="n">
        <x:v>46035</x:v>
      </x:c>
      <x:c r="D71" s="94" t="str">
        <x:v>Google Ads</x:v>
      </x:c>
      <x:c r="E71" s="94" t="str">
        <x:v>创意素材</x:v>
      </x:c>
      <x:c r="F71" s="94" t="str">
        <x:v>按活动</x:v>
      </x:c>
      <x:c r="G71" s="97" t="n">
        <x:v>1.79</x:v>
      </x:c>
      <x:c r="H71" s="94" t="str">
        <x:v>部分固定</x:v>
      </x:c>
      <x:c r="I71" s="94" t="str">
        <x:v>增长团队</x:v>
      </x:c>
      <x:c r="J71" s="94" t="str">
        <x:v>模拟项目运营成本；统一折算USD</x:v>
      </x:c>
    </x:row>
    <x:row r="72">
      <x:c r="A72" s="92" t="str">
        <x:v>COST-0071</x:v>
      </x:c>
      <x:c r="B72" s="94" t="str">
        <x:v>PROC-0071</x:v>
      </x:c>
      <x:c r="C72" s="93" t="n">
        <x:v>46035</x:v>
      </x:c>
      <x:c r="D72" s="94" t="str">
        <x:v>Microsoft Ads</x:v>
      </x:c>
      <x:c r="E72" s="94" t="str">
        <x:v>数据与ETL</x:v>
      </x:c>
      <x:c r="F72" s="94" t="str">
        <x:v>按采购批次</x:v>
      </x:c>
      <x:c r="G72" s="97" t="n">
        <x:v>0.87</x:v>
      </x:c>
      <x:c r="H72" s="94" t="str">
        <x:v>变动</x:v>
      </x:c>
      <x:c r="I72" s="94" t="str">
        <x:v>数据团队</x:v>
      </x:c>
      <x:c r="J72" s="94" t="str">
        <x:v>模拟项目运营成本；统一折算USD</x:v>
      </x:c>
    </x:row>
    <x:row r="73">
      <x:c r="A73" s="92" t="str">
        <x:v>COST-0072</x:v>
      </x:c>
      <x:c r="B73" s="94" t="str">
        <x:v>PROC-0072</x:v>
      </x:c>
      <x:c r="C73" s="93" t="n">
        <x:v>46035</x:v>
      </x:c>
      <x:c r="D73" s="94" t="str">
        <x:v>Google Ads</x:v>
      </x:c>
      <x:c r="E73" s="94" t="str">
        <x:v>创意素材</x:v>
      </x:c>
      <x:c r="F73" s="94" t="str">
        <x:v>按活动</x:v>
      </x:c>
      <x:c r="G73" s="97" t="n">
        <x:v>3.26</x:v>
      </x:c>
      <x:c r="H73" s="94" t="str">
        <x:v>部分固定</x:v>
      </x:c>
      <x:c r="I73" s="94" t="str">
        <x:v>增长团队</x:v>
      </x:c>
      <x:c r="J73" s="94" t="str">
        <x:v>模拟项目运营成本；统一折算USD</x:v>
      </x:c>
    </x:row>
    <x:row r="74">
      <x:c r="A74" s="92" t="str">
        <x:v>COST-0073</x:v>
      </x:c>
      <x:c r="B74" s="94" t="str">
        <x:v>PROC-0073</x:v>
      </x:c>
      <x:c r="C74" s="93" t="n">
        <x:v>46036</x:v>
      </x:c>
      <x:c r="D74" s="94" t="str">
        <x:v>Google Ads</x:v>
      </x:c>
      <x:c r="E74" s="94" t="str">
        <x:v>归因与监测工具</x:v>
      </x:c>
      <x:c r="F74" s="94" t="str">
        <x:v>按点击量</x:v>
      </x:c>
      <x:c r="G74" s="97" t="n">
        <x:v>1.18</x:v>
      </x:c>
      <x:c r="H74" s="94" t="str">
        <x:v>变动</x:v>
      </x:c>
      <x:c r="I74" s="94" t="str">
        <x:v>分析团队</x:v>
      </x:c>
      <x:c r="J74" s="94" t="str">
        <x:v>模拟项目运营成本；统一折算USD</x:v>
      </x:c>
    </x:row>
    <x:row r="75">
      <x:c r="A75" s="92" t="str">
        <x:v>COST-0074</x:v>
      </x:c>
      <x:c r="B75" s="94" t="str">
        <x:v>PROC-0074</x:v>
      </x:c>
      <x:c r="C75" s="93" t="n">
        <x:v>46036</x:v>
      </x:c>
      <x:c r="D75" s="94" t="str">
        <x:v>Microsoft Ads</x:v>
      </x:c>
      <x:c r="E75" s="94" t="str">
        <x:v>创意素材</x:v>
      </x:c>
      <x:c r="F75" s="94" t="str">
        <x:v>按活动</x:v>
      </x:c>
      <x:c r="G75" s="97" t="n">
        <x:v>3.7</x:v>
      </x:c>
      <x:c r="H75" s="94" t="str">
        <x:v>部分固定</x:v>
      </x:c>
      <x:c r="I75" s="94" t="str">
        <x:v>增长团队</x:v>
      </x:c>
      <x:c r="J75" s="94" t="str">
        <x:v>模拟项目运营成本；统一折算USD</x:v>
      </x:c>
    </x:row>
    <x:row r="76">
      <x:c r="A76" s="92" t="str">
        <x:v>COST-0075</x:v>
      </x:c>
      <x:c r="B76" s="94" t="str">
        <x:v>PROC-0075</x:v>
      </x:c>
      <x:c r="C76" s="93" t="n">
        <x:v>46036</x:v>
      </x:c>
      <x:c r="D76" s="94" t="str">
        <x:v>Google Ads</x:v>
      </x:c>
      <x:c r="E76" s="94" t="str">
        <x:v>数据与ETL</x:v>
      </x:c>
      <x:c r="F76" s="94" t="str">
        <x:v>按采购批次</x:v>
      </x:c>
      <x:c r="G76" s="97" t="n">
        <x:v>1.42</x:v>
      </x:c>
      <x:c r="H76" s="94" t="str">
        <x:v>变动</x:v>
      </x:c>
      <x:c r="I76" s="94" t="str">
        <x:v>数据团队</x:v>
      </x:c>
      <x:c r="J76" s="94" t="str">
        <x:v>模拟项目运营成本；统一折算USD</x:v>
      </x:c>
    </x:row>
    <x:row r="77">
      <x:c r="A77" s="92" t="str">
        <x:v>COST-0076</x:v>
      </x:c>
      <x:c r="B77" s="94" t="str">
        <x:v>PROC-0076</x:v>
      </x:c>
      <x:c r="C77" s="93" t="n">
        <x:v>46036</x:v>
      </x:c>
      <x:c r="D77" s="94" t="str">
        <x:v>Google Ads</x:v>
      </x:c>
      <x:c r="E77" s="94" t="str">
        <x:v>人工运营分摊</x:v>
      </x:c>
      <x:c r="F77" s="94" t="str">
        <x:v>按工时</x:v>
      </x:c>
      <x:c r="G77" s="97" t="n">
        <x:v>2.55</x:v>
      </x:c>
      <x:c r="H77" s="94" t="str">
        <x:v>部分固定</x:v>
      </x:c>
      <x:c r="I77" s="94" t="str">
        <x:v>运营团队</x:v>
      </x:c>
      <x:c r="J77" s="94" t="str">
        <x:v>模拟项目运营成本；统一折算USD</x:v>
      </x:c>
    </x:row>
    <x:row r="78">
      <x:c r="A78" s="92" t="str">
        <x:v>COST-0077</x:v>
      </x:c>
      <x:c r="B78" s="94" t="str">
        <x:v>PROC-0077</x:v>
      </x:c>
      <x:c r="C78" s="93" t="n">
        <x:v>46036</x:v>
      </x:c>
      <x:c r="D78" s="94" t="str">
        <x:v>Microsoft Ads</x:v>
      </x:c>
      <x:c r="E78" s="94" t="str">
        <x:v>数据与ETL</x:v>
      </x:c>
      <x:c r="F78" s="94" t="str">
        <x:v>按采购批次</x:v>
      </x:c>
      <x:c r="G78" s="97" t="n">
        <x:v>1.07</x:v>
      </x:c>
      <x:c r="H78" s="94" t="str">
        <x:v>变动</x:v>
      </x:c>
      <x:c r="I78" s="94" t="str">
        <x:v>数据团队</x:v>
      </x:c>
      <x:c r="J78" s="94" t="str">
        <x:v>模拟项目运营成本；统一折算USD</x:v>
      </x:c>
    </x:row>
    <x:row r="79">
      <x:c r="A79" s="92" t="str">
        <x:v>COST-0078</x:v>
      </x:c>
      <x:c r="B79" s="94" t="str">
        <x:v>PROC-0078</x:v>
      </x:c>
      <x:c r="C79" s="93" t="n">
        <x:v>46036</x:v>
      </x:c>
      <x:c r="D79" s="94" t="str">
        <x:v>Microsoft Ads</x:v>
      </x:c>
      <x:c r="E79" s="94" t="str">
        <x:v>人工运营分摊</x:v>
      </x:c>
      <x:c r="F79" s="94" t="str">
        <x:v>按工时</x:v>
      </x:c>
      <x:c r="G79" s="97" t="n">
        <x:v>1.66</x:v>
      </x:c>
      <x:c r="H79" s="94" t="str">
        <x:v>部分固定</x:v>
      </x:c>
      <x:c r="I79" s="94" t="str">
        <x:v>运营团队</x:v>
      </x:c>
      <x:c r="J79" s="94" t="str">
        <x:v>模拟项目运营成本；统一折算USD</x:v>
      </x:c>
    </x:row>
    <x:row r="80">
      <x:c r="A80" s="92" t="str">
        <x:v>COST-0079</x:v>
      </x:c>
      <x:c r="B80" s="94" t="str">
        <x:v>PROC-0079</x:v>
      </x:c>
      <x:c r="C80" s="93" t="n">
        <x:v>46037</x:v>
      </x:c>
      <x:c r="D80" s="94" t="str">
        <x:v>Google Ads</x:v>
      </x:c>
      <x:c r="E80" s="94" t="str">
        <x:v>创意素材</x:v>
      </x:c>
      <x:c r="F80" s="94" t="str">
        <x:v>按活动</x:v>
      </x:c>
      <x:c r="G80" s="97" t="n">
        <x:v>3.21</x:v>
      </x:c>
      <x:c r="H80" s="94" t="str">
        <x:v>部分固定</x:v>
      </x:c>
      <x:c r="I80" s="94" t="str">
        <x:v>增长团队</x:v>
      </x:c>
      <x:c r="J80" s="94" t="str">
        <x:v>模拟项目运营成本；统一折算USD</x:v>
      </x:c>
    </x:row>
    <x:row r="81">
      <x:c r="A81" s="92" t="str">
        <x:v>COST-0080</x:v>
      </x:c>
      <x:c r="B81" s="94" t="str">
        <x:v>PROC-0080</x:v>
      </x:c>
      <x:c r="C81" s="93" t="n">
        <x:v>46037</x:v>
      </x:c>
      <x:c r="D81" s="94" t="str">
        <x:v>Google Ads</x:v>
      </x:c>
      <x:c r="E81" s="94" t="str">
        <x:v>数据与ETL</x:v>
      </x:c>
      <x:c r="F81" s="94" t="str">
        <x:v>按采购批次</x:v>
      </x:c>
      <x:c r="G81" s="97" t="n">
        <x:v>1.31</x:v>
      </x:c>
      <x:c r="H81" s="94" t="str">
        <x:v>变动</x:v>
      </x:c>
      <x:c r="I81" s="94" t="str">
        <x:v>数据团队</x:v>
      </x:c>
      <x:c r="J81" s="94" t="str">
        <x:v>模拟项目运营成本；统一折算USD</x:v>
      </x:c>
    </x:row>
    <x:row r="82">
      <x:c r="A82" s="92" t="str">
        <x:v>COST-0081</x:v>
      </x:c>
      <x:c r="B82" s="94" t="str">
        <x:v>PROC-0081</x:v>
      </x:c>
      <x:c r="C82" s="93" t="n">
        <x:v>46037</x:v>
      </x:c>
      <x:c r="D82" s="94" t="str">
        <x:v>Microsoft Ads</x:v>
      </x:c>
      <x:c r="E82" s="94" t="str">
        <x:v>数据与ETL</x:v>
      </x:c>
      <x:c r="F82" s="94" t="str">
        <x:v>按采购批次</x:v>
      </x:c>
      <x:c r="G82" s="97" t="n">
        <x:v>1.11</x:v>
      </x:c>
      <x:c r="H82" s="94" t="str">
        <x:v>变动</x:v>
      </x:c>
      <x:c r="I82" s="94" t="str">
        <x:v>数据团队</x:v>
      </x:c>
      <x:c r="J82" s="94" t="str">
        <x:v>模拟项目运营成本；统一折算USD</x:v>
      </x:c>
    </x:row>
    <x:row r="83">
      <x:c r="A83" s="92" t="str">
        <x:v>COST-0082</x:v>
      </x:c>
      <x:c r="B83" s="94" t="str">
        <x:v>PROC-0082</x:v>
      </x:c>
      <x:c r="C83" s="93" t="n">
        <x:v>46037</x:v>
      </x:c>
      <x:c r="D83" s="94" t="str">
        <x:v>Google Ads</x:v>
      </x:c>
      <x:c r="E83" s="94" t="str">
        <x:v>人工运营分摊</x:v>
      </x:c>
      <x:c r="F83" s="94" t="str">
        <x:v>按工时</x:v>
      </x:c>
      <x:c r="G83" s="97" t="n">
        <x:v>2.74</x:v>
      </x:c>
      <x:c r="H83" s="94" t="str">
        <x:v>部分固定</x:v>
      </x:c>
      <x:c r="I83" s="94" t="str">
        <x:v>运营团队</x:v>
      </x:c>
      <x:c r="J83" s="94" t="str">
        <x:v>模拟项目运营成本；统一折算USD</x:v>
      </x:c>
    </x:row>
    <x:row r="84">
      <x:c r="A84" s="92" t="str">
        <x:v>COST-0083</x:v>
      </x:c>
      <x:c r="B84" s="94" t="str">
        <x:v>PROC-0083</x:v>
      </x:c>
      <x:c r="C84" s="93" t="n">
        <x:v>46037</x:v>
      </x:c>
      <x:c r="D84" s="94" t="str">
        <x:v>Google Ads</x:v>
      </x:c>
      <x:c r="E84" s="94" t="str">
        <x:v>云主机/CDN</x:v>
      </x:c>
      <x:c r="F84" s="94" t="str">
        <x:v>按访问量</x:v>
      </x:c>
      <x:c r="G84" s="97" t="n">
        <x:v>0.33</x:v>
      </x:c>
      <x:c r="H84" s="94" t="str">
        <x:v>变动</x:v>
      </x:c>
      <x:c r="I84" s="94" t="str">
        <x:v>技术团队</x:v>
      </x:c>
      <x:c r="J84" s="94" t="str">
        <x:v>模拟项目运营成本；统一折算USD</x:v>
      </x:c>
    </x:row>
    <x:row r="85">
      <x:c r="A85" s="92" t="str">
        <x:v>COST-0084</x:v>
      </x:c>
      <x:c r="B85" s="94" t="str">
        <x:v>PROC-0084</x:v>
      </x:c>
      <x:c r="C85" s="93" t="n">
        <x:v>46038</x:v>
      </x:c>
      <x:c r="D85" s="94" t="str">
        <x:v>Microsoft Ads</x:v>
      </x:c>
      <x:c r="E85" s="94" t="str">
        <x:v>数据与ETL</x:v>
      </x:c>
      <x:c r="F85" s="94" t="str">
        <x:v>按采购批次</x:v>
      </x:c>
      <x:c r="G85" s="97" t="n">
        <x:v>0.44</x:v>
      </x:c>
      <x:c r="H85" s="94" t="str">
        <x:v>变动</x:v>
      </x:c>
      <x:c r="I85" s="94" t="str">
        <x:v>数据团队</x:v>
      </x:c>
      <x:c r="J85" s="94" t="str">
        <x:v>模拟项目运营成本；统一折算USD</x:v>
      </x:c>
    </x:row>
    <x:row r="86">
      <x:c r="A86" s="92" t="str">
        <x:v>COST-0085</x:v>
      </x:c>
      <x:c r="B86" s="94" t="str">
        <x:v>PROC-0085</x:v>
      </x:c>
      <x:c r="C86" s="93" t="n">
        <x:v>46038</x:v>
      </x:c>
      <x:c r="D86" s="94" t="str">
        <x:v>Microsoft Ads</x:v>
      </x:c>
      <x:c r="E86" s="94" t="str">
        <x:v>人工运营分摊</x:v>
      </x:c>
      <x:c r="F86" s="94" t="str">
        <x:v>按工时</x:v>
      </x:c>
      <x:c r="G86" s="97" t="n">
        <x:v>3.51</x:v>
      </x:c>
      <x:c r="H86" s="94" t="str">
        <x:v>部分固定</x:v>
      </x:c>
      <x:c r="I86" s="94" t="str">
        <x:v>运营团队</x:v>
      </x:c>
      <x:c r="J86" s="94" t="str">
        <x:v>模拟项目运营成本；统一折算USD</x:v>
      </x:c>
    </x:row>
    <x:row r="87">
      <x:c r="A87" s="92" t="str">
        <x:v>COST-0086</x:v>
      </x:c>
      <x:c r="B87" s="94" t="str">
        <x:v>PROC-0086</x:v>
      </x:c>
      <x:c r="C87" s="93" t="n">
        <x:v>46038</x:v>
      </x:c>
      <x:c r="D87" s="94" t="str">
        <x:v>Google Ads</x:v>
      </x:c>
      <x:c r="E87" s="94" t="str">
        <x:v>云主机/CDN</x:v>
      </x:c>
      <x:c r="F87" s="94" t="str">
        <x:v>按访问量</x:v>
      </x:c>
      <x:c r="G87" s="97" t="n">
        <x:v>0.48</x:v>
      </x:c>
      <x:c r="H87" s="94" t="str">
        <x:v>变动</x:v>
      </x:c>
      <x:c r="I87" s="94" t="str">
        <x:v>技术团队</x:v>
      </x:c>
      <x:c r="J87" s="94" t="str">
        <x:v>模拟项目运营成本；统一折算USD</x:v>
      </x:c>
    </x:row>
    <x:row r="88">
      <x:c r="A88" s="92" t="str">
        <x:v>COST-0087</x:v>
      </x:c>
      <x:c r="B88" s="94" t="str">
        <x:v>PROC-0087</x:v>
      </x:c>
      <x:c r="C88" s="93" t="n">
        <x:v>46038</x:v>
      </x:c>
      <x:c r="D88" s="94" t="str">
        <x:v>Google Ads</x:v>
      </x:c>
      <x:c r="E88" s="94" t="str">
        <x:v>人工运营分摊</x:v>
      </x:c>
      <x:c r="F88" s="94" t="str">
        <x:v>按工时</x:v>
      </x:c>
      <x:c r="G88" s="97" t="n">
        <x:v>1.9</x:v>
      </x:c>
      <x:c r="H88" s="94" t="str">
        <x:v>部分固定</x:v>
      </x:c>
      <x:c r="I88" s="94" t="str">
        <x:v>运营团队</x:v>
      </x:c>
      <x:c r="J88" s="94" t="str">
        <x:v>模拟项目运营成本；统一折算USD</x:v>
      </x:c>
    </x:row>
    <x:row r="89">
      <x:c r="A89" s="92" t="str">
        <x:v>COST-0088</x:v>
      </x:c>
      <x:c r="B89" s="94" t="str">
        <x:v>PROC-0088</x:v>
      </x:c>
      <x:c r="C89" s="93" t="n">
        <x:v>46038</x:v>
      </x:c>
      <x:c r="D89" s="94" t="str">
        <x:v>Microsoft Ads</x:v>
      </x:c>
      <x:c r="E89" s="94" t="str">
        <x:v>云主机/CDN</x:v>
      </x:c>
      <x:c r="F89" s="94" t="str">
        <x:v>按访问量</x:v>
      </x:c>
      <x:c r="G89" s="97" t="n">
        <x:v>0.96</x:v>
      </x:c>
      <x:c r="H89" s="94" t="str">
        <x:v>变动</x:v>
      </x:c>
      <x:c r="I89" s="94" t="str">
        <x:v>技术团队</x:v>
      </x:c>
      <x:c r="J89" s="94" t="str">
        <x:v>模拟项目运营成本；统一折算USD</x:v>
      </x:c>
    </x:row>
    <x:row r="90">
      <x:c r="A90" s="92" t="str">
        <x:v>COST-0089</x:v>
      </x:c>
      <x:c r="B90" s="94" t="str">
        <x:v>PROC-0089</x:v>
      </x:c>
      <x:c r="C90" s="93" t="n">
        <x:v>46038</x:v>
      </x:c>
      <x:c r="D90" s="94" t="str">
        <x:v>Microsoft Ads</x:v>
      </x:c>
      <x:c r="E90" s="94" t="str">
        <x:v>人工运营分摊</x:v>
      </x:c>
      <x:c r="F90" s="94" t="str">
        <x:v>按工时</x:v>
      </x:c>
      <x:c r="G90" s="97" t="n">
        <x:v>2.51</x:v>
      </x:c>
      <x:c r="H90" s="94" t="str">
        <x:v>部分固定</x:v>
      </x:c>
      <x:c r="I90" s="94" t="str">
        <x:v>运营团队</x:v>
      </x:c>
      <x:c r="J90" s="94" t="str">
        <x:v>模拟项目运营成本；统一折算USD</x:v>
      </x:c>
    </x:row>
    <x:row r="91">
      <x:c r="A91" s="92" t="str">
        <x:v>COST-0090</x:v>
      </x:c>
      <x:c r="B91" s="94" t="str">
        <x:v>PROC-0090</x:v>
      </x:c>
      <x:c r="C91" s="93" t="n">
        <x:v>46039</x:v>
      </x:c>
      <x:c r="D91" s="94" t="str">
        <x:v>Microsoft Ads</x:v>
      </x:c>
      <x:c r="E91" s="94" t="str">
        <x:v>数据与ETL</x:v>
      </x:c>
      <x:c r="F91" s="94" t="str">
        <x:v>按采购批次</x:v>
      </x:c>
      <x:c r="G91" s="97" t="n">
        <x:v>0.71</x:v>
      </x:c>
      <x:c r="H91" s="94" t="str">
        <x:v>变动</x:v>
      </x:c>
      <x:c r="I91" s="94" t="str">
        <x:v>数据团队</x:v>
      </x:c>
      <x:c r="J91" s="94" t="str">
        <x:v>模拟项目运营成本；统一折算USD</x:v>
      </x:c>
    </x:row>
    <x:row r="92">
      <x:c r="A92" s="92" t="str">
        <x:v>COST-0091</x:v>
      </x:c>
      <x:c r="B92" s="94" t="str">
        <x:v>PROC-0091</x:v>
      </x:c>
      <x:c r="C92" s="93" t="n">
        <x:v>46039</x:v>
      </x:c>
      <x:c r="D92" s="94" t="str">
        <x:v>Microsoft Ads</x:v>
      </x:c>
      <x:c r="E92" s="94" t="str">
        <x:v>创意素材</x:v>
      </x:c>
      <x:c r="F92" s="94" t="str">
        <x:v>按活动</x:v>
      </x:c>
      <x:c r="G92" s="97" t="n">
        <x:v>3.74</x:v>
      </x:c>
      <x:c r="H92" s="94" t="str">
        <x:v>部分固定</x:v>
      </x:c>
      <x:c r="I92" s="94" t="str">
        <x:v>增长团队</x:v>
      </x:c>
      <x:c r="J92" s="94" t="str">
        <x:v>模拟项目运营成本；统一折算USD</x:v>
      </x:c>
    </x:row>
    <x:row r="93">
      <x:c r="A93" s="92" t="str">
        <x:v>COST-0092</x:v>
      </x:c>
      <x:c r="B93" s="94" t="str">
        <x:v>PROC-0092</x:v>
      </x:c>
      <x:c r="C93" s="93" t="n">
        <x:v>46039</x:v>
      </x:c>
      <x:c r="D93" s="94" t="str">
        <x:v>Microsoft Ads</x:v>
      </x:c>
      <x:c r="E93" s="94" t="str">
        <x:v>归因与监测工具</x:v>
      </x:c>
      <x:c r="F93" s="94" t="str">
        <x:v>按点击量</x:v>
      </x:c>
      <x:c r="G93" s="97" t="n">
        <x:v>1.42</x:v>
      </x:c>
      <x:c r="H93" s="94" t="str">
        <x:v>变动</x:v>
      </x:c>
      <x:c r="I93" s="94" t="str">
        <x:v>分析团队</x:v>
      </x:c>
      <x:c r="J93" s="94" t="str">
        <x:v>模拟项目运营成本；统一折算USD</x:v>
      </x:c>
    </x:row>
    <x:row r="94">
      <x:c r="A94" s="92" t="str">
        <x:v>COST-0093</x:v>
      </x:c>
      <x:c r="B94" s="94" t="str">
        <x:v>PROC-0093</x:v>
      </x:c>
      <x:c r="C94" s="93" t="n">
        <x:v>46039</x:v>
      </x:c>
      <x:c r="D94" s="94" t="str">
        <x:v>Microsoft Ads</x:v>
      </x:c>
      <x:c r="E94" s="94" t="str">
        <x:v>人工运营分摊</x:v>
      </x:c>
      <x:c r="F94" s="94" t="str">
        <x:v>按工时</x:v>
      </x:c>
      <x:c r="G94" s="97" t="n">
        <x:v>1.9</x:v>
      </x:c>
      <x:c r="H94" s="94" t="str">
        <x:v>部分固定</x:v>
      </x:c>
      <x:c r="I94" s="94" t="str">
        <x:v>运营团队</x:v>
      </x:c>
      <x:c r="J94" s="94" t="str">
        <x:v>模拟项目运营成本；统一折算USD</x:v>
      </x:c>
    </x:row>
    <x:row r="95">
      <x:c r="A95" s="92" t="str">
        <x:v>COST-0094</x:v>
      </x:c>
      <x:c r="B95" s="94" t="str">
        <x:v>PROC-0094</x:v>
      </x:c>
      <x:c r="C95" s="93" t="n">
        <x:v>46039</x:v>
      </x:c>
      <x:c r="D95" s="94" t="str">
        <x:v>Google Ads</x:v>
      </x:c>
      <x:c r="E95" s="94" t="str">
        <x:v>云主机/CDN</x:v>
      </x:c>
      <x:c r="F95" s="94" t="str">
        <x:v>按访问量</x:v>
      </x:c>
      <x:c r="G95" s="97" t="n">
        <x:v>1.14</x:v>
      </x:c>
      <x:c r="H95" s="94" t="str">
        <x:v>变动</x:v>
      </x:c>
      <x:c r="I95" s="94" t="str">
        <x:v>技术团队</x:v>
      </x:c>
      <x:c r="J95" s="94" t="str">
        <x:v>模拟项目运营成本；统一折算USD</x:v>
      </x:c>
    </x:row>
    <x:row r="96">
      <x:c r="A96" s="92" t="str">
        <x:v>COST-0095</x:v>
      </x:c>
      <x:c r="B96" s="94" t="str">
        <x:v>PROC-0095</x:v>
      </x:c>
      <x:c r="C96" s="93" t="n">
        <x:v>46040</x:v>
      </x:c>
      <x:c r="D96" s="94" t="str">
        <x:v>Google Ads</x:v>
      </x:c>
      <x:c r="E96" s="94" t="str">
        <x:v>云主机/CDN</x:v>
      </x:c>
      <x:c r="F96" s="94" t="str">
        <x:v>按访问量</x:v>
      </x:c>
      <x:c r="G96" s="97" t="n">
        <x:v>0.8</x:v>
      </x:c>
      <x:c r="H96" s="94" t="str">
        <x:v>变动</x:v>
      </x:c>
      <x:c r="I96" s="94" t="str">
        <x:v>技术团队</x:v>
      </x:c>
      <x:c r="J96" s="94" t="str">
        <x:v>模拟项目运营成本；统一折算USD</x:v>
      </x:c>
    </x:row>
    <x:row r="97">
      <x:c r="A97" s="92" t="str">
        <x:v>COST-0096</x:v>
      </x:c>
      <x:c r="B97" s="94" t="str">
        <x:v>PROC-0096</x:v>
      </x:c>
      <x:c r="C97" s="93" t="n">
        <x:v>46040</x:v>
      </x:c>
      <x:c r="D97" s="94" t="str">
        <x:v>Google Ads</x:v>
      </x:c>
      <x:c r="E97" s="94" t="str">
        <x:v>归因与监测工具</x:v>
      </x:c>
      <x:c r="F97" s="94" t="str">
        <x:v>按点击量</x:v>
      </x:c>
      <x:c r="G97" s="97" t="n">
        <x:v>0.96</x:v>
      </x:c>
      <x:c r="H97" s="94" t="str">
        <x:v>变动</x:v>
      </x:c>
      <x:c r="I97" s="94" t="str">
        <x:v>分析团队</x:v>
      </x:c>
      <x:c r="J97" s="94" t="str">
        <x:v>模拟项目运营成本；统一折算USD</x:v>
      </x:c>
    </x:row>
    <x:row r="98">
      <x:c r="A98" s="92" t="str">
        <x:v>COST-0097</x:v>
      </x:c>
      <x:c r="B98" s="94" t="str">
        <x:v>PROC-0097</x:v>
      </x:c>
      <x:c r="C98" s="93" t="n">
        <x:v>46040</x:v>
      </x:c>
      <x:c r="D98" s="94" t="str">
        <x:v>Microsoft Ads</x:v>
      </x:c>
      <x:c r="E98" s="94" t="str">
        <x:v>云主机/CDN</x:v>
      </x:c>
      <x:c r="F98" s="94" t="str">
        <x:v>按访问量</x:v>
      </x:c>
      <x:c r="G98" s="97" t="n">
        <x:v>0.65</x:v>
      </x:c>
      <x:c r="H98" s="94" t="str">
        <x:v>变动</x:v>
      </x:c>
      <x:c r="I98" s="94" t="str">
        <x:v>技术团队</x:v>
      </x:c>
      <x:c r="J98" s="94" t="str">
        <x:v>模拟项目运营成本；统一折算USD</x:v>
      </x:c>
    </x:row>
    <x:row r="99">
      <x:c r="A99" s="92" t="str">
        <x:v>COST-0098</x:v>
      </x:c>
      <x:c r="B99" s="94" t="str">
        <x:v>PROC-0098</x:v>
      </x:c>
      <x:c r="C99" s="93" t="n">
        <x:v>46040</x:v>
      </x:c>
      <x:c r="D99" s="94" t="str">
        <x:v>Microsoft Ads</x:v>
      </x:c>
      <x:c r="E99" s="94" t="str">
        <x:v>数据与ETL</x:v>
      </x:c>
      <x:c r="F99" s="94" t="str">
        <x:v>按采购批次</x:v>
      </x:c>
      <x:c r="G99" s="97" t="n">
        <x:v>0.97</x:v>
      </x:c>
      <x:c r="H99" s="94" t="str">
        <x:v>变动</x:v>
      </x:c>
      <x:c r="I99" s="94" t="str">
        <x:v>数据团队</x:v>
      </x:c>
      <x:c r="J99" s="94" t="str">
        <x:v>模拟项目运营成本；统一折算USD</x:v>
      </x:c>
    </x:row>
    <x:row r="100">
      <x:c r="A100" s="92" t="str">
        <x:v>COST-0099</x:v>
      </x:c>
      <x:c r="B100" s="94" t="str">
        <x:v>PROC-0099</x:v>
      </x:c>
      <x:c r="C100" s="93" t="n">
        <x:v>46040</x:v>
      </x:c>
      <x:c r="D100" s="94" t="str">
        <x:v>Google Ads</x:v>
      </x:c>
      <x:c r="E100" s="94" t="str">
        <x:v>数据与ETL</x:v>
      </x:c>
      <x:c r="F100" s="94" t="str">
        <x:v>按采购批次</x:v>
      </x:c>
      <x:c r="G100" s="97" t="n">
        <x:v>0.83</x:v>
      </x:c>
      <x:c r="H100" s="94" t="str">
        <x:v>变动</x:v>
      </x:c>
      <x:c r="I100" s="94" t="str">
        <x:v>数据团队</x:v>
      </x:c>
      <x:c r="J100" s="94" t="str">
        <x:v>模拟项目运营成本；统一折算USD</x:v>
      </x:c>
    </x:row>
    <x:row r="101">
      <x:c r="A101" s="92" t="str">
        <x:v>COST-0100</x:v>
      </x:c>
      <x:c r="B101" s="94" t="str">
        <x:v>PROC-0100</x:v>
      </x:c>
      <x:c r="C101" s="93" t="n">
        <x:v>46040</x:v>
      </x:c>
      <x:c r="D101" s="94" t="str">
        <x:v>Google Ads</x:v>
      </x:c>
      <x:c r="E101" s="94" t="str">
        <x:v>创意素材</x:v>
      </x:c>
      <x:c r="F101" s="94" t="str">
        <x:v>按活动</x:v>
      </x:c>
      <x:c r="G101" s="97" t="n">
        <x:v>2.34</x:v>
      </x:c>
      <x:c r="H101" s="94" t="str">
        <x:v>部分固定</x:v>
      </x:c>
      <x:c r="I101" s="94" t="str">
        <x:v>增长团队</x:v>
      </x:c>
      <x:c r="J101" s="94" t="str">
        <x:v>模拟项目运营成本；统一折算USD</x:v>
      </x:c>
    </x:row>
    <x:row r="102">
      <x:c r="A102" s="92" t="str">
        <x:v>COST-0101</x:v>
      </x:c>
      <x:c r="B102" s="94" t="str">
        <x:v>PROC-0101</x:v>
      </x:c>
      <x:c r="C102" s="93" t="n">
        <x:v>46041</x:v>
      </x:c>
      <x:c r="D102" s="94" t="str">
        <x:v>Microsoft Ads</x:v>
      </x:c>
      <x:c r="E102" s="94" t="str">
        <x:v>数据与ETL</x:v>
      </x:c>
      <x:c r="F102" s="94" t="str">
        <x:v>按采购批次</x:v>
      </x:c>
      <x:c r="G102" s="97" t="n">
        <x:v>0.72</x:v>
      </x:c>
      <x:c r="H102" s="94" t="str">
        <x:v>变动</x:v>
      </x:c>
      <x:c r="I102" s="94" t="str">
        <x:v>数据团队</x:v>
      </x:c>
      <x:c r="J102" s="94" t="str">
        <x:v>模拟项目运营成本；统一折算USD</x:v>
      </x:c>
    </x:row>
    <x:row r="103">
      <x:c r="A103" s="92" t="str">
        <x:v>COST-0102</x:v>
      </x:c>
      <x:c r="B103" s="94" t="str">
        <x:v>PROC-0102</x:v>
      </x:c>
      <x:c r="C103" s="93" t="n">
        <x:v>46041</x:v>
      </x:c>
      <x:c r="D103" s="94" t="str">
        <x:v>Microsoft Ads</x:v>
      </x:c>
      <x:c r="E103" s="94" t="str">
        <x:v>归因与监测工具</x:v>
      </x:c>
      <x:c r="F103" s="94" t="str">
        <x:v>按点击量</x:v>
      </x:c>
      <x:c r="G103" s="97" t="n">
        <x:v>1.07</x:v>
      </x:c>
      <x:c r="H103" s="94" t="str">
        <x:v>变动</x:v>
      </x:c>
      <x:c r="I103" s="94" t="str">
        <x:v>分析团队</x:v>
      </x:c>
      <x:c r="J103" s="94" t="str">
        <x:v>模拟项目运营成本；统一折算USD</x:v>
      </x:c>
    </x:row>
    <x:row r="104">
      <x:c r="A104" s="92" t="str">
        <x:v>COST-0103</x:v>
      </x:c>
      <x:c r="B104" s="94" t="str">
        <x:v>PROC-0103</x:v>
      </x:c>
      <x:c r="C104" s="93" t="n">
        <x:v>46041</x:v>
      </x:c>
      <x:c r="D104" s="94" t="str">
        <x:v>Google Ads</x:v>
      </x:c>
      <x:c r="E104" s="94" t="str">
        <x:v>数据与ETL</x:v>
      </x:c>
      <x:c r="F104" s="94" t="str">
        <x:v>按采购批次</x:v>
      </x:c>
      <x:c r="G104" s="97" t="n">
        <x:v>1</x:v>
      </x:c>
      <x:c r="H104" s="94" t="str">
        <x:v>变动</x:v>
      </x:c>
      <x:c r="I104" s="94" t="str">
        <x:v>数据团队</x:v>
      </x:c>
      <x:c r="J104" s="94" t="str">
        <x:v>模拟项目运营成本；统一折算USD</x:v>
      </x:c>
    </x:row>
    <x:row r="105">
      <x:c r="A105" s="92" t="str">
        <x:v>COST-0104</x:v>
      </x:c>
      <x:c r="B105" s="94" t="str">
        <x:v>PROC-0104</x:v>
      </x:c>
      <x:c r="C105" s="93" t="n">
        <x:v>46041</x:v>
      </x:c>
      <x:c r="D105" s="94" t="str">
        <x:v>Microsoft Ads</x:v>
      </x:c>
      <x:c r="E105" s="94" t="str">
        <x:v>云主机/CDN</x:v>
      </x:c>
      <x:c r="F105" s="94" t="str">
        <x:v>按访问量</x:v>
      </x:c>
      <x:c r="G105" s="97" t="n">
        <x:v>0.44</x:v>
      </x:c>
      <x:c r="H105" s="94" t="str">
        <x:v>变动</x:v>
      </x:c>
      <x:c r="I105" s="94" t="str">
        <x:v>技术团队</x:v>
      </x:c>
      <x:c r="J105" s="94" t="str">
        <x:v>模拟项目运营成本；统一折算USD</x:v>
      </x:c>
    </x:row>
    <x:row r="106">
      <x:c r="A106" s="92" t="str">
        <x:v>COST-0105</x:v>
      </x:c>
      <x:c r="B106" s="94" t="str">
        <x:v>PROC-0105</x:v>
      </x:c>
      <x:c r="C106" s="93" t="n">
        <x:v>46041</x:v>
      </x:c>
      <x:c r="D106" s="94" t="str">
        <x:v>Microsoft Ads</x:v>
      </x:c>
      <x:c r="E106" s="94" t="str">
        <x:v>创意素材</x:v>
      </x:c>
      <x:c r="F106" s="94" t="str">
        <x:v>按活动</x:v>
      </x:c>
      <x:c r="G106" s="97" t="n">
        <x:v>2.41</x:v>
      </x:c>
      <x:c r="H106" s="94" t="str">
        <x:v>部分固定</x:v>
      </x:c>
      <x:c r="I106" s="94" t="str">
        <x:v>增长团队</x:v>
      </x:c>
      <x:c r="J106" s="94" t="str">
        <x:v>模拟项目运营成本；统一折算USD</x:v>
      </x:c>
    </x:row>
    <x:row r="107">
      <x:c r="A107" s="92" t="str">
        <x:v>COST-0106</x:v>
      </x:c>
      <x:c r="B107" s="94" t="str">
        <x:v>PROC-0106</x:v>
      </x:c>
      <x:c r="C107" s="93" t="n">
        <x:v>46042</x:v>
      </x:c>
      <x:c r="D107" s="94" t="str">
        <x:v>Microsoft Ads</x:v>
      </x:c>
      <x:c r="E107" s="94" t="str">
        <x:v>人工运营分摊</x:v>
      </x:c>
      <x:c r="F107" s="94" t="str">
        <x:v>按工时</x:v>
      </x:c>
      <x:c r="G107" s="97" t="n">
        <x:v>2.22</x:v>
      </x:c>
      <x:c r="H107" s="94" t="str">
        <x:v>部分固定</x:v>
      </x:c>
      <x:c r="I107" s="94" t="str">
        <x:v>运营团队</x:v>
      </x:c>
      <x:c r="J107" s="94" t="str">
        <x:v>模拟项目运营成本；统一折算USD</x:v>
      </x:c>
    </x:row>
    <x:row r="108">
      <x:c r="A108" s="92" t="str">
        <x:v>COST-0107</x:v>
      </x:c>
      <x:c r="B108" s="94" t="str">
        <x:v>PROC-0107</x:v>
      </x:c>
      <x:c r="C108" s="93" t="n">
        <x:v>46042</x:v>
      </x:c>
      <x:c r="D108" s="94" t="str">
        <x:v>Microsoft Ads</x:v>
      </x:c>
      <x:c r="E108" s="94" t="str">
        <x:v>归因与监测工具</x:v>
      </x:c>
      <x:c r="F108" s="94" t="str">
        <x:v>按点击量</x:v>
      </x:c>
      <x:c r="G108" s="97" t="n">
        <x:v>1.07</x:v>
      </x:c>
      <x:c r="H108" s="94" t="str">
        <x:v>变动</x:v>
      </x:c>
      <x:c r="I108" s="94" t="str">
        <x:v>分析团队</x:v>
      </x:c>
      <x:c r="J108" s="94" t="str">
        <x:v>模拟项目运营成本；统一折算USD</x:v>
      </x:c>
    </x:row>
    <x:row r="109">
      <x:c r="A109" s="92" t="str">
        <x:v>COST-0108</x:v>
      </x:c>
      <x:c r="B109" s="94" t="str">
        <x:v>PROC-0108</x:v>
      </x:c>
      <x:c r="C109" s="93" t="n">
        <x:v>46042</x:v>
      </x:c>
      <x:c r="D109" s="94" t="str">
        <x:v>Google Ads</x:v>
      </x:c>
      <x:c r="E109" s="94" t="str">
        <x:v>人工运营分摊</x:v>
      </x:c>
      <x:c r="F109" s="94" t="str">
        <x:v>按工时</x:v>
      </x:c>
      <x:c r="G109" s="97" t="n">
        <x:v>1.33</x:v>
      </x:c>
      <x:c r="H109" s="94" t="str">
        <x:v>部分固定</x:v>
      </x:c>
      <x:c r="I109" s="94" t="str">
        <x:v>运营团队</x:v>
      </x:c>
      <x:c r="J109" s="94" t="str">
        <x:v>模拟项目运营成本；统一折算USD</x:v>
      </x:c>
    </x:row>
    <x:row r="110">
      <x:c r="A110" s="92" t="str">
        <x:v>COST-0109</x:v>
      </x:c>
      <x:c r="B110" s="94" t="str">
        <x:v>PROC-0109</x:v>
      </x:c>
      <x:c r="C110" s="93" t="n">
        <x:v>46042</x:v>
      </x:c>
      <x:c r="D110" s="94" t="str">
        <x:v>Google Ads</x:v>
      </x:c>
      <x:c r="E110" s="94" t="str">
        <x:v>数据与ETL</x:v>
      </x:c>
      <x:c r="F110" s="94" t="str">
        <x:v>按采购批次</x:v>
      </x:c>
      <x:c r="G110" s="97" t="n">
        <x:v>0.89</x:v>
      </x:c>
      <x:c r="H110" s="94" t="str">
        <x:v>变动</x:v>
      </x:c>
      <x:c r="I110" s="94" t="str">
        <x:v>数据团队</x:v>
      </x:c>
      <x:c r="J110" s="94" t="str">
        <x:v>模拟项目运营成本；统一折算USD</x:v>
      </x:c>
    </x:row>
    <x:row r="111">
      <x:c r="A111" s="92" t="str">
        <x:v>COST-0110</x:v>
      </x:c>
      <x:c r="B111" s="94" t="str">
        <x:v>PROC-0110</x:v>
      </x:c>
      <x:c r="C111" s="93" t="n">
        <x:v>46042</x:v>
      </x:c>
      <x:c r="D111" s="94" t="str">
        <x:v>Google Ads</x:v>
      </x:c>
      <x:c r="E111" s="94" t="str">
        <x:v>数据与ETL</x:v>
      </x:c>
      <x:c r="F111" s="94" t="str">
        <x:v>按采购批次</x:v>
      </x:c>
      <x:c r="G111" s="97" t="n">
        <x:v>0.85</x:v>
      </x:c>
      <x:c r="H111" s="94" t="str">
        <x:v>变动</x:v>
      </x:c>
      <x:c r="I111" s="94" t="str">
        <x:v>数据团队</x:v>
      </x:c>
      <x:c r="J111" s="94" t="str">
        <x:v>模拟项目运营成本；统一折算USD</x:v>
      </x:c>
    </x:row>
    <x:row r="112">
      <x:c r="A112" s="92" t="str">
        <x:v>COST-0111</x:v>
      </x:c>
      <x:c r="B112" s="94" t="str">
        <x:v>PROC-0111</x:v>
      </x:c>
      <x:c r="C112" s="93" t="n">
        <x:v>46042</x:v>
      </x:c>
      <x:c r="D112" s="94" t="str">
        <x:v>Microsoft Ads</x:v>
      </x:c>
      <x:c r="E112" s="94" t="str">
        <x:v>云主机/CDN</x:v>
      </x:c>
      <x:c r="F112" s="94" t="str">
        <x:v>按访问量</x:v>
      </x:c>
      <x:c r="G112" s="97" t="n">
        <x:v>0.79</x:v>
      </x:c>
      <x:c r="H112" s="94" t="str">
        <x:v>变动</x:v>
      </x:c>
      <x:c r="I112" s="94" t="str">
        <x:v>技术团队</x:v>
      </x:c>
      <x:c r="J112" s="94" t="str">
        <x:v>模拟项目运营成本；统一折算USD</x:v>
      </x:c>
    </x:row>
    <x:row r="113">
      <x:c r="A113" s="92" t="str">
        <x:v>COST-0112</x:v>
      </x:c>
      <x:c r="B113" s="94" t="str">
        <x:v>PROC-0112</x:v>
      </x:c>
      <x:c r="C113" s="93" t="n">
        <x:v>46043</x:v>
      </x:c>
      <x:c r="D113" s="94" t="str">
        <x:v>Microsoft Ads</x:v>
      </x:c>
      <x:c r="E113" s="94" t="str">
        <x:v>数据与ETL</x:v>
      </x:c>
      <x:c r="F113" s="94" t="str">
        <x:v>按采购批次</x:v>
      </x:c>
      <x:c r="G113" s="97" t="n">
        <x:v>0.57</x:v>
      </x:c>
      <x:c r="H113" s="94" t="str">
        <x:v>变动</x:v>
      </x:c>
      <x:c r="I113" s="94" t="str">
        <x:v>数据团队</x:v>
      </x:c>
      <x:c r="J113" s="94" t="str">
        <x:v>模拟项目运营成本；统一折算USD</x:v>
      </x:c>
    </x:row>
    <x:row r="114">
      <x:c r="A114" s="92" t="str">
        <x:v>COST-0113</x:v>
      </x:c>
      <x:c r="B114" s="94" t="str">
        <x:v>PROC-0113</x:v>
      </x:c>
      <x:c r="C114" s="93" t="n">
        <x:v>46043</x:v>
      </x:c>
      <x:c r="D114" s="94" t="str">
        <x:v>Microsoft Ads</x:v>
      </x:c>
      <x:c r="E114" s="94" t="str">
        <x:v>云主机/CDN</x:v>
      </x:c>
      <x:c r="F114" s="94" t="str">
        <x:v>按访问量</x:v>
      </x:c>
      <x:c r="G114" s="97" t="n">
        <x:v>0.28</x:v>
      </x:c>
      <x:c r="H114" s="94" t="str">
        <x:v>变动</x:v>
      </x:c>
      <x:c r="I114" s="94" t="str">
        <x:v>技术团队</x:v>
      </x:c>
      <x:c r="J114" s="94" t="str">
        <x:v>模拟项目运营成本；统一折算USD</x:v>
      </x:c>
    </x:row>
    <x:row r="115">
      <x:c r="A115" s="92" t="str">
        <x:v>COST-0114</x:v>
      </x:c>
      <x:c r="B115" s="94" t="str">
        <x:v>PROC-0114</x:v>
      </x:c>
      <x:c r="C115" s="93" t="n">
        <x:v>46043</x:v>
      </x:c>
      <x:c r="D115" s="94" t="str">
        <x:v>Microsoft Ads</x:v>
      </x:c>
      <x:c r="E115" s="94" t="str">
        <x:v>人工运营分摊</x:v>
      </x:c>
      <x:c r="F115" s="94" t="str">
        <x:v>按工时</x:v>
      </x:c>
      <x:c r="G115" s="97" t="n">
        <x:v>4.62</x:v>
      </x:c>
      <x:c r="H115" s="94" t="str">
        <x:v>部分固定</x:v>
      </x:c>
      <x:c r="I115" s="94" t="str">
        <x:v>运营团队</x:v>
      </x:c>
      <x:c r="J115" s="94" t="str">
        <x:v>模拟项目运营成本；统一折算USD</x:v>
      </x:c>
    </x:row>
    <x:row r="116">
      <x:c r="A116" s="92" t="str">
        <x:v>COST-0115</x:v>
      </x:c>
      <x:c r="B116" s="94" t="str">
        <x:v>PROC-0115</x:v>
      </x:c>
      <x:c r="C116" s="93" t="n">
        <x:v>46043</x:v>
      </x:c>
      <x:c r="D116" s="94" t="str">
        <x:v>Microsoft Ads</x:v>
      </x:c>
      <x:c r="E116" s="94" t="str">
        <x:v>人工运营分摊</x:v>
      </x:c>
      <x:c r="F116" s="94" t="str">
        <x:v>按工时</x:v>
      </x:c>
      <x:c r="G116" s="97" t="n">
        <x:v>3.19</x:v>
      </x:c>
      <x:c r="H116" s="94" t="str">
        <x:v>部分固定</x:v>
      </x:c>
      <x:c r="I116" s="94" t="str">
        <x:v>运营团队</x:v>
      </x:c>
      <x:c r="J116" s="94" t="str">
        <x:v>模拟项目运营成本；统一折算USD</x:v>
      </x:c>
    </x:row>
    <x:row r="117">
      <x:c r="A117" s="92" t="str">
        <x:v>COST-0116</x:v>
      </x:c>
      <x:c r="B117" s="94" t="str">
        <x:v>PROC-0116</x:v>
      </x:c>
      <x:c r="C117" s="93" t="n">
        <x:v>46043</x:v>
      </x:c>
      <x:c r="D117" s="94" t="str">
        <x:v>Google Ads</x:v>
      </x:c>
      <x:c r="E117" s="94" t="str">
        <x:v>归因与监测工具</x:v>
      </x:c>
      <x:c r="F117" s="94" t="str">
        <x:v>按点击量</x:v>
      </x:c>
      <x:c r="G117" s="97" t="n">
        <x:v>1.43</x:v>
      </x:c>
      <x:c r="H117" s="94" t="str">
        <x:v>变动</x:v>
      </x:c>
      <x:c r="I117" s="94" t="str">
        <x:v>分析团队</x:v>
      </x:c>
      <x:c r="J117" s="94" t="str">
        <x:v>模拟项目运营成本；统一折算USD</x:v>
      </x:c>
    </x:row>
    <x:row r="118">
      <x:c r="A118" s="92" t="str">
        <x:v>COST-0117</x:v>
      </x:c>
      <x:c r="B118" s="94" t="str">
        <x:v>PROC-0117</x:v>
      </x:c>
      <x:c r="C118" s="93" t="n">
        <x:v>46043</x:v>
      </x:c>
      <x:c r="D118" s="94" t="str">
        <x:v>Google Ads</x:v>
      </x:c>
      <x:c r="E118" s="94" t="str">
        <x:v>云主机/CDN</x:v>
      </x:c>
      <x:c r="F118" s="94" t="str">
        <x:v>按访问量</x:v>
      </x:c>
      <x:c r="G118" s="97" t="n">
        <x:v>0.62</x:v>
      </x:c>
      <x:c r="H118" s="94" t="str">
        <x:v>变动</x:v>
      </x:c>
      <x:c r="I118" s="94" t="str">
        <x:v>技术团队</x:v>
      </x:c>
      <x:c r="J118" s="94" t="str">
        <x:v>模拟项目运营成本；统一折算USD</x:v>
      </x:c>
    </x:row>
    <x:row r="119">
      <x:c r="A119" s="92" t="str">
        <x:v>COST-0118</x:v>
      </x:c>
      <x:c r="B119" s="94" t="str">
        <x:v>PROC-0118</x:v>
      </x:c>
      <x:c r="C119" s="93" t="n">
        <x:v>46044</x:v>
      </x:c>
      <x:c r="D119" s="94" t="str">
        <x:v>Google Ads</x:v>
      </x:c>
      <x:c r="E119" s="94" t="str">
        <x:v>数据与ETL</x:v>
      </x:c>
      <x:c r="F119" s="94" t="str">
        <x:v>按采购批次</x:v>
      </x:c>
      <x:c r="G119" s="97" t="n">
        <x:v>0.69</x:v>
      </x:c>
      <x:c r="H119" s="94" t="str">
        <x:v>变动</x:v>
      </x:c>
      <x:c r="I119" s="94" t="str">
        <x:v>数据团队</x:v>
      </x:c>
      <x:c r="J119" s="94" t="str">
        <x:v>模拟项目运营成本；统一折算USD</x:v>
      </x:c>
    </x:row>
    <x:row r="120">
      <x:c r="A120" s="92" t="str">
        <x:v>COST-0119</x:v>
      </x:c>
      <x:c r="B120" s="94" t="str">
        <x:v>PROC-0119</x:v>
      </x:c>
      <x:c r="C120" s="93" t="n">
        <x:v>46044</x:v>
      </x:c>
      <x:c r="D120" s="94" t="str">
        <x:v>Google Ads</x:v>
      </x:c>
      <x:c r="E120" s="94" t="str">
        <x:v>创意素材</x:v>
      </x:c>
      <x:c r="F120" s="94" t="str">
        <x:v>按活动</x:v>
      </x:c>
      <x:c r="G120" s="97" t="n">
        <x:v>4.02</x:v>
      </x:c>
      <x:c r="H120" s="94" t="str">
        <x:v>部分固定</x:v>
      </x:c>
      <x:c r="I120" s="94" t="str">
        <x:v>增长团队</x:v>
      </x:c>
      <x:c r="J120" s="94" t="str">
        <x:v>模拟项目运营成本；统一折算USD</x:v>
      </x:c>
    </x:row>
    <x:row r="121">
      <x:c r="A121" s="92" t="str">
        <x:v>COST-0120</x:v>
      </x:c>
      <x:c r="B121" s="94" t="str">
        <x:v>PROC-0120</x:v>
      </x:c>
      <x:c r="C121" s="93" t="n">
        <x:v>46044</x:v>
      </x:c>
      <x:c r="D121" s="94" t="str">
        <x:v>Google Ads</x:v>
      </x:c>
      <x:c r="E121" s="94" t="str">
        <x:v>人工运营分摊</x:v>
      </x:c>
      <x:c r="F121" s="94" t="str">
        <x:v>按工时</x:v>
      </x:c>
      <x:c r="G121" s="97" t="n">
        <x:v>3.56</x:v>
      </x:c>
      <x:c r="H121" s="94" t="str">
        <x:v>部分固定</x:v>
      </x:c>
      <x:c r="I121" s="94" t="str">
        <x:v>运营团队</x:v>
      </x:c>
      <x:c r="J121" s="94" t="str">
        <x:v>模拟项目运营成本；统一折算USD</x:v>
      </x:c>
    </x:row>
    <x:row r="122">
      <x:c r="A122" s="92" t="str">
        <x:v>COST-0121</x:v>
      </x:c>
      <x:c r="B122" s="94" t="str">
        <x:v>PROC-0121</x:v>
      </x:c>
      <x:c r="C122" s="93" t="n">
        <x:v>46044</x:v>
      </x:c>
      <x:c r="D122" s="94" t="str">
        <x:v>Google Ads</x:v>
      </x:c>
      <x:c r="E122" s="94" t="str">
        <x:v>数据与ETL</x:v>
      </x:c>
      <x:c r="F122" s="94" t="str">
        <x:v>按采购批次</x:v>
      </x:c>
      <x:c r="G122" s="97" t="n">
        <x:v>1.4</x:v>
      </x:c>
      <x:c r="H122" s="94" t="str">
        <x:v>变动</x:v>
      </x:c>
      <x:c r="I122" s="94" t="str">
        <x:v>数据团队</x:v>
      </x:c>
      <x:c r="J122" s="94" t="str">
        <x:v>模拟项目运营成本；统一折算USD</x:v>
      </x:c>
    </x:row>
    <x:row r="123">
      <x:c r="A123" s="92" t="str">
        <x:v>COST-0122</x:v>
      </x:c>
      <x:c r="B123" s="94" t="str">
        <x:v>PROC-0122</x:v>
      </x:c>
      <x:c r="C123" s="93" t="n">
        <x:v>46044</x:v>
      </x:c>
      <x:c r="D123" s="94" t="str">
        <x:v>Google Ads</x:v>
      </x:c>
      <x:c r="E123" s="94" t="str">
        <x:v>归因与监测工具</x:v>
      </x:c>
      <x:c r="F123" s="94" t="str">
        <x:v>按点击量</x:v>
      </x:c>
      <x:c r="G123" s="97" t="n">
        <x:v>0.59</x:v>
      </x:c>
      <x:c r="H123" s="94" t="str">
        <x:v>变动</x:v>
      </x:c>
      <x:c r="I123" s="94" t="str">
        <x:v>分析团队</x:v>
      </x:c>
      <x:c r="J123" s="94" t="str">
        <x:v>模拟项目运营成本；统一折算USD</x:v>
      </x:c>
    </x:row>
    <x:row r="124">
      <x:c r="A124" s="92" t="str">
        <x:v>COST-0123</x:v>
      </x:c>
      <x:c r="B124" s="94" t="str">
        <x:v>PROC-0123</x:v>
      </x:c>
      <x:c r="C124" s="93" t="n">
        <x:v>46045</x:v>
      </x:c>
      <x:c r="D124" s="94" t="str">
        <x:v>Microsoft Ads</x:v>
      </x:c>
      <x:c r="E124" s="94" t="str">
        <x:v>创意素材</x:v>
      </x:c>
      <x:c r="F124" s="94" t="str">
        <x:v>按活动</x:v>
      </x:c>
      <x:c r="G124" s="97" t="n">
        <x:v>2.52</x:v>
      </x:c>
      <x:c r="H124" s="94" t="str">
        <x:v>部分固定</x:v>
      </x:c>
      <x:c r="I124" s="94" t="str">
        <x:v>增长团队</x:v>
      </x:c>
      <x:c r="J124" s="94" t="str">
        <x:v>模拟项目运营成本；统一折算USD</x:v>
      </x:c>
    </x:row>
    <x:row r="125">
      <x:c r="A125" s="92" t="str">
        <x:v>COST-0124</x:v>
      </x:c>
      <x:c r="B125" s="94" t="str">
        <x:v>PROC-0124</x:v>
      </x:c>
      <x:c r="C125" s="93" t="n">
        <x:v>46045</x:v>
      </x:c>
      <x:c r="D125" s="94" t="str">
        <x:v>Google Ads</x:v>
      </x:c>
      <x:c r="E125" s="94" t="str">
        <x:v>云主机/CDN</x:v>
      </x:c>
      <x:c r="F125" s="94" t="str">
        <x:v>按访问量</x:v>
      </x:c>
      <x:c r="G125" s="97" t="n">
        <x:v>0.59</x:v>
      </x:c>
      <x:c r="H125" s="94" t="str">
        <x:v>变动</x:v>
      </x:c>
      <x:c r="I125" s="94" t="str">
        <x:v>技术团队</x:v>
      </x:c>
      <x:c r="J125" s="94" t="str">
        <x:v>模拟项目运营成本；统一折算USD</x:v>
      </x:c>
    </x:row>
    <x:row r="126">
      <x:c r="A126" s="92" t="str">
        <x:v>COST-0125</x:v>
      </x:c>
      <x:c r="B126" s="94" t="str">
        <x:v>PROC-0125</x:v>
      </x:c>
      <x:c r="C126" s="93" t="n">
        <x:v>46045</x:v>
      </x:c>
      <x:c r="D126" s="94" t="str">
        <x:v>Google Ads</x:v>
      </x:c>
      <x:c r="E126" s="94" t="str">
        <x:v>创意素材</x:v>
      </x:c>
      <x:c r="F126" s="94" t="str">
        <x:v>按活动</x:v>
      </x:c>
      <x:c r="G126" s="97" t="n">
        <x:v>1.9</x:v>
      </x:c>
      <x:c r="H126" s="94" t="str">
        <x:v>部分固定</x:v>
      </x:c>
      <x:c r="I126" s="94" t="str">
        <x:v>增长团队</x:v>
      </x:c>
      <x:c r="J126" s="94" t="str">
        <x:v>模拟项目运营成本；统一折算USD</x:v>
      </x:c>
    </x:row>
    <x:row r="127">
      <x:c r="A127" s="92" t="str">
        <x:v>COST-0126</x:v>
      </x:c>
      <x:c r="B127" s="94" t="str">
        <x:v>PROC-0126</x:v>
      </x:c>
      <x:c r="C127" s="93" t="n">
        <x:v>46045</x:v>
      </x:c>
      <x:c r="D127" s="94" t="str">
        <x:v>Microsoft Ads</x:v>
      </x:c>
      <x:c r="E127" s="94" t="str">
        <x:v>人工运营分摊</x:v>
      </x:c>
      <x:c r="F127" s="94" t="str">
        <x:v>按工时</x:v>
      </x:c>
      <x:c r="G127" s="97" t="n">
        <x:v>4.8</x:v>
      </x:c>
      <x:c r="H127" s="94" t="str">
        <x:v>部分固定</x:v>
      </x:c>
      <x:c r="I127" s="94" t="str">
        <x:v>运营团队</x:v>
      </x:c>
      <x:c r="J127" s="94" t="str">
        <x:v>模拟项目运营成本；统一折算USD</x:v>
      </x:c>
    </x:row>
    <x:row r="128">
      <x:c r="A128" s="92" t="str">
        <x:v>COST-0127</x:v>
      </x:c>
      <x:c r="B128" s="94" t="str">
        <x:v>PROC-0127</x:v>
      </x:c>
      <x:c r="C128" s="93" t="n">
        <x:v>46045</x:v>
      </x:c>
      <x:c r="D128" s="94" t="str">
        <x:v>Google Ads</x:v>
      </x:c>
      <x:c r="E128" s="94" t="str">
        <x:v>数据与ETL</x:v>
      </x:c>
      <x:c r="F128" s="94" t="str">
        <x:v>按采购批次</x:v>
      </x:c>
      <x:c r="G128" s="97" t="n">
        <x:v>0.83</x:v>
      </x:c>
      <x:c r="H128" s="94" t="str">
        <x:v>变动</x:v>
      </x:c>
      <x:c r="I128" s="94" t="str">
        <x:v>数据团队</x:v>
      </x:c>
      <x:c r="J128" s="94" t="str">
        <x:v>模拟项目运营成本；统一折算USD</x:v>
      </x:c>
    </x:row>
    <x:row r="129">
      <x:c r="A129" s="92" t="str">
        <x:v>COST-0128</x:v>
      </x:c>
      <x:c r="B129" s="94" t="str">
        <x:v>PROC-0128</x:v>
      </x:c>
      <x:c r="C129" s="93" t="n">
        <x:v>46045</x:v>
      </x:c>
      <x:c r="D129" s="94" t="str">
        <x:v>Google Ads</x:v>
      </x:c>
      <x:c r="E129" s="94" t="str">
        <x:v>人工运营分摊</x:v>
      </x:c>
      <x:c r="F129" s="94" t="str">
        <x:v>按工时</x:v>
      </x:c>
      <x:c r="G129" s="97" t="n">
        <x:v>2.14</x:v>
      </x:c>
      <x:c r="H129" s="94" t="str">
        <x:v>部分固定</x:v>
      </x:c>
      <x:c r="I129" s="94" t="str">
        <x:v>运营团队</x:v>
      </x:c>
      <x:c r="J129" s="94" t="str">
        <x:v>模拟项目运营成本；统一折算USD</x:v>
      </x:c>
    </x:row>
    <x:row r="130">
      <x:c r="A130" s="92" t="str">
        <x:v>COST-0129</x:v>
      </x:c>
      <x:c r="B130" s="94" t="str">
        <x:v>PROC-0129</x:v>
      </x:c>
      <x:c r="C130" s="93" t="n">
        <x:v>46046</x:v>
      </x:c>
      <x:c r="D130" s="94" t="str">
        <x:v>Google Ads</x:v>
      </x:c>
      <x:c r="E130" s="94" t="str">
        <x:v>创意素材</x:v>
      </x:c>
      <x:c r="F130" s="94" t="str">
        <x:v>按活动</x:v>
      </x:c>
      <x:c r="G130" s="97" t="n">
        <x:v>2.33</x:v>
      </x:c>
      <x:c r="H130" s="94" t="str">
        <x:v>部分固定</x:v>
      </x:c>
      <x:c r="I130" s="94" t="str">
        <x:v>增长团队</x:v>
      </x:c>
      <x:c r="J130" s="94" t="str">
        <x:v>模拟项目运营成本；统一折算USD</x:v>
      </x:c>
    </x:row>
    <x:row r="131">
      <x:c r="A131" s="92" t="str">
        <x:v>COST-0130</x:v>
      </x:c>
      <x:c r="B131" s="94" t="str">
        <x:v>PROC-0130</x:v>
      </x:c>
      <x:c r="C131" s="93" t="n">
        <x:v>46046</x:v>
      </x:c>
      <x:c r="D131" s="94" t="str">
        <x:v>Microsoft Ads</x:v>
      </x:c>
      <x:c r="E131" s="94" t="str">
        <x:v>归因与监测工具</x:v>
      </x:c>
      <x:c r="F131" s="94" t="str">
        <x:v>按点击量</x:v>
      </x:c>
      <x:c r="G131" s="97" t="n">
        <x:v>0.66</x:v>
      </x:c>
      <x:c r="H131" s="94" t="str">
        <x:v>变动</x:v>
      </x:c>
      <x:c r="I131" s="94" t="str">
        <x:v>分析团队</x:v>
      </x:c>
      <x:c r="J131" s="94" t="str">
        <x:v>模拟项目运营成本；统一折算USD</x:v>
      </x:c>
    </x:row>
    <x:row r="132">
      <x:c r="A132" s="92" t="str">
        <x:v>COST-0131</x:v>
      </x:c>
      <x:c r="B132" s="94" t="str">
        <x:v>PROC-0131</x:v>
      </x:c>
      <x:c r="C132" s="93" t="n">
        <x:v>46046</x:v>
      </x:c>
      <x:c r="D132" s="94" t="str">
        <x:v>Google Ads</x:v>
      </x:c>
      <x:c r="E132" s="94" t="str">
        <x:v>云主机/CDN</x:v>
      </x:c>
      <x:c r="F132" s="94" t="str">
        <x:v>按访问量</x:v>
      </x:c>
      <x:c r="G132" s="97" t="n">
        <x:v>0.39</x:v>
      </x:c>
      <x:c r="H132" s="94" t="str">
        <x:v>变动</x:v>
      </x:c>
      <x:c r="I132" s="94" t="str">
        <x:v>技术团队</x:v>
      </x:c>
      <x:c r="J132" s="94" t="str">
        <x:v>模拟项目运营成本；统一折算USD</x:v>
      </x:c>
    </x:row>
    <x:row r="133">
      <x:c r="A133" s="92" t="str">
        <x:v>COST-0132</x:v>
      </x:c>
      <x:c r="B133" s="94" t="str">
        <x:v>PROC-0132</x:v>
      </x:c>
      <x:c r="C133" s="93" t="n">
        <x:v>46046</x:v>
      </x:c>
      <x:c r="D133" s="94" t="str">
        <x:v>Microsoft Ads</x:v>
      </x:c>
      <x:c r="E133" s="94" t="str">
        <x:v>人工运营分摊</x:v>
      </x:c>
      <x:c r="F133" s="94" t="str">
        <x:v>按工时</x:v>
      </x:c>
      <x:c r="G133" s="97" t="n">
        <x:v>1.74</x:v>
      </x:c>
      <x:c r="H133" s="94" t="str">
        <x:v>部分固定</x:v>
      </x:c>
      <x:c r="I133" s="94" t="str">
        <x:v>运营团队</x:v>
      </x:c>
      <x:c r="J133" s="94" t="str">
        <x:v>模拟项目运营成本；统一折算USD</x:v>
      </x:c>
    </x:row>
    <x:row r="134">
      <x:c r="A134" s="92" t="str">
        <x:v>COST-0133</x:v>
      </x:c>
      <x:c r="B134" s="94" t="str">
        <x:v>PROC-0133</x:v>
      </x:c>
      <x:c r="C134" s="93" t="n">
        <x:v>46046</x:v>
      </x:c>
      <x:c r="D134" s="94" t="str">
        <x:v>Google Ads</x:v>
      </x:c>
      <x:c r="E134" s="94" t="str">
        <x:v>创意素材</x:v>
      </x:c>
      <x:c r="F134" s="94" t="str">
        <x:v>按活动</x:v>
      </x:c>
      <x:c r="G134" s="97" t="n">
        <x:v>3.44</x:v>
      </x:c>
      <x:c r="H134" s="94" t="str">
        <x:v>部分固定</x:v>
      </x:c>
      <x:c r="I134" s="94" t="str">
        <x:v>增长团队</x:v>
      </x:c>
      <x:c r="J134" s="94" t="str">
        <x:v>模拟项目运营成本；统一折算USD</x:v>
      </x:c>
    </x:row>
    <x:row r="135">
      <x:c r="A135" s="92" t="str">
        <x:v>COST-0134</x:v>
      </x:c>
      <x:c r="B135" s="94" t="str">
        <x:v>PROC-0134</x:v>
      </x:c>
      <x:c r="C135" s="93" t="n">
        <x:v>46047</x:v>
      </x:c>
      <x:c r="D135" s="94" t="str">
        <x:v>Google Ads</x:v>
      </x:c>
      <x:c r="E135" s="94" t="str">
        <x:v>人工运营分摊</x:v>
      </x:c>
      <x:c r="F135" s="94" t="str">
        <x:v>按工时</x:v>
      </x:c>
      <x:c r="G135" s="97" t="n">
        <x:v>3.9</x:v>
      </x:c>
      <x:c r="H135" s="94" t="str">
        <x:v>部分固定</x:v>
      </x:c>
      <x:c r="I135" s="94" t="str">
        <x:v>运营团队</x:v>
      </x:c>
      <x:c r="J135" s="94" t="str">
        <x:v>模拟项目运营成本；统一折算USD</x:v>
      </x:c>
    </x:row>
    <x:row r="136">
      <x:c r="A136" s="92" t="str">
        <x:v>COST-0135</x:v>
      </x:c>
      <x:c r="B136" s="94" t="str">
        <x:v>PROC-0135</x:v>
      </x:c>
      <x:c r="C136" s="93" t="n">
        <x:v>46047</x:v>
      </x:c>
      <x:c r="D136" s="94" t="str">
        <x:v>Google Ads</x:v>
      </x:c>
      <x:c r="E136" s="94" t="str">
        <x:v>云主机/CDN</x:v>
      </x:c>
      <x:c r="F136" s="94" t="str">
        <x:v>按访问量</x:v>
      </x:c>
      <x:c r="G136" s="97" t="n">
        <x:v>0.73</x:v>
      </x:c>
      <x:c r="H136" s="94" t="str">
        <x:v>变动</x:v>
      </x:c>
      <x:c r="I136" s="94" t="str">
        <x:v>技术团队</x:v>
      </x:c>
      <x:c r="J136" s="94" t="str">
        <x:v>模拟项目运营成本；统一折算USD</x:v>
      </x:c>
    </x:row>
    <x:row r="137">
      <x:c r="A137" s="92" t="str">
        <x:v>COST-0136</x:v>
      </x:c>
      <x:c r="B137" s="94" t="str">
        <x:v>PROC-0136</x:v>
      </x:c>
      <x:c r="C137" s="93" t="n">
        <x:v>46047</x:v>
      </x:c>
      <x:c r="D137" s="94" t="str">
        <x:v>Google Ads</x:v>
      </x:c>
      <x:c r="E137" s="94" t="str">
        <x:v>人工运营分摊</x:v>
      </x:c>
      <x:c r="F137" s="94" t="str">
        <x:v>按工时</x:v>
      </x:c>
      <x:c r="G137" s="97" t="n">
        <x:v>2.57</x:v>
      </x:c>
      <x:c r="H137" s="94" t="str">
        <x:v>部分固定</x:v>
      </x:c>
      <x:c r="I137" s="94" t="str">
        <x:v>运营团队</x:v>
      </x:c>
      <x:c r="J137" s="94" t="str">
        <x:v>模拟项目运营成本；统一折算USD</x:v>
      </x:c>
    </x:row>
    <x:row r="138">
      <x:c r="A138" s="92" t="str">
        <x:v>COST-0137</x:v>
      </x:c>
      <x:c r="B138" s="94" t="str">
        <x:v>PROC-0137</x:v>
      </x:c>
      <x:c r="C138" s="93" t="n">
        <x:v>46047</x:v>
      </x:c>
      <x:c r="D138" s="94" t="str">
        <x:v>Google Ads</x:v>
      </x:c>
      <x:c r="E138" s="94" t="str">
        <x:v>创意素材</x:v>
      </x:c>
      <x:c r="F138" s="94" t="str">
        <x:v>按活动</x:v>
      </x:c>
      <x:c r="G138" s="97" t="n">
        <x:v>1.33</x:v>
      </x:c>
      <x:c r="H138" s="94" t="str">
        <x:v>部分固定</x:v>
      </x:c>
      <x:c r="I138" s="94" t="str">
        <x:v>增长团队</x:v>
      </x:c>
      <x:c r="J138" s="94" t="str">
        <x:v>模拟项目运营成本；统一折算USD</x:v>
      </x:c>
    </x:row>
    <x:row r="139">
      <x:c r="A139" s="92" t="str">
        <x:v>COST-0138</x:v>
      </x:c>
      <x:c r="B139" s="94" t="str">
        <x:v>PROC-0138</x:v>
      </x:c>
      <x:c r="C139" s="93" t="n">
        <x:v>46047</x:v>
      </x:c>
      <x:c r="D139" s="94" t="str">
        <x:v>Microsoft Ads</x:v>
      </x:c>
      <x:c r="E139" s="94" t="str">
        <x:v>归因与监测工具</x:v>
      </x:c>
      <x:c r="F139" s="94" t="str">
        <x:v>按点击量</x:v>
      </x:c>
      <x:c r="G139" s="97" t="n">
        <x:v>1.53</x:v>
      </x:c>
      <x:c r="H139" s="94" t="str">
        <x:v>变动</x:v>
      </x:c>
      <x:c r="I139" s="94" t="str">
        <x:v>分析团队</x:v>
      </x:c>
      <x:c r="J139" s="94" t="str">
        <x:v>模拟项目运营成本；统一折算USD</x:v>
      </x:c>
    </x:row>
    <x:row r="140">
      <x:c r="A140" s="92" t="str">
        <x:v>COST-0139</x:v>
      </x:c>
      <x:c r="B140" s="94" t="str">
        <x:v>PROC-0139</x:v>
      </x:c>
      <x:c r="C140" s="93" t="n">
        <x:v>46047</x:v>
      </x:c>
      <x:c r="D140" s="94" t="str">
        <x:v>Microsoft Ads</x:v>
      </x:c>
      <x:c r="E140" s="94" t="str">
        <x:v>数据与ETL</x:v>
      </x:c>
      <x:c r="F140" s="94" t="str">
        <x:v>按采购批次</x:v>
      </x:c>
      <x:c r="G140" s="97" t="n">
        <x:v>0.78</x:v>
      </x:c>
      <x:c r="H140" s="94" t="str">
        <x:v>变动</x:v>
      </x:c>
      <x:c r="I140" s="94" t="str">
        <x:v>数据团队</x:v>
      </x:c>
      <x:c r="J140" s="94" t="str">
        <x:v>模拟项目运营成本；统一折算USD</x:v>
      </x:c>
    </x:row>
    <x:row r="141">
      <x:c r="A141" s="92" t="str">
        <x:v>COST-0140</x:v>
      </x:c>
      <x:c r="B141" s="94" t="str">
        <x:v>PROC-0140</x:v>
      </x:c>
      <x:c r="C141" s="93" t="n">
        <x:v>46048</x:v>
      </x:c>
      <x:c r="D141" s="94" t="str">
        <x:v>Microsoft Ads</x:v>
      </x:c>
      <x:c r="E141" s="94" t="str">
        <x:v>数据与ETL</x:v>
      </x:c>
      <x:c r="F141" s="94" t="str">
        <x:v>按采购批次</x:v>
      </x:c>
      <x:c r="G141" s="97" t="n">
        <x:v>0.9</x:v>
      </x:c>
      <x:c r="H141" s="94" t="str">
        <x:v>变动</x:v>
      </x:c>
      <x:c r="I141" s="94" t="str">
        <x:v>数据团队</x:v>
      </x:c>
      <x:c r="J141" s="94" t="str">
        <x:v>模拟项目运营成本；统一折算USD</x:v>
      </x:c>
    </x:row>
    <x:row r="142">
      <x:c r="A142" s="92" t="str">
        <x:v>COST-0141</x:v>
      </x:c>
      <x:c r="B142" s="94" t="str">
        <x:v>PROC-0141</x:v>
      </x:c>
      <x:c r="C142" s="93" t="n">
        <x:v>46048</x:v>
      </x:c>
      <x:c r="D142" s="94" t="str">
        <x:v>Microsoft Ads</x:v>
      </x:c>
      <x:c r="E142" s="94" t="str">
        <x:v>数据与ETL</x:v>
      </x:c>
      <x:c r="F142" s="94" t="str">
        <x:v>按采购批次</x:v>
      </x:c>
      <x:c r="G142" s="97" t="n">
        <x:v>0.74</x:v>
      </x:c>
      <x:c r="H142" s="94" t="str">
        <x:v>变动</x:v>
      </x:c>
      <x:c r="I142" s="94" t="str">
        <x:v>数据团队</x:v>
      </x:c>
      <x:c r="J142" s="94" t="str">
        <x:v>模拟项目运营成本；统一折算USD</x:v>
      </x:c>
    </x:row>
    <x:row r="143">
      <x:c r="A143" s="92" t="str">
        <x:v>COST-0142</x:v>
      </x:c>
      <x:c r="B143" s="94" t="str">
        <x:v>PROC-0142</x:v>
      </x:c>
      <x:c r="C143" s="93" t="n">
        <x:v>46048</x:v>
      </x:c>
      <x:c r="D143" s="94" t="str">
        <x:v>Microsoft Ads</x:v>
      </x:c>
      <x:c r="E143" s="94" t="str">
        <x:v>人工运营分摊</x:v>
      </x:c>
      <x:c r="F143" s="94" t="str">
        <x:v>按工时</x:v>
      </x:c>
      <x:c r="G143" s="97" t="n">
        <x:v>1.7</x:v>
      </x:c>
      <x:c r="H143" s="94" t="str">
        <x:v>部分固定</x:v>
      </x:c>
      <x:c r="I143" s="94" t="str">
        <x:v>运营团队</x:v>
      </x:c>
      <x:c r="J143" s="94" t="str">
        <x:v>模拟项目运营成本；统一折算USD</x:v>
      </x:c>
    </x:row>
    <x:row r="144">
      <x:c r="A144" s="92" t="str">
        <x:v>COST-0143</x:v>
      </x:c>
      <x:c r="B144" s="94" t="str">
        <x:v>PROC-0143</x:v>
      </x:c>
      <x:c r="C144" s="93" t="n">
        <x:v>46048</x:v>
      </x:c>
      <x:c r="D144" s="94" t="str">
        <x:v>Microsoft Ads</x:v>
      </x:c>
      <x:c r="E144" s="94" t="str">
        <x:v>归因与监测工具</x:v>
      </x:c>
      <x:c r="F144" s="94" t="str">
        <x:v>按点击量</x:v>
      </x:c>
      <x:c r="G144" s="97" t="n">
        <x:v>1.96</x:v>
      </x:c>
      <x:c r="H144" s="94" t="str">
        <x:v>变动</x:v>
      </x:c>
      <x:c r="I144" s="94" t="str">
        <x:v>分析团队</x:v>
      </x:c>
      <x:c r="J144" s="94" t="str">
        <x:v>模拟项目运营成本；统一折算USD</x:v>
      </x:c>
    </x:row>
    <x:row r="145">
      <x:c r="A145" s="92" t="str">
        <x:v>COST-0144</x:v>
      </x:c>
      <x:c r="B145" s="94" t="str">
        <x:v>PROC-0144</x:v>
      </x:c>
      <x:c r="C145" s="93" t="n">
        <x:v>46048</x:v>
      </x:c>
      <x:c r="D145" s="94" t="str">
        <x:v>Google Ads</x:v>
      </x:c>
      <x:c r="E145" s="94" t="str">
        <x:v>数据与ETL</x:v>
      </x:c>
      <x:c r="F145" s="94" t="str">
        <x:v>按采购批次</x:v>
      </x:c>
      <x:c r="G145" s="97" t="n">
        <x:v>0.99</x:v>
      </x:c>
      <x:c r="H145" s="94" t="str">
        <x:v>变动</x:v>
      </x:c>
      <x:c r="I145" s="94" t="str">
        <x:v>数据团队</x:v>
      </x:c>
      <x:c r="J145" s="94" t="str">
        <x:v>模拟项目运营成本；统一折算USD</x:v>
      </x:c>
    </x:row>
    <x:row r="146">
      <x:c r="A146" s="92" t="str">
        <x:v>COST-0145</x:v>
      </x:c>
      <x:c r="B146" s="94" t="str">
        <x:v>PROC-0145</x:v>
      </x:c>
      <x:c r="C146" s="93" t="n">
        <x:v>46049</x:v>
      </x:c>
      <x:c r="D146" s="94" t="str">
        <x:v>Google Ads</x:v>
      </x:c>
      <x:c r="E146" s="94" t="str">
        <x:v>人工运营分摊</x:v>
      </x:c>
      <x:c r="F146" s="94" t="str">
        <x:v>按工时</x:v>
      </x:c>
      <x:c r="G146" s="97" t="n">
        <x:v>2.95</x:v>
      </x:c>
      <x:c r="H146" s="94" t="str">
        <x:v>部分固定</x:v>
      </x:c>
      <x:c r="I146" s="94" t="str">
        <x:v>运营团队</x:v>
      </x:c>
      <x:c r="J146" s="94" t="str">
        <x:v>模拟项目运营成本；统一折算USD</x:v>
      </x:c>
    </x:row>
    <x:row r="147">
      <x:c r="A147" s="92" t="str">
        <x:v>COST-0146</x:v>
      </x:c>
      <x:c r="B147" s="94" t="str">
        <x:v>PROC-0146</x:v>
      </x:c>
      <x:c r="C147" s="93" t="n">
        <x:v>46049</x:v>
      </x:c>
      <x:c r="D147" s="94" t="str">
        <x:v>Google Ads</x:v>
      </x:c>
      <x:c r="E147" s="94" t="str">
        <x:v>数据与ETL</x:v>
      </x:c>
      <x:c r="F147" s="94" t="str">
        <x:v>按采购批次</x:v>
      </x:c>
      <x:c r="G147" s="97" t="n">
        <x:v>1.06</x:v>
      </x:c>
      <x:c r="H147" s="94" t="str">
        <x:v>变动</x:v>
      </x:c>
      <x:c r="I147" s="94" t="str">
        <x:v>数据团队</x:v>
      </x:c>
      <x:c r="J147" s="94" t="str">
        <x:v>模拟项目运营成本；统一折算USD</x:v>
      </x:c>
    </x:row>
    <x:row r="148">
      <x:c r="A148" s="92" t="str">
        <x:v>COST-0147</x:v>
      </x:c>
      <x:c r="B148" s="94" t="str">
        <x:v>PROC-0147</x:v>
      </x:c>
      <x:c r="C148" s="93" t="n">
        <x:v>46049</x:v>
      </x:c>
      <x:c r="D148" s="94" t="str">
        <x:v>Google Ads</x:v>
      </x:c>
      <x:c r="E148" s="94" t="str">
        <x:v>云主机/CDN</x:v>
      </x:c>
      <x:c r="F148" s="94" t="str">
        <x:v>按访问量</x:v>
      </x:c>
      <x:c r="G148" s="97" t="n">
        <x:v>0.51</x:v>
      </x:c>
      <x:c r="H148" s="94" t="str">
        <x:v>变动</x:v>
      </x:c>
      <x:c r="I148" s="94" t="str">
        <x:v>技术团队</x:v>
      </x:c>
      <x:c r="J148" s="94" t="str">
        <x:v>模拟项目运营成本；统一折算USD</x:v>
      </x:c>
    </x:row>
    <x:row r="149">
      <x:c r="A149" s="92" t="str">
        <x:v>COST-0148</x:v>
      </x:c>
      <x:c r="B149" s="94" t="str">
        <x:v>PROC-0148</x:v>
      </x:c>
      <x:c r="C149" s="93" t="n">
        <x:v>46049</x:v>
      </x:c>
      <x:c r="D149" s="94" t="str">
        <x:v>Google Ads</x:v>
      </x:c>
      <x:c r="E149" s="94" t="str">
        <x:v>创意素材</x:v>
      </x:c>
      <x:c r="F149" s="94" t="str">
        <x:v>按活动</x:v>
      </x:c>
      <x:c r="G149" s="97" t="n">
        <x:v>3.34</x:v>
      </x:c>
      <x:c r="H149" s="94" t="str">
        <x:v>部分固定</x:v>
      </x:c>
      <x:c r="I149" s="94" t="str">
        <x:v>增长团队</x:v>
      </x:c>
      <x:c r="J149" s="94" t="str">
        <x:v>模拟项目运营成本；统一折算USD</x:v>
      </x:c>
    </x:row>
    <x:row r="150">
      <x:c r="A150" s="92" t="str">
        <x:v>COST-0149</x:v>
      </x:c>
      <x:c r="B150" s="94" t="str">
        <x:v>PROC-0149</x:v>
      </x:c>
      <x:c r="C150" s="93" t="n">
        <x:v>46049</x:v>
      </x:c>
      <x:c r="D150" s="94" t="str">
        <x:v>Microsoft Ads</x:v>
      </x:c>
      <x:c r="E150" s="94" t="str">
        <x:v>归因与监测工具</x:v>
      </x:c>
      <x:c r="F150" s="94" t="str">
        <x:v>按点击量</x:v>
      </x:c>
      <x:c r="G150" s="97" t="n">
        <x:v>1.17</x:v>
      </x:c>
      <x:c r="H150" s="94" t="str">
        <x:v>变动</x:v>
      </x:c>
      <x:c r="I150" s="94" t="str">
        <x:v>分析团队</x:v>
      </x:c>
      <x:c r="J150" s="94" t="str">
        <x:v>模拟项目运营成本；统一折算USD</x:v>
      </x:c>
    </x:row>
    <x:row r="151">
      <x:c r="A151" s="92" t="str">
        <x:v>COST-0150</x:v>
      </x:c>
      <x:c r="B151" s="94" t="str">
        <x:v>PROC-0150</x:v>
      </x:c>
      <x:c r="C151" s="93" t="n">
        <x:v>46049</x:v>
      </x:c>
      <x:c r="D151" s="94" t="str">
        <x:v>Google Ads</x:v>
      </x:c>
      <x:c r="E151" s="94" t="str">
        <x:v>创意素材</x:v>
      </x:c>
      <x:c r="F151" s="94" t="str">
        <x:v>按活动</x:v>
      </x:c>
      <x:c r="G151" s="97" t="n">
        <x:v>2.85</x:v>
      </x:c>
      <x:c r="H151" s="94" t="str">
        <x:v>部分固定</x:v>
      </x:c>
      <x:c r="I151" s="94" t="str">
        <x:v>增长团队</x:v>
      </x:c>
      <x:c r="J151" s="94" t="str">
        <x:v>模拟项目运营成本；统一折算USD</x:v>
      </x:c>
    </x:row>
    <x:row r="152">
      <x:c r="A152" s="92" t="str">
        <x:v>COST-0151</x:v>
      </x:c>
      <x:c r="B152" s="94" t="str">
        <x:v>PROC-0151</x:v>
      </x:c>
      <x:c r="C152" s="93" t="n">
        <x:v>46050</x:v>
      </x:c>
      <x:c r="D152" s="94" t="str">
        <x:v>Microsoft Ads</x:v>
      </x:c>
      <x:c r="E152" s="94" t="str">
        <x:v>归因与监测工具</x:v>
      </x:c>
      <x:c r="F152" s="94" t="str">
        <x:v>按点击量</x:v>
      </x:c>
      <x:c r="G152" s="97" t="n">
        <x:v>1.22</x:v>
      </x:c>
      <x:c r="H152" s="94" t="str">
        <x:v>变动</x:v>
      </x:c>
      <x:c r="I152" s="94" t="str">
        <x:v>分析团队</x:v>
      </x:c>
      <x:c r="J152" s="94" t="str">
        <x:v>模拟项目运营成本；统一折算USD</x:v>
      </x:c>
    </x:row>
    <x:row r="153">
      <x:c r="A153" s="92" t="str">
        <x:v>COST-0152</x:v>
      </x:c>
      <x:c r="B153" s="94" t="str">
        <x:v>PROC-0152</x:v>
      </x:c>
      <x:c r="C153" s="93" t="n">
        <x:v>46050</x:v>
      </x:c>
      <x:c r="D153" s="94" t="str">
        <x:v>Google Ads</x:v>
      </x:c>
      <x:c r="E153" s="94" t="str">
        <x:v>数据与ETL</x:v>
      </x:c>
      <x:c r="F153" s="94" t="str">
        <x:v>按采购批次</x:v>
      </x:c>
      <x:c r="G153" s="97" t="n">
        <x:v>1.24</x:v>
      </x:c>
      <x:c r="H153" s="94" t="str">
        <x:v>变动</x:v>
      </x:c>
      <x:c r="I153" s="94" t="str">
        <x:v>数据团队</x:v>
      </x:c>
      <x:c r="J153" s="94" t="str">
        <x:v>模拟项目运营成本；统一折算USD</x:v>
      </x:c>
    </x:row>
    <x:row r="154">
      <x:c r="A154" s="92" t="str">
        <x:v>COST-0153</x:v>
      </x:c>
      <x:c r="B154" s="94" t="str">
        <x:v>PROC-0153</x:v>
      </x:c>
      <x:c r="C154" s="93" t="n">
        <x:v>46050</x:v>
      </x:c>
      <x:c r="D154" s="94" t="str">
        <x:v>Microsoft Ads</x:v>
      </x:c>
      <x:c r="E154" s="94" t="str">
        <x:v>云主机/CDN</x:v>
      </x:c>
      <x:c r="F154" s="94" t="str">
        <x:v>按访问量</x:v>
      </x:c>
      <x:c r="G154" s="97" t="n">
        <x:v>0.25</x:v>
      </x:c>
      <x:c r="H154" s="94" t="str">
        <x:v>变动</x:v>
      </x:c>
      <x:c r="I154" s="94" t="str">
        <x:v>技术团队</x:v>
      </x:c>
      <x:c r="J154" s="94" t="str">
        <x:v>模拟项目运营成本；统一折算USD</x:v>
      </x:c>
    </x:row>
    <x:row r="155">
      <x:c r="A155" s="92" t="str">
        <x:v>COST-0154</x:v>
      </x:c>
      <x:c r="B155" s="94" t="str">
        <x:v>PROC-0154</x:v>
      </x:c>
      <x:c r="C155" s="93" t="n">
        <x:v>46050</x:v>
      </x:c>
      <x:c r="D155" s="94" t="str">
        <x:v>Google Ads</x:v>
      </x:c>
      <x:c r="E155" s="94" t="str">
        <x:v>归因与监测工具</x:v>
      </x:c>
      <x:c r="F155" s="94" t="str">
        <x:v>按点击量</x:v>
      </x:c>
      <x:c r="G155" s="97" t="n">
        <x:v>1.27</x:v>
      </x:c>
      <x:c r="H155" s="94" t="str">
        <x:v>变动</x:v>
      </x:c>
      <x:c r="I155" s="94" t="str">
        <x:v>分析团队</x:v>
      </x:c>
      <x:c r="J155" s="94" t="str">
        <x:v>模拟项目运营成本；统一折算USD</x:v>
      </x:c>
    </x:row>
    <x:row r="156">
      <x:c r="A156" s="92" t="str">
        <x:v>COST-0155</x:v>
      </x:c>
      <x:c r="B156" s="94" t="str">
        <x:v>PROC-0155</x:v>
      </x:c>
      <x:c r="C156" s="93" t="n">
        <x:v>46050</x:v>
      </x:c>
      <x:c r="D156" s="94" t="str">
        <x:v>Google Ads</x:v>
      </x:c>
      <x:c r="E156" s="94" t="str">
        <x:v>数据与ETL</x:v>
      </x:c>
      <x:c r="F156" s="94" t="str">
        <x:v>按采购批次</x:v>
      </x:c>
      <x:c r="G156" s="97" t="n">
        <x:v>0.61</x:v>
      </x:c>
      <x:c r="H156" s="94" t="str">
        <x:v>变动</x:v>
      </x:c>
      <x:c r="I156" s="94" t="str">
        <x:v>数据团队</x:v>
      </x:c>
      <x:c r="J156" s="94" t="str">
        <x:v>模拟项目运营成本；统一折算USD</x:v>
      </x:c>
    </x:row>
    <x:row r="157">
      <x:c r="A157" s="92" t="str">
        <x:v>COST-0156</x:v>
      </x:c>
      <x:c r="B157" s="94" t="str">
        <x:v>PROC-0156</x:v>
      </x:c>
      <x:c r="C157" s="93" t="n">
        <x:v>46051</x:v>
      </x:c>
      <x:c r="D157" s="94" t="str">
        <x:v>Microsoft Ads</x:v>
      </x:c>
      <x:c r="E157" s="94" t="str">
        <x:v>数据与ETL</x:v>
      </x:c>
      <x:c r="F157" s="94" t="str">
        <x:v>按采购批次</x:v>
      </x:c>
      <x:c r="G157" s="97" t="n">
        <x:v>1.79</x:v>
      </x:c>
      <x:c r="H157" s="94" t="str">
        <x:v>变动</x:v>
      </x:c>
      <x:c r="I157" s="94" t="str">
        <x:v>数据团队</x:v>
      </x:c>
      <x:c r="J157" s="94" t="str">
        <x:v>模拟项目运营成本；统一折算USD</x:v>
      </x:c>
    </x:row>
    <x:row r="158">
      <x:c r="A158" s="92" t="str">
        <x:v>COST-0157</x:v>
      </x:c>
      <x:c r="B158" s="94" t="str">
        <x:v>PROC-0157</x:v>
      </x:c>
      <x:c r="C158" s="93" t="n">
        <x:v>46051</x:v>
      </x:c>
      <x:c r="D158" s="94" t="str">
        <x:v>Google Ads</x:v>
      </x:c>
      <x:c r="E158" s="94" t="str">
        <x:v>云主机/CDN</x:v>
      </x:c>
      <x:c r="F158" s="94" t="str">
        <x:v>按访问量</x:v>
      </x:c>
      <x:c r="G158" s="97" t="n">
        <x:v>0.78</x:v>
      </x:c>
      <x:c r="H158" s="94" t="str">
        <x:v>变动</x:v>
      </x:c>
      <x:c r="I158" s="94" t="str">
        <x:v>技术团队</x:v>
      </x:c>
      <x:c r="J158" s="94" t="str">
        <x:v>模拟项目运营成本；统一折算USD</x:v>
      </x:c>
    </x:row>
    <x:row r="159">
      <x:c r="A159" s="92" t="str">
        <x:v>COST-0158</x:v>
      </x:c>
      <x:c r="B159" s="94" t="str">
        <x:v>PROC-0158</x:v>
      </x:c>
      <x:c r="C159" s="93" t="n">
        <x:v>46051</x:v>
      </x:c>
      <x:c r="D159" s="94" t="str">
        <x:v>Microsoft Ads</x:v>
      </x:c>
      <x:c r="E159" s="94" t="str">
        <x:v>归因与监测工具</x:v>
      </x:c>
      <x:c r="F159" s="94" t="str">
        <x:v>按点击量</x:v>
      </x:c>
      <x:c r="G159" s="97" t="n">
        <x:v>0.65</x:v>
      </x:c>
      <x:c r="H159" s="94" t="str">
        <x:v>变动</x:v>
      </x:c>
      <x:c r="I159" s="94" t="str">
        <x:v>分析团队</x:v>
      </x:c>
      <x:c r="J159" s="94" t="str">
        <x:v>模拟项目运营成本；统一折算USD</x:v>
      </x:c>
    </x:row>
    <x:row r="160">
      <x:c r="A160" s="92" t="str">
        <x:v>COST-0159</x:v>
      </x:c>
      <x:c r="B160" s="94" t="str">
        <x:v>PROC-0159</x:v>
      </x:c>
      <x:c r="C160" s="93" t="n">
        <x:v>46051</x:v>
      </x:c>
      <x:c r="D160" s="94" t="str">
        <x:v>Microsoft Ads</x:v>
      </x:c>
      <x:c r="E160" s="94" t="str">
        <x:v>云主机/CDN</x:v>
      </x:c>
      <x:c r="F160" s="94" t="str">
        <x:v>按访问量</x:v>
      </x:c>
      <x:c r="G160" s="97" t="n">
        <x:v>0.41</x:v>
      </x:c>
      <x:c r="H160" s="94" t="str">
        <x:v>变动</x:v>
      </x:c>
      <x:c r="I160" s="94" t="str">
        <x:v>技术团队</x:v>
      </x:c>
      <x:c r="J160" s="94" t="str">
        <x:v>模拟项目运营成本；统一折算USD</x:v>
      </x:c>
    </x:row>
    <x:row r="161">
      <x:c r="A161" s="92" t="str">
        <x:v>COST-0160</x:v>
      </x:c>
      <x:c r="B161" s="94" t="str">
        <x:v>PROC-0160</x:v>
      </x:c>
      <x:c r="C161" s="93" t="n">
        <x:v>46051</x:v>
      </x:c>
      <x:c r="D161" s="94" t="str">
        <x:v>Microsoft Ads</x:v>
      </x:c>
      <x:c r="E161" s="94" t="str">
        <x:v>数据与ETL</x:v>
      </x:c>
      <x:c r="F161" s="94" t="str">
        <x:v>按采购批次</x:v>
      </x:c>
      <x:c r="G161" s="97" t="n">
        <x:v>0.98</x:v>
      </x:c>
      <x:c r="H161" s="94" t="str">
        <x:v>变动</x:v>
      </x:c>
      <x:c r="I161" s="94" t="str">
        <x:v>数据团队</x:v>
      </x:c>
      <x:c r="J161" s="94" t="str">
        <x:v>模拟项目运营成本；统一折算USD</x:v>
      </x:c>
    </x:row>
    <x:row r="162">
      <x:c r="A162" s="92" t="str">
        <x:v>COST-0161</x:v>
      </x:c>
      <x:c r="B162" s="94" t="str">
        <x:v>PROC-0161</x:v>
      </x:c>
      <x:c r="C162" s="93" t="n">
        <x:v>46051</x:v>
      </x:c>
      <x:c r="D162" s="94" t="str">
        <x:v>Google Ads</x:v>
      </x:c>
      <x:c r="E162" s="94" t="str">
        <x:v>云主机/CDN</x:v>
      </x:c>
      <x:c r="F162" s="94" t="str">
        <x:v>按访问量</x:v>
      </x:c>
      <x:c r="G162" s="97" t="n">
        <x:v>0.73</x:v>
      </x:c>
      <x:c r="H162" s="94" t="str">
        <x:v>变动</x:v>
      </x:c>
      <x:c r="I162" s="94" t="str">
        <x:v>技术团队</x:v>
      </x:c>
      <x:c r="J162" s="94" t="str">
        <x:v>模拟项目运营成本；统一折算USD</x:v>
      </x:c>
    </x:row>
    <x:row r="163">
      <x:c r="A163" s="92" t="str">
        <x:v>COST-0162</x:v>
      </x:c>
      <x:c r="B163" s="94" t="str">
        <x:v>PROC-0162</x:v>
      </x:c>
      <x:c r="C163" s="93" t="n">
        <x:v>46052</x:v>
      </x:c>
      <x:c r="D163" s="94" t="str">
        <x:v>Google Ads</x:v>
      </x:c>
      <x:c r="E163" s="94" t="str">
        <x:v>人工运营分摊</x:v>
      </x:c>
      <x:c r="F163" s="94" t="str">
        <x:v>按工时</x:v>
      </x:c>
      <x:c r="G163" s="97" t="n">
        <x:v>4.14</x:v>
      </x:c>
      <x:c r="H163" s="94" t="str">
        <x:v>部分固定</x:v>
      </x:c>
      <x:c r="I163" s="94" t="str">
        <x:v>运营团队</x:v>
      </x:c>
      <x:c r="J163" s="94" t="str">
        <x:v>模拟项目运营成本；统一折算USD</x:v>
      </x:c>
    </x:row>
    <x:row r="164">
      <x:c r="A164" s="92" t="str">
        <x:v>COST-0163</x:v>
      </x:c>
      <x:c r="B164" s="94" t="str">
        <x:v>PROC-0163</x:v>
      </x:c>
      <x:c r="C164" s="93" t="n">
        <x:v>46052</x:v>
      </x:c>
      <x:c r="D164" s="94" t="str">
        <x:v>Microsoft Ads</x:v>
      </x:c>
      <x:c r="E164" s="94" t="str">
        <x:v>人工运营分摊</x:v>
      </x:c>
      <x:c r="F164" s="94" t="str">
        <x:v>按工时</x:v>
      </x:c>
      <x:c r="G164" s="97" t="n">
        <x:v>4.02</x:v>
      </x:c>
      <x:c r="H164" s="94" t="str">
        <x:v>部分固定</x:v>
      </x:c>
      <x:c r="I164" s="94" t="str">
        <x:v>运营团队</x:v>
      </x:c>
      <x:c r="J164" s="94" t="str">
        <x:v>模拟项目运营成本；统一折算USD</x:v>
      </x:c>
    </x:row>
    <x:row r="165">
      <x:c r="A165" s="92" t="str">
        <x:v>COST-0164</x:v>
      </x:c>
      <x:c r="B165" s="94" t="str">
        <x:v>PROC-0164</x:v>
      </x:c>
      <x:c r="C165" s="93" t="n">
        <x:v>46052</x:v>
      </x:c>
      <x:c r="D165" s="94" t="str">
        <x:v>Google Ads</x:v>
      </x:c>
      <x:c r="E165" s="94" t="str">
        <x:v>人工运营分摊</x:v>
      </x:c>
      <x:c r="F165" s="94" t="str">
        <x:v>按工时</x:v>
      </x:c>
      <x:c r="G165" s="97" t="n">
        <x:v>2.32</x:v>
      </x:c>
      <x:c r="H165" s="94" t="str">
        <x:v>部分固定</x:v>
      </x:c>
      <x:c r="I165" s="94" t="str">
        <x:v>运营团队</x:v>
      </x:c>
      <x:c r="J165" s="94" t="str">
        <x:v>模拟项目运营成本；统一折算USD</x:v>
      </x:c>
    </x:row>
    <x:row r="166">
      <x:c r="A166" s="92" t="str">
        <x:v>COST-0165</x:v>
      </x:c>
      <x:c r="B166" s="94" t="str">
        <x:v>PROC-0165</x:v>
      </x:c>
      <x:c r="C166" s="93" t="n">
        <x:v>46052</x:v>
      </x:c>
      <x:c r="D166" s="94" t="str">
        <x:v>Microsoft Ads</x:v>
      </x:c>
      <x:c r="E166" s="94" t="str">
        <x:v>归因与监测工具</x:v>
      </x:c>
      <x:c r="F166" s="94" t="str">
        <x:v>按点击量</x:v>
      </x:c>
      <x:c r="G166" s="97" t="n">
        <x:v>1.23</x:v>
      </x:c>
      <x:c r="H166" s="94" t="str">
        <x:v>变动</x:v>
      </x:c>
      <x:c r="I166" s="94" t="str">
        <x:v>分析团队</x:v>
      </x:c>
      <x:c r="J166" s="94" t="str">
        <x:v>模拟项目运营成本；统一折算USD</x:v>
      </x:c>
    </x:row>
    <x:row r="167">
      <x:c r="A167" s="92" t="str">
        <x:v>COST-0166</x:v>
      </x:c>
      <x:c r="B167" s="94" t="str">
        <x:v>PROC-0166</x:v>
      </x:c>
      <x:c r="C167" s="93" t="n">
        <x:v>46052</x:v>
      </x:c>
      <x:c r="D167" s="94" t="str">
        <x:v>Microsoft Ads</x:v>
      </x:c>
      <x:c r="E167" s="94" t="str">
        <x:v>人工运营分摊</x:v>
      </x:c>
      <x:c r="F167" s="94" t="str">
        <x:v>按工时</x:v>
      </x:c>
      <x:c r="G167" s="97" t="n">
        <x:v>1.92</x:v>
      </x:c>
      <x:c r="H167" s="94" t="str">
        <x:v>部分固定</x:v>
      </x:c>
      <x:c r="I167" s="94" t="str">
        <x:v>运营团队</x:v>
      </x:c>
      <x:c r="J167" s="94" t="str">
        <x:v>模拟项目运营成本；统一折算USD</x:v>
      </x:c>
    </x:row>
    <x:row r="168">
      <x:c r="A168" s="92" t="str">
        <x:v>COST-0167</x:v>
      </x:c>
      <x:c r="B168" s="94" t="str">
        <x:v>PROC-0167</x:v>
      </x:c>
      <x:c r="C168" s="93" t="n">
        <x:v>46053</x:v>
      </x:c>
      <x:c r="D168" s="94" t="str">
        <x:v>Google Ads</x:v>
      </x:c>
      <x:c r="E168" s="94" t="str">
        <x:v>归因与监测工具</x:v>
      </x:c>
      <x:c r="F168" s="94" t="str">
        <x:v>按点击量</x:v>
      </x:c>
      <x:c r="G168" s="97" t="n">
        <x:v>1.4</x:v>
      </x:c>
      <x:c r="H168" s="94" t="str">
        <x:v>变动</x:v>
      </x:c>
      <x:c r="I168" s="94" t="str">
        <x:v>分析团队</x:v>
      </x:c>
      <x:c r="J168" s="94" t="str">
        <x:v>模拟项目运营成本；统一折算USD</x:v>
      </x:c>
    </x:row>
    <x:row r="169">
      <x:c r="A169" s="92" t="str">
        <x:v>COST-0168</x:v>
      </x:c>
      <x:c r="B169" s="94" t="str">
        <x:v>PROC-0168</x:v>
      </x:c>
      <x:c r="C169" s="93" t="n">
        <x:v>46053</x:v>
      </x:c>
      <x:c r="D169" s="94" t="str">
        <x:v>Google Ads</x:v>
      </x:c>
      <x:c r="E169" s="94" t="str">
        <x:v>云主机/CDN</x:v>
      </x:c>
      <x:c r="F169" s="94" t="str">
        <x:v>按访问量</x:v>
      </x:c>
      <x:c r="G169" s="97" t="n">
        <x:v>0.57</x:v>
      </x:c>
      <x:c r="H169" s="94" t="str">
        <x:v>变动</x:v>
      </x:c>
      <x:c r="I169" s="94" t="str">
        <x:v>技术团队</x:v>
      </x:c>
      <x:c r="J169" s="94" t="str">
        <x:v>模拟项目运营成本；统一折算USD</x:v>
      </x:c>
    </x:row>
    <x:row r="170">
      <x:c r="A170" s="92" t="str">
        <x:v>COST-0169</x:v>
      </x:c>
      <x:c r="B170" s="94" t="str">
        <x:v>PROC-0169</x:v>
      </x:c>
      <x:c r="C170" s="93" t="n">
        <x:v>46053</x:v>
      </x:c>
      <x:c r="D170" s="94" t="str">
        <x:v>Google Ads</x:v>
      </x:c>
      <x:c r="E170" s="94" t="str">
        <x:v>数据与ETL</x:v>
      </x:c>
      <x:c r="F170" s="94" t="str">
        <x:v>按采购批次</x:v>
      </x:c>
      <x:c r="G170" s="97" t="n">
        <x:v>1.3</x:v>
      </x:c>
      <x:c r="H170" s="94" t="str">
        <x:v>变动</x:v>
      </x:c>
      <x:c r="I170" s="94" t="str">
        <x:v>数据团队</x:v>
      </x:c>
      <x:c r="J170" s="94" t="str">
        <x:v>模拟项目运营成本；统一折算USD</x:v>
      </x:c>
    </x:row>
    <x:row r="171">
      <x:c r="A171" s="92" t="str">
        <x:v>COST-0170</x:v>
      </x:c>
      <x:c r="B171" s="94" t="str">
        <x:v>PROC-0170</x:v>
      </x:c>
      <x:c r="C171" s="93" t="n">
        <x:v>46053</x:v>
      </x:c>
      <x:c r="D171" s="94" t="str">
        <x:v>Google Ads</x:v>
      </x:c>
      <x:c r="E171" s="94" t="str">
        <x:v>数据与ETL</x:v>
      </x:c>
      <x:c r="F171" s="94" t="str">
        <x:v>按采购批次</x:v>
      </x:c>
      <x:c r="G171" s="97" t="n">
        <x:v>1.05</x:v>
      </x:c>
      <x:c r="H171" s="94" t="str">
        <x:v>变动</x:v>
      </x:c>
      <x:c r="I171" s="94" t="str">
        <x:v>数据团队</x:v>
      </x:c>
      <x:c r="J171" s="94" t="str">
        <x:v>模拟项目运营成本；统一折算USD</x:v>
      </x:c>
    </x:row>
    <x:row r="172">
      <x:c r="A172" s="92" t="str">
        <x:v>COST-0171</x:v>
      </x:c>
      <x:c r="B172" s="94" t="str">
        <x:v>PROC-0171</x:v>
      </x:c>
      <x:c r="C172" s="93" t="n">
        <x:v>46053</x:v>
      </x:c>
      <x:c r="D172" s="94" t="str">
        <x:v>Google Ads</x:v>
      </x:c>
      <x:c r="E172" s="94" t="str">
        <x:v>人工运营分摊</x:v>
      </x:c>
      <x:c r="F172" s="94" t="str">
        <x:v>按工时</x:v>
      </x:c>
      <x:c r="G172" s="97" t="n">
        <x:v>5.04</x:v>
      </x:c>
      <x:c r="H172" s="94" t="str">
        <x:v>部分固定</x:v>
      </x:c>
      <x:c r="I172" s="94" t="str">
        <x:v>运营团队</x:v>
      </x:c>
      <x:c r="J172" s="94" t="str">
        <x:v>模拟项目运营成本；统一折算USD</x:v>
      </x:c>
    </x:row>
    <x:row r="173">
      <x:c r="A173" s="92" t="str">
        <x:v>COST-0172</x:v>
      </x:c>
      <x:c r="B173" s="94" t="str">
        <x:v>PROC-0172</x:v>
      </x:c>
      <x:c r="C173" s="93" t="n">
        <x:v>46053</x:v>
      </x:c>
      <x:c r="D173" s="94" t="str">
        <x:v>Google Ads</x:v>
      </x:c>
      <x:c r="E173" s="94" t="str">
        <x:v>归因与监测工具</x:v>
      </x:c>
      <x:c r="F173" s="94" t="str">
        <x:v>按点击量</x:v>
      </x:c>
      <x:c r="G173" s="97" t="n">
        <x:v>0.73</x:v>
      </x:c>
      <x:c r="H173" s="94" t="str">
        <x:v>变动</x:v>
      </x:c>
      <x:c r="I173" s="94" t="str">
        <x:v>分析团队</x:v>
      </x:c>
      <x:c r="J173" s="94" t="str">
        <x:v>模拟项目运营成本；统一折算USD</x:v>
      </x:c>
    </x:row>
    <x:row r="174">
      <x:c r="A174" s="92" t="str">
        <x:v>COST-0173</x:v>
      </x:c>
      <x:c r="B174" s="94" t="str">
        <x:v>PROC-0173</x:v>
      </x:c>
      <x:c r="C174" s="93" t="n">
        <x:v>46054</x:v>
      </x:c>
      <x:c r="D174" s="94" t="str">
        <x:v>Microsoft Ads</x:v>
      </x:c>
      <x:c r="E174" s="94" t="str">
        <x:v>数据与ETL</x:v>
      </x:c>
      <x:c r="F174" s="94" t="str">
        <x:v>按采购批次</x:v>
      </x:c>
      <x:c r="G174" s="97" t="n">
        <x:v>1</x:v>
      </x:c>
      <x:c r="H174" s="94" t="str">
        <x:v>变动</x:v>
      </x:c>
      <x:c r="I174" s="94" t="str">
        <x:v>数据团队</x:v>
      </x:c>
      <x:c r="J174" s="94" t="str">
        <x:v>模拟项目运营成本；统一折算USD</x:v>
      </x:c>
    </x:row>
    <x:row r="175">
      <x:c r="A175" s="92" t="str">
        <x:v>COST-0174</x:v>
      </x:c>
      <x:c r="B175" s="94" t="str">
        <x:v>PROC-0174</x:v>
      </x:c>
      <x:c r="C175" s="93" t="n">
        <x:v>46054</x:v>
      </x:c>
      <x:c r="D175" s="94" t="str">
        <x:v>Google Ads</x:v>
      </x:c>
      <x:c r="E175" s="94" t="str">
        <x:v>人工运营分摊</x:v>
      </x:c>
      <x:c r="F175" s="94" t="str">
        <x:v>按工时</x:v>
      </x:c>
      <x:c r="G175" s="97" t="n">
        <x:v>4.24</x:v>
      </x:c>
      <x:c r="H175" s="94" t="str">
        <x:v>部分固定</x:v>
      </x:c>
      <x:c r="I175" s="94" t="str">
        <x:v>运营团队</x:v>
      </x:c>
      <x:c r="J175" s="94" t="str">
        <x:v>模拟项目运营成本；统一折算USD</x:v>
      </x:c>
    </x:row>
    <x:row r="176">
      <x:c r="A176" s="92" t="str">
        <x:v>COST-0175</x:v>
      </x:c>
      <x:c r="B176" s="94" t="str">
        <x:v>PROC-0175</x:v>
      </x:c>
      <x:c r="C176" s="93" t="n">
        <x:v>46054</x:v>
      </x:c>
      <x:c r="D176" s="94" t="str">
        <x:v>Google Ads</x:v>
      </x:c>
      <x:c r="E176" s="94" t="str">
        <x:v>数据与ETL</x:v>
      </x:c>
      <x:c r="F176" s="94" t="str">
        <x:v>按采购批次</x:v>
      </x:c>
      <x:c r="G176" s="97" t="n">
        <x:v>0.68</x:v>
      </x:c>
      <x:c r="H176" s="94" t="str">
        <x:v>变动</x:v>
      </x:c>
      <x:c r="I176" s="94" t="str">
        <x:v>数据团队</x:v>
      </x:c>
      <x:c r="J176" s="94" t="str">
        <x:v>模拟项目运营成本；统一折算USD</x:v>
      </x:c>
    </x:row>
    <x:row r="177">
      <x:c r="A177" s="92" t="str">
        <x:v>COST-0176</x:v>
      </x:c>
      <x:c r="B177" s="94" t="str">
        <x:v>PROC-0176</x:v>
      </x:c>
      <x:c r="C177" s="93" t="n">
        <x:v>46054</x:v>
      </x:c>
      <x:c r="D177" s="94" t="str">
        <x:v>Google Ads</x:v>
      </x:c>
      <x:c r="E177" s="94" t="str">
        <x:v>创意素材</x:v>
      </x:c>
      <x:c r="F177" s="94" t="str">
        <x:v>按活动</x:v>
      </x:c>
      <x:c r="G177" s="97" t="n">
        <x:v>2.93</x:v>
      </x:c>
      <x:c r="H177" s="94" t="str">
        <x:v>部分固定</x:v>
      </x:c>
      <x:c r="I177" s="94" t="str">
        <x:v>增长团队</x:v>
      </x:c>
      <x:c r="J177" s="94" t="str">
        <x:v>模拟项目运营成本；统一折算USD</x:v>
      </x:c>
    </x:row>
    <x:row r="178">
      <x:c r="A178" s="92" t="str">
        <x:v>COST-0177</x:v>
      </x:c>
      <x:c r="B178" s="94" t="str">
        <x:v>PROC-0177</x:v>
      </x:c>
      <x:c r="C178" s="93" t="n">
        <x:v>46054</x:v>
      </x:c>
      <x:c r="D178" s="94" t="str">
        <x:v>Google Ads</x:v>
      </x:c>
      <x:c r="E178" s="94" t="str">
        <x:v>云主机/CDN</x:v>
      </x:c>
      <x:c r="F178" s="94" t="str">
        <x:v>按访问量</x:v>
      </x:c>
      <x:c r="G178" s="97" t="n">
        <x:v>0.69</x:v>
      </x:c>
      <x:c r="H178" s="94" t="str">
        <x:v>变动</x:v>
      </x:c>
      <x:c r="I178" s="94" t="str">
        <x:v>技术团队</x:v>
      </x:c>
      <x:c r="J178" s="94" t="str">
        <x:v>模拟项目运营成本；统一折算USD</x:v>
      </x:c>
    </x:row>
    <x:row r="179">
      <x:c r="A179" s="92" t="str">
        <x:v>COST-0178</x:v>
      </x:c>
      <x:c r="B179" s="94" t="str">
        <x:v>PROC-0178</x:v>
      </x:c>
      <x:c r="C179" s="93" t="n">
        <x:v>46055</x:v>
      </x:c>
      <x:c r="D179" s="94" t="str">
        <x:v>Microsoft Ads</x:v>
      </x:c>
      <x:c r="E179" s="94" t="str">
        <x:v>云主机/CDN</x:v>
      </x:c>
      <x:c r="F179" s="94" t="str">
        <x:v>按访问量</x:v>
      </x:c>
      <x:c r="G179" s="97" t="n">
        <x:v>0.34</x:v>
      </x:c>
      <x:c r="H179" s="94" t="str">
        <x:v>变动</x:v>
      </x:c>
      <x:c r="I179" s="94" t="str">
        <x:v>技术团队</x:v>
      </x:c>
      <x:c r="J179" s="94" t="str">
        <x:v>模拟项目运营成本；统一折算USD</x:v>
      </x:c>
    </x:row>
    <x:row r="180">
      <x:c r="A180" s="92" t="str">
        <x:v>COST-0179</x:v>
      </x:c>
      <x:c r="B180" s="94" t="str">
        <x:v>PROC-0179</x:v>
      </x:c>
      <x:c r="C180" s="93" t="n">
        <x:v>46055</x:v>
      </x:c>
      <x:c r="D180" s="94" t="str">
        <x:v>Google Ads</x:v>
      </x:c>
      <x:c r="E180" s="94" t="str">
        <x:v>人工运营分摊</x:v>
      </x:c>
      <x:c r="F180" s="94" t="str">
        <x:v>按工时</x:v>
      </x:c>
      <x:c r="G180" s="97" t="n">
        <x:v>2.25</x:v>
      </x:c>
      <x:c r="H180" s="94" t="str">
        <x:v>部分固定</x:v>
      </x:c>
      <x:c r="I180" s="94" t="str">
        <x:v>运营团队</x:v>
      </x:c>
      <x:c r="J180" s="94" t="str">
        <x:v>模拟项目运营成本；统一折算USD</x:v>
      </x:c>
    </x:row>
    <x:row r="181">
      <x:c r="A181" s="92" t="str">
        <x:v>COST-0180</x:v>
      </x:c>
      <x:c r="B181" s="94" t="str">
        <x:v>PROC-0180</x:v>
      </x:c>
      <x:c r="C181" s="93" t="n">
        <x:v>46055</x:v>
      </x:c>
      <x:c r="D181" s="94" t="str">
        <x:v>Google Ads</x:v>
      </x:c>
      <x:c r="E181" s="94" t="str">
        <x:v>数据与ETL</x:v>
      </x:c>
      <x:c r="F181" s="94" t="str">
        <x:v>按采购批次</x:v>
      </x:c>
      <x:c r="G181" s="97" t="n">
        <x:v>1.31</x:v>
      </x:c>
      <x:c r="H181" s="94" t="str">
        <x:v>变动</x:v>
      </x:c>
      <x:c r="I181" s="94" t="str">
        <x:v>数据团队</x:v>
      </x:c>
      <x:c r="J181" s="94" t="str">
        <x:v>模拟项目运营成本；统一折算USD</x:v>
      </x:c>
    </x:row>
    <x:row r="182">
      <x:c r="A182" s="92" t="str">
        <x:v>COST-0181</x:v>
      </x:c>
      <x:c r="B182" s="94" t="str">
        <x:v>PROC-0181</x:v>
      </x:c>
      <x:c r="C182" s="93" t="n">
        <x:v>46055</x:v>
      </x:c>
      <x:c r="D182" s="94" t="str">
        <x:v>Microsoft Ads</x:v>
      </x:c>
      <x:c r="E182" s="94" t="str">
        <x:v>创意素材</x:v>
      </x:c>
      <x:c r="F182" s="94" t="str">
        <x:v>按活动</x:v>
      </x:c>
      <x:c r="G182" s="97" t="n">
        <x:v>3.56</x:v>
      </x:c>
      <x:c r="H182" s="94" t="str">
        <x:v>部分固定</x:v>
      </x:c>
      <x:c r="I182" s="94" t="str">
        <x:v>增长团队</x:v>
      </x:c>
      <x:c r="J182" s="94" t="str">
        <x:v>模拟项目运营成本；统一折算USD</x:v>
      </x:c>
    </x:row>
    <x:row r="183">
      <x:c r="A183" s="92" t="str">
        <x:v>COST-0182</x:v>
      </x:c>
      <x:c r="B183" s="94" t="str">
        <x:v>PROC-0182</x:v>
      </x:c>
      <x:c r="C183" s="93" t="n">
        <x:v>46055</x:v>
      </x:c>
      <x:c r="D183" s="94" t="str">
        <x:v>Microsoft Ads</x:v>
      </x:c>
      <x:c r="E183" s="94" t="str">
        <x:v>云主机/CDN</x:v>
      </x:c>
      <x:c r="F183" s="94" t="str">
        <x:v>按访问量</x:v>
      </x:c>
      <x:c r="G183" s="97" t="n">
        <x:v>1.21</x:v>
      </x:c>
      <x:c r="H183" s="94" t="str">
        <x:v>变动</x:v>
      </x:c>
      <x:c r="I183" s="94" t="str">
        <x:v>技术团队</x:v>
      </x:c>
      <x:c r="J183" s="94" t="str">
        <x:v>模拟项目运营成本；统一折算USD</x:v>
      </x:c>
    </x:row>
    <x:row r="184">
      <x:c r="A184" s="92" t="str">
        <x:v>COST-0183</x:v>
      </x:c>
      <x:c r="B184" s="94" t="str">
        <x:v>PROC-0183</x:v>
      </x:c>
      <x:c r="C184" s="93" t="n">
        <x:v>46055</x:v>
      </x:c>
      <x:c r="D184" s="94" t="str">
        <x:v>Google Ads</x:v>
      </x:c>
      <x:c r="E184" s="94" t="str">
        <x:v>云主机/CDN</x:v>
      </x:c>
      <x:c r="F184" s="94" t="str">
        <x:v>按访问量</x:v>
      </x:c>
      <x:c r="G184" s="97" t="n">
        <x:v>0.75</x:v>
      </x:c>
      <x:c r="H184" s="94" t="str">
        <x:v>变动</x:v>
      </x:c>
      <x:c r="I184" s="94" t="str">
        <x:v>技术团队</x:v>
      </x:c>
      <x:c r="J184" s="94" t="str">
        <x:v>模拟项目运营成本；统一折算USD</x:v>
      </x:c>
    </x:row>
    <x:row r="185">
      <x:c r="A185" s="92" t="str">
        <x:v>COST-0184</x:v>
      </x:c>
      <x:c r="B185" s="94" t="str">
        <x:v>PROC-0184</x:v>
      </x:c>
      <x:c r="C185" s="93" t="n">
        <x:v>46056</x:v>
      </x:c>
      <x:c r="D185" s="94" t="str">
        <x:v>Microsoft Ads</x:v>
      </x:c>
      <x:c r="E185" s="94" t="str">
        <x:v>归因与监测工具</x:v>
      </x:c>
      <x:c r="F185" s="94" t="str">
        <x:v>按点击量</x:v>
      </x:c>
      <x:c r="G185" s="97" t="n">
        <x:v>0.79</x:v>
      </x:c>
      <x:c r="H185" s="94" t="str">
        <x:v>变动</x:v>
      </x:c>
      <x:c r="I185" s="94" t="str">
        <x:v>分析团队</x:v>
      </x:c>
      <x:c r="J185" s="94" t="str">
        <x:v>模拟项目运营成本；统一折算USD</x:v>
      </x:c>
    </x:row>
    <x:row r="186">
      <x:c r="A186" s="92" t="str">
        <x:v>COST-0185</x:v>
      </x:c>
      <x:c r="B186" s="94" t="str">
        <x:v>PROC-0185</x:v>
      </x:c>
      <x:c r="C186" s="93" t="n">
        <x:v>46056</x:v>
      </x:c>
      <x:c r="D186" s="94" t="str">
        <x:v>Google Ads</x:v>
      </x:c>
      <x:c r="E186" s="94" t="str">
        <x:v>数据与ETL</x:v>
      </x:c>
      <x:c r="F186" s="94" t="str">
        <x:v>按采购批次</x:v>
      </x:c>
      <x:c r="G186" s="97" t="n">
        <x:v>0.49</x:v>
      </x:c>
      <x:c r="H186" s="94" t="str">
        <x:v>变动</x:v>
      </x:c>
      <x:c r="I186" s="94" t="str">
        <x:v>数据团队</x:v>
      </x:c>
      <x:c r="J186" s="94" t="str">
        <x:v>模拟项目运营成本；统一折算USD</x:v>
      </x:c>
    </x:row>
    <x:row r="187">
      <x:c r="A187" s="92" t="str">
        <x:v>COST-0186</x:v>
      </x:c>
      <x:c r="B187" s="94" t="str">
        <x:v>PROC-0186</x:v>
      </x:c>
      <x:c r="C187" s="93" t="n">
        <x:v>46056</x:v>
      </x:c>
      <x:c r="D187" s="94" t="str">
        <x:v>Google Ads</x:v>
      </x:c>
      <x:c r="E187" s="94" t="str">
        <x:v>人工运营分摊</x:v>
      </x:c>
      <x:c r="F187" s="94" t="str">
        <x:v>按工时</x:v>
      </x:c>
      <x:c r="G187" s="97" t="n">
        <x:v>1.65</x:v>
      </x:c>
      <x:c r="H187" s="94" t="str">
        <x:v>部分固定</x:v>
      </x:c>
      <x:c r="I187" s="94" t="str">
        <x:v>运营团队</x:v>
      </x:c>
      <x:c r="J187" s="94" t="str">
        <x:v>模拟项目运营成本；统一折算USD</x:v>
      </x:c>
    </x:row>
    <x:row r="188">
      <x:c r="A188" s="92" t="str">
        <x:v>COST-0187</x:v>
      </x:c>
      <x:c r="B188" s="94" t="str">
        <x:v>PROC-0187</x:v>
      </x:c>
      <x:c r="C188" s="93" t="n">
        <x:v>46056</x:v>
      </x:c>
      <x:c r="D188" s="94" t="str">
        <x:v>Google Ads</x:v>
      </x:c>
      <x:c r="E188" s="94" t="str">
        <x:v>云主机/CDN</x:v>
      </x:c>
      <x:c r="F188" s="94" t="str">
        <x:v>按访问量</x:v>
      </x:c>
      <x:c r="G188" s="97" t="n">
        <x:v>0.79</x:v>
      </x:c>
      <x:c r="H188" s="94" t="str">
        <x:v>变动</x:v>
      </x:c>
      <x:c r="I188" s="94" t="str">
        <x:v>技术团队</x:v>
      </x:c>
      <x:c r="J188" s="94" t="str">
        <x:v>模拟项目运营成本；统一折算USD</x:v>
      </x:c>
    </x:row>
    <x:row r="189">
      <x:c r="A189" s="92" t="str">
        <x:v>COST-0188</x:v>
      </x:c>
      <x:c r="B189" s="94" t="str">
        <x:v>PROC-0188</x:v>
      </x:c>
      <x:c r="C189" s="93" t="n">
        <x:v>46056</x:v>
      </x:c>
      <x:c r="D189" s="94" t="str">
        <x:v>Google Ads</x:v>
      </x:c>
      <x:c r="E189" s="94" t="str">
        <x:v>创意素材</x:v>
      </x:c>
      <x:c r="F189" s="94" t="str">
        <x:v>按活动</x:v>
      </x:c>
      <x:c r="G189" s="97" t="n">
        <x:v>1.44</x:v>
      </x:c>
      <x:c r="H189" s="94" t="str">
        <x:v>部分固定</x:v>
      </x:c>
      <x:c r="I189" s="94" t="str">
        <x:v>增长团队</x:v>
      </x:c>
      <x:c r="J189" s="94" t="str">
        <x:v>模拟项目运营成本；统一折算USD</x:v>
      </x:c>
    </x:row>
    <x:row r="190">
      <x:c r="A190" s="92" t="str">
        <x:v>COST-0189</x:v>
      </x:c>
      <x:c r="B190" s="94" t="str">
        <x:v>PROC-0189</x:v>
      </x:c>
      <x:c r="C190" s="93" t="n">
        <x:v>46057</x:v>
      </x:c>
      <x:c r="D190" s="94" t="str">
        <x:v>Microsoft Ads</x:v>
      </x:c>
      <x:c r="E190" s="94" t="str">
        <x:v>归因与监测工具</x:v>
      </x:c>
      <x:c r="F190" s="94" t="str">
        <x:v>按点击量</x:v>
      </x:c>
      <x:c r="G190" s="97" t="n">
        <x:v>0.8</x:v>
      </x:c>
      <x:c r="H190" s="94" t="str">
        <x:v>变动</x:v>
      </x:c>
      <x:c r="I190" s="94" t="str">
        <x:v>分析团队</x:v>
      </x:c>
      <x:c r="J190" s="94" t="str">
        <x:v>模拟项目运营成本；统一折算USD</x:v>
      </x:c>
    </x:row>
    <x:row r="191">
      <x:c r="A191" s="92" t="str">
        <x:v>COST-0190</x:v>
      </x:c>
      <x:c r="B191" s="94" t="str">
        <x:v>PROC-0190</x:v>
      </x:c>
      <x:c r="C191" s="93" t="n">
        <x:v>46057</x:v>
      </x:c>
      <x:c r="D191" s="94" t="str">
        <x:v>Microsoft Ads</x:v>
      </x:c>
      <x:c r="E191" s="94" t="str">
        <x:v>数据与ETL</x:v>
      </x:c>
      <x:c r="F191" s="94" t="str">
        <x:v>按采购批次</x:v>
      </x:c>
      <x:c r="G191" s="97" t="n">
        <x:v>1.51</x:v>
      </x:c>
      <x:c r="H191" s="94" t="str">
        <x:v>变动</x:v>
      </x:c>
      <x:c r="I191" s="94" t="str">
        <x:v>数据团队</x:v>
      </x:c>
      <x:c r="J191" s="94" t="str">
        <x:v>模拟项目运营成本；统一折算USD</x:v>
      </x:c>
    </x:row>
    <x:row r="192">
      <x:c r="A192" s="92" t="str">
        <x:v>COST-0191</x:v>
      </x:c>
      <x:c r="B192" s="94" t="str">
        <x:v>PROC-0191</x:v>
      </x:c>
      <x:c r="C192" s="93" t="n">
        <x:v>46057</x:v>
      </x:c>
      <x:c r="D192" s="94" t="str">
        <x:v>Microsoft Ads</x:v>
      </x:c>
      <x:c r="E192" s="94" t="str">
        <x:v>人工运营分摊</x:v>
      </x:c>
      <x:c r="F192" s="94" t="str">
        <x:v>按工时</x:v>
      </x:c>
      <x:c r="G192" s="97" t="n">
        <x:v>1.87</x:v>
      </x:c>
      <x:c r="H192" s="94" t="str">
        <x:v>部分固定</x:v>
      </x:c>
      <x:c r="I192" s="94" t="str">
        <x:v>运营团队</x:v>
      </x:c>
      <x:c r="J192" s="94" t="str">
        <x:v>模拟项目运营成本；统一折算USD</x:v>
      </x:c>
    </x:row>
    <x:row r="193">
      <x:c r="A193" s="92" t="str">
        <x:v>COST-0192</x:v>
      </x:c>
      <x:c r="B193" s="94" t="str">
        <x:v>PROC-0192</x:v>
      </x:c>
      <x:c r="C193" s="93" t="n">
        <x:v>46057</x:v>
      </x:c>
      <x:c r="D193" s="94" t="str">
        <x:v>Google Ads</x:v>
      </x:c>
      <x:c r="E193" s="94" t="str">
        <x:v>归因与监测工具</x:v>
      </x:c>
      <x:c r="F193" s="94" t="str">
        <x:v>按点击量</x:v>
      </x:c>
      <x:c r="G193" s="97" t="n">
        <x:v>0.7</x:v>
      </x:c>
      <x:c r="H193" s="94" t="str">
        <x:v>变动</x:v>
      </x:c>
      <x:c r="I193" s="94" t="str">
        <x:v>分析团队</x:v>
      </x:c>
      <x:c r="J193" s="94" t="str">
        <x:v>模拟项目运营成本；统一折算USD</x:v>
      </x:c>
    </x:row>
    <x:row r="194">
      <x:c r="A194" s="92" t="str">
        <x:v>COST-0193</x:v>
      </x:c>
      <x:c r="B194" s="94" t="str">
        <x:v>PROC-0193</x:v>
      </x:c>
      <x:c r="C194" s="93" t="n">
        <x:v>46057</x:v>
      </x:c>
      <x:c r="D194" s="94" t="str">
        <x:v>Google Ads</x:v>
      </x:c>
      <x:c r="E194" s="94" t="str">
        <x:v>云主机/CDN</x:v>
      </x:c>
      <x:c r="F194" s="94" t="str">
        <x:v>按访问量</x:v>
      </x:c>
      <x:c r="G194" s="97" t="n">
        <x:v>0.87</x:v>
      </x:c>
      <x:c r="H194" s="94" t="str">
        <x:v>变动</x:v>
      </x:c>
      <x:c r="I194" s="94" t="str">
        <x:v>技术团队</x:v>
      </x:c>
      <x:c r="J194" s="94" t="str">
        <x:v>模拟项目运营成本；统一折算USD</x:v>
      </x:c>
    </x:row>
    <x:row r="195">
      <x:c r="A195" s="92" t="str">
        <x:v>COST-0194</x:v>
      </x:c>
      <x:c r="B195" s="94" t="str">
        <x:v>PROC-0194</x:v>
      </x:c>
      <x:c r="C195" s="93" t="n">
        <x:v>46057</x:v>
      </x:c>
      <x:c r="D195" s="94" t="str">
        <x:v>Google Ads</x:v>
      </x:c>
      <x:c r="E195" s="94" t="str">
        <x:v>人工运营分摊</x:v>
      </x:c>
      <x:c r="F195" s="94" t="str">
        <x:v>按工时</x:v>
      </x:c>
      <x:c r="G195" s="97" t="n">
        <x:v>3.51</x:v>
      </x:c>
      <x:c r="H195" s="94" t="str">
        <x:v>部分固定</x:v>
      </x:c>
      <x:c r="I195" s="94" t="str">
        <x:v>运营团队</x:v>
      </x:c>
      <x:c r="J195" s="94" t="str">
        <x:v>模拟项目运营成本；统一折算USD</x:v>
      </x:c>
    </x:row>
    <x:row r="196">
      <x:c r="A196" s="92" t="str">
        <x:v>COST-0195</x:v>
      </x:c>
      <x:c r="B196" s="94" t="str">
        <x:v>PROC-0195</x:v>
      </x:c>
      <x:c r="C196" s="93" t="n">
        <x:v>46058</x:v>
      </x:c>
      <x:c r="D196" s="94" t="str">
        <x:v>Google Ads</x:v>
      </x:c>
      <x:c r="E196" s="94" t="str">
        <x:v>数据与ETL</x:v>
      </x:c>
      <x:c r="F196" s="94" t="str">
        <x:v>按采购批次</x:v>
      </x:c>
      <x:c r="G196" s="97" t="n">
        <x:v>1.19</x:v>
      </x:c>
      <x:c r="H196" s="94" t="str">
        <x:v>变动</x:v>
      </x:c>
      <x:c r="I196" s="94" t="str">
        <x:v>数据团队</x:v>
      </x:c>
      <x:c r="J196" s="94" t="str">
        <x:v>模拟项目运营成本；统一折算USD</x:v>
      </x:c>
    </x:row>
    <x:row r="197">
      <x:c r="A197" s="92" t="str">
        <x:v>COST-0196</x:v>
      </x:c>
      <x:c r="B197" s="94" t="str">
        <x:v>PROC-0196</x:v>
      </x:c>
      <x:c r="C197" s="93" t="n">
        <x:v>46058</x:v>
      </x:c>
      <x:c r="D197" s="94" t="str">
        <x:v>Google Ads</x:v>
      </x:c>
      <x:c r="E197" s="94" t="str">
        <x:v>云主机/CDN</x:v>
      </x:c>
      <x:c r="F197" s="94" t="str">
        <x:v>按访问量</x:v>
      </x:c>
      <x:c r="G197" s="97" t="n">
        <x:v>0.53</x:v>
      </x:c>
      <x:c r="H197" s="94" t="str">
        <x:v>变动</x:v>
      </x:c>
      <x:c r="I197" s="94" t="str">
        <x:v>技术团队</x:v>
      </x:c>
      <x:c r="J197" s="94" t="str">
        <x:v>模拟项目运营成本；统一折算USD</x:v>
      </x:c>
    </x:row>
    <x:row r="198">
      <x:c r="A198" s="92" t="str">
        <x:v>COST-0197</x:v>
      </x:c>
      <x:c r="B198" s="94" t="str">
        <x:v>PROC-0197</x:v>
      </x:c>
      <x:c r="C198" s="93" t="n">
        <x:v>46058</x:v>
      </x:c>
      <x:c r="D198" s="94" t="str">
        <x:v>Google Ads</x:v>
      </x:c>
      <x:c r="E198" s="94" t="str">
        <x:v>数据与ETL</x:v>
      </x:c>
      <x:c r="F198" s="94" t="str">
        <x:v>按采购批次</x:v>
      </x:c>
      <x:c r="G198" s="97" t="n">
        <x:v>1.37</x:v>
      </x:c>
      <x:c r="H198" s="94" t="str">
        <x:v>变动</x:v>
      </x:c>
      <x:c r="I198" s="94" t="str">
        <x:v>数据团队</x:v>
      </x:c>
      <x:c r="J198" s="94" t="str">
        <x:v>模拟项目运营成本；统一折算USD</x:v>
      </x:c>
    </x:row>
    <x:row r="199">
      <x:c r="A199" s="92" t="str">
        <x:v>COST-0198</x:v>
      </x:c>
      <x:c r="B199" s="94" t="str">
        <x:v>PROC-0198</x:v>
      </x:c>
      <x:c r="C199" s="93" t="n">
        <x:v>46058</x:v>
      </x:c>
      <x:c r="D199" s="94" t="str">
        <x:v>Google Ads</x:v>
      </x:c>
      <x:c r="E199" s="94" t="str">
        <x:v>数据与ETL</x:v>
      </x:c>
      <x:c r="F199" s="94" t="str">
        <x:v>按采购批次</x:v>
      </x:c>
      <x:c r="G199" s="97" t="n">
        <x:v>0.63</x:v>
      </x:c>
      <x:c r="H199" s="94" t="str">
        <x:v>变动</x:v>
      </x:c>
      <x:c r="I199" s="94" t="str">
        <x:v>数据团队</x:v>
      </x:c>
      <x:c r="J199" s="94" t="str">
        <x:v>模拟项目运营成本；统一折算USD</x:v>
      </x:c>
    </x:row>
    <x:row r="200">
      <x:c r="A200" s="92" t="str">
        <x:v>COST-0199</x:v>
      </x:c>
      <x:c r="B200" s="94" t="str">
        <x:v>PROC-0199</x:v>
      </x:c>
      <x:c r="C200" s="93" t="n">
        <x:v>46058</x:v>
      </x:c>
      <x:c r="D200" s="94" t="str">
        <x:v>Microsoft Ads</x:v>
      </x:c>
      <x:c r="E200" s="94" t="str">
        <x:v>人工运营分摊</x:v>
      </x:c>
      <x:c r="F200" s="94" t="str">
        <x:v>按工时</x:v>
      </x:c>
      <x:c r="G200" s="97" t="n">
        <x:v>4.5</x:v>
      </x:c>
      <x:c r="H200" s="94" t="str">
        <x:v>部分固定</x:v>
      </x:c>
      <x:c r="I200" s="94" t="str">
        <x:v>运营团队</x:v>
      </x:c>
      <x:c r="J200" s="94" t="str">
        <x:v>模拟项目运营成本；统一折算USD</x:v>
      </x:c>
    </x:row>
    <x:row r="201">
      <x:c r="A201" s="92" t="str">
        <x:v>COST-0200</x:v>
      </x:c>
      <x:c r="B201" s="94" t="str">
        <x:v>PROC-0200</x:v>
      </x:c>
      <x:c r="C201" s="93" t="n">
        <x:v>46059</x:v>
      </x:c>
      <x:c r="D201" s="94" t="str">
        <x:v>Microsoft Ads</x:v>
      </x:c>
      <x:c r="E201" s="94" t="str">
        <x:v>人工运营分摊</x:v>
      </x:c>
      <x:c r="F201" s="94" t="str">
        <x:v>按工时</x:v>
      </x:c>
      <x:c r="G201" s="97" t="n">
        <x:v>2.12</x:v>
      </x:c>
      <x:c r="H201" s="94" t="str">
        <x:v>部分固定</x:v>
      </x:c>
      <x:c r="I201" s="94" t="str">
        <x:v>运营团队</x:v>
      </x:c>
      <x:c r="J201" s="94" t="str">
        <x:v>模拟项目运营成本；统一折算USD</x:v>
      </x:c>
    </x:row>
    <x:row r="202">
      <x:c r="A202" s="92" t="str">
        <x:v>COST-0201</x:v>
      </x:c>
      <x:c r="B202" s="94" t="str">
        <x:v>PROC-0201</x:v>
      </x:c>
      <x:c r="C202" s="93" t="n">
        <x:v>46059</x:v>
      </x:c>
      <x:c r="D202" s="94" t="str">
        <x:v>Microsoft Ads</x:v>
      </x:c>
      <x:c r="E202" s="94" t="str">
        <x:v>数据与ETL</x:v>
      </x:c>
      <x:c r="F202" s="94" t="str">
        <x:v>按采购批次</x:v>
      </x:c>
      <x:c r="G202" s="97" t="n">
        <x:v>0.52</x:v>
      </x:c>
      <x:c r="H202" s="94" t="str">
        <x:v>变动</x:v>
      </x:c>
      <x:c r="I202" s="94" t="str">
        <x:v>数据团队</x:v>
      </x:c>
      <x:c r="J202" s="94" t="str">
        <x:v>模拟项目运营成本；统一折算USD</x:v>
      </x:c>
    </x:row>
    <x:row r="203">
      <x:c r="A203" s="92" t="str">
        <x:v>COST-0202</x:v>
      </x:c>
      <x:c r="B203" s="94" t="str">
        <x:v>PROC-0202</x:v>
      </x:c>
      <x:c r="C203" s="93" t="n">
        <x:v>46059</x:v>
      </x:c>
      <x:c r="D203" s="94" t="str">
        <x:v>Microsoft Ads</x:v>
      </x:c>
      <x:c r="E203" s="94" t="str">
        <x:v>归因与监测工具</x:v>
      </x:c>
      <x:c r="F203" s="94" t="str">
        <x:v>按点击量</x:v>
      </x:c>
      <x:c r="G203" s="97" t="n">
        <x:v>1.05</x:v>
      </x:c>
      <x:c r="H203" s="94" t="str">
        <x:v>变动</x:v>
      </x:c>
      <x:c r="I203" s="94" t="str">
        <x:v>分析团队</x:v>
      </x:c>
      <x:c r="J203" s="94" t="str">
        <x:v>模拟项目运营成本；统一折算USD</x:v>
      </x:c>
    </x:row>
    <x:row r="204">
      <x:c r="A204" s="92" t="str">
        <x:v>COST-0203</x:v>
      </x:c>
      <x:c r="B204" s="94" t="str">
        <x:v>PROC-0203</x:v>
      </x:c>
      <x:c r="C204" s="93" t="n">
        <x:v>46059</x:v>
      </x:c>
      <x:c r="D204" s="94" t="str">
        <x:v>Google Ads</x:v>
      </x:c>
      <x:c r="E204" s="94" t="str">
        <x:v>人工运营分摊</x:v>
      </x:c>
      <x:c r="F204" s="94" t="str">
        <x:v>按工时</x:v>
      </x:c>
      <x:c r="G204" s="97" t="n">
        <x:v>2.72</x:v>
      </x:c>
      <x:c r="H204" s="94" t="str">
        <x:v>部分固定</x:v>
      </x:c>
      <x:c r="I204" s="94" t="str">
        <x:v>运营团队</x:v>
      </x:c>
      <x:c r="J204" s="94" t="str">
        <x:v>模拟项目运营成本；统一折算USD</x:v>
      </x:c>
    </x:row>
    <x:row r="205">
      <x:c r="A205" s="92" t="str">
        <x:v>COST-0204</x:v>
      </x:c>
      <x:c r="B205" s="94" t="str">
        <x:v>PROC-0204</x:v>
      </x:c>
      <x:c r="C205" s="93" t="n">
        <x:v>46059</x:v>
      </x:c>
      <x:c r="D205" s="94" t="str">
        <x:v>Google Ads</x:v>
      </x:c>
      <x:c r="E205" s="94" t="str">
        <x:v>归因与监测工具</x:v>
      </x:c>
      <x:c r="F205" s="94" t="str">
        <x:v>按点击量</x:v>
      </x:c>
      <x:c r="G205" s="97" t="n">
        <x:v>1.26</x:v>
      </x:c>
      <x:c r="H205" s="94" t="str">
        <x:v>变动</x:v>
      </x:c>
      <x:c r="I205" s="94" t="str">
        <x:v>分析团队</x:v>
      </x:c>
      <x:c r="J205" s="94" t="str">
        <x:v>模拟项目运营成本；统一折算USD</x:v>
      </x:c>
    </x:row>
    <x:row r="206">
      <x:c r="A206" s="92" t="str">
        <x:v>COST-0205</x:v>
      </x:c>
      <x:c r="B206" s="94" t="str">
        <x:v>PROC-0205</x:v>
      </x:c>
      <x:c r="C206" s="93" t="n">
        <x:v>46059</x:v>
      </x:c>
      <x:c r="D206" s="94" t="str">
        <x:v>Google Ads</x:v>
      </x:c>
      <x:c r="E206" s="94" t="str">
        <x:v>人工运营分摊</x:v>
      </x:c>
      <x:c r="F206" s="94" t="str">
        <x:v>按工时</x:v>
      </x:c>
      <x:c r="G206" s="97" t="n">
        <x:v>4.31</x:v>
      </x:c>
      <x:c r="H206" s="94" t="str">
        <x:v>部分固定</x:v>
      </x:c>
      <x:c r="I206" s="94" t="str">
        <x:v>运营团队</x:v>
      </x:c>
      <x:c r="J206" s="94" t="str">
        <x:v>模拟项目运营成本；统一折算USD</x:v>
      </x:c>
    </x:row>
    <x:row r="207">
      <x:c r="A207" s="92" t="str">
        <x:v>COST-0206</x:v>
      </x:c>
      <x:c r="B207" s="94" t="str">
        <x:v>PROC-0206</x:v>
      </x:c>
      <x:c r="C207" s="93" t="n">
        <x:v>46060</x:v>
      </x:c>
      <x:c r="D207" s="94" t="str">
        <x:v>Microsoft Ads</x:v>
      </x:c>
      <x:c r="E207" s="94" t="str">
        <x:v>创意素材</x:v>
      </x:c>
      <x:c r="F207" s="94" t="str">
        <x:v>按活动</x:v>
      </x:c>
      <x:c r="G207" s="97" t="n">
        <x:v>1.52</x:v>
      </x:c>
      <x:c r="H207" s="94" t="str">
        <x:v>部分固定</x:v>
      </x:c>
      <x:c r="I207" s="94" t="str">
        <x:v>增长团队</x:v>
      </x:c>
      <x:c r="J207" s="94" t="str">
        <x:v>模拟项目运营成本；统一折算USD</x:v>
      </x:c>
    </x:row>
    <x:row r="208">
      <x:c r="A208" s="92" t="str">
        <x:v>COST-0207</x:v>
      </x:c>
      <x:c r="B208" s="94" t="str">
        <x:v>PROC-0207</x:v>
      </x:c>
      <x:c r="C208" s="93" t="n">
        <x:v>46060</x:v>
      </x:c>
      <x:c r="D208" s="94" t="str">
        <x:v>Google Ads</x:v>
      </x:c>
      <x:c r="E208" s="94" t="str">
        <x:v>创意素材</x:v>
      </x:c>
      <x:c r="F208" s="94" t="str">
        <x:v>按活动</x:v>
      </x:c>
      <x:c r="G208" s="97" t="n">
        <x:v>1.99</x:v>
      </x:c>
      <x:c r="H208" s="94" t="str">
        <x:v>部分固定</x:v>
      </x:c>
      <x:c r="I208" s="94" t="str">
        <x:v>增长团队</x:v>
      </x:c>
      <x:c r="J208" s="94" t="str">
        <x:v>模拟项目运营成本；统一折算USD</x:v>
      </x:c>
    </x:row>
    <x:row r="209">
      <x:c r="A209" s="92" t="str">
        <x:v>COST-0208</x:v>
      </x:c>
      <x:c r="B209" s="94" t="str">
        <x:v>PROC-0208</x:v>
      </x:c>
      <x:c r="C209" s="93" t="n">
        <x:v>46060</x:v>
      </x:c>
      <x:c r="D209" s="94" t="str">
        <x:v>Google Ads</x:v>
      </x:c>
      <x:c r="E209" s="94" t="str">
        <x:v>云主机/CDN</x:v>
      </x:c>
      <x:c r="F209" s="94" t="str">
        <x:v>按访问量</x:v>
      </x:c>
      <x:c r="G209" s="97" t="n">
        <x:v>0.74</x:v>
      </x:c>
      <x:c r="H209" s="94" t="str">
        <x:v>变动</x:v>
      </x:c>
      <x:c r="I209" s="94" t="str">
        <x:v>技术团队</x:v>
      </x:c>
      <x:c r="J209" s="94" t="str">
        <x:v>模拟项目运营成本；统一折算USD</x:v>
      </x:c>
    </x:row>
    <x:row r="210">
      <x:c r="A210" s="92" t="str">
        <x:v>COST-0209</x:v>
      </x:c>
      <x:c r="B210" s="94" t="str">
        <x:v>PROC-0209</x:v>
      </x:c>
      <x:c r="C210" s="93" t="n">
        <x:v>46060</x:v>
      </x:c>
      <x:c r="D210" s="94" t="str">
        <x:v>Google Ads</x:v>
      </x:c>
      <x:c r="E210" s="94" t="str">
        <x:v>创意素材</x:v>
      </x:c>
      <x:c r="F210" s="94" t="str">
        <x:v>按活动</x:v>
      </x:c>
      <x:c r="G210" s="97" t="n">
        <x:v>2.42</x:v>
      </x:c>
      <x:c r="H210" s="94" t="str">
        <x:v>部分固定</x:v>
      </x:c>
      <x:c r="I210" s="94" t="str">
        <x:v>增长团队</x:v>
      </x:c>
      <x:c r="J210" s="94" t="str">
        <x:v>模拟项目运营成本；统一折算USD</x:v>
      </x:c>
    </x:row>
    <x:row r="211">
      <x:c r="A211" s="92" t="str">
        <x:v>COST-0210</x:v>
      </x:c>
      <x:c r="B211" s="94" t="str">
        <x:v>PROC-0210</x:v>
      </x:c>
      <x:c r="C211" s="93" t="n">
        <x:v>46060</x:v>
      </x:c>
      <x:c r="D211" s="94" t="str">
        <x:v>Google Ads</x:v>
      </x:c>
      <x:c r="E211" s="94" t="str">
        <x:v>创意素材</x:v>
      </x:c>
      <x:c r="F211" s="94" t="str">
        <x:v>按活动</x:v>
      </x:c>
      <x:c r="G211" s="97" t="n">
        <x:v>3.15</x:v>
      </x:c>
      <x:c r="H211" s="94" t="str">
        <x:v>部分固定</x:v>
      </x:c>
      <x:c r="I211" s="94" t="str">
        <x:v>增长团队</x:v>
      </x:c>
      <x:c r="J211" s="94" t="str">
        <x:v>模拟项目运营成本；统一折算USD</x:v>
      </x:c>
    </x:row>
    <x:row r="212">
      <x:c r="A212" s="92" t="str">
        <x:v>COST-0211</x:v>
      </x:c>
      <x:c r="B212" s="94" t="str">
        <x:v>PROC-0211</x:v>
      </x:c>
      <x:c r="C212" s="93" t="n">
        <x:v>46061</x:v>
      </x:c>
      <x:c r="D212" s="94" t="str">
        <x:v>Microsoft Ads</x:v>
      </x:c>
      <x:c r="E212" s="94" t="str">
        <x:v>归因与监测工具</x:v>
      </x:c>
      <x:c r="F212" s="94" t="str">
        <x:v>按点击量</x:v>
      </x:c>
      <x:c r="G212" s="97" t="n">
        <x:v>0.74</x:v>
      </x:c>
      <x:c r="H212" s="94" t="str">
        <x:v>变动</x:v>
      </x:c>
      <x:c r="I212" s="94" t="str">
        <x:v>分析团队</x:v>
      </x:c>
      <x:c r="J212" s="94" t="str">
        <x:v>模拟项目运营成本；统一折算USD</x:v>
      </x:c>
    </x:row>
    <x:row r="213">
      <x:c r="A213" s="92" t="str">
        <x:v>COST-0212</x:v>
      </x:c>
      <x:c r="B213" s="94" t="str">
        <x:v>PROC-0212</x:v>
      </x:c>
      <x:c r="C213" s="93" t="n">
        <x:v>46061</x:v>
      </x:c>
      <x:c r="D213" s="94" t="str">
        <x:v>Google Ads</x:v>
      </x:c>
      <x:c r="E213" s="94" t="str">
        <x:v>数据与ETL</x:v>
      </x:c>
      <x:c r="F213" s="94" t="str">
        <x:v>按采购批次</x:v>
      </x:c>
      <x:c r="G213" s="97" t="n">
        <x:v>1.2</x:v>
      </x:c>
      <x:c r="H213" s="94" t="str">
        <x:v>变动</x:v>
      </x:c>
      <x:c r="I213" s="94" t="str">
        <x:v>数据团队</x:v>
      </x:c>
      <x:c r="J213" s="94" t="str">
        <x:v>模拟项目运营成本；统一折算USD</x:v>
      </x:c>
    </x:row>
    <x:row r="214">
      <x:c r="A214" s="92" t="str">
        <x:v>COST-0213</x:v>
      </x:c>
      <x:c r="B214" s="94" t="str">
        <x:v>PROC-0213</x:v>
      </x:c>
      <x:c r="C214" s="93" t="n">
        <x:v>46061</x:v>
      </x:c>
      <x:c r="D214" s="94" t="str">
        <x:v>Google Ads</x:v>
      </x:c>
      <x:c r="E214" s="94" t="str">
        <x:v>数据与ETL</x:v>
      </x:c>
      <x:c r="F214" s="94" t="str">
        <x:v>按采购批次</x:v>
      </x:c>
      <x:c r="G214" s="97" t="n">
        <x:v>0.79</x:v>
      </x:c>
      <x:c r="H214" s="94" t="str">
        <x:v>变动</x:v>
      </x:c>
      <x:c r="I214" s="94" t="str">
        <x:v>数据团队</x:v>
      </x:c>
      <x:c r="J214" s="94" t="str">
        <x:v>模拟项目运营成本；统一折算USD</x:v>
      </x:c>
    </x:row>
    <x:row r="215">
      <x:c r="A215" s="92" t="str">
        <x:v>COST-0214</x:v>
      </x:c>
      <x:c r="B215" s="94" t="str">
        <x:v>PROC-0214</x:v>
      </x:c>
      <x:c r="C215" s="93" t="n">
        <x:v>46061</x:v>
      </x:c>
      <x:c r="D215" s="94" t="str">
        <x:v>Google Ads</x:v>
      </x:c>
      <x:c r="E215" s="94" t="str">
        <x:v>云主机/CDN</x:v>
      </x:c>
      <x:c r="F215" s="94" t="str">
        <x:v>按访问量</x:v>
      </x:c>
      <x:c r="G215" s="97" t="n">
        <x:v>0.49</x:v>
      </x:c>
      <x:c r="H215" s="94" t="str">
        <x:v>变动</x:v>
      </x:c>
      <x:c r="I215" s="94" t="str">
        <x:v>技术团队</x:v>
      </x:c>
      <x:c r="J215" s="94" t="str">
        <x:v>模拟项目运营成本；统一折算USD</x:v>
      </x:c>
    </x:row>
    <x:row r="216">
      <x:c r="A216" s="92" t="str">
        <x:v>COST-0215</x:v>
      </x:c>
      <x:c r="B216" s="94" t="str">
        <x:v>PROC-0215</x:v>
      </x:c>
      <x:c r="C216" s="93" t="n">
        <x:v>46061</x:v>
      </x:c>
      <x:c r="D216" s="94" t="str">
        <x:v>Microsoft Ads</x:v>
      </x:c>
      <x:c r="E216" s="94" t="str">
        <x:v>数据与ETL</x:v>
      </x:c>
      <x:c r="F216" s="94" t="str">
        <x:v>按采购批次</x:v>
      </x:c>
      <x:c r="G216" s="97" t="n">
        <x:v>0.81</x:v>
      </x:c>
      <x:c r="H216" s="94" t="str">
        <x:v>变动</x:v>
      </x:c>
      <x:c r="I216" s="94" t="str">
        <x:v>数据团队</x:v>
      </x:c>
      <x:c r="J216" s="94" t="str">
        <x:v>模拟项目运营成本；统一折算USD</x:v>
      </x:c>
    </x:row>
    <x:row r="217">
      <x:c r="A217" s="92" t="str">
        <x:v>COST-0216</x:v>
      </x:c>
      <x:c r="B217" s="94" t="str">
        <x:v>PROC-0216</x:v>
      </x:c>
      <x:c r="C217" s="93" t="n">
        <x:v>46061</x:v>
      </x:c>
      <x:c r="D217" s="94" t="str">
        <x:v>Microsoft Ads</x:v>
      </x:c>
      <x:c r="E217" s="94" t="str">
        <x:v>云主机/CDN</x:v>
      </x:c>
      <x:c r="F217" s="94" t="str">
        <x:v>按访问量</x:v>
      </x:c>
      <x:c r="G217" s="97" t="n">
        <x:v>0.69</x:v>
      </x:c>
      <x:c r="H217" s="94" t="str">
        <x:v>变动</x:v>
      </x:c>
      <x:c r="I217" s="94" t="str">
        <x:v>技术团队</x:v>
      </x:c>
      <x:c r="J217" s="94" t="str">
        <x:v>模拟项目运营成本；统一折算USD</x:v>
      </x:c>
    </x:row>
    <x:row r="218">
      <x:c r="A218" s="92" t="str">
        <x:v>COST-0217</x:v>
      </x:c>
      <x:c r="B218" s="94" t="str">
        <x:v>PROC-0217</x:v>
      </x:c>
      <x:c r="C218" s="93" t="n">
        <x:v>46062</x:v>
      </x:c>
      <x:c r="D218" s="94" t="str">
        <x:v>Microsoft Ads</x:v>
      </x:c>
      <x:c r="E218" s="94" t="str">
        <x:v>归因与监测工具</x:v>
      </x:c>
      <x:c r="F218" s="94" t="str">
        <x:v>按点击量</x:v>
      </x:c>
      <x:c r="G218" s="97" t="n">
        <x:v>1.88</x:v>
      </x:c>
      <x:c r="H218" s="94" t="str">
        <x:v>变动</x:v>
      </x:c>
      <x:c r="I218" s="94" t="str">
        <x:v>分析团队</x:v>
      </x:c>
      <x:c r="J218" s="94" t="str">
        <x:v>模拟项目运营成本；统一折算USD</x:v>
      </x:c>
    </x:row>
    <x:row r="219">
      <x:c r="A219" s="92" t="str">
        <x:v>COST-0218</x:v>
      </x:c>
      <x:c r="B219" s="94" t="str">
        <x:v>PROC-0218</x:v>
      </x:c>
      <x:c r="C219" s="93" t="n">
        <x:v>46062</x:v>
      </x:c>
      <x:c r="D219" s="94" t="str">
        <x:v>Google Ads</x:v>
      </x:c>
      <x:c r="E219" s="94" t="str">
        <x:v>创意素材</x:v>
      </x:c>
      <x:c r="F219" s="94" t="str">
        <x:v>按活动</x:v>
      </x:c>
      <x:c r="G219" s="97" t="n">
        <x:v>1.68</x:v>
      </x:c>
      <x:c r="H219" s="94" t="str">
        <x:v>部分固定</x:v>
      </x:c>
      <x:c r="I219" s="94" t="str">
        <x:v>增长团队</x:v>
      </x:c>
      <x:c r="J219" s="94" t="str">
        <x:v>模拟项目运营成本；统一折算USD</x:v>
      </x:c>
    </x:row>
    <x:row r="220">
      <x:c r="A220" s="92" t="str">
        <x:v>COST-0219</x:v>
      </x:c>
      <x:c r="B220" s="94" t="str">
        <x:v>PROC-0219</x:v>
      </x:c>
      <x:c r="C220" s="93" t="n">
        <x:v>46062</x:v>
      </x:c>
      <x:c r="D220" s="94" t="str">
        <x:v>Google Ads</x:v>
      </x:c>
      <x:c r="E220" s="94" t="str">
        <x:v>数据与ETL</x:v>
      </x:c>
      <x:c r="F220" s="94" t="str">
        <x:v>按采购批次</x:v>
      </x:c>
      <x:c r="G220" s="97" t="n">
        <x:v>1.3</x:v>
      </x:c>
      <x:c r="H220" s="94" t="str">
        <x:v>变动</x:v>
      </x:c>
      <x:c r="I220" s="94" t="str">
        <x:v>数据团队</x:v>
      </x:c>
      <x:c r="J220" s="94" t="str">
        <x:v>模拟项目运营成本；统一折算USD</x:v>
      </x:c>
    </x:row>
    <x:row r="221">
      <x:c r="A221" s="92" t="str">
        <x:v>COST-0220</x:v>
      </x:c>
      <x:c r="B221" s="94" t="str">
        <x:v>PROC-0220</x:v>
      </x:c>
      <x:c r="C221" s="93" t="n">
        <x:v>46062</x:v>
      </x:c>
      <x:c r="D221" s="94" t="str">
        <x:v>Google Ads</x:v>
      </x:c>
      <x:c r="E221" s="94" t="str">
        <x:v>人工运营分摊</x:v>
      </x:c>
      <x:c r="F221" s="94" t="str">
        <x:v>按工时</x:v>
      </x:c>
      <x:c r="G221" s="97" t="n">
        <x:v>2.67</x:v>
      </x:c>
      <x:c r="H221" s="94" t="str">
        <x:v>部分固定</x:v>
      </x:c>
      <x:c r="I221" s="94" t="str">
        <x:v>运营团队</x:v>
      </x:c>
      <x:c r="J221" s="94" t="str">
        <x:v>模拟项目运营成本；统一折算USD</x:v>
      </x:c>
    </x:row>
    <x:row r="222">
      <x:c r="A222" s="92" t="str">
        <x:v>COST-0221</x:v>
      </x:c>
      <x:c r="B222" s="94" t="str">
        <x:v>PROC-0221</x:v>
      </x:c>
      <x:c r="C222" s="93" t="n">
        <x:v>46062</x:v>
      </x:c>
      <x:c r="D222" s="94" t="str">
        <x:v>Google Ads</x:v>
      </x:c>
      <x:c r="E222" s="94" t="str">
        <x:v>云主机/CDN</x:v>
      </x:c>
      <x:c r="F222" s="94" t="str">
        <x:v>按访问量</x:v>
      </x:c>
      <x:c r="G222" s="97" t="n">
        <x:v>0.27</x:v>
      </x:c>
      <x:c r="H222" s="94" t="str">
        <x:v>变动</x:v>
      </x:c>
      <x:c r="I222" s="94" t="str">
        <x:v>技术团队</x:v>
      </x:c>
      <x:c r="J222" s="94" t="str">
        <x:v>模拟项目运营成本；统一折算USD</x:v>
      </x:c>
    </x:row>
    <x:row r="223">
      <x:c r="A223" s="92" t="str">
        <x:v>COST-0222</x:v>
      </x:c>
      <x:c r="B223" s="94" t="str">
        <x:v>PROC-0222</x:v>
      </x:c>
      <x:c r="C223" s="93" t="n">
        <x:v>46063</x:v>
      </x:c>
      <x:c r="D223" s="94" t="str">
        <x:v>Google Ads</x:v>
      </x:c>
      <x:c r="E223" s="94" t="str">
        <x:v>数据与ETL</x:v>
      </x:c>
      <x:c r="F223" s="94" t="str">
        <x:v>按采购批次</x:v>
      </x:c>
      <x:c r="G223" s="97" t="n">
        <x:v>0.87</x:v>
      </x:c>
      <x:c r="H223" s="94" t="str">
        <x:v>变动</x:v>
      </x:c>
      <x:c r="I223" s="94" t="str">
        <x:v>数据团队</x:v>
      </x:c>
      <x:c r="J223" s="94" t="str">
        <x:v>模拟项目运营成本；统一折算USD</x:v>
      </x:c>
    </x:row>
    <x:row r="224">
      <x:c r="A224" s="92" t="str">
        <x:v>COST-0223</x:v>
      </x:c>
      <x:c r="B224" s="94" t="str">
        <x:v>PROC-0223</x:v>
      </x:c>
      <x:c r="C224" s="93" t="n">
        <x:v>46063</x:v>
      </x:c>
      <x:c r="D224" s="94" t="str">
        <x:v>Microsoft Ads</x:v>
      </x:c>
      <x:c r="E224" s="94" t="str">
        <x:v>数据与ETL</x:v>
      </x:c>
      <x:c r="F224" s="94" t="str">
        <x:v>按采购批次</x:v>
      </x:c>
      <x:c r="G224" s="97" t="n">
        <x:v>0.47</x:v>
      </x:c>
      <x:c r="H224" s="94" t="str">
        <x:v>变动</x:v>
      </x:c>
      <x:c r="I224" s="94" t="str">
        <x:v>数据团队</x:v>
      </x:c>
      <x:c r="J224" s="94" t="str">
        <x:v>模拟项目运营成本；统一折算USD</x:v>
      </x:c>
    </x:row>
    <x:row r="225">
      <x:c r="A225" s="92" t="str">
        <x:v>COST-0224</x:v>
      </x:c>
      <x:c r="B225" s="94" t="str">
        <x:v>PROC-0224</x:v>
      </x:c>
      <x:c r="C225" s="93" t="n">
        <x:v>46063</x:v>
      </x:c>
      <x:c r="D225" s="94" t="str">
        <x:v>Google Ads</x:v>
      </x:c>
      <x:c r="E225" s="94" t="str">
        <x:v>人工运营分摊</x:v>
      </x:c>
      <x:c r="F225" s="94" t="str">
        <x:v>按工时</x:v>
      </x:c>
      <x:c r="G225" s="97" t="n">
        <x:v>4.78</x:v>
      </x:c>
      <x:c r="H225" s="94" t="str">
        <x:v>部分固定</x:v>
      </x:c>
      <x:c r="I225" s="94" t="str">
        <x:v>运营团队</x:v>
      </x:c>
      <x:c r="J225" s="94" t="str">
        <x:v>模拟项目运营成本；统一折算USD</x:v>
      </x:c>
    </x:row>
    <x:row r="226">
      <x:c r="A226" s="92" t="str">
        <x:v>COST-0225</x:v>
      </x:c>
      <x:c r="B226" s="94" t="str">
        <x:v>PROC-0225</x:v>
      </x:c>
      <x:c r="C226" s="93" t="n">
        <x:v>46063</x:v>
      </x:c>
      <x:c r="D226" s="94" t="str">
        <x:v>Microsoft Ads</x:v>
      </x:c>
      <x:c r="E226" s="94" t="str">
        <x:v>归因与监测工具</x:v>
      </x:c>
      <x:c r="F226" s="94" t="str">
        <x:v>按点击量</x:v>
      </x:c>
      <x:c r="G226" s="97" t="n">
        <x:v>0.75</x:v>
      </x:c>
      <x:c r="H226" s="94" t="str">
        <x:v>变动</x:v>
      </x:c>
      <x:c r="I226" s="94" t="str">
        <x:v>分析团队</x:v>
      </x:c>
      <x:c r="J226" s="94" t="str">
        <x:v>模拟项目运营成本；统一折算USD</x:v>
      </x:c>
    </x:row>
    <x:row r="227">
      <x:c r="A227" s="92" t="str">
        <x:v>COST-0226</x:v>
      </x:c>
      <x:c r="B227" s="94" t="str">
        <x:v>PROC-0226</x:v>
      </x:c>
      <x:c r="C227" s="93" t="n">
        <x:v>46063</x:v>
      </x:c>
      <x:c r="D227" s="94" t="str">
        <x:v>Google Ads</x:v>
      </x:c>
      <x:c r="E227" s="94" t="str">
        <x:v>云主机/CDN</x:v>
      </x:c>
      <x:c r="F227" s="94" t="str">
        <x:v>按访问量</x:v>
      </x:c>
      <x:c r="G227" s="97" t="n">
        <x:v>0.88</x:v>
      </x:c>
      <x:c r="H227" s="94" t="str">
        <x:v>变动</x:v>
      </x:c>
      <x:c r="I227" s="94" t="str">
        <x:v>技术团队</x:v>
      </x:c>
      <x:c r="J227" s="94" t="str">
        <x:v>模拟项目运营成本；统一折算USD</x:v>
      </x:c>
    </x:row>
    <x:row r="228">
      <x:c r="A228" s="92" t="str">
        <x:v>COST-0227</x:v>
      </x:c>
      <x:c r="B228" s="94" t="str">
        <x:v>PROC-0227</x:v>
      </x:c>
      <x:c r="C228" s="93" t="n">
        <x:v>46063</x:v>
      </x:c>
      <x:c r="D228" s="94" t="str">
        <x:v>Microsoft Ads</x:v>
      </x:c>
      <x:c r="E228" s="94" t="str">
        <x:v>创意素材</x:v>
      </x:c>
      <x:c r="F228" s="94" t="str">
        <x:v>按活动</x:v>
      </x:c>
      <x:c r="G228" s="97" t="n">
        <x:v>2.52</x:v>
      </x:c>
      <x:c r="H228" s="94" t="str">
        <x:v>部分固定</x:v>
      </x:c>
      <x:c r="I228" s="94" t="str">
        <x:v>增长团队</x:v>
      </x:c>
      <x:c r="J228" s="94" t="str">
        <x:v>模拟项目运营成本；统一折算USD</x:v>
      </x:c>
    </x:row>
    <x:row r="229">
      <x:c r="A229" s="92" t="str">
        <x:v>COST-0228</x:v>
      </x:c>
      <x:c r="B229" s="94" t="str">
        <x:v>PROC-0228</x:v>
      </x:c>
      <x:c r="C229" s="93" t="n">
        <x:v>46064</x:v>
      </x:c>
      <x:c r="D229" s="94" t="str">
        <x:v>Microsoft Ads</x:v>
      </x:c>
      <x:c r="E229" s="94" t="str">
        <x:v>归因与监测工具</x:v>
      </x:c>
      <x:c r="F229" s="94" t="str">
        <x:v>按点击量</x:v>
      </x:c>
      <x:c r="G229" s="97" t="n">
        <x:v>0.88</x:v>
      </x:c>
      <x:c r="H229" s="94" t="str">
        <x:v>变动</x:v>
      </x:c>
      <x:c r="I229" s="94" t="str">
        <x:v>分析团队</x:v>
      </x:c>
      <x:c r="J229" s="94" t="str">
        <x:v>模拟项目运营成本；统一折算USD</x:v>
      </x:c>
    </x:row>
    <x:row r="230">
      <x:c r="A230" s="92" t="str">
        <x:v>COST-0229</x:v>
      </x:c>
      <x:c r="B230" s="94" t="str">
        <x:v>PROC-0229</x:v>
      </x:c>
      <x:c r="C230" s="93" t="n">
        <x:v>46064</x:v>
      </x:c>
      <x:c r="D230" s="94" t="str">
        <x:v>Microsoft Ads</x:v>
      </x:c>
      <x:c r="E230" s="94" t="str">
        <x:v>数据与ETL</x:v>
      </x:c>
      <x:c r="F230" s="94" t="str">
        <x:v>按采购批次</x:v>
      </x:c>
      <x:c r="G230" s="97" t="n">
        <x:v>1.59</x:v>
      </x:c>
      <x:c r="H230" s="94" t="str">
        <x:v>变动</x:v>
      </x:c>
      <x:c r="I230" s="94" t="str">
        <x:v>数据团队</x:v>
      </x:c>
      <x:c r="J230" s="94" t="str">
        <x:v>模拟项目运营成本；统一折算USD</x:v>
      </x:c>
    </x:row>
    <x:row r="231">
      <x:c r="A231" s="92" t="str">
        <x:v>COST-0230</x:v>
      </x:c>
      <x:c r="B231" s="94" t="str">
        <x:v>PROC-0230</x:v>
      </x:c>
      <x:c r="C231" s="93" t="n">
        <x:v>46064</x:v>
      </x:c>
      <x:c r="D231" s="94" t="str">
        <x:v>Google Ads</x:v>
      </x:c>
      <x:c r="E231" s="94" t="str">
        <x:v>云主机/CDN</x:v>
      </x:c>
      <x:c r="F231" s="94" t="str">
        <x:v>按访问量</x:v>
      </x:c>
      <x:c r="G231" s="97" t="n">
        <x:v>0.86</x:v>
      </x:c>
      <x:c r="H231" s="94" t="str">
        <x:v>变动</x:v>
      </x:c>
      <x:c r="I231" s="94" t="str">
        <x:v>技术团队</x:v>
      </x:c>
      <x:c r="J231" s="94" t="str">
        <x:v>模拟项目运营成本；统一折算USD</x:v>
      </x:c>
    </x:row>
    <x:row r="232">
      <x:c r="A232" s="92" t="str">
        <x:v>COST-0231</x:v>
      </x:c>
      <x:c r="B232" s="94" t="str">
        <x:v>PROC-0231</x:v>
      </x:c>
      <x:c r="C232" s="93" t="n">
        <x:v>46064</x:v>
      </x:c>
      <x:c r="D232" s="94" t="str">
        <x:v>Microsoft Ads</x:v>
      </x:c>
      <x:c r="E232" s="94" t="str">
        <x:v>云主机/CDN</x:v>
      </x:c>
      <x:c r="F232" s="94" t="str">
        <x:v>按访问量</x:v>
      </x:c>
      <x:c r="G232" s="97" t="n">
        <x:v>0.7</x:v>
      </x:c>
      <x:c r="H232" s="94" t="str">
        <x:v>变动</x:v>
      </x:c>
      <x:c r="I232" s="94" t="str">
        <x:v>技术团队</x:v>
      </x:c>
      <x:c r="J232" s="94" t="str">
        <x:v>模拟项目运营成本；统一折算USD</x:v>
      </x:c>
    </x:row>
    <x:row r="233">
      <x:c r="A233" s="92" t="str">
        <x:v>COST-0232</x:v>
      </x:c>
      <x:c r="B233" s="94" t="str">
        <x:v>PROC-0232</x:v>
      </x:c>
      <x:c r="C233" s="93" t="n">
        <x:v>46064</x:v>
      </x:c>
      <x:c r="D233" s="94" t="str">
        <x:v>Google Ads</x:v>
      </x:c>
      <x:c r="E233" s="94" t="str">
        <x:v>云主机/CDN</x:v>
      </x:c>
      <x:c r="F233" s="94" t="str">
        <x:v>按访问量</x:v>
      </x:c>
      <x:c r="G233" s="97" t="n">
        <x:v>1.09</x:v>
      </x:c>
      <x:c r="H233" s="94" t="str">
        <x:v>变动</x:v>
      </x:c>
      <x:c r="I233" s="94" t="str">
        <x:v>技术团队</x:v>
      </x:c>
      <x:c r="J233" s="94" t="str">
        <x:v>模拟项目运营成本；统一折算USD</x:v>
      </x:c>
    </x:row>
    <x:row r="234">
      <x:c r="A234" s="92" t="str">
        <x:v>COST-0233</x:v>
      </x:c>
      <x:c r="B234" s="94" t="str">
        <x:v>PROC-0233</x:v>
      </x:c>
      <x:c r="C234" s="93" t="n">
        <x:v>46064</x:v>
      </x:c>
      <x:c r="D234" s="94" t="str">
        <x:v>Microsoft Ads</x:v>
      </x:c>
      <x:c r="E234" s="94" t="str">
        <x:v>人工运营分摊</x:v>
      </x:c>
      <x:c r="F234" s="94" t="str">
        <x:v>按工时</x:v>
      </x:c>
      <x:c r="G234" s="97" t="n">
        <x:v>3.78</x:v>
      </x:c>
      <x:c r="H234" s="94" t="str">
        <x:v>部分固定</x:v>
      </x:c>
      <x:c r="I234" s="94" t="str">
        <x:v>运营团队</x:v>
      </x:c>
      <x:c r="J234" s="94" t="str">
        <x:v>模拟项目运营成本；统一折算USD</x:v>
      </x:c>
    </x:row>
    <x:row r="235">
      <x:c r="A235" s="92" t="str">
        <x:v>COST-0234</x:v>
      </x:c>
      <x:c r="B235" s="94" t="str">
        <x:v>PROC-0234</x:v>
      </x:c>
      <x:c r="C235" s="93" t="n">
        <x:v>46065</x:v>
      </x:c>
      <x:c r="D235" s="94" t="str">
        <x:v>Google Ads</x:v>
      </x:c>
      <x:c r="E235" s="94" t="str">
        <x:v>创意素材</x:v>
      </x:c>
      <x:c r="F235" s="94" t="str">
        <x:v>按活动</x:v>
      </x:c>
      <x:c r="G235" s="97" t="n">
        <x:v>2.48</x:v>
      </x:c>
      <x:c r="H235" s="94" t="str">
        <x:v>部分固定</x:v>
      </x:c>
      <x:c r="I235" s="94" t="str">
        <x:v>增长团队</x:v>
      </x:c>
      <x:c r="J235" s="94" t="str">
        <x:v>模拟项目运营成本；统一折算USD</x:v>
      </x:c>
    </x:row>
    <x:row r="236">
      <x:c r="A236" s="92" t="str">
        <x:v>COST-0235</x:v>
      </x:c>
      <x:c r="B236" s="94" t="str">
        <x:v>PROC-0235</x:v>
      </x:c>
      <x:c r="C236" s="93" t="n">
        <x:v>46065</x:v>
      </x:c>
      <x:c r="D236" s="94" t="str">
        <x:v>Google Ads</x:v>
      </x:c>
      <x:c r="E236" s="94" t="str">
        <x:v>归因与监测工具</x:v>
      </x:c>
      <x:c r="F236" s="94" t="str">
        <x:v>按点击量</x:v>
      </x:c>
      <x:c r="G236" s="97" t="n">
        <x:v>0.97</x:v>
      </x:c>
      <x:c r="H236" s="94" t="str">
        <x:v>变动</x:v>
      </x:c>
      <x:c r="I236" s="94" t="str">
        <x:v>分析团队</x:v>
      </x:c>
      <x:c r="J236" s="94" t="str">
        <x:v>模拟项目运营成本；统一折算USD</x:v>
      </x:c>
    </x:row>
    <x:row r="237">
      <x:c r="A237" s="92" t="str">
        <x:v>COST-0236</x:v>
      </x:c>
      <x:c r="B237" s="94" t="str">
        <x:v>PROC-0236</x:v>
      </x:c>
      <x:c r="C237" s="93" t="n">
        <x:v>46065</x:v>
      </x:c>
      <x:c r="D237" s="94" t="str">
        <x:v>Google Ads</x:v>
      </x:c>
      <x:c r="E237" s="94" t="str">
        <x:v>人工运营分摊</x:v>
      </x:c>
      <x:c r="F237" s="94" t="str">
        <x:v>按工时</x:v>
      </x:c>
      <x:c r="G237" s="97" t="n">
        <x:v>4.2</x:v>
      </x:c>
      <x:c r="H237" s="94" t="str">
        <x:v>部分固定</x:v>
      </x:c>
      <x:c r="I237" s="94" t="str">
        <x:v>运营团队</x:v>
      </x:c>
      <x:c r="J237" s="94" t="str">
        <x:v>模拟项目运营成本；统一折算USD</x:v>
      </x:c>
    </x:row>
    <x:row r="238">
      <x:c r="A238" s="92" t="str">
        <x:v>COST-0237</x:v>
      </x:c>
      <x:c r="B238" s="94" t="str">
        <x:v>PROC-0237</x:v>
      </x:c>
      <x:c r="C238" s="93" t="n">
        <x:v>46065</x:v>
      </x:c>
      <x:c r="D238" s="94" t="str">
        <x:v>Google Ads</x:v>
      </x:c>
      <x:c r="E238" s="94" t="str">
        <x:v>数据与ETL</x:v>
      </x:c>
      <x:c r="F238" s="94" t="str">
        <x:v>按采购批次</x:v>
      </x:c>
      <x:c r="G238" s="97" t="n">
        <x:v>0.6</x:v>
      </x:c>
      <x:c r="H238" s="94" t="str">
        <x:v>变动</x:v>
      </x:c>
      <x:c r="I238" s="94" t="str">
        <x:v>数据团队</x:v>
      </x:c>
      <x:c r="J238" s="94" t="str">
        <x:v>模拟项目运营成本；统一折算USD</x:v>
      </x:c>
    </x:row>
    <x:row r="239">
      <x:c r="A239" s="92" t="str">
        <x:v>COST-0238</x:v>
      </x:c>
      <x:c r="B239" s="94" t="str">
        <x:v>PROC-0238</x:v>
      </x:c>
      <x:c r="C239" s="93" t="n">
        <x:v>46065</x:v>
      </x:c>
      <x:c r="D239" s="94" t="str">
        <x:v>Google Ads</x:v>
      </x:c>
      <x:c r="E239" s="94" t="str">
        <x:v>数据与ETL</x:v>
      </x:c>
      <x:c r="F239" s="94" t="str">
        <x:v>按采购批次</x:v>
      </x:c>
      <x:c r="G239" s="97" t="n">
        <x:v>1</x:v>
      </x:c>
      <x:c r="H239" s="94" t="str">
        <x:v>变动</x:v>
      </x:c>
      <x:c r="I239" s="94" t="str">
        <x:v>数据团队</x:v>
      </x:c>
      <x:c r="J239" s="94" t="str">
        <x:v>模拟项目运营成本；统一折算USD</x:v>
      </x:c>
    </x:row>
    <x:row r="240">
      <x:c r="A240" s="92" t="str">
        <x:v>COST-0239</x:v>
      </x:c>
      <x:c r="B240" s="94" t="str">
        <x:v>PROC-0239</x:v>
      </x:c>
      <x:c r="C240" s="93" t="n">
        <x:v>46066</x:v>
      </x:c>
      <x:c r="D240" s="94" t="str">
        <x:v>Google Ads</x:v>
      </x:c>
      <x:c r="E240" s="94" t="str">
        <x:v>数据与ETL</x:v>
      </x:c>
      <x:c r="F240" s="94" t="str">
        <x:v>按采购批次</x:v>
      </x:c>
      <x:c r="G240" s="97" t="n">
        <x:v>0.85</x:v>
      </x:c>
      <x:c r="H240" s="94" t="str">
        <x:v>变动</x:v>
      </x:c>
      <x:c r="I240" s="94" t="str">
        <x:v>数据团队</x:v>
      </x:c>
      <x:c r="J240" s="94" t="str">
        <x:v>模拟项目运营成本；统一折算USD</x:v>
      </x:c>
    </x:row>
    <x:row r="241">
      <x:c r="A241" s="92" t="str">
        <x:v>COST-0240</x:v>
      </x:c>
      <x:c r="B241" s="94" t="str">
        <x:v>PROC-0240</x:v>
      </x:c>
      <x:c r="C241" s="93" t="n">
        <x:v>46066</x:v>
      </x:c>
      <x:c r="D241" s="94" t="str">
        <x:v>Google Ads</x:v>
      </x:c>
      <x:c r="E241" s="94" t="str">
        <x:v>数据与ETL</x:v>
      </x:c>
      <x:c r="F241" s="94" t="str">
        <x:v>按采购批次</x:v>
      </x:c>
      <x:c r="G241" s="97" t="n">
        <x:v>1.27</x:v>
      </x:c>
      <x:c r="H241" s="94" t="str">
        <x:v>变动</x:v>
      </x:c>
      <x:c r="I241" s="94" t="str">
        <x:v>数据团队</x:v>
      </x:c>
      <x:c r="J241" s="94" t="str">
        <x:v>模拟项目运营成本；统一折算USD</x:v>
      </x:c>
    </x:row>
    <x:row r="242">
      <x:c r="A242" s="92" t="str">
        <x:v>COST-0241</x:v>
      </x:c>
      <x:c r="B242" s="94" t="str">
        <x:v>PROC-0241</x:v>
      </x:c>
      <x:c r="C242" s="93" t="n">
        <x:v>46066</x:v>
      </x:c>
      <x:c r="D242" s="94" t="str">
        <x:v>Google Ads</x:v>
      </x:c>
      <x:c r="E242" s="94" t="str">
        <x:v>云主机/CDN</x:v>
      </x:c>
      <x:c r="F242" s="94" t="str">
        <x:v>按访问量</x:v>
      </x:c>
      <x:c r="G242" s="97" t="n">
        <x:v>0.38</x:v>
      </x:c>
      <x:c r="H242" s="94" t="str">
        <x:v>变动</x:v>
      </x:c>
      <x:c r="I242" s="94" t="str">
        <x:v>技术团队</x:v>
      </x:c>
      <x:c r="J242" s="94" t="str">
        <x:v>模拟项目运营成本；统一折算USD</x:v>
      </x:c>
    </x:row>
    <x:row r="243">
      <x:c r="A243" s="92" t="str">
        <x:v>COST-0242</x:v>
      </x:c>
      <x:c r="B243" s="94" t="str">
        <x:v>PROC-0242</x:v>
      </x:c>
      <x:c r="C243" s="93" t="n">
        <x:v>46066</x:v>
      </x:c>
      <x:c r="D243" s="94" t="str">
        <x:v>Microsoft Ads</x:v>
      </x:c>
      <x:c r="E243" s="94" t="str">
        <x:v>数据与ETL</x:v>
      </x:c>
      <x:c r="F243" s="94" t="str">
        <x:v>按采购批次</x:v>
      </x:c>
      <x:c r="G243" s="97" t="n">
        <x:v>1.57</x:v>
      </x:c>
      <x:c r="H243" s="94" t="str">
        <x:v>变动</x:v>
      </x:c>
      <x:c r="I243" s="94" t="str">
        <x:v>数据团队</x:v>
      </x:c>
      <x:c r="J243" s="94" t="str">
        <x:v>模拟项目运营成本；统一折算USD</x:v>
      </x:c>
    </x:row>
    <x:row r="244">
      <x:c r="A244" s="92" t="str">
        <x:v>COST-0243</x:v>
      </x:c>
      <x:c r="B244" s="94" t="str">
        <x:v>PROC-0243</x:v>
      </x:c>
      <x:c r="C244" s="93" t="n">
        <x:v>46066</x:v>
      </x:c>
      <x:c r="D244" s="94" t="str">
        <x:v>Google Ads</x:v>
      </x:c>
      <x:c r="E244" s="94" t="str">
        <x:v>人工运营分摊</x:v>
      </x:c>
      <x:c r="F244" s="94" t="str">
        <x:v>按工时</x:v>
      </x:c>
      <x:c r="G244" s="97" t="n">
        <x:v>3.63</x:v>
      </x:c>
      <x:c r="H244" s="94" t="str">
        <x:v>部分固定</x:v>
      </x:c>
      <x:c r="I244" s="94" t="str">
        <x:v>运营团队</x:v>
      </x:c>
      <x:c r="J244" s="94" t="str">
        <x:v>模拟项目运营成本；统一折算USD</x:v>
      </x:c>
    </x:row>
    <x:row r="245">
      <x:c r="A245" s="92" t="str">
        <x:v>COST-0244</x:v>
      </x:c>
      <x:c r="B245" s="94" t="str">
        <x:v>PROC-0244</x:v>
      </x:c>
      <x:c r="C245" s="93" t="n">
        <x:v>46066</x:v>
      </x:c>
      <x:c r="D245" s="94" t="str">
        <x:v>Microsoft Ads</x:v>
      </x:c>
      <x:c r="E245" s="94" t="str">
        <x:v>云主机/CDN</x:v>
      </x:c>
      <x:c r="F245" s="94" t="str">
        <x:v>按访问量</x:v>
      </x:c>
      <x:c r="G245" s="97" t="n">
        <x:v>0.96</x:v>
      </x:c>
      <x:c r="H245" s="94" t="str">
        <x:v>变动</x:v>
      </x:c>
      <x:c r="I245" s="94" t="str">
        <x:v>技术团队</x:v>
      </x:c>
      <x:c r="J245" s="94" t="str">
        <x:v>模拟项目运营成本；统一折算USD</x:v>
      </x:c>
    </x:row>
    <x:row r="246">
      <x:c r="A246" s="92" t="str">
        <x:v>COST-0245</x:v>
      </x:c>
      <x:c r="B246" s="94" t="str">
        <x:v>PROC-0245</x:v>
      </x:c>
      <x:c r="C246" s="93" t="n">
        <x:v>46067</x:v>
      </x:c>
      <x:c r="D246" s="94" t="str">
        <x:v>Google Ads</x:v>
      </x:c>
      <x:c r="E246" s="94" t="str">
        <x:v>人工运营分摊</x:v>
      </x:c>
      <x:c r="F246" s="94" t="str">
        <x:v>按工时</x:v>
      </x:c>
      <x:c r="G246" s="97" t="n">
        <x:v>3.43</x:v>
      </x:c>
      <x:c r="H246" s="94" t="str">
        <x:v>部分固定</x:v>
      </x:c>
      <x:c r="I246" s="94" t="str">
        <x:v>运营团队</x:v>
      </x:c>
      <x:c r="J246" s="94" t="str">
        <x:v>模拟项目运营成本；统一折算USD</x:v>
      </x:c>
    </x:row>
    <x:row r="247">
      <x:c r="A247" s="92" t="str">
        <x:v>COST-0246</x:v>
      </x:c>
      <x:c r="B247" s="94" t="str">
        <x:v>PROC-0246</x:v>
      </x:c>
      <x:c r="C247" s="93" t="n">
        <x:v>46067</x:v>
      </x:c>
      <x:c r="D247" s="94" t="str">
        <x:v>Google Ads</x:v>
      </x:c>
      <x:c r="E247" s="94" t="str">
        <x:v>数据与ETL</x:v>
      </x:c>
      <x:c r="F247" s="94" t="str">
        <x:v>按采购批次</x:v>
      </x:c>
      <x:c r="G247" s="97" t="n">
        <x:v>0.9</x:v>
      </x:c>
      <x:c r="H247" s="94" t="str">
        <x:v>变动</x:v>
      </x:c>
      <x:c r="I247" s="94" t="str">
        <x:v>数据团队</x:v>
      </x:c>
      <x:c r="J247" s="94" t="str">
        <x:v>模拟项目运营成本；统一折算USD</x:v>
      </x:c>
    </x:row>
    <x:row r="248">
      <x:c r="A248" s="92" t="str">
        <x:v>COST-0247</x:v>
      </x:c>
      <x:c r="B248" s="94" t="str">
        <x:v>PROC-0247</x:v>
      </x:c>
      <x:c r="C248" s="93" t="n">
        <x:v>46067</x:v>
      </x:c>
      <x:c r="D248" s="94" t="str">
        <x:v>Microsoft Ads</x:v>
      </x:c>
      <x:c r="E248" s="94" t="str">
        <x:v>云主机/CDN</x:v>
      </x:c>
      <x:c r="F248" s="94" t="str">
        <x:v>按访问量</x:v>
      </x:c>
      <x:c r="G248" s="97" t="n">
        <x:v>0.98</x:v>
      </x:c>
      <x:c r="H248" s="94" t="str">
        <x:v>变动</x:v>
      </x:c>
      <x:c r="I248" s="94" t="str">
        <x:v>技术团队</x:v>
      </x:c>
      <x:c r="J248" s="94" t="str">
        <x:v>模拟项目运营成本；统一折算USD</x:v>
      </x:c>
    </x:row>
    <x:row r="249">
      <x:c r="A249" s="92" t="str">
        <x:v>COST-0248</x:v>
      </x:c>
      <x:c r="B249" s="94" t="str">
        <x:v>PROC-0248</x:v>
      </x:c>
      <x:c r="C249" s="93" t="n">
        <x:v>46067</x:v>
      </x:c>
      <x:c r="D249" s="94" t="str">
        <x:v>Google Ads</x:v>
      </x:c>
      <x:c r="E249" s="94" t="str">
        <x:v>数据与ETL</x:v>
      </x:c>
      <x:c r="F249" s="94" t="str">
        <x:v>按采购批次</x:v>
      </x:c>
      <x:c r="G249" s="97" t="n">
        <x:v>0.74</x:v>
      </x:c>
      <x:c r="H249" s="94" t="str">
        <x:v>变动</x:v>
      </x:c>
      <x:c r="I249" s="94" t="str">
        <x:v>数据团队</x:v>
      </x:c>
      <x:c r="J249" s="94" t="str">
        <x:v>模拟项目运营成本；统一折算USD</x:v>
      </x:c>
    </x:row>
    <x:row r="250">
      <x:c r="A250" s="92" t="str">
        <x:v>COST-0249</x:v>
      </x:c>
      <x:c r="B250" s="94" t="str">
        <x:v>PROC-0249</x:v>
      </x:c>
      <x:c r="C250" s="93" t="n">
        <x:v>46067</x:v>
      </x:c>
      <x:c r="D250" s="94" t="str">
        <x:v>Microsoft Ads</x:v>
      </x:c>
      <x:c r="E250" s="94" t="str">
        <x:v>人工运营分摊</x:v>
      </x:c>
      <x:c r="F250" s="94" t="str">
        <x:v>按工时</x:v>
      </x:c>
      <x:c r="G250" s="97" t="n">
        <x:v>4.75</x:v>
      </x:c>
      <x:c r="H250" s="94" t="str">
        <x:v>部分固定</x:v>
      </x:c>
      <x:c r="I250" s="94" t="str">
        <x:v>运营团队</x:v>
      </x:c>
      <x:c r="J250" s="94" t="str">
        <x:v>模拟项目运营成本；统一折算USD</x:v>
      </x:c>
    </x:row>
    <x:row r="251">
      <x:c r="A251" s="92" t="str">
        <x:v>COST-0250</x:v>
      </x:c>
      <x:c r="B251" s="94" t="str">
        <x:v>PROC-0250</x:v>
      </x:c>
      <x:c r="C251" s="93" t="n">
        <x:v>46068</x:v>
      </x:c>
      <x:c r="D251" s="94" t="str">
        <x:v>Google Ads</x:v>
      </x:c>
      <x:c r="E251" s="94" t="str">
        <x:v>数据与ETL</x:v>
      </x:c>
      <x:c r="F251" s="94" t="str">
        <x:v>按采购批次</x:v>
      </x:c>
      <x:c r="G251" s="97" t="n">
        <x:v>1.81</x:v>
      </x:c>
      <x:c r="H251" s="94" t="str">
        <x:v>变动</x:v>
      </x:c>
      <x:c r="I251" s="94" t="str">
        <x:v>数据团队</x:v>
      </x:c>
      <x:c r="J251" s="94" t="str">
        <x:v>模拟项目运营成本；统一折算USD</x:v>
      </x:c>
    </x:row>
    <x:row r="252">
      <x:c r="A252" s="92" t="str">
        <x:v>COST-0251</x:v>
      </x:c>
      <x:c r="B252" s="94" t="str">
        <x:v>PROC-0251</x:v>
      </x:c>
      <x:c r="C252" s="93" t="n">
        <x:v>46068</x:v>
      </x:c>
      <x:c r="D252" s="94" t="str">
        <x:v>Google Ads</x:v>
      </x:c>
      <x:c r="E252" s="94" t="str">
        <x:v>创意素材</x:v>
      </x:c>
      <x:c r="F252" s="94" t="str">
        <x:v>按活动</x:v>
      </x:c>
      <x:c r="G252" s="97" t="n">
        <x:v>2.5</x:v>
      </x:c>
      <x:c r="H252" s="94" t="str">
        <x:v>部分固定</x:v>
      </x:c>
      <x:c r="I252" s="94" t="str">
        <x:v>增长团队</x:v>
      </x:c>
      <x:c r="J252" s="94" t="str">
        <x:v>模拟项目运营成本；统一折算USD</x:v>
      </x:c>
    </x:row>
    <x:row r="253">
      <x:c r="A253" s="92" t="str">
        <x:v>COST-0252</x:v>
      </x:c>
      <x:c r="B253" s="94" t="str">
        <x:v>PROC-0252</x:v>
      </x:c>
      <x:c r="C253" s="93" t="n">
        <x:v>46068</x:v>
      </x:c>
      <x:c r="D253" s="94" t="str">
        <x:v>Google Ads</x:v>
      </x:c>
      <x:c r="E253" s="94" t="str">
        <x:v>归因与监测工具</x:v>
      </x:c>
      <x:c r="F253" s="94" t="str">
        <x:v>按点击量</x:v>
      </x:c>
      <x:c r="G253" s="97" t="n">
        <x:v>1.18</x:v>
      </x:c>
      <x:c r="H253" s="94" t="str">
        <x:v>变动</x:v>
      </x:c>
      <x:c r="I253" s="94" t="str">
        <x:v>分析团队</x:v>
      </x:c>
      <x:c r="J253" s="94" t="str">
        <x:v>模拟项目运营成本；统一折算USD</x:v>
      </x:c>
    </x:row>
    <x:row r="254">
      <x:c r="A254" s="92" t="str">
        <x:v>COST-0253</x:v>
      </x:c>
      <x:c r="B254" s="94" t="str">
        <x:v>PROC-0253</x:v>
      </x:c>
      <x:c r="C254" s="93" t="n">
        <x:v>46068</x:v>
      </x:c>
      <x:c r="D254" s="94" t="str">
        <x:v>Google Ads</x:v>
      </x:c>
      <x:c r="E254" s="94" t="str">
        <x:v>归因与监测工具</x:v>
      </x:c>
      <x:c r="F254" s="94" t="str">
        <x:v>按点击量</x:v>
      </x:c>
      <x:c r="G254" s="97" t="n">
        <x:v>1.08</x:v>
      </x:c>
      <x:c r="H254" s="94" t="str">
        <x:v>变动</x:v>
      </x:c>
      <x:c r="I254" s="94" t="str">
        <x:v>分析团队</x:v>
      </x:c>
      <x:c r="J254" s="94" t="str">
        <x:v>模拟项目运营成本；统一折算USD</x:v>
      </x:c>
    </x:row>
    <x:row r="255">
      <x:c r="A255" s="92" t="str">
        <x:v>COST-0254</x:v>
      </x:c>
      <x:c r="B255" s="94" t="str">
        <x:v>PROC-0254</x:v>
      </x:c>
      <x:c r="C255" s="93" t="n">
        <x:v>46068</x:v>
      </x:c>
      <x:c r="D255" s="94" t="str">
        <x:v>Microsoft Ads</x:v>
      </x:c>
      <x:c r="E255" s="94" t="str">
        <x:v>归因与监测工具</x:v>
      </x:c>
      <x:c r="F255" s="94" t="str">
        <x:v>按点击量</x:v>
      </x:c>
      <x:c r="G255" s="97" t="n">
        <x:v>1.74</x:v>
      </x:c>
      <x:c r="H255" s="94" t="str">
        <x:v>变动</x:v>
      </x:c>
      <x:c r="I255" s="94" t="str">
        <x:v>分析团队</x:v>
      </x:c>
      <x:c r="J255" s="94" t="str">
        <x:v>模拟项目运营成本；统一折算USD</x:v>
      </x:c>
    </x:row>
    <x:row r="256">
      <x:c r="A256" s="92" t="str">
        <x:v>COST-0255</x:v>
      </x:c>
      <x:c r="B256" s="94" t="str">
        <x:v>PROC-0255</x:v>
      </x:c>
      <x:c r="C256" s="93" t="n">
        <x:v>46068</x:v>
      </x:c>
      <x:c r="D256" s="94" t="str">
        <x:v>Google Ads</x:v>
      </x:c>
      <x:c r="E256" s="94" t="str">
        <x:v>云主机/CDN</x:v>
      </x:c>
      <x:c r="F256" s="94" t="str">
        <x:v>按访问量</x:v>
      </x:c>
      <x:c r="G256" s="97" t="n">
        <x:v>0.48</x:v>
      </x:c>
      <x:c r="H256" s="94" t="str">
        <x:v>变动</x:v>
      </x:c>
      <x:c r="I256" s="94" t="str">
        <x:v>技术团队</x:v>
      </x:c>
      <x:c r="J256" s="94" t="str">
        <x:v>模拟项目运营成本；统一折算USD</x:v>
      </x:c>
    </x:row>
    <x:row r="257">
      <x:c r="A257" s="92" t="str">
        <x:v>COST-0256</x:v>
      </x:c>
      <x:c r="B257" s="94" t="str">
        <x:v>PROC-0256</x:v>
      </x:c>
      <x:c r="C257" s="93" t="n">
        <x:v>46069</x:v>
      </x:c>
      <x:c r="D257" s="94" t="str">
        <x:v>Microsoft Ads</x:v>
      </x:c>
      <x:c r="E257" s="94" t="str">
        <x:v>创意素材</x:v>
      </x:c>
      <x:c r="F257" s="94" t="str">
        <x:v>按活动</x:v>
      </x:c>
      <x:c r="G257" s="97" t="n">
        <x:v>2.47</x:v>
      </x:c>
      <x:c r="H257" s="94" t="str">
        <x:v>部分固定</x:v>
      </x:c>
      <x:c r="I257" s="94" t="str">
        <x:v>增长团队</x:v>
      </x:c>
      <x:c r="J257" s="94" t="str">
        <x:v>模拟项目运营成本；统一折算USD</x:v>
      </x:c>
    </x:row>
    <x:row r="258">
      <x:c r="A258" s="92" t="str">
        <x:v>COST-0257</x:v>
      </x:c>
      <x:c r="B258" s="94" t="str">
        <x:v>PROC-0257</x:v>
      </x:c>
      <x:c r="C258" s="93" t="n">
        <x:v>46069</x:v>
      </x:c>
      <x:c r="D258" s="94" t="str">
        <x:v>Google Ads</x:v>
      </x:c>
      <x:c r="E258" s="94" t="str">
        <x:v>数据与ETL</x:v>
      </x:c>
      <x:c r="F258" s="94" t="str">
        <x:v>按采购批次</x:v>
      </x:c>
      <x:c r="G258" s="97" t="n">
        <x:v>1.34</x:v>
      </x:c>
      <x:c r="H258" s="94" t="str">
        <x:v>变动</x:v>
      </x:c>
      <x:c r="I258" s="94" t="str">
        <x:v>数据团队</x:v>
      </x:c>
      <x:c r="J258" s="94" t="str">
        <x:v>模拟项目运营成本；统一折算USD</x:v>
      </x:c>
    </x:row>
    <x:row r="259">
      <x:c r="A259" s="92" t="str">
        <x:v>COST-0258</x:v>
      </x:c>
      <x:c r="B259" s="94" t="str">
        <x:v>PROC-0258</x:v>
      </x:c>
      <x:c r="C259" s="93" t="n">
        <x:v>46069</x:v>
      </x:c>
      <x:c r="D259" s="94" t="str">
        <x:v>Microsoft Ads</x:v>
      </x:c>
      <x:c r="E259" s="94" t="str">
        <x:v>创意素材</x:v>
      </x:c>
      <x:c r="F259" s="94" t="str">
        <x:v>按活动</x:v>
      </x:c>
      <x:c r="G259" s="97" t="n">
        <x:v>2.68</x:v>
      </x:c>
      <x:c r="H259" s="94" t="str">
        <x:v>部分固定</x:v>
      </x:c>
      <x:c r="I259" s="94" t="str">
        <x:v>增长团队</x:v>
      </x:c>
      <x:c r="J259" s="94" t="str">
        <x:v>模拟项目运营成本；统一折算USD</x:v>
      </x:c>
    </x:row>
    <x:row r="260">
      <x:c r="A260" s="92" t="str">
        <x:v>COST-0259</x:v>
      </x:c>
      <x:c r="B260" s="94" t="str">
        <x:v>PROC-0259</x:v>
      </x:c>
      <x:c r="C260" s="93" t="n">
        <x:v>46069</x:v>
      </x:c>
      <x:c r="D260" s="94" t="str">
        <x:v>Google Ads</x:v>
      </x:c>
      <x:c r="E260" s="94" t="str">
        <x:v>数据与ETL</x:v>
      </x:c>
      <x:c r="F260" s="94" t="str">
        <x:v>按采购批次</x:v>
      </x:c>
      <x:c r="G260" s="97" t="n">
        <x:v>0.91</x:v>
      </x:c>
      <x:c r="H260" s="94" t="str">
        <x:v>变动</x:v>
      </x:c>
      <x:c r="I260" s="94" t="str">
        <x:v>数据团队</x:v>
      </x:c>
      <x:c r="J260" s="94" t="str">
        <x:v>模拟项目运营成本；统一折算USD</x:v>
      </x:c>
    </x:row>
    <x:row r="261">
      <x:c r="A261" s="92" t="str">
        <x:v>COST-0260</x:v>
      </x:c>
      <x:c r="B261" s="94" t="str">
        <x:v>PROC-0260</x:v>
      </x:c>
      <x:c r="C261" s="93" t="n">
        <x:v>46069</x:v>
      </x:c>
      <x:c r="D261" s="94" t="str">
        <x:v>Microsoft Ads</x:v>
      </x:c>
      <x:c r="E261" s="94" t="str">
        <x:v>数据与ETL</x:v>
      </x:c>
      <x:c r="F261" s="94" t="str">
        <x:v>按采购批次</x:v>
      </x:c>
      <x:c r="G261" s="97" t="n">
        <x:v>0.62</x:v>
      </x:c>
      <x:c r="H261" s="94" t="str">
        <x:v>变动</x:v>
      </x:c>
      <x:c r="I261" s="94" t="str">
        <x:v>数据团队</x:v>
      </x:c>
      <x:c r="J261" s="94" t="str">
        <x:v>模拟项目运营成本；统一折算USD</x:v>
      </x:c>
    </x:row>
    <x:row r="262">
      <x:c r="A262" s="92" t="str">
        <x:v>COST-0261</x:v>
      </x:c>
      <x:c r="B262" s="94" t="str">
        <x:v>PROC-0261</x:v>
      </x:c>
      <x:c r="C262" s="93" t="n">
        <x:v>46070</x:v>
      </x:c>
      <x:c r="D262" s="94" t="str">
        <x:v>Google Ads</x:v>
      </x:c>
      <x:c r="E262" s="94" t="str">
        <x:v>数据与ETL</x:v>
      </x:c>
      <x:c r="F262" s="94" t="str">
        <x:v>按采购批次</x:v>
      </x:c>
      <x:c r="G262" s="97" t="n">
        <x:v>1.22</x:v>
      </x:c>
      <x:c r="H262" s="94" t="str">
        <x:v>变动</x:v>
      </x:c>
      <x:c r="I262" s="94" t="str">
        <x:v>数据团队</x:v>
      </x:c>
      <x:c r="J262" s="94" t="str">
        <x:v>模拟项目运营成本；统一折算USD</x:v>
      </x:c>
    </x:row>
    <x:row r="263">
      <x:c r="A263" s="92" t="str">
        <x:v>COST-0262</x:v>
      </x:c>
      <x:c r="B263" s="94" t="str">
        <x:v>PROC-0262</x:v>
      </x:c>
      <x:c r="C263" s="93" t="n">
        <x:v>46070</x:v>
      </x:c>
      <x:c r="D263" s="94" t="str">
        <x:v>Google Ads</x:v>
      </x:c>
      <x:c r="E263" s="94" t="str">
        <x:v>云主机/CDN</x:v>
      </x:c>
      <x:c r="F263" s="94" t="str">
        <x:v>按访问量</x:v>
      </x:c>
      <x:c r="G263" s="97" t="n">
        <x:v>0.83</x:v>
      </x:c>
      <x:c r="H263" s="94" t="str">
        <x:v>变动</x:v>
      </x:c>
      <x:c r="I263" s="94" t="str">
        <x:v>技术团队</x:v>
      </x:c>
      <x:c r="J263" s="94" t="str">
        <x:v>模拟项目运营成本；统一折算USD</x:v>
      </x:c>
    </x:row>
    <x:row r="264">
      <x:c r="A264" s="92" t="str">
        <x:v>COST-0263</x:v>
      </x:c>
      <x:c r="B264" s="94" t="str">
        <x:v>PROC-0263</x:v>
      </x:c>
      <x:c r="C264" s="93" t="n">
        <x:v>46070</x:v>
      </x:c>
      <x:c r="D264" s="94" t="str">
        <x:v>Microsoft Ads</x:v>
      </x:c>
      <x:c r="E264" s="94" t="str">
        <x:v>创意素材</x:v>
      </x:c>
      <x:c r="F264" s="94" t="str">
        <x:v>按活动</x:v>
      </x:c>
      <x:c r="G264" s="97" t="n">
        <x:v>1.31</x:v>
      </x:c>
      <x:c r="H264" s="94" t="str">
        <x:v>部分固定</x:v>
      </x:c>
      <x:c r="I264" s="94" t="str">
        <x:v>增长团队</x:v>
      </x:c>
      <x:c r="J264" s="94" t="str">
        <x:v>模拟项目运营成本；统一折算USD</x:v>
      </x:c>
    </x:row>
    <x:row r="265">
      <x:c r="A265" s="92" t="str">
        <x:v>COST-0264</x:v>
      </x:c>
      <x:c r="B265" s="94" t="str">
        <x:v>PROC-0264</x:v>
      </x:c>
      <x:c r="C265" s="93" t="n">
        <x:v>46070</x:v>
      </x:c>
      <x:c r="D265" s="94" t="str">
        <x:v>Google Ads</x:v>
      </x:c>
      <x:c r="E265" s="94" t="str">
        <x:v>数据与ETL</x:v>
      </x:c>
      <x:c r="F265" s="94" t="str">
        <x:v>按采购批次</x:v>
      </x:c>
      <x:c r="G265" s="97" t="n">
        <x:v>0.51</x:v>
      </x:c>
      <x:c r="H265" s="94" t="str">
        <x:v>变动</x:v>
      </x:c>
      <x:c r="I265" s="94" t="str">
        <x:v>数据团队</x:v>
      </x:c>
      <x:c r="J265" s="94" t="str">
        <x:v>模拟项目运营成本；统一折算USD</x:v>
      </x:c>
    </x:row>
    <x:row r="266">
      <x:c r="A266" s="92" t="str">
        <x:v>COST-0265</x:v>
      </x:c>
      <x:c r="B266" s="94" t="str">
        <x:v>PROC-0265</x:v>
      </x:c>
      <x:c r="C266" s="93" t="n">
        <x:v>46070</x:v>
      </x:c>
      <x:c r="D266" s="94" t="str">
        <x:v>Microsoft Ads</x:v>
      </x:c>
      <x:c r="E266" s="94" t="str">
        <x:v>人工运营分摊</x:v>
      </x:c>
      <x:c r="F266" s="94" t="str">
        <x:v>按工时</x:v>
      </x:c>
      <x:c r="G266" s="97" t="n">
        <x:v>3.07</x:v>
      </x:c>
      <x:c r="H266" s="94" t="str">
        <x:v>部分固定</x:v>
      </x:c>
      <x:c r="I266" s="94" t="str">
        <x:v>运营团队</x:v>
      </x:c>
      <x:c r="J266" s="94" t="str">
        <x:v>模拟项目运营成本；统一折算USD</x:v>
      </x:c>
    </x:row>
    <x:row r="267">
      <x:c r="A267" s="92" t="str">
        <x:v>COST-0266</x:v>
      </x:c>
      <x:c r="B267" s="94" t="str">
        <x:v>PROC-0266</x:v>
      </x:c>
      <x:c r="C267" s="93" t="n">
        <x:v>46070</x:v>
      </x:c>
      <x:c r="D267" s="94" t="str">
        <x:v>Microsoft Ads</x:v>
      </x:c>
      <x:c r="E267" s="94" t="str">
        <x:v>归因与监测工具</x:v>
      </x:c>
      <x:c r="F267" s="94" t="str">
        <x:v>按点击量</x:v>
      </x:c>
      <x:c r="G267" s="97" t="n">
        <x:v>0.92</x:v>
      </x:c>
      <x:c r="H267" s="94" t="str">
        <x:v>变动</x:v>
      </x:c>
      <x:c r="I267" s="94" t="str">
        <x:v>分析团队</x:v>
      </x:c>
      <x:c r="J267" s="94" t="str">
        <x:v>模拟项目运营成本；统一折算USD</x:v>
      </x:c>
    </x:row>
    <x:row r="268">
      <x:c r="A268" s="92" t="str">
        <x:v>COST-0267</x:v>
      </x:c>
      <x:c r="B268" s="94" t="str">
        <x:v>PROC-0267</x:v>
      </x:c>
      <x:c r="C268" s="93" t="n">
        <x:v>46071</x:v>
      </x:c>
      <x:c r="D268" s="94" t="str">
        <x:v>Google Ads</x:v>
      </x:c>
      <x:c r="E268" s="94" t="str">
        <x:v>数据与ETL</x:v>
      </x:c>
      <x:c r="F268" s="94" t="str">
        <x:v>按采购批次</x:v>
      </x:c>
      <x:c r="G268" s="97" t="n">
        <x:v>0.65</x:v>
      </x:c>
      <x:c r="H268" s="94" t="str">
        <x:v>变动</x:v>
      </x:c>
      <x:c r="I268" s="94" t="str">
        <x:v>数据团队</x:v>
      </x:c>
      <x:c r="J268" s="94" t="str">
        <x:v>模拟项目运营成本；统一折算USD</x:v>
      </x:c>
    </x:row>
    <x:row r="269">
      <x:c r="A269" s="92" t="str">
        <x:v>COST-0268</x:v>
      </x:c>
      <x:c r="B269" s="94" t="str">
        <x:v>PROC-0268</x:v>
      </x:c>
      <x:c r="C269" s="93" t="n">
        <x:v>46071</x:v>
      </x:c>
      <x:c r="D269" s="94" t="str">
        <x:v>Microsoft Ads</x:v>
      </x:c>
      <x:c r="E269" s="94" t="str">
        <x:v>云主机/CDN</x:v>
      </x:c>
      <x:c r="F269" s="94" t="str">
        <x:v>按访问量</x:v>
      </x:c>
      <x:c r="G269" s="97" t="n">
        <x:v>0.47</x:v>
      </x:c>
      <x:c r="H269" s="94" t="str">
        <x:v>变动</x:v>
      </x:c>
      <x:c r="I269" s="94" t="str">
        <x:v>技术团队</x:v>
      </x:c>
      <x:c r="J269" s="94" t="str">
        <x:v>模拟项目运营成本；统一折算USD</x:v>
      </x:c>
    </x:row>
    <x:row r="270">
      <x:c r="A270" s="92" t="str">
        <x:v>COST-0269</x:v>
      </x:c>
      <x:c r="B270" s="94" t="str">
        <x:v>PROC-0269</x:v>
      </x:c>
      <x:c r="C270" s="93" t="n">
        <x:v>46071</x:v>
      </x:c>
      <x:c r="D270" s="94" t="str">
        <x:v>Google Ads</x:v>
      </x:c>
      <x:c r="E270" s="94" t="str">
        <x:v>云主机/CDN</x:v>
      </x:c>
      <x:c r="F270" s="94" t="str">
        <x:v>按访问量</x:v>
      </x:c>
      <x:c r="G270" s="97" t="n">
        <x:v>0.59</x:v>
      </x:c>
      <x:c r="H270" s="94" t="str">
        <x:v>变动</x:v>
      </x:c>
      <x:c r="I270" s="94" t="str">
        <x:v>技术团队</x:v>
      </x:c>
      <x:c r="J270" s="94" t="str">
        <x:v>模拟项目运营成本；统一折算USD</x:v>
      </x:c>
    </x:row>
    <x:row r="271">
      <x:c r="A271" s="92" t="str">
        <x:v>COST-0270</x:v>
      </x:c>
      <x:c r="B271" s="94" t="str">
        <x:v>PROC-0270</x:v>
      </x:c>
      <x:c r="C271" s="93" t="n">
        <x:v>46071</x:v>
      </x:c>
      <x:c r="D271" s="94" t="str">
        <x:v>Google Ads</x:v>
      </x:c>
      <x:c r="E271" s="94" t="str">
        <x:v>云主机/CDN</x:v>
      </x:c>
      <x:c r="F271" s="94" t="str">
        <x:v>按访问量</x:v>
      </x:c>
      <x:c r="G271" s="97" t="n">
        <x:v>0.77</x:v>
      </x:c>
      <x:c r="H271" s="94" t="str">
        <x:v>变动</x:v>
      </x:c>
      <x:c r="I271" s="94" t="str">
        <x:v>技术团队</x:v>
      </x:c>
      <x:c r="J271" s="94" t="str">
        <x:v>模拟项目运营成本；统一折算USD</x:v>
      </x:c>
    </x:row>
    <x:row r="272">
      <x:c r="A272" s="92" t="str">
        <x:v>COST-0271</x:v>
      </x:c>
      <x:c r="B272" s="94" t="str">
        <x:v>PROC-0271</x:v>
      </x:c>
      <x:c r="C272" s="93" t="n">
        <x:v>46071</x:v>
      </x:c>
      <x:c r="D272" s="94" t="str">
        <x:v>Google Ads</x:v>
      </x:c>
      <x:c r="E272" s="94" t="str">
        <x:v>云主机/CDN</x:v>
      </x:c>
      <x:c r="F272" s="94" t="str">
        <x:v>按访问量</x:v>
      </x:c>
      <x:c r="G272" s="97" t="n">
        <x:v>1.17</x:v>
      </x:c>
      <x:c r="H272" s="94" t="str">
        <x:v>变动</x:v>
      </x:c>
      <x:c r="I272" s="94" t="str">
        <x:v>技术团队</x:v>
      </x:c>
      <x:c r="J272" s="94" t="str">
        <x:v>模拟项目运营成本；统一折算USD</x:v>
      </x:c>
    </x:row>
    <x:row r="273">
      <x:c r="A273" s="92" t="str">
        <x:v>COST-0272</x:v>
      </x:c>
      <x:c r="B273" s="94" t="str">
        <x:v>PROC-0272</x:v>
      </x:c>
      <x:c r="C273" s="93" t="n">
        <x:v>46072</x:v>
      </x:c>
      <x:c r="D273" s="94" t="str">
        <x:v>Google Ads</x:v>
      </x:c>
      <x:c r="E273" s="94" t="str">
        <x:v>数据与ETL</x:v>
      </x:c>
      <x:c r="F273" s="94" t="str">
        <x:v>按采购批次</x:v>
      </x:c>
      <x:c r="G273" s="97" t="n">
        <x:v>0.63</x:v>
      </x:c>
      <x:c r="H273" s="94" t="str">
        <x:v>变动</x:v>
      </x:c>
      <x:c r="I273" s="94" t="str">
        <x:v>数据团队</x:v>
      </x:c>
      <x:c r="J273" s="94" t="str">
        <x:v>模拟项目运营成本；统一折算USD</x:v>
      </x:c>
    </x:row>
    <x:row r="274">
      <x:c r="A274" s="92" t="str">
        <x:v>COST-0273</x:v>
      </x:c>
      <x:c r="B274" s="94" t="str">
        <x:v>PROC-0273</x:v>
      </x:c>
      <x:c r="C274" s="93" t="n">
        <x:v>46072</x:v>
      </x:c>
      <x:c r="D274" s="94" t="str">
        <x:v>Microsoft Ads</x:v>
      </x:c>
      <x:c r="E274" s="94" t="str">
        <x:v>创意素材</x:v>
      </x:c>
      <x:c r="F274" s="94" t="str">
        <x:v>按活动</x:v>
      </x:c>
      <x:c r="G274" s="97" t="n">
        <x:v>2.34</x:v>
      </x:c>
      <x:c r="H274" s="94" t="str">
        <x:v>部分固定</x:v>
      </x:c>
      <x:c r="I274" s="94" t="str">
        <x:v>增长团队</x:v>
      </x:c>
      <x:c r="J274" s="94" t="str">
        <x:v>模拟项目运营成本；统一折算USD</x:v>
      </x:c>
    </x:row>
    <x:row r="275">
      <x:c r="A275" s="92" t="str">
        <x:v>COST-0274</x:v>
      </x:c>
      <x:c r="B275" s="94" t="str">
        <x:v>PROC-0274</x:v>
      </x:c>
      <x:c r="C275" s="93" t="n">
        <x:v>46072</x:v>
      </x:c>
      <x:c r="D275" s="94" t="str">
        <x:v>Google Ads</x:v>
      </x:c>
      <x:c r="E275" s="94" t="str">
        <x:v>人工运营分摊</x:v>
      </x:c>
      <x:c r="F275" s="94" t="str">
        <x:v>按工时</x:v>
      </x:c>
      <x:c r="G275" s="97" t="n">
        <x:v>2.1</x:v>
      </x:c>
      <x:c r="H275" s="94" t="str">
        <x:v>部分固定</x:v>
      </x:c>
      <x:c r="I275" s="94" t="str">
        <x:v>运营团队</x:v>
      </x:c>
      <x:c r="J275" s="94" t="str">
        <x:v>模拟项目运营成本；统一折算USD</x:v>
      </x:c>
    </x:row>
    <x:row r="276">
      <x:c r="A276" s="92" t="str">
        <x:v>COST-0275</x:v>
      </x:c>
      <x:c r="B276" s="94" t="str">
        <x:v>PROC-0275</x:v>
      </x:c>
      <x:c r="C276" s="93" t="n">
        <x:v>46072</x:v>
      </x:c>
      <x:c r="D276" s="94" t="str">
        <x:v>Microsoft Ads</x:v>
      </x:c>
      <x:c r="E276" s="94" t="str">
        <x:v>数据与ETL</x:v>
      </x:c>
      <x:c r="F276" s="94" t="str">
        <x:v>按采购批次</x:v>
      </x:c>
      <x:c r="G276" s="97" t="n">
        <x:v>1.18</x:v>
      </x:c>
      <x:c r="H276" s="94" t="str">
        <x:v>变动</x:v>
      </x:c>
      <x:c r="I276" s="94" t="str">
        <x:v>数据团队</x:v>
      </x:c>
      <x:c r="J276" s="94" t="str">
        <x:v>模拟项目运营成本；统一折算USD</x:v>
      </x:c>
    </x:row>
    <x:row r="277">
      <x:c r="A277" s="92" t="str">
        <x:v>COST-0276</x:v>
      </x:c>
      <x:c r="B277" s="94" t="str">
        <x:v>PROC-0276</x:v>
      </x:c>
      <x:c r="C277" s="93" t="n">
        <x:v>46072</x:v>
      </x:c>
      <x:c r="D277" s="94" t="str">
        <x:v>Google Ads</x:v>
      </x:c>
      <x:c r="E277" s="94" t="str">
        <x:v>云主机/CDN</x:v>
      </x:c>
      <x:c r="F277" s="94" t="str">
        <x:v>按访问量</x:v>
      </x:c>
      <x:c r="G277" s="97" t="n">
        <x:v>0.53</x:v>
      </x:c>
      <x:c r="H277" s="94" t="str">
        <x:v>变动</x:v>
      </x:c>
      <x:c r="I277" s="94" t="str">
        <x:v>技术团队</x:v>
      </x:c>
      <x:c r="J277" s="94" t="str">
        <x:v>模拟项目运营成本；统一折算USD</x:v>
      </x:c>
    </x:row>
    <x:row r="278">
      <x:c r="A278" s="92" t="str">
        <x:v>COST-0277</x:v>
      </x:c>
      <x:c r="B278" s="94" t="str">
        <x:v>PROC-0277</x:v>
      </x:c>
      <x:c r="C278" s="93" t="n">
        <x:v>46072</x:v>
      </x:c>
      <x:c r="D278" s="94" t="str">
        <x:v>Google Ads</x:v>
      </x:c>
      <x:c r="E278" s="94" t="str">
        <x:v>云主机/CDN</x:v>
      </x:c>
      <x:c r="F278" s="94" t="str">
        <x:v>按访问量</x:v>
      </x:c>
      <x:c r="G278" s="97" t="n">
        <x:v>0.84</x:v>
      </x:c>
      <x:c r="H278" s="94" t="str">
        <x:v>变动</x:v>
      </x:c>
      <x:c r="I278" s="94" t="str">
        <x:v>技术团队</x:v>
      </x:c>
      <x:c r="J278" s="94" t="str">
        <x:v>模拟项目运营成本；统一折算USD</x:v>
      </x:c>
    </x:row>
    <x:row r="279">
      <x:c r="A279" s="92" t="str">
        <x:v>COST-0278</x:v>
      </x:c>
      <x:c r="B279" s="94" t="str">
        <x:v>PROC-0278</x:v>
      </x:c>
      <x:c r="C279" s="93" t="n">
        <x:v>46073</x:v>
      </x:c>
      <x:c r="D279" s="94" t="str">
        <x:v>Google Ads</x:v>
      </x:c>
      <x:c r="E279" s="94" t="str">
        <x:v>云主机/CDN</x:v>
      </x:c>
      <x:c r="F279" s="94" t="str">
        <x:v>按访问量</x:v>
      </x:c>
      <x:c r="G279" s="97" t="n">
        <x:v>0.62</x:v>
      </x:c>
      <x:c r="H279" s="94" t="str">
        <x:v>变动</x:v>
      </x:c>
      <x:c r="I279" s="94" t="str">
        <x:v>技术团队</x:v>
      </x:c>
      <x:c r="J279" s="94" t="str">
        <x:v>模拟项目运营成本；统一折算USD</x:v>
      </x:c>
    </x:row>
    <x:row r="280">
      <x:c r="A280" s="92" t="str">
        <x:v>COST-0279</x:v>
      </x:c>
      <x:c r="B280" s="94" t="str">
        <x:v>PROC-0279</x:v>
      </x:c>
      <x:c r="C280" s="93" t="n">
        <x:v>46073</x:v>
      </x:c>
      <x:c r="D280" s="94" t="str">
        <x:v>Microsoft Ads</x:v>
      </x:c>
      <x:c r="E280" s="94" t="str">
        <x:v>归因与监测工具</x:v>
      </x:c>
      <x:c r="F280" s="94" t="str">
        <x:v>按点击量</x:v>
      </x:c>
      <x:c r="G280" s="97" t="n">
        <x:v>0.63</x:v>
      </x:c>
      <x:c r="H280" s="94" t="str">
        <x:v>变动</x:v>
      </x:c>
      <x:c r="I280" s="94" t="str">
        <x:v>分析团队</x:v>
      </x:c>
      <x:c r="J280" s="94" t="str">
        <x:v>模拟项目运营成本；统一折算USD</x:v>
      </x:c>
    </x:row>
    <x:row r="281">
      <x:c r="A281" s="92" t="str">
        <x:v>COST-0280</x:v>
      </x:c>
      <x:c r="B281" s="94" t="str">
        <x:v>PROC-0280</x:v>
      </x:c>
      <x:c r="C281" s="93" t="n">
        <x:v>46073</x:v>
      </x:c>
      <x:c r="D281" s="94" t="str">
        <x:v>Google Ads</x:v>
      </x:c>
      <x:c r="E281" s="94" t="str">
        <x:v>云主机/CDN</x:v>
      </x:c>
      <x:c r="F281" s="94" t="str">
        <x:v>按访问量</x:v>
      </x:c>
      <x:c r="G281" s="97" t="n">
        <x:v>0.43</x:v>
      </x:c>
      <x:c r="H281" s="94" t="str">
        <x:v>变动</x:v>
      </x:c>
      <x:c r="I281" s="94" t="str">
        <x:v>技术团队</x:v>
      </x:c>
      <x:c r="J281" s="94" t="str">
        <x:v>模拟项目运营成本；统一折算USD</x:v>
      </x:c>
    </x:row>
    <x:row r="282">
      <x:c r="A282" s="92" t="str">
        <x:v>COST-0281</x:v>
      </x:c>
      <x:c r="B282" s="94" t="str">
        <x:v>PROC-0281</x:v>
      </x:c>
      <x:c r="C282" s="93" t="n">
        <x:v>46073</x:v>
      </x:c>
      <x:c r="D282" s="94" t="str">
        <x:v>Google Ads</x:v>
      </x:c>
      <x:c r="E282" s="94" t="str">
        <x:v>云主机/CDN</x:v>
      </x:c>
      <x:c r="F282" s="94" t="str">
        <x:v>按访问量</x:v>
      </x:c>
      <x:c r="G282" s="97" t="n">
        <x:v>0.3</x:v>
      </x:c>
      <x:c r="H282" s="94" t="str">
        <x:v>变动</x:v>
      </x:c>
      <x:c r="I282" s="94" t="str">
        <x:v>技术团队</x:v>
      </x:c>
      <x:c r="J282" s="94" t="str">
        <x:v>模拟项目运营成本；统一折算USD</x:v>
      </x:c>
    </x:row>
    <x:row r="283">
      <x:c r="A283" s="92" t="str">
        <x:v>COST-0282</x:v>
      </x:c>
      <x:c r="B283" s="94" t="str">
        <x:v>PROC-0282</x:v>
      </x:c>
      <x:c r="C283" s="93" t="n">
        <x:v>46073</x:v>
      </x:c>
      <x:c r="D283" s="94" t="str">
        <x:v>Google Ads</x:v>
      </x:c>
      <x:c r="E283" s="94" t="str">
        <x:v>归因与监测工具</x:v>
      </x:c>
      <x:c r="F283" s="94" t="str">
        <x:v>按点击量</x:v>
      </x:c>
      <x:c r="G283" s="97" t="n">
        <x:v>1.26</x:v>
      </x:c>
      <x:c r="H283" s="94" t="str">
        <x:v>变动</x:v>
      </x:c>
      <x:c r="I283" s="94" t="str">
        <x:v>分析团队</x:v>
      </x:c>
      <x:c r="J283" s="94" t="str">
        <x:v>模拟项目运营成本；统一折算USD</x:v>
      </x:c>
    </x:row>
    <x:row r="284">
      <x:c r="A284" s="92" t="str">
        <x:v>COST-0283</x:v>
      </x:c>
      <x:c r="B284" s="94" t="str">
        <x:v>PROC-0283</x:v>
      </x:c>
      <x:c r="C284" s="93" t="n">
        <x:v>46074</x:v>
      </x:c>
      <x:c r="D284" s="94" t="str">
        <x:v>Google Ads</x:v>
      </x:c>
      <x:c r="E284" s="94" t="str">
        <x:v>数据与ETL</x:v>
      </x:c>
      <x:c r="F284" s="94" t="str">
        <x:v>按采购批次</x:v>
      </x:c>
      <x:c r="G284" s="97" t="n">
        <x:v>1.78</x:v>
      </x:c>
      <x:c r="H284" s="94" t="str">
        <x:v>变动</x:v>
      </x:c>
      <x:c r="I284" s="94" t="str">
        <x:v>数据团队</x:v>
      </x:c>
      <x:c r="J284" s="94" t="str">
        <x:v>模拟项目运营成本；统一折算USD</x:v>
      </x:c>
    </x:row>
    <x:row r="285">
      <x:c r="A285" s="92" t="str">
        <x:v>COST-0284</x:v>
      </x:c>
      <x:c r="B285" s="94" t="str">
        <x:v>PROC-0284</x:v>
      </x:c>
      <x:c r="C285" s="93" t="n">
        <x:v>46074</x:v>
      </x:c>
      <x:c r="D285" s="94" t="str">
        <x:v>Google Ads</x:v>
      </x:c>
      <x:c r="E285" s="94" t="str">
        <x:v>创意素材</x:v>
      </x:c>
      <x:c r="F285" s="94" t="str">
        <x:v>按活动</x:v>
      </x:c>
      <x:c r="G285" s="97" t="n">
        <x:v>2.27</x:v>
      </x:c>
      <x:c r="H285" s="94" t="str">
        <x:v>部分固定</x:v>
      </x:c>
      <x:c r="I285" s="94" t="str">
        <x:v>增长团队</x:v>
      </x:c>
      <x:c r="J285" s="94" t="str">
        <x:v>模拟项目运营成本；统一折算USD</x:v>
      </x:c>
    </x:row>
    <x:row r="286">
      <x:c r="A286" s="92" t="str">
        <x:v>COST-0285</x:v>
      </x:c>
      <x:c r="B286" s="94" t="str">
        <x:v>PROC-0285</x:v>
      </x:c>
      <x:c r="C286" s="93" t="n">
        <x:v>46074</x:v>
      </x:c>
      <x:c r="D286" s="94" t="str">
        <x:v>Microsoft Ads</x:v>
      </x:c>
      <x:c r="E286" s="94" t="str">
        <x:v>创意素材</x:v>
      </x:c>
      <x:c r="F286" s="94" t="str">
        <x:v>按活动</x:v>
      </x:c>
      <x:c r="G286" s="97" t="n">
        <x:v>2.77</x:v>
      </x:c>
      <x:c r="H286" s="94" t="str">
        <x:v>部分固定</x:v>
      </x:c>
      <x:c r="I286" s="94" t="str">
        <x:v>增长团队</x:v>
      </x:c>
      <x:c r="J286" s="94" t="str">
        <x:v>模拟项目运营成本；统一折算USD</x:v>
      </x:c>
    </x:row>
    <x:row r="287">
      <x:c r="A287" s="92" t="str">
        <x:v>COST-0286</x:v>
      </x:c>
      <x:c r="B287" s="94" t="str">
        <x:v>PROC-0286</x:v>
      </x:c>
      <x:c r="C287" s="93" t="n">
        <x:v>46074</x:v>
      </x:c>
      <x:c r="D287" s="94" t="str">
        <x:v>Google Ads</x:v>
      </x:c>
      <x:c r="E287" s="94" t="str">
        <x:v>数据与ETL</x:v>
      </x:c>
      <x:c r="F287" s="94" t="str">
        <x:v>按采购批次</x:v>
      </x:c>
      <x:c r="G287" s="97" t="n">
        <x:v>0.91</x:v>
      </x:c>
      <x:c r="H287" s="94" t="str">
        <x:v>变动</x:v>
      </x:c>
      <x:c r="I287" s="94" t="str">
        <x:v>数据团队</x:v>
      </x:c>
      <x:c r="J287" s="94" t="str">
        <x:v>模拟项目运营成本；统一折算USD</x:v>
      </x:c>
    </x:row>
    <x:row r="288">
      <x:c r="A288" s="92" t="str">
        <x:v>COST-0287</x:v>
      </x:c>
      <x:c r="B288" s="94" t="str">
        <x:v>PROC-0287</x:v>
      </x:c>
      <x:c r="C288" s="93" t="n">
        <x:v>46074</x:v>
      </x:c>
      <x:c r="D288" s="94" t="str">
        <x:v>Google Ads</x:v>
      </x:c>
      <x:c r="E288" s="94" t="str">
        <x:v>数据与ETL</x:v>
      </x:c>
      <x:c r="F288" s="94" t="str">
        <x:v>按采购批次</x:v>
      </x:c>
      <x:c r="G288" s="97" t="n">
        <x:v>1.71</x:v>
      </x:c>
      <x:c r="H288" s="94" t="str">
        <x:v>变动</x:v>
      </x:c>
      <x:c r="I288" s="94" t="str">
        <x:v>数据团队</x:v>
      </x:c>
      <x:c r="J288" s="94" t="str">
        <x:v>模拟项目运营成本；统一折算USD</x:v>
      </x:c>
    </x:row>
    <x:row r="289">
      <x:c r="A289" s="92" t="str">
        <x:v>COST-0288</x:v>
      </x:c>
      <x:c r="B289" s="94" t="str">
        <x:v>PROC-0288</x:v>
      </x:c>
      <x:c r="C289" s="93" t="n">
        <x:v>46074</x:v>
      </x:c>
      <x:c r="D289" s="94" t="str">
        <x:v>Google Ads</x:v>
      </x:c>
      <x:c r="E289" s="94" t="str">
        <x:v>云主机/CDN</x:v>
      </x:c>
      <x:c r="F289" s="94" t="str">
        <x:v>按访问量</x:v>
      </x:c>
      <x:c r="G289" s="97" t="n">
        <x:v>0.87</x:v>
      </x:c>
      <x:c r="H289" s="94" t="str">
        <x:v>变动</x:v>
      </x:c>
      <x:c r="I289" s="94" t="str">
        <x:v>技术团队</x:v>
      </x:c>
      <x:c r="J289" s="94" t="str">
        <x:v>模拟项目运营成本；统一折算USD</x:v>
      </x:c>
    </x:row>
    <x:row r="290">
      <x:c r="A290" s="92" t="str">
        <x:v>COST-0289</x:v>
      </x:c>
      <x:c r="B290" s="94" t="str">
        <x:v>PROC-0289</x:v>
      </x:c>
      <x:c r="C290" s="93" t="n">
        <x:v>46075</x:v>
      </x:c>
      <x:c r="D290" s="94" t="str">
        <x:v>Google Ads</x:v>
      </x:c>
      <x:c r="E290" s="94" t="str">
        <x:v>人工运营分摊</x:v>
      </x:c>
      <x:c r="F290" s="94" t="str">
        <x:v>按工时</x:v>
      </x:c>
      <x:c r="G290" s="97" t="n">
        <x:v>1.7</x:v>
      </x:c>
      <x:c r="H290" s="94" t="str">
        <x:v>部分固定</x:v>
      </x:c>
      <x:c r="I290" s="94" t="str">
        <x:v>运营团队</x:v>
      </x:c>
      <x:c r="J290" s="94" t="str">
        <x:v>模拟项目运营成本；统一折算USD</x:v>
      </x:c>
    </x:row>
    <x:row r="291">
      <x:c r="A291" s="92" t="str">
        <x:v>COST-0290</x:v>
      </x:c>
      <x:c r="B291" s="94" t="str">
        <x:v>PROC-0290</x:v>
      </x:c>
      <x:c r="C291" s="93" t="n">
        <x:v>46075</x:v>
      </x:c>
      <x:c r="D291" s="94" t="str">
        <x:v>Google Ads</x:v>
      </x:c>
      <x:c r="E291" s="94" t="str">
        <x:v>人工运营分摊</x:v>
      </x:c>
      <x:c r="F291" s="94" t="str">
        <x:v>按工时</x:v>
      </x:c>
      <x:c r="G291" s="97" t="n">
        <x:v>2.6</x:v>
      </x:c>
      <x:c r="H291" s="94" t="str">
        <x:v>部分固定</x:v>
      </x:c>
      <x:c r="I291" s="94" t="str">
        <x:v>运营团队</x:v>
      </x:c>
      <x:c r="J291" s="94" t="str">
        <x:v>模拟项目运营成本；统一折算USD</x:v>
      </x:c>
    </x:row>
    <x:row r="292">
      <x:c r="A292" s="92" t="str">
        <x:v>COST-0291</x:v>
      </x:c>
      <x:c r="B292" s="94" t="str">
        <x:v>PROC-0291</x:v>
      </x:c>
      <x:c r="C292" s="93" t="n">
        <x:v>46075</x:v>
      </x:c>
      <x:c r="D292" s="94" t="str">
        <x:v>Google Ads</x:v>
      </x:c>
      <x:c r="E292" s="94" t="str">
        <x:v>云主机/CDN</x:v>
      </x:c>
      <x:c r="F292" s="94" t="str">
        <x:v>按访问量</x:v>
      </x:c>
      <x:c r="G292" s="97" t="n">
        <x:v>0.53</x:v>
      </x:c>
      <x:c r="H292" s="94" t="str">
        <x:v>变动</x:v>
      </x:c>
      <x:c r="I292" s="94" t="str">
        <x:v>技术团队</x:v>
      </x:c>
      <x:c r="J292" s="94" t="str">
        <x:v>模拟项目运营成本；统一折算USD</x:v>
      </x:c>
    </x:row>
    <x:row r="293">
      <x:c r="A293" s="92" t="str">
        <x:v>COST-0292</x:v>
      </x:c>
      <x:c r="B293" s="94" t="str">
        <x:v>PROC-0292</x:v>
      </x:c>
      <x:c r="C293" s="93" t="n">
        <x:v>46075</x:v>
      </x:c>
      <x:c r="D293" s="94" t="str">
        <x:v>Microsoft Ads</x:v>
      </x:c>
      <x:c r="E293" s="94" t="str">
        <x:v>创意素材</x:v>
      </x:c>
      <x:c r="F293" s="94" t="str">
        <x:v>按活动</x:v>
      </x:c>
      <x:c r="G293" s="97" t="n">
        <x:v>3.21</x:v>
      </x:c>
      <x:c r="H293" s="94" t="str">
        <x:v>部分固定</x:v>
      </x:c>
      <x:c r="I293" s="94" t="str">
        <x:v>增长团队</x:v>
      </x:c>
      <x:c r="J293" s="94" t="str">
        <x:v>模拟项目运营成本；统一折算USD</x:v>
      </x:c>
    </x:row>
    <x:row r="294">
      <x:c r="A294" s="92" t="str">
        <x:v>COST-0293</x:v>
      </x:c>
      <x:c r="B294" s="94" t="str">
        <x:v>PROC-0293</x:v>
      </x:c>
      <x:c r="C294" s="93" t="n">
        <x:v>46075</x:v>
      </x:c>
      <x:c r="D294" s="94" t="str">
        <x:v>Microsoft Ads</x:v>
      </x:c>
      <x:c r="E294" s="94" t="str">
        <x:v>人工运营分摊</x:v>
      </x:c>
      <x:c r="F294" s="94" t="str">
        <x:v>按工时</x:v>
      </x:c>
      <x:c r="G294" s="97" t="n">
        <x:v>5</x:v>
      </x:c>
      <x:c r="H294" s="94" t="str">
        <x:v>部分固定</x:v>
      </x:c>
      <x:c r="I294" s="94" t="str">
        <x:v>运营团队</x:v>
      </x:c>
      <x:c r="J294" s="94" t="str">
        <x:v>模拟项目运营成本；统一折算USD</x:v>
      </x:c>
    </x:row>
    <x:row r="295">
      <x:c r="A295" s="92" t="str">
        <x:v>COST-0294</x:v>
      </x:c>
      <x:c r="B295" s="94" t="str">
        <x:v>PROC-0294</x:v>
      </x:c>
      <x:c r="C295" s="93" t="n">
        <x:v>46076</x:v>
      </x:c>
      <x:c r="D295" s="94" t="str">
        <x:v>Google Ads</x:v>
      </x:c>
      <x:c r="E295" s="94" t="str">
        <x:v>人工运营分摊</x:v>
      </x:c>
      <x:c r="F295" s="94" t="str">
        <x:v>按工时</x:v>
      </x:c>
      <x:c r="G295" s="97" t="n">
        <x:v>3.25</x:v>
      </x:c>
      <x:c r="H295" s="94" t="str">
        <x:v>部分固定</x:v>
      </x:c>
      <x:c r="I295" s="94" t="str">
        <x:v>运营团队</x:v>
      </x:c>
      <x:c r="J295" s="94" t="str">
        <x:v>模拟项目运营成本；统一折算USD</x:v>
      </x:c>
    </x:row>
    <x:row r="296">
      <x:c r="A296" s="92" t="str">
        <x:v>COST-0295</x:v>
      </x:c>
      <x:c r="B296" s="94" t="str">
        <x:v>PROC-0295</x:v>
      </x:c>
      <x:c r="C296" s="93" t="n">
        <x:v>46076</x:v>
      </x:c>
      <x:c r="D296" s="94" t="str">
        <x:v>Microsoft Ads</x:v>
      </x:c>
      <x:c r="E296" s="94" t="str">
        <x:v>云主机/CDN</x:v>
      </x:c>
      <x:c r="F296" s="94" t="str">
        <x:v>按访问量</x:v>
      </x:c>
      <x:c r="G296" s="97" t="n">
        <x:v>0.99</x:v>
      </x:c>
      <x:c r="H296" s="94" t="str">
        <x:v>变动</x:v>
      </x:c>
      <x:c r="I296" s="94" t="str">
        <x:v>技术团队</x:v>
      </x:c>
      <x:c r="J296" s="94" t="str">
        <x:v>模拟项目运营成本；统一折算USD</x:v>
      </x:c>
    </x:row>
    <x:row r="297">
      <x:c r="A297" s="92" t="str">
        <x:v>COST-0296</x:v>
      </x:c>
      <x:c r="B297" s="94" t="str">
        <x:v>PROC-0296</x:v>
      </x:c>
      <x:c r="C297" s="93" t="n">
        <x:v>46076</x:v>
      </x:c>
      <x:c r="D297" s="94" t="str">
        <x:v>Microsoft Ads</x:v>
      </x:c>
      <x:c r="E297" s="94" t="str">
        <x:v>创意素材</x:v>
      </x:c>
      <x:c r="F297" s="94" t="str">
        <x:v>按活动</x:v>
      </x:c>
      <x:c r="G297" s="97" t="n">
        <x:v>1.78</x:v>
      </x:c>
      <x:c r="H297" s="94" t="str">
        <x:v>部分固定</x:v>
      </x:c>
      <x:c r="I297" s="94" t="str">
        <x:v>增长团队</x:v>
      </x:c>
      <x:c r="J297" s="94" t="str">
        <x:v>模拟项目运营成本；统一折算USD</x:v>
      </x:c>
    </x:row>
    <x:row r="298">
      <x:c r="A298" s="92" t="str">
        <x:v>COST-0297</x:v>
      </x:c>
      <x:c r="B298" s="94" t="str">
        <x:v>PROC-0297</x:v>
      </x:c>
      <x:c r="C298" s="93" t="n">
        <x:v>46076</x:v>
      </x:c>
      <x:c r="D298" s="94" t="str">
        <x:v>Google Ads</x:v>
      </x:c>
      <x:c r="E298" s="94" t="str">
        <x:v>人工运营分摊</x:v>
      </x:c>
      <x:c r="F298" s="94" t="str">
        <x:v>按工时</x:v>
      </x:c>
      <x:c r="G298" s="97" t="n">
        <x:v>1.81</x:v>
      </x:c>
      <x:c r="H298" s="94" t="str">
        <x:v>部分固定</x:v>
      </x:c>
      <x:c r="I298" s="94" t="str">
        <x:v>运营团队</x:v>
      </x:c>
      <x:c r="J298" s="94" t="str">
        <x:v>模拟项目运营成本；统一折算USD</x:v>
      </x:c>
    </x:row>
    <x:row r="299">
      <x:c r="A299" s="92" t="str">
        <x:v>COST-0298</x:v>
      </x:c>
      <x:c r="B299" s="94" t="str">
        <x:v>PROC-0298</x:v>
      </x:c>
      <x:c r="C299" s="93" t="n">
        <x:v>46076</x:v>
      </x:c>
      <x:c r="D299" s="94" t="str">
        <x:v>Microsoft Ads</x:v>
      </x:c>
      <x:c r="E299" s="94" t="str">
        <x:v>人工运营分摊</x:v>
      </x:c>
      <x:c r="F299" s="94" t="str">
        <x:v>按工时</x:v>
      </x:c>
      <x:c r="G299" s="97" t="n">
        <x:v>3.19</x:v>
      </x:c>
      <x:c r="H299" s="94" t="str">
        <x:v>部分固定</x:v>
      </x:c>
      <x:c r="I299" s="94" t="str">
        <x:v>运营团队</x:v>
      </x:c>
      <x:c r="J299" s="94" t="str">
        <x:v>模拟项目运营成本；统一折算USD</x:v>
      </x:c>
    </x:row>
    <x:row r="300">
      <x:c r="A300" s="92" t="str">
        <x:v>COST-0299</x:v>
      </x:c>
      <x:c r="B300" s="94" t="str">
        <x:v>PROC-0299</x:v>
      </x:c>
      <x:c r="C300" s="93" t="n">
        <x:v>46076</x:v>
      </x:c>
      <x:c r="D300" s="94" t="str">
        <x:v>Google Ads</x:v>
      </x:c>
      <x:c r="E300" s="94" t="str">
        <x:v>云主机/CDN</x:v>
      </x:c>
      <x:c r="F300" s="94" t="str">
        <x:v>按访问量</x:v>
      </x:c>
      <x:c r="G300" s="97" t="n">
        <x:v>0.55</x:v>
      </x:c>
      <x:c r="H300" s="94" t="str">
        <x:v>变动</x:v>
      </x:c>
      <x:c r="I300" s="94" t="str">
        <x:v>技术团队</x:v>
      </x:c>
      <x:c r="J300" s="94" t="str">
        <x:v>模拟项目运营成本；统一折算USD</x:v>
      </x:c>
    </x:row>
    <x:row r="301">
      <x:c r="A301" s="92" t="str">
        <x:v>COST-0300</x:v>
      </x:c>
      <x:c r="B301" s="94" t="str">
        <x:v>PROC-0300</x:v>
      </x:c>
      <x:c r="C301" s="93" t="n">
        <x:v>46077</x:v>
      </x:c>
      <x:c r="D301" s="94" t="str">
        <x:v>Microsoft Ads</x:v>
      </x:c>
      <x:c r="E301" s="94" t="str">
        <x:v>云主机/CDN</x:v>
      </x:c>
      <x:c r="F301" s="94" t="str">
        <x:v>按访问量</x:v>
      </x:c>
      <x:c r="G301" s="97" t="n">
        <x:v>0.78</x:v>
      </x:c>
      <x:c r="H301" s="94" t="str">
        <x:v>变动</x:v>
      </x:c>
      <x:c r="I301" s="94" t="str">
        <x:v>技术团队</x:v>
      </x:c>
      <x:c r="J301" s="94" t="str">
        <x:v>模拟项目运营成本；统一折算USD</x:v>
      </x:c>
    </x:row>
    <x:row r="302">
      <x:c r="A302" s="92" t="str">
        <x:v>COST-0301</x:v>
      </x:c>
      <x:c r="B302" s="94" t="str">
        <x:v>PROC-0301</x:v>
      </x:c>
      <x:c r="C302" s="93" t="n">
        <x:v>46077</x:v>
      </x:c>
      <x:c r="D302" s="94" t="str">
        <x:v>Google Ads</x:v>
      </x:c>
      <x:c r="E302" s="94" t="str">
        <x:v>归因与监测工具</x:v>
      </x:c>
      <x:c r="F302" s="94" t="str">
        <x:v>按点击量</x:v>
      </x:c>
      <x:c r="G302" s="97" t="n">
        <x:v>1.86</x:v>
      </x:c>
      <x:c r="H302" s="94" t="str">
        <x:v>变动</x:v>
      </x:c>
      <x:c r="I302" s="94" t="str">
        <x:v>分析团队</x:v>
      </x:c>
      <x:c r="J302" s="94" t="str">
        <x:v>模拟项目运营成本；统一折算USD</x:v>
      </x:c>
    </x:row>
    <x:row r="303">
      <x:c r="A303" s="92" t="str">
        <x:v>COST-0302</x:v>
      </x:c>
      <x:c r="B303" s="94" t="str">
        <x:v>PROC-0302</x:v>
      </x:c>
      <x:c r="C303" s="93" t="n">
        <x:v>46077</x:v>
      </x:c>
      <x:c r="D303" s="94" t="str">
        <x:v>Google Ads</x:v>
      </x:c>
      <x:c r="E303" s="94" t="str">
        <x:v>云主机/CDN</x:v>
      </x:c>
      <x:c r="F303" s="94" t="str">
        <x:v>按访问量</x:v>
      </x:c>
      <x:c r="G303" s="97" t="n">
        <x:v>0.94</x:v>
      </x:c>
      <x:c r="H303" s="94" t="str">
        <x:v>变动</x:v>
      </x:c>
      <x:c r="I303" s="94" t="str">
        <x:v>技术团队</x:v>
      </x:c>
      <x:c r="J303" s="94" t="str">
        <x:v>模拟项目运营成本；统一折算USD</x:v>
      </x:c>
    </x:row>
    <x:row r="304">
      <x:c r="A304" s="92" t="str">
        <x:v>COST-0303</x:v>
      </x:c>
      <x:c r="B304" s="94" t="str">
        <x:v>PROC-0303</x:v>
      </x:c>
      <x:c r="C304" s="93" t="n">
        <x:v>46077</x:v>
      </x:c>
      <x:c r="D304" s="94" t="str">
        <x:v>Google Ads</x:v>
      </x:c>
      <x:c r="E304" s="94" t="str">
        <x:v>数据与ETL</x:v>
      </x:c>
      <x:c r="F304" s="94" t="str">
        <x:v>按采购批次</x:v>
      </x:c>
      <x:c r="G304" s="97" t="n">
        <x:v>0.93</x:v>
      </x:c>
      <x:c r="H304" s="94" t="str">
        <x:v>变动</x:v>
      </x:c>
      <x:c r="I304" s="94" t="str">
        <x:v>数据团队</x:v>
      </x:c>
      <x:c r="J304" s="94" t="str">
        <x:v>模拟项目运营成本；统一折算USD</x:v>
      </x:c>
    </x:row>
    <x:row r="305">
      <x:c r="A305" s="92" t="str">
        <x:v>COST-0304</x:v>
      </x:c>
      <x:c r="B305" s="94" t="str">
        <x:v>PROC-0304</x:v>
      </x:c>
      <x:c r="C305" s="93" t="n">
        <x:v>46077</x:v>
      </x:c>
      <x:c r="D305" s="94" t="str">
        <x:v>Microsoft Ads</x:v>
      </x:c>
      <x:c r="E305" s="94" t="str">
        <x:v>数据与ETL</x:v>
      </x:c>
      <x:c r="F305" s="94" t="str">
        <x:v>按采购批次</x:v>
      </x:c>
      <x:c r="G305" s="97" t="n">
        <x:v>0.52</x:v>
      </x:c>
      <x:c r="H305" s="94" t="str">
        <x:v>变动</x:v>
      </x:c>
      <x:c r="I305" s="94" t="str">
        <x:v>数据团队</x:v>
      </x:c>
      <x:c r="J305" s="94" t="str">
        <x:v>模拟项目运营成本；统一折算USD</x:v>
      </x:c>
    </x:row>
    <x:row r="306">
      <x:c r="A306" s="92" t="str">
        <x:v>COST-0305</x:v>
      </x:c>
      <x:c r="B306" s="94" t="str">
        <x:v>PROC-0305</x:v>
      </x:c>
      <x:c r="C306" s="93" t="n">
        <x:v>46078</x:v>
      </x:c>
      <x:c r="D306" s="94" t="str">
        <x:v>Microsoft Ads</x:v>
      </x:c>
      <x:c r="E306" s="94" t="str">
        <x:v>数据与ETL</x:v>
      </x:c>
      <x:c r="F306" s="94" t="str">
        <x:v>按采购批次</x:v>
      </x:c>
      <x:c r="G306" s="97" t="n">
        <x:v>1.61</x:v>
      </x:c>
      <x:c r="H306" s="94" t="str">
        <x:v>变动</x:v>
      </x:c>
      <x:c r="I306" s="94" t="str">
        <x:v>数据团队</x:v>
      </x:c>
      <x:c r="J306" s="94" t="str">
        <x:v>模拟项目运营成本；统一折算USD</x:v>
      </x:c>
    </x:row>
    <x:row r="307">
      <x:c r="A307" s="92" t="str">
        <x:v>COST-0306</x:v>
      </x:c>
      <x:c r="B307" s="94" t="str">
        <x:v>PROC-0306</x:v>
      </x:c>
      <x:c r="C307" s="93" t="n">
        <x:v>46078</x:v>
      </x:c>
      <x:c r="D307" s="94" t="str">
        <x:v>Microsoft Ads</x:v>
      </x:c>
      <x:c r="E307" s="94" t="str">
        <x:v>归因与监测工具</x:v>
      </x:c>
      <x:c r="F307" s="94" t="str">
        <x:v>按点击量</x:v>
      </x:c>
      <x:c r="G307" s="97" t="n">
        <x:v>1.19</x:v>
      </x:c>
      <x:c r="H307" s="94" t="str">
        <x:v>变动</x:v>
      </x:c>
      <x:c r="I307" s="94" t="str">
        <x:v>分析团队</x:v>
      </x:c>
      <x:c r="J307" s="94" t="str">
        <x:v>模拟项目运营成本；统一折算USD</x:v>
      </x:c>
    </x:row>
    <x:row r="308">
      <x:c r="A308" s="92" t="str">
        <x:v>COST-0307</x:v>
      </x:c>
      <x:c r="B308" s="94" t="str">
        <x:v>PROC-0307</x:v>
      </x:c>
      <x:c r="C308" s="93" t="n">
        <x:v>46078</x:v>
      </x:c>
      <x:c r="D308" s="94" t="str">
        <x:v>Google Ads</x:v>
      </x:c>
      <x:c r="E308" s="94" t="str">
        <x:v>数据与ETL</x:v>
      </x:c>
      <x:c r="F308" s="94" t="str">
        <x:v>按采购批次</x:v>
      </x:c>
      <x:c r="G308" s="97" t="n">
        <x:v>0.59</x:v>
      </x:c>
      <x:c r="H308" s="94" t="str">
        <x:v>变动</x:v>
      </x:c>
      <x:c r="I308" s="94" t="str">
        <x:v>数据团队</x:v>
      </x:c>
      <x:c r="J308" s="94" t="str">
        <x:v>模拟项目运营成本；统一折算USD</x:v>
      </x:c>
    </x:row>
    <x:row r="309">
      <x:c r="A309" s="92" t="str">
        <x:v>COST-0308</x:v>
      </x:c>
      <x:c r="B309" s="94" t="str">
        <x:v>PROC-0308</x:v>
      </x:c>
      <x:c r="C309" s="93" t="n">
        <x:v>46078</x:v>
      </x:c>
      <x:c r="D309" s="94" t="str">
        <x:v>Google Ads</x:v>
      </x:c>
      <x:c r="E309" s="94" t="str">
        <x:v>归因与监测工具</x:v>
      </x:c>
      <x:c r="F309" s="94" t="str">
        <x:v>按点击量</x:v>
      </x:c>
      <x:c r="G309" s="97" t="n">
        <x:v>1.01</x:v>
      </x:c>
      <x:c r="H309" s="94" t="str">
        <x:v>变动</x:v>
      </x:c>
      <x:c r="I309" s="94" t="str">
        <x:v>分析团队</x:v>
      </x:c>
      <x:c r="J309" s="94" t="str">
        <x:v>模拟项目运营成本；统一折算USD</x:v>
      </x:c>
    </x:row>
    <x:row r="310">
      <x:c r="A310" s="92" t="str">
        <x:v>COST-0309</x:v>
      </x:c>
      <x:c r="B310" s="94" t="str">
        <x:v>PROC-0309</x:v>
      </x:c>
      <x:c r="C310" s="93" t="n">
        <x:v>46078</x:v>
      </x:c>
      <x:c r="D310" s="94" t="str">
        <x:v>Microsoft Ads</x:v>
      </x:c>
      <x:c r="E310" s="94" t="str">
        <x:v>归因与监测工具</x:v>
      </x:c>
      <x:c r="F310" s="94" t="str">
        <x:v>按点击量</x:v>
      </x:c>
      <x:c r="G310" s="97" t="n">
        <x:v>0.82</x:v>
      </x:c>
      <x:c r="H310" s="94" t="str">
        <x:v>变动</x:v>
      </x:c>
      <x:c r="I310" s="94" t="str">
        <x:v>分析团队</x:v>
      </x:c>
      <x:c r="J310" s="94" t="str">
        <x:v>模拟项目运营成本；统一折算USD</x:v>
      </x:c>
    </x:row>
    <x:row r="311">
      <x:c r="A311" s="92" t="str">
        <x:v>COST-0310</x:v>
      </x:c>
      <x:c r="B311" s="94" t="str">
        <x:v>PROC-0310</x:v>
      </x:c>
      <x:c r="C311" s="93" t="n">
        <x:v>46078</x:v>
      </x:c>
      <x:c r="D311" s="94" t="str">
        <x:v>Google Ads</x:v>
      </x:c>
      <x:c r="E311" s="94" t="str">
        <x:v>数据与ETL</x:v>
      </x:c>
      <x:c r="F311" s="94" t="str">
        <x:v>按采购批次</x:v>
      </x:c>
      <x:c r="G311" s="97" t="n">
        <x:v>1.19</x:v>
      </x:c>
      <x:c r="H311" s="94" t="str">
        <x:v>变动</x:v>
      </x:c>
      <x:c r="I311" s="94" t="str">
        <x:v>数据团队</x:v>
      </x:c>
      <x:c r="J311" s="94" t="str">
        <x:v>模拟项目运营成本；统一折算USD</x:v>
      </x:c>
    </x:row>
    <x:row r="312">
      <x:c r="A312" s="92" t="str">
        <x:v>COST-0311</x:v>
      </x:c>
      <x:c r="B312" s="94" t="str">
        <x:v>PROC-0311</x:v>
      </x:c>
      <x:c r="C312" s="93" t="n">
        <x:v>46079</x:v>
      </x:c>
      <x:c r="D312" s="94" t="str">
        <x:v>Google Ads</x:v>
      </x:c>
      <x:c r="E312" s="94" t="str">
        <x:v>人工运营分摊</x:v>
      </x:c>
      <x:c r="F312" s="94" t="str">
        <x:v>按工时</x:v>
      </x:c>
      <x:c r="G312" s="97" t="n">
        <x:v>1.66</x:v>
      </x:c>
      <x:c r="H312" s="94" t="str">
        <x:v>部分固定</x:v>
      </x:c>
      <x:c r="I312" s="94" t="str">
        <x:v>运营团队</x:v>
      </x:c>
      <x:c r="J312" s="94" t="str">
        <x:v>模拟项目运营成本；统一折算USD</x:v>
      </x:c>
    </x:row>
    <x:row r="313">
      <x:c r="A313" s="92" t="str">
        <x:v>COST-0312</x:v>
      </x:c>
      <x:c r="B313" s="94" t="str">
        <x:v>PROC-0312</x:v>
      </x:c>
      <x:c r="C313" s="93" t="n">
        <x:v>46079</x:v>
      </x:c>
      <x:c r="D313" s="94" t="str">
        <x:v>Google Ads</x:v>
      </x:c>
      <x:c r="E313" s="94" t="str">
        <x:v>创意素材</x:v>
      </x:c>
      <x:c r="F313" s="94" t="str">
        <x:v>按活动</x:v>
      </x:c>
      <x:c r="G313" s="97" t="n">
        <x:v>2.27</x:v>
      </x:c>
      <x:c r="H313" s="94" t="str">
        <x:v>部分固定</x:v>
      </x:c>
      <x:c r="I313" s="94" t="str">
        <x:v>增长团队</x:v>
      </x:c>
      <x:c r="J313" s="94" t="str">
        <x:v>模拟项目运营成本；统一折算USD</x:v>
      </x:c>
    </x:row>
    <x:row r="314">
      <x:c r="A314" s="92" t="str">
        <x:v>COST-0313</x:v>
      </x:c>
      <x:c r="B314" s="94" t="str">
        <x:v>PROC-0313</x:v>
      </x:c>
      <x:c r="C314" s="93" t="n">
        <x:v>46079</x:v>
      </x:c>
      <x:c r="D314" s="94" t="str">
        <x:v>Google Ads</x:v>
      </x:c>
      <x:c r="E314" s="94" t="str">
        <x:v>数据与ETL</x:v>
      </x:c>
      <x:c r="F314" s="94" t="str">
        <x:v>按采购批次</x:v>
      </x:c>
      <x:c r="G314" s="97" t="n">
        <x:v>1.24</x:v>
      </x:c>
      <x:c r="H314" s="94" t="str">
        <x:v>变动</x:v>
      </x:c>
      <x:c r="I314" s="94" t="str">
        <x:v>数据团队</x:v>
      </x:c>
      <x:c r="J314" s="94" t="str">
        <x:v>模拟项目运营成本；统一折算USD</x:v>
      </x:c>
    </x:row>
    <x:row r="315">
      <x:c r="A315" s="92" t="str">
        <x:v>COST-0314</x:v>
      </x:c>
      <x:c r="B315" s="94" t="str">
        <x:v>PROC-0314</x:v>
      </x:c>
      <x:c r="C315" s="93" t="n">
        <x:v>46079</x:v>
      </x:c>
      <x:c r="D315" s="94" t="str">
        <x:v>Google Ads</x:v>
      </x:c>
      <x:c r="E315" s="94" t="str">
        <x:v>创意素材</x:v>
      </x:c>
      <x:c r="F315" s="94" t="str">
        <x:v>按活动</x:v>
      </x:c>
      <x:c r="G315" s="97" t="n">
        <x:v>3.61</x:v>
      </x:c>
      <x:c r="H315" s="94" t="str">
        <x:v>部分固定</x:v>
      </x:c>
      <x:c r="I315" s="94" t="str">
        <x:v>增长团队</x:v>
      </x:c>
      <x:c r="J315" s="94" t="str">
        <x:v>模拟项目运营成本；统一折算USD</x:v>
      </x:c>
    </x:row>
    <x:row r="316">
      <x:c r="A316" s="92" t="str">
        <x:v>COST-0315</x:v>
      </x:c>
      <x:c r="B316" s="94" t="str">
        <x:v>PROC-0315</x:v>
      </x:c>
      <x:c r="C316" s="93" t="n">
        <x:v>46079</x:v>
      </x:c>
      <x:c r="D316" s="94" t="str">
        <x:v>Google Ads</x:v>
      </x:c>
      <x:c r="E316" s="94" t="str">
        <x:v>云主机/CDN</x:v>
      </x:c>
      <x:c r="F316" s="94" t="str">
        <x:v>按访问量</x:v>
      </x:c>
      <x:c r="G316" s="97" t="n">
        <x:v>0.6</x:v>
      </x:c>
      <x:c r="H316" s="94" t="str">
        <x:v>变动</x:v>
      </x:c>
      <x:c r="I316" s="94" t="str">
        <x:v>技术团队</x:v>
      </x:c>
      <x:c r="J316" s="94" t="str">
        <x:v>模拟项目运营成本；统一折算USD</x:v>
      </x:c>
    </x:row>
    <x:row r="317">
      <x:c r="A317" s="92" t="str">
        <x:v>COST-0316</x:v>
      </x:c>
      <x:c r="B317" s="94" t="str">
        <x:v>PROC-0316</x:v>
      </x:c>
      <x:c r="C317" s="93" t="n">
        <x:v>46080</x:v>
      </x:c>
      <x:c r="D317" s="94" t="str">
        <x:v>Google Ads</x:v>
      </x:c>
      <x:c r="E317" s="94" t="str">
        <x:v>人工运营分摊</x:v>
      </x:c>
      <x:c r="F317" s="94" t="str">
        <x:v>按工时</x:v>
      </x:c>
      <x:c r="G317" s="97" t="n">
        <x:v>2.7</x:v>
      </x:c>
      <x:c r="H317" s="94" t="str">
        <x:v>部分固定</x:v>
      </x:c>
      <x:c r="I317" s="94" t="str">
        <x:v>运营团队</x:v>
      </x:c>
      <x:c r="J317" s="94" t="str">
        <x:v>模拟项目运营成本；统一折算USD</x:v>
      </x:c>
    </x:row>
    <x:row r="318">
      <x:c r="A318" s="92" t="str">
        <x:v>COST-0317</x:v>
      </x:c>
      <x:c r="B318" s="94" t="str">
        <x:v>PROC-0317</x:v>
      </x:c>
      <x:c r="C318" s="93" t="n">
        <x:v>46080</x:v>
      </x:c>
      <x:c r="D318" s="94" t="str">
        <x:v>Google Ads</x:v>
      </x:c>
      <x:c r="E318" s="94" t="str">
        <x:v>人工运营分摊</x:v>
      </x:c>
      <x:c r="F318" s="94" t="str">
        <x:v>按工时</x:v>
      </x:c>
      <x:c r="G318" s="97" t="n">
        <x:v>2.09</x:v>
      </x:c>
      <x:c r="H318" s="94" t="str">
        <x:v>部分固定</x:v>
      </x:c>
      <x:c r="I318" s="94" t="str">
        <x:v>运营团队</x:v>
      </x:c>
      <x:c r="J318" s="94" t="str">
        <x:v>模拟项目运营成本；统一折算USD</x:v>
      </x:c>
    </x:row>
    <x:row r="319">
      <x:c r="A319" s="92" t="str">
        <x:v>COST-0318</x:v>
      </x:c>
      <x:c r="B319" s="94" t="str">
        <x:v>PROC-0318</x:v>
      </x:c>
      <x:c r="C319" s="93" t="n">
        <x:v>46080</x:v>
      </x:c>
      <x:c r="D319" s="94" t="str">
        <x:v>Microsoft Ads</x:v>
      </x:c>
      <x:c r="E319" s="94" t="str">
        <x:v>归因与监测工具</x:v>
      </x:c>
      <x:c r="F319" s="94" t="str">
        <x:v>按点击量</x:v>
      </x:c>
      <x:c r="G319" s="97" t="n">
        <x:v>1.5</x:v>
      </x:c>
      <x:c r="H319" s="94" t="str">
        <x:v>变动</x:v>
      </x:c>
      <x:c r="I319" s="94" t="str">
        <x:v>分析团队</x:v>
      </x:c>
      <x:c r="J319" s="94" t="str">
        <x:v>模拟项目运营成本；统一折算USD</x:v>
      </x:c>
    </x:row>
    <x:row r="320">
      <x:c r="A320" s="92" t="str">
        <x:v>COST-0319</x:v>
      </x:c>
      <x:c r="B320" s="94" t="str">
        <x:v>PROC-0319</x:v>
      </x:c>
      <x:c r="C320" s="93" t="n">
        <x:v>46080</x:v>
      </x:c>
      <x:c r="D320" s="94" t="str">
        <x:v>Microsoft Ads</x:v>
      </x:c>
      <x:c r="E320" s="94" t="str">
        <x:v>数据与ETL</x:v>
      </x:c>
      <x:c r="F320" s="94" t="str">
        <x:v>按采购批次</x:v>
      </x:c>
      <x:c r="G320" s="97" t="n">
        <x:v>0.46</x:v>
      </x:c>
      <x:c r="H320" s="94" t="str">
        <x:v>变动</x:v>
      </x:c>
      <x:c r="I320" s="94" t="str">
        <x:v>数据团队</x:v>
      </x:c>
      <x:c r="J320" s="94" t="str">
        <x:v>模拟项目运营成本；统一折算USD</x:v>
      </x:c>
    </x:row>
    <x:row r="321">
      <x:c r="A321" s="92" t="str">
        <x:v>COST-0320</x:v>
      </x:c>
      <x:c r="B321" s="94" t="str">
        <x:v>PROC-0320</x:v>
      </x:c>
      <x:c r="C321" s="93" t="n">
        <x:v>46080</x:v>
      </x:c>
      <x:c r="D321" s="94" t="str">
        <x:v>Google Ads</x:v>
      </x:c>
      <x:c r="E321" s="94" t="str">
        <x:v>数据与ETL</x:v>
      </x:c>
      <x:c r="F321" s="94" t="str">
        <x:v>按采购批次</x:v>
      </x:c>
      <x:c r="G321" s="97" t="n">
        <x:v>1.58</x:v>
      </x:c>
      <x:c r="H321" s="94" t="str">
        <x:v>变动</x:v>
      </x:c>
      <x:c r="I321" s="94" t="str">
        <x:v>数据团队</x:v>
      </x:c>
      <x:c r="J321" s="94" t="str">
        <x:v>模拟项目运营成本；统一折算USD</x:v>
      </x:c>
    </x:row>
    <x:row r="322">
      <x:c r="A322" s="92" t="str">
        <x:v>COST-0321</x:v>
      </x:c>
      <x:c r="B322" s="94" t="str">
        <x:v>PROC-0321</x:v>
      </x:c>
      <x:c r="C322" s="93" t="n">
        <x:v>46080</x:v>
      </x:c>
      <x:c r="D322" s="94" t="str">
        <x:v>Microsoft Ads</x:v>
      </x:c>
      <x:c r="E322" s="94" t="str">
        <x:v>云主机/CDN</x:v>
      </x:c>
      <x:c r="F322" s="94" t="str">
        <x:v>按访问量</x:v>
      </x:c>
      <x:c r="G322" s="97" t="n">
        <x:v>0.47</x:v>
      </x:c>
      <x:c r="H322" s="94" t="str">
        <x:v>变动</x:v>
      </x:c>
      <x:c r="I322" s="94" t="str">
        <x:v>技术团队</x:v>
      </x:c>
      <x:c r="J322" s="94" t="str">
        <x:v>模拟项目运营成本；统一折算USD</x:v>
      </x:c>
    </x:row>
    <x:row r="323">
      <x:c r="A323" s="92" t="str">
        <x:v>COST-0322</x:v>
      </x:c>
      <x:c r="B323" s="94" t="str">
        <x:v>PROC-0322</x:v>
      </x:c>
      <x:c r="C323" s="93" t="n">
        <x:v>46081</x:v>
      </x:c>
      <x:c r="D323" s="94" t="str">
        <x:v>Microsoft Ads</x:v>
      </x:c>
      <x:c r="E323" s="94" t="str">
        <x:v>创意素材</x:v>
      </x:c>
      <x:c r="F323" s="94" t="str">
        <x:v>按活动</x:v>
      </x:c>
      <x:c r="G323" s="97" t="n">
        <x:v>1.65</x:v>
      </x:c>
      <x:c r="H323" s="94" t="str">
        <x:v>部分固定</x:v>
      </x:c>
      <x:c r="I323" s="94" t="str">
        <x:v>增长团队</x:v>
      </x:c>
      <x:c r="J323" s="94" t="str">
        <x:v>模拟项目运营成本；统一折算USD</x:v>
      </x:c>
    </x:row>
    <x:row r="324">
      <x:c r="A324" s="92" t="str">
        <x:v>COST-0323</x:v>
      </x:c>
      <x:c r="B324" s="94" t="str">
        <x:v>PROC-0323</x:v>
      </x:c>
      <x:c r="C324" s="93" t="n">
        <x:v>46081</x:v>
      </x:c>
      <x:c r="D324" s="94" t="str">
        <x:v>Google Ads</x:v>
      </x:c>
      <x:c r="E324" s="94" t="str">
        <x:v>云主机/CDN</x:v>
      </x:c>
      <x:c r="F324" s="94" t="str">
        <x:v>按访问量</x:v>
      </x:c>
      <x:c r="G324" s="97" t="n">
        <x:v>1.08</x:v>
      </x:c>
      <x:c r="H324" s="94" t="str">
        <x:v>变动</x:v>
      </x:c>
      <x:c r="I324" s="94" t="str">
        <x:v>技术团队</x:v>
      </x:c>
      <x:c r="J324" s="94" t="str">
        <x:v>模拟项目运营成本；统一折算USD</x:v>
      </x:c>
    </x:row>
    <x:row r="325">
      <x:c r="A325" s="92" t="str">
        <x:v>COST-0324</x:v>
      </x:c>
      <x:c r="B325" s="94" t="str">
        <x:v>PROC-0324</x:v>
      </x:c>
      <x:c r="C325" s="93" t="n">
        <x:v>46081</x:v>
      </x:c>
      <x:c r="D325" s="94" t="str">
        <x:v>Google Ads</x:v>
      </x:c>
      <x:c r="E325" s="94" t="str">
        <x:v>数据与ETL</x:v>
      </x:c>
      <x:c r="F325" s="94" t="str">
        <x:v>按采购批次</x:v>
      </x:c>
      <x:c r="G325" s="97" t="n">
        <x:v>1.59</x:v>
      </x:c>
      <x:c r="H325" s="94" t="str">
        <x:v>变动</x:v>
      </x:c>
      <x:c r="I325" s="94" t="str">
        <x:v>数据团队</x:v>
      </x:c>
      <x:c r="J325" s="94" t="str">
        <x:v>模拟项目运营成本；统一折算USD</x:v>
      </x:c>
    </x:row>
    <x:row r="326">
      <x:c r="A326" s="92" t="str">
        <x:v>COST-0325</x:v>
      </x:c>
      <x:c r="B326" s="94" t="str">
        <x:v>PROC-0325</x:v>
      </x:c>
      <x:c r="C326" s="93" t="n">
        <x:v>46081</x:v>
      </x:c>
      <x:c r="D326" s="94" t="str">
        <x:v>Google Ads</x:v>
      </x:c>
      <x:c r="E326" s="94" t="str">
        <x:v>数据与ETL</x:v>
      </x:c>
      <x:c r="F326" s="94" t="str">
        <x:v>按采购批次</x:v>
      </x:c>
      <x:c r="G326" s="97" t="n">
        <x:v>0.96</x:v>
      </x:c>
      <x:c r="H326" s="94" t="str">
        <x:v>变动</x:v>
      </x:c>
      <x:c r="I326" s="94" t="str">
        <x:v>数据团队</x:v>
      </x:c>
      <x:c r="J326" s="94" t="str">
        <x:v>模拟项目运营成本；统一折算USD</x:v>
      </x:c>
    </x:row>
    <x:row r="327">
      <x:c r="A327" s="92" t="str">
        <x:v>COST-0326</x:v>
      </x:c>
      <x:c r="B327" s="94" t="str">
        <x:v>PROC-0326</x:v>
      </x:c>
      <x:c r="C327" s="93" t="n">
        <x:v>46081</x:v>
      </x:c>
      <x:c r="D327" s="94" t="str">
        <x:v>Google Ads</x:v>
      </x:c>
      <x:c r="E327" s="94" t="str">
        <x:v>归因与监测工具</x:v>
      </x:c>
      <x:c r="F327" s="94" t="str">
        <x:v>按点击量</x:v>
      </x:c>
      <x:c r="G327" s="97" t="n">
        <x:v>1.44</x:v>
      </x:c>
      <x:c r="H327" s="94" t="str">
        <x:v>变动</x:v>
      </x:c>
      <x:c r="I327" s="94" t="str">
        <x:v>分析团队</x:v>
      </x:c>
      <x:c r="J327" s="94" t="str">
        <x:v>模拟项目运营成本；统一折算USD</x:v>
      </x:c>
    </x:row>
    <x:row r="328">
      <x:c r="A328" s="92" t="str">
        <x:v>COST-0327</x:v>
      </x:c>
      <x:c r="B328" s="94" t="str">
        <x:v>PROC-0327</x:v>
      </x:c>
      <x:c r="C328" s="93" t="n">
        <x:v>46082</x:v>
      </x:c>
      <x:c r="D328" s="94" t="str">
        <x:v>Google Ads</x:v>
      </x:c>
      <x:c r="E328" s="94" t="str">
        <x:v>人工运营分摊</x:v>
      </x:c>
      <x:c r="F328" s="94" t="str">
        <x:v>按工时</x:v>
      </x:c>
      <x:c r="G328" s="97" t="n">
        <x:v>2.19</x:v>
      </x:c>
      <x:c r="H328" s="94" t="str">
        <x:v>部分固定</x:v>
      </x:c>
      <x:c r="I328" s="94" t="str">
        <x:v>运营团队</x:v>
      </x:c>
      <x:c r="J328" s="94" t="str">
        <x:v>模拟项目运营成本；统一折算USD</x:v>
      </x:c>
    </x:row>
    <x:row r="329">
      <x:c r="A329" s="92" t="str">
        <x:v>COST-0328</x:v>
      </x:c>
      <x:c r="B329" s="94" t="str">
        <x:v>PROC-0328</x:v>
      </x:c>
      <x:c r="C329" s="93" t="n">
        <x:v>46082</x:v>
      </x:c>
      <x:c r="D329" s="94" t="str">
        <x:v>Microsoft Ads</x:v>
      </x:c>
      <x:c r="E329" s="94" t="str">
        <x:v>人工运营分摊</x:v>
      </x:c>
      <x:c r="F329" s="94" t="str">
        <x:v>按工时</x:v>
      </x:c>
      <x:c r="G329" s="97" t="n">
        <x:v>3.39</x:v>
      </x:c>
      <x:c r="H329" s="94" t="str">
        <x:v>部分固定</x:v>
      </x:c>
      <x:c r="I329" s="94" t="str">
        <x:v>运营团队</x:v>
      </x:c>
      <x:c r="J329" s="94" t="str">
        <x:v>模拟项目运营成本；统一折算USD</x:v>
      </x:c>
    </x:row>
    <x:row r="330">
      <x:c r="A330" s="92" t="str">
        <x:v>COST-0329</x:v>
      </x:c>
      <x:c r="B330" s="94" t="str">
        <x:v>PROC-0329</x:v>
      </x:c>
      <x:c r="C330" s="93" t="n">
        <x:v>46082</x:v>
      </x:c>
      <x:c r="D330" s="94" t="str">
        <x:v>Google Ads</x:v>
      </x:c>
      <x:c r="E330" s="94" t="str">
        <x:v>归因与监测工具</x:v>
      </x:c>
      <x:c r="F330" s="94" t="str">
        <x:v>按点击量</x:v>
      </x:c>
      <x:c r="G330" s="97" t="n">
        <x:v>1.61</x:v>
      </x:c>
      <x:c r="H330" s="94" t="str">
        <x:v>变动</x:v>
      </x:c>
      <x:c r="I330" s="94" t="str">
        <x:v>分析团队</x:v>
      </x:c>
      <x:c r="J330" s="94" t="str">
        <x:v>模拟项目运营成本；统一折算USD</x:v>
      </x:c>
    </x:row>
    <x:row r="331">
      <x:c r="A331" s="92" t="str">
        <x:v>COST-0330</x:v>
      </x:c>
      <x:c r="B331" s="94" t="str">
        <x:v>PROC-0330</x:v>
      </x:c>
      <x:c r="C331" s="93" t="n">
        <x:v>46082</x:v>
      </x:c>
      <x:c r="D331" s="94" t="str">
        <x:v>Microsoft Ads</x:v>
      </x:c>
      <x:c r="E331" s="94" t="str">
        <x:v>数据与ETL</x:v>
      </x:c>
      <x:c r="F331" s="94" t="str">
        <x:v>按采购批次</x:v>
      </x:c>
      <x:c r="G331" s="97" t="n">
        <x:v>1.02</x:v>
      </x:c>
      <x:c r="H331" s="94" t="str">
        <x:v>变动</x:v>
      </x:c>
      <x:c r="I331" s="94" t="str">
        <x:v>数据团队</x:v>
      </x:c>
      <x:c r="J331" s="94" t="str">
        <x:v>模拟项目运营成本；统一折算USD</x:v>
      </x:c>
    </x:row>
    <x:row r="332">
      <x:c r="A332" s="92" t="str">
        <x:v>COST-0331</x:v>
      </x:c>
      <x:c r="B332" s="94" t="str">
        <x:v>PROC-0331</x:v>
      </x:c>
      <x:c r="C332" s="93" t="n">
        <x:v>46082</x:v>
      </x:c>
      <x:c r="D332" s="94" t="str">
        <x:v>Microsoft Ads</x:v>
      </x:c>
      <x:c r="E332" s="94" t="str">
        <x:v>人工运营分摊</x:v>
      </x:c>
      <x:c r="F332" s="94" t="str">
        <x:v>按工时</x:v>
      </x:c>
      <x:c r="G332" s="97" t="n">
        <x:v>1.99</x:v>
      </x:c>
      <x:c r="H332" s="94" t="str">
        <x:v>部分固定</x:v>
      </x:c>
      <x:c r="I332" s="94" t="str">
        <x:v>运营团队</x:v>
      </x:c>
      <x:c r="J332" s="94" t="str">
        <x:v>模拟项目运营成本；统一折算USD</x:v>
      </x:c>
    </x:row>
    <x:row r="333">
      <x:c r="A333" s="92" t="str">
        <x:v>COST-0332</x:v>
      </x:c>
      <x:c r="B333" s="94" t="str">
        <x:v>PROC-0332</x:v>
      </x:c>
      <x:c r="C333" s="93" t="n">
        <x:v>46082</x:v>
      </x:c>
      <x:c r="D333" s="94" t="str">
        <x:v>Google Ads</x:v>
      </x:c>
      <x:c r="E333" s="94" t="str">
        <x:v>归因与监测工具</x:v>
      </x:c>
      <x:c r="F333" s="94" t="str">
        <x:v>按点击量</x:v>
      </x:c>
      <x:c r="G333" s="97" t="n">
        <x:v>1.05</x:v>
      </x:c>
      <x:c r="H333" s="94" t="str">
        <x:v>变动</x:v>
      </x:c>
      <x:c r="I333" s="94" t="str">
        <x:v>分析团队</x:v>
      </x:c>
      <x:c r="J333" s="94" t="str">
        <x:v>模拟项目运营成本；统一折算USD</x:v>
      </x:c>
    </x:row>
    <x:row r="334">
      <x:c r="A334" s="92" t="str">
        <x:v>COST-0333</x:v>
      </x:c>
      <x:c r="B334" s="94" t="str">
        <x:v>PROC-0333</x:v>
      </x:c>
      <x:c r="C334" s="93" t="n">
        <x:v>46083</x:v>
      </x:c>
      <x:c r="D334" s="94" t="str">
        <x:v>Google Ads</x:v>
      </x:c>
      <x:c r="E334" s="94" t="str">
        <x:v>云主机/CDN</x:v>
      </x:c>
      <x:c r="F334" s="94" t="str">
        <x:v>按访问量</x:v>
      </x:c>
      <x:c r="G334" s="97" t="n">
        <x:v>0.66</x:v>
      </x:c>
      <x:c r="H334" s="94" t="str">
        <x:v>变动</x:v>
      </x:c>
      <x:c r="I334" s="94" t="str">
        <x:v>技术团队</x:v>
      </x:c>
      <x:c r="J334" s="94" t="str">
        <x:v>模拟项目运营成本；统一折算USD</x:v>
      </x:c>
    </x:row>
    <x:row r="335">
      <x:c r="A335" s="92" t="str">
        <x:v>COST-0334</x:v>
      </x:c>
      <x:c r="B335" s="94" t="str">
        <x:v>PROC-0334</x:v>
      </x:c>
      <x:c r="C335" s="93" t="n">
        <x:v>46083</x:v>
      </x:c>
      <x:c r="D335" s="94" t="str">
        <x:v>Google Ads</x:v>
      </x:c>
      <x:c r="E335" s="94" t="str">
        <x:v>数据与ETL</x:v>
      </x:c>
      <x:c r="F335" s="94" t="str">
        <x:v>按采购批次</x:v>
      </x:c>
      <x:c r="G335" s="97" t="n">
        <x:v>1.13</x:v>
      </x:c>
      <x:c r="H335" s="94" t="str">
        <x:v>变动</x:v>
      </x:c>
      <x:c r="I335" s="94" t="str">
        <x:v>数据团队</x:v>
      </x:c>
      <x:c r="J335" s="94" t="str">
        <x:v>模拟项目运营成本；统一折算USD</x:v>
      </x:c>
    </x:row>
    <x:row r="336">
      <x:c r="A336" s="92" t="str">
        <x:v>COST-0335</x:v>
      </x:c>
      <x:c r="B336" s="94" t="str">
        <x:v>PROC-0335</x:v>
      </x:c>
      <x:c r="C336" s="93" t="n">
        <x:v>46083</x:v>
      </x:c>
      <x:c r="D336" s="94" t="str">
        <x:v>Microsoft Ads</x:v>
      </x:c>
      <x:c r="E336" s="94" t="str">
        <x:v>创意素材</x:v>
      </x:c>
      <x:c r="F336" s="94" t="str">
        <x:v>按活动</x:v>
      </x:c>
      <x:c r="G336" s="97" t="n">
        <x:v>2.4</x:v>
      </x:c>
      <x:c r="H336" s="94" t="str">
        <x:v>部分固定</x:v>
      </x:c>
      <x:c r="I336" s="94" t="str">
        <x:v>增长团队</x:v>
      </x:c>
      <x:c r="J336" s="94" t="str">
        <x:v>模拟项目运营成本；统一折算USD</x:v>
      </x:c>
    </x:row>
    <x:row r="337">
      <x:c r="A337" s="92" t="str">
        <x:v>COST-0336</x:v>
      </x:c>
      <x:c r="B337" s="94" t="str">
        <x:v>PROC-0336</x:v>
      </x:c>
      <x:c r="C337" s="93" t="n">
        <x:v>46083</x:v>
      </x:c>
      <x:c r="D337" s="94" t="str">
        <x:v>Google Ads</x:v>
      </x:c>
      <x:c r="E337" s="94" t="str">
        <x:v>归因与监测工具</x:v>
      </x:c>
      <x:c r="F337" s="94" t="str">
        <x:v>按点击量</x:v>
      </x:c>
      <x:c r="G337" s="97" t="n">
        <x:v>0.68</x:v>
      </x:c>
      <x:c r="H337" s="94" t="str">
        <x:v>变动</x:v>
      </x:c>
      <x:c r="I337" s="94" t="str">
        <x:v>分析团队</x:v>
      </x:c>
      <x:c r="J337" s="94" t="str">
        <x:v>模拟项目运营成本；统一折算USD</x:v>
      </x:c>
    </x:row>
    <x:row r="338">
      <x:c r="A338" s="92" t="str">
        <x:v>COST-0337</x:v>
      </x:c>
      <x:c r="B338" s="94" t="str">
        <x:v>PROC-0337</x:v>
      </x:c>
      <x:c r="C338" s="93" t="n">
        <x:v>46083</x:v>
      </x:c>
      <x:c r="D338" s="94" t="str">
        <x:v>Google Ads</x:v>
      </x:c>
      <x:c r="E338" s="94" t="str">
        <x:v>归因与监测工具</x:v>
      </x:c>
      <x:c r="F338" s="94" t="str">
        <x:v>按点击量</x:v>
      </x:c>
      <x:c r="G338" s="97" t="n">
        <x:v>1.12</x:v>
      </x:c>
      <x:c r="H338" s="94" t="str">
        <x:v>变动</x:v>
      </x:c>
      <x:c r="I338" s="94" t="str">
        <x:v>分析团队</x:v>
      </x:c>
      <x:c r="J338" s="94" t="str">
        <x:v>模拟项目运营成本；统一折算USD</x:v>
      </x:c>
    </x:row>
    <x:row r="339">
      <x:c r="A339" s="92" t="str">
        <x:v>COST-0338</x:v>
      </x:c>
      <x:c r="B339" s="94" t="str">
        <x:v>PROC-0338</x:v>
      </x:c>
      <x:c r="C339" s="93" t="n">
        <x:v>46083</x:v>
      </x:c>
      <x:c r="D339" s="94" t="str">
        <x:v>Microsoft Ads</x:v>
      </x:c>
      <x:c r="E339" s="94" t="str">
        <x:v>归因与监测工具</x:v>
      </x:c>
      <x:c r="F339" s="94" t="str">
        <x:v>按点击量</x:v>
      </x:c>
      <x:c r="G339" s="97" t="n">
        <x:v>0.87</x:v>
      </x:c>
      <x:c r="H339" s="94" t="str">
        <x:v>变动</x:v>
      </x:c>
      <x:c r="I339" s="94" t="str">
        <x:v>分析团队</x:v>
      </x:c>
      <x:c r="J339" s="94" t="str">
        <x:v>模拟项目运营成本；统一折算USD</x:v>
      </x:c>
    </x:row>
    <x:row r="340">
      <x:c r="A340" s="92" t="str">
        <x:v>COST-0339</x:v>
      </x:c>
      <x:c r="B340" s="94" t="str">
        <x:v>PROC-0339</x:v>
      </x:c>
      <x:c r="C340" s="93" t="n">
        <x:v>46084</x:v>
      </x:c>
      <x:c r="D340" s="94" t="str">
        <x:v>Google Ads</x:v>
      </x:c>
      <x:c r="E340" s="94" t="str">
        <x:v>云主机/CDN</x:v>
      </x:c>
      <x:c r="F340" s="94" t="str">
        <x:v>按访问量</x:v>
      </x:c>
      <x:c r="G340" s="97" t="n">
        <x:v>0.77</x:v>
      </x:c>
      <x:c r="H340" s="94" t="str">
        <x:v>变动</x:v>
      </x:c>
      <x:c r="I340" s="94" t="str">
        <x:v>技术团队</x:v>
      </x:c>
      <x:c r="J340" s="94" t="str">
        <x:v>模拟项目运营成本；统一折算USD</x:v>
      </x:c>
    </x:row>
    <x:row r="341">
      <x:c r="A341" s="92" t="str">
        <x:v>COST-0340</x:v>
      </x:c>
      <x:c r="B341" s="94" t="str">
        <x:v>PROC-0340</x:v>
      </x:c>
      <x:c r="C341" s="93" t="n">
        <x:v>46084</x:v>
      </x:c>
      <x:c r="D341" s="94" t="str">
        <x:v>Microsoft Ads</x:v>
      </x:c>
      <x:c r="E341" s="94" t="str">
        <x:v>数据与ETL</x:v>
      </x:c>
      <x:c r="F341" s="94" t="str">
        <x:v>按采购批次</x:v>
      </x:c>
      <x:c r="G341" s="97" t="n">
        <x:v>1.5</x:v>
      </x:c>
      <x:c r="H341" s="94" t="str">
        <x:v>变动</x:v>
      </x:c>
      <x:c r="I341" s="94" t="str">
        <x:v>数据团队</x:v>
      </x:c>
      <x:c r="J341" s="94" t="str">
        <x:v>模拟项目运营成本；统一折算USD</x:v>
      </x:c>
    </x:row>
    <x:row r="342">
      <x:c r="A342" s="92" t="str">
        <x:v>COST-0341</x:v>
      </x:c>
      <x:c r="B342" s="94" t="str">
        <x:v>PROC-0341</x:v>
      </x:c>
      <x:c r="C342" s="93" t="n">
        <x:v>46084</x:v>
      </x:c>
      <x:c r="D342" s="94" t="str">
        <x:v>Microsoft Ads</x:v>
      </x:c>
      <x:c r="E342" s="94" t="str">
        <x:v>创意素材</x:v>
      </x:c>
      <x:c r="F342" s="94" t="str">
        <x:v>按活动</x:v>
      </x:c>
      <x:c r="G342" s="97" t="n">
        <x:v>3.83</x:v>
      </x:c>
      <x:c r="H342" s="94" t="str">
        <x:v>部分固定</x:v>
      </x:c>
      <x:c r="I342" s="94" t="str">
        <x:v>增长团队</x:v>
      </x:c>
      <x:c r="J342" s="94" t="str">
        <x:v>模拟项目运营成本；统一折算USD</x:v>
      </x:c>
    </x:row>
    <x:row r="343">
      <x:c r="A343" s="92" t="str">
        <x:v>COST-0342</x:v>
      </x:c>
      <x:c r="B343" s="94" t="str">
        <x:v>PROC-0342</x:v>
      </x:c>
      <x:c r="C343" s="93" t="n">
        <x:v>46084</x:v>
      </x:c>
      <x:c r="D343" s="94" t="str">
        <x:v>Google Ads</x:v>
      </x:c>
      <x:c r="E343" s="94" t="str">
        <x:v>人工运营分摊</x:v>
      </x:c>
      <x:c r="F343" s="94" t="str">
        <x:v>按工时</x:v>
      </x:c>
      <x:c r="G343" s="97" t="n">
        <x:v>3.41</x:v>
      </x:c>
      <x:c r="H343" s="94" t="str">
        <x:v>部分固定</x:v>
      </x:c>
      <x:c r="I343" s="94" t="str">
        <x:v>运营团队</x:v>
      </x:c>
      <x:c r="J343" s="94" t="str">
        <x:v>模拟项目运营成本；统一折算USD</x:v>
      </x:c>
    </x:row>
    <x:row r="344">
      <x:c r="A344" s="92" t="str">
        <x:v>COST-0343</x:v>
      </x:c>
      <x:c r="B344" s="94" t="str">
        <x:v>PROC-0343</x:v>
      </x:c>
      <x:c r="C344" s="93" t="n">
        <x:v>46084</x:v>
      </x:c>
      <x:c r="D344" s="94" t="str">
        <x:v>Google Ads</x:v>
      </x:c>
      <x:c r="E344" s="94" t="str">
        <x:v>人工运营分摊</x:v>
      </x:c>
      <x:c r="F344" s="94" t="str">
        <x:v>按工时</x:v>
      </x:c>
      <x:c r="G344" s="97" t="n">
        <x:v>2.75</x:v>
      </x:c>
      <x:c r="H344" s="94" t="str">
        <x:v>部分固定</x:v>
      </x:c>
      <x:c r="I344" s="94" t="str">
        <x:v>运营团队</x:v>
      </x:c>
      <x:c r="J344" s="94" t="str">
        <x:v>模拟项目运营成本；统一折算USD</x:v>
      </x:c>
    </x:row>
    <x:row r="345">
      <x:c r="A345" s="92" t="str">
        <x:v>COST-0344</x:v>
      </x:c>
      <x:c r="B345" s="94" t="str">
        <x:v>PROC-0344</x:v>
      </x:c>
      <x:c r="C345" s="93" t="n">
        <x:v>46085</x:v>
      </x:c>
      <x:c r="D345" s="94" t="str">
        <x:v>Google Ads</x:v>
      </x:c>
      <x:c r="E345" s="94" t="str">
        <x:v>云主机/CDN</x:v>
      </x:c>
      <x:c r="F345" s="94" t="str">
        <x:v>按访问量</x:v>
      </x:c>
      <x:c r="G345" s="97" t="n">
        <x:v>0.59</x:v>
      </x:c>
      <x:c r="H345" s="94" t="str">
        <x:v>变动</x:v>
      </x:c>
      <x:c r="I345" s="94" t="str">
        <x:v>技术团队</x:v>
      </x:c>
      <x:c r="J345" s="94" t="str">
        <x:v>模拟项目运营成本；统一折算USD</x:v>
      </x:c>
    </x:row>
    <x:row r="346">
      <x:c r="A346" s="92" t="str">
        <x:v>COST-0345</x:v>
      </x:c>
      <x:c r="B346" s="94" t="str">
        <x:v>PROC-0345</x:v>
      </x:c>
      <x:c r="C346" s="93" t="n">
        <x:v>46085</x:v>
      </x:c>
      <x:c r="D346" s="94" t="str">
        <x:v>Microsoft Ads</x:v>
      </x:c>
      <x:c r="E346" s="94" t="str">
        <x:v>数据与ETL</x:v>
      </x:c>
      <x:c r="F346" s="94" t="str">
        <x:v>按采购批次</x:v>
      </x:c>
      <x:c r="G346" s="97" t="n">
        <x:v>1</x:v>
      </x:c>
      <x:c r="H346" s="94" t="str">
        <x:v>变动</x:v>
      </x:c>
      <x:c r="I346" s="94" t="str">
        <x:v>数据团队</x:v>
      </x:c>
      <x:c r="J346" s="94" t="str">
        <x:v>模拟项目运营成本；统一折算USD</x:v>
      </x:c>
    </x:row>
    <x:row r="347">
      <x:c r="A347" s="92" t="str">
        <x:v>COST-0346</x:v>
      </x:c>
      <x:c r="B347" s="94" t="str">
        <x:v>PROC-0346</x:v>
      </x:c>
      <x:c r="C347" s="93" t="n">
        <x:v>46085</x:v>
      </x:c>
      <x:c r="D347" s="94" t="str">
        <x:v>Google Ads</x:v>
      </x:c>
      <x:c r="E347" s="94" t="str">
        <x:v>创意素材</x:v>
      </x:c>
      <x:c r="F347" s="94" t="str">
        <x:v>按活动</x:v>
      </x:c>
      <x:c r="G347" s="97" t="n">
        <x:v>2.64</x:v>
      </x:c>
      <x:c r="H347" s="94" t="str">
        <x:v>部分固定</x:v>
      </x:c>
      <x:c r="I347" s="94" t="str">
        <x:v>增长团队</x:v>
      </x:c>
      <x:c r="J347" s="94" t="str">
        <x:v>模拟项目运营成本；统一折算USD</x:v>
      </x:c>
    </x:row>
    <x:row r="348">
      <x:c r="A348" s="92" t="str">
        <x:v>COST-0347</x:v>
      </x:c>
      <x:c r="B348" s="94" t="str">
        <x:v>PROC-0347</x:v>
      </x:c>
      <x:c r="C348" s="93" t="n">
        <x:v>46085</x:v>
      </x:c>
      <x:c r="D348" s="94" t="str">
        <x:v>Google Ads</x:v>
      </x:c>
      <x:c r="E348" s="94" t="str">
        <x:v>数据与ETL</x:v>
      </x:c>
      <x:c r="F348" s="94" t="str">
        <x:v>按采购批次</x:v>
      </x:c>
      <x:c r="G348" s="97" t="n">
        <x:v>0.69</x:v>
      </x:c>
      <x:c r="H348" s="94" t="str">
        <x:v>变动</x:v>
      </x:c>
      <x:c r="I348" s="94" t="str">
        <x:v>数据团队</x:v>
      </x:c>
      <x:c r="J348" s="94" t="str">
        <x:v>模拟项目运营成本；统一折算USD</x:v>
      </x:c>
    </x:row>
    <x:row r="349">
      <x:c r="A349" s="92" t="str">
        <x:v>COST-0348</x:v>
      </x:c>
      <x:c r="B349" s="94" t="str">
        <x:v>PROC-0348</x:v>
      </x:c>
      <x:c r="C349" s="93" t="n">
        <x:v>46085</x:v>
      </x:c>
      <x:c r="D349" s="94" t="str">
        <x:v>Microsoft Ads</x:v>
      </x:c>
      <x:c r="E349" s="94" t="str">
        <x:v>人工运营分摊</x:v>
      </x:c>
      <x:c r="F349" s="94" t="str">
        <x:v>按工时</x:v>
      </x:c>
      <x:c r="G349" s="97" t="n">
        <x:v>2.79</x:v>
      </x:c>
      <x:c r="H349" s="94" t="str">
        <x:v>部分固定</x:v>
      </x:c>
      <x:c r="I349" s="94" t="str">
        <x:v>运营团队</x:v>
      </x:c>
      <x:c r="J349" s="94" t="str">
        <x:v>模拟项目运营成本；统一折算USD</x:v>
      </x:c>
    </x:row>
    <x:row r="350">
      <x:c r="A350" s="92" t="str">
        <x:v>COST-0349</x:v>
      </x:c>
      <x:c r="B350" s="94" t="str">
        <x:v>PROC-0349</x:v>
      </x:c>
      <x:c r="C350" s="93" t="n">
        <x:v>46085</x:v>
      </x:c>
      <x:c r="D350" s="94" t="str">
        <x:v>Microsoft Ads</x:v>
      </x:c>
      <x:c r="E350" s="94" t="str">
        <x:v>创意素材</x:v>
      </x:c>
      <x:c r="F350" s="94" t="str">
        <x:v>按活动</x:v>
      </x:c>
      <x:c r="G350" s="97" t="n">
        <x:v>1.26</x:v>
      </x:c>
      <x:c r="H350" s="94" t="str">
        <x:v>部分固定</x:v>
      </x:c>
      <x:c r="I350" s="94" t="str">
        <x:v>增长团队</x:v>
      </x:c>
      <x:c r="J350" s="94" t="str">
        <x:v>模拟项目运营成本；统一折算USD</x:v>
      </x:c>
    </x:row>
    <x:row r="351">
      <x:c r="A351" s="92" t="str">
        <x:v>COST-0350</x:v>
      </x:c>
      <x:c r="B351" s="94" t="str">
        <x:v>PROC-0350</x:v>
      </x:c>
      <x:c r="C351" s="93" t="n">
        <x:v>46086</x:v>
      </x:c>
      <x:c r="D351" s="94" t="str">
        <x:v>Google Ads</x:v>
      </x:c>
      <x:c r="E351" s="94" t="str">
        <x:v>归因与监测工具</x:v>
      </x:c>
      <x:c r="F351" s="94" t="str">
        <x:v>按点击量</x:v>
      </x:c>
      <x:c r="G351" s="97" t="n">
        <x:v>1.62</x:v>
      </x:c>
      <x:c r="H351" s="94" t="str">
        <x:v>变动</x:v>
      </x:c>
      <x:c r="I351" s="94" t="str">
        <x:v>分析团队</x:v>
      </x:c>
      <x:c r="J351" s="94" t="str">
        <x:v>模拟项目运营成本；统一折算USD</x:v>
      </x:c>
    </x:row>
    <x:row r="352">
      <x:c r="A352" s="92" t="str">
        <x:v>COST-0351</x:v>
      </x:c>
      <x:c r="B352" s="94" t="str">
        <x:v>PROC-0351</x:v>
      </x:c>
      <x:c r="C352" s="93" t="n">
        <x:v>46086</x:v>
      </x:c>
      <x:c r="D352" s="94" t="str">
        <x:v>Google Ads</x:v>
      </x:c>
      <x:c r="E352" s="94" t="str">
        <x:v>归因与监测工具</x:v>
      </x:c>
      <x:c r="F352" s="94" t="str">
        <x:v>按点击量</x:v>
      </x:c>
      <x:c r="G352" s="97" t="n">
        <x:v>0.54</x:v>
      </x:c>
      <x:c r="H352" s="94" t="str">
        <x:v>变动</x:v>
      </x:c>
      <x:c r="I352" s="94" t="str">
        <x:v>分析团队</x:v>
      </x:c>
      <x:c r="J352" s="94" t="str">
        <x:v>模拟项目运营成本；统一折算USD</x:v>
      </x:c>
    </x:row>
    <x:row r="353">
      <x:c r="A353" s="92" t="str">
        <x:v>COST-0352</x:v>
      </x:c>
      <x:c r="B353" s="94" t="str">
        <x:v>PROC-0352</x:v>
      </x:c>
      <x:c r="C353" s="93" t="n">
        <x:v>46086</x:v>
      </x:c>
      <x:c r="D353" s="94" t="str">
        <x:v>Google Ads</x:v>
      </x:c>
      <x:c r="E353" s="94" t="str">
        <x:v>数据与ETL</x:v>
      </x:c>
      <x:c r="F353" s="94" t="str">
        <x:v>按采购批次</x:v>
      </x:c>
      <x:c r="G353" s="97" t="n">
        <x:v>0.46</x:v>
      </x:c>
      <x:c r="H353" s="94" t="str">
        <x:v>变动</x:v>
      </x:c>
      <x:c r="I353" s="94" t="str">
        <x:v>数据团队</x:v>
      </x:c>
      <x:c r="J353" s="94" t="str">
        <x:v>模拟项目运营成本；统一折算USD</x:v>
      </x:c>
    </x:row>
    <x:row r="354">
      <x:c r="A354" s="92" t="str">
        <x:v>COST-0353</x:v>
      </x:c>
      <x:c r="B354" s="94" t="str">
        <x:v>PROC-0353</x:v>
      </x:c>
      <x:c r="C354" s="93" t="n">
        <x:v>46086</x:v>
      </x:c>
      <x:c r="D354" s="94" t="str">
        <x:v>Microsoft Ads</x:v>
      </x:c>
      <x:c r="E354" s="94" t="str">
        <x:v>创意素材</x:v>
      </x:c>
      <x:c r="F354" s="94" t="str">
        <x:v>按活动</x:v>
      </x:c>
      <x:c r="G354" s="97" t="n">
        <x:v>2.39</x:v>
      </x:c>
      <x:c r="H354" s="94" t="str">
        <x:v>部分固定</x:v>
      </x:c>
      <x:c r="I354" s="94" t="str">
        <x:v>增长团队</x:v>
      </x:c>
      <x:c r="J354" s="94" t="str">
        <x:v>模拟项目运营成本；统一折算USD</x:v>
      </x:c>
    </x:row>
    <x:row r="355">
      <x:c r="A355" s="92" t="str">
        <x:v>COST-0354</x:v>
      </x:c>
      <x:c r="B355" s="94" t="str">
        <x:v>PROC-0354</x:v>
      </x:c>
      <x:c r="C355" s="93" t="n">
        <x:v>46086</x:v>
      </x:c>
      <x:c r="D355" s="94" t="str">
        <x:v>Google Ads</x:v>
      </x:c>
      <x:c r="E355" s="94" t="str">
        <x:v>数据与ETL</x:v>
      </x:c>
      <x:c r="F355" s="94" t="str">
        <x:v>按采购批次</x:v>
      </x:c>
      <x:c r="G355" s="97" t="n">
        <x:v>1.12</x:v>
      </x:c>
      <x:c r="H355" s="94" t="str">
        <x:v>变动</x:v>
      </x:c>
      <x:c r="I355" s="94" t="str">
        <x:v>数据团队</x:v>
      </x:c>
      <x:c r="J355" s="94" t="str">
        <x:v>模拟项目运营成本；统一折算USD</x:v>
      </x:c>
    </x:row>
    <x:row r="356">
      <x:c r="A356" s="92" t="str">
        <x:v>COST-0355</x:v>
      </x:c>
      <x:c r="B356" s="94" t="str">
        <x:v>PROC-0355</x:v>
      </x:c>
      <x:c r="C356" s="93" t="n">
        <x:v>46087</x:v>
      </x:c>
      <x:c r="D356" s="94" t="str">
        <x:v>Google Ads</x:v>
      </x:c>
      <x:c r="E356" s="94" t="str">
        <x:v>数据与ETL</x:v>
      </x:c>
      <x:c r="F356" s="94" t="str">
        <x:v>按采购批次</x:v>
      </x:c>
      <x:c r="G356" s="97" t="n">
        <x:v>0.78</x:v>
      </x:c>
      <x:c r="H356" s="94" t="str">
        <x:v>变动</x:v>
      </x:c>
      <x:c r="I356" s="94" t="str">
        <x:v>数据团队</x:v>
      </x:c>
      <x:c r="J356" s="94" t="str">
        <x:v>模拟项目运营成本；统一折算USD</x:v>
      </x:c>
    </x:row>
    <x:row r="357">
      <x:c r="A357" s="92" t="str">
        <x:v>COST-0356</x:v>
      </x:c>
      <x:c r="B357" s="94" t="str">
        <x:v>PROC-0356</x:v>
      </x:c>
      <x:c r="C357" s="93" t="n">
        <x:v>46087</x:v>
      </x:c>
      <x:c r="D357" s="94" t="str">
        <x:v>Google Ads</x:v>
      </x:c>
      <x:c r="E357" s="94" t="str">
        <x:v>数据与ETL</x:v>
      </x:c>
      <x:c r="F357" s="94" t="str">
        <x:v>按采购批次</x:v>
      </x:c>
      <x:c r="G357" s="97" t="n">
        <x:v>0.95</x:v>
      </x:c>
      <x:c r="H357" s="94" t="str">
        <x:v>变动</x:v>
      </x:c>
      <x:c r="I357" s="94" t="str">
        <x:v>数据团队</x:v>
      </x:c>
      <x:c r="J357" s="94" t="str">
        <x:v>模拟项目运营成本；统一折算USD</x:v>
      </x:c>
    </x:row>
    <x:row r="358">
      <x:c r="A358" s="92" t="str">
        <x:v>COST-0357</x:v>
      </x:c>
      <x:c r="B358" s="94" t="str">
        <x:v>PROC-0357</x:v>
      </x:c>
      <x:c r="C358" s="93" t="n">
        <x:v>46087</x:v>
      </x:c>
      <x:c r="D358" s="94" t="str">
        <x:v>Google Ads</x:v>
      </x:c>
      <x:c r="E358" s="94" t="str">
        <x:v>归因与监测工具</x:v>
      </x:c>
      <x:c r="F358" s="94" t="str">
        <x:v>按点击量</x:v>
      </x:c>
      <x:c r="G358" s="97" t="n">
        <x:v>1.06</x:v>
      </x:c>
      <x:c r="H358" s="94" t="str">
        <x:v>变动</x:v>
      </x:c>
      <x:c r="I358" s="94" t="str">
        <x:v>分析团队</x:v>
      </x:c>
      <x:c r="J358" s="94" t="str">
        <x:v>模拟项目运营成本；统一折算USD</x:v>
      </x:c>
    </x:row>
    <x:row r="359">
      <x:c r="A359" s="92" t="str">
        <x:v>COST-0358</x:v>
      </x:c>
      <x:c r="B359" s="94" t="str">
        <x:v>PROC-0358</x:v>
      </x:c>
      <x:c r="C359" s="93" t="n">
        <x:v>46087</x:v>
      </x:c>
      <x:c r="D359" s="94" t="str">
        <x:v>Microsoft Ads</x:v>
      </x:c>
      <x:c r="E359" s="94" t="str">
        <x:v>云主机/CDN</x:v>
      </x:c>
      <x:c r="F359" s="94" t="str">
        <x:v>按访问量</x:v>
      </x:c>
      <x:c r="G359" s="97" t="n">
        <x:v>0.99</x:v>
      </x:c>
      <x:c r="H359" s="94" t="str">
        <x:v>变动</x:v>
      </x:c>
      <x:c r="I359" s="94" t="str">
        <x:v>技术团队</x:v>
      </x:c>
      <x:c r="J359" s="94" t="str">
        <x:v>模拟项目运营成本；统一折算USD</x:v>
      </x:c>
    </x:row>
    <x:row r="360">
      <x:c r="A360" s="92" t="str">
        <x:v>COST-0359</x:v>
      </x:c>
      <x:c r="B360" s="94" t="str">
        <x:v>PROC-0359</x:v>
      </x:c>
      <x:c r="C360" s="93" t="n">
        <x:v>46087</x:v>
      </x:c>
      <x:c r="D360" s="94" t="str">
        <x:v>Google Ads</x:v>
      </x:c>
      <x:c r="E360" s="94" t="str">
        <x:v>数据与ETL</x:v>
      </x:c>
      <x:c r="F360" s="94" t="str">
        <x:v>按采购批次</x:v>
      </x:c>
      <x:c r="G360" s="97" t="n">
        <x:v>0.52</x:v>
      </x:c>
      <x:c r="H360" s="94" t="str">
        <x:v>变动</x:v>
      </x:c>
      <x:c r="I360" s="94" t="str">
        <x:v>数据团队</x:v>
      </x:c>
      <x:c r="J360" s="94" t="str">
        <x:v>模拟项目运营成本；统一折算USD</x:v>
      </x:c>
    </x:row>
    <x:row r="361">
      <x:c r="A361" s="92" t="str">
        <x:v>COST-0360</x:v>
      </x:c>
      <x:c r="B361" s="94" t="str">
        <x:v>PROC-0360</x:v>
      </x:c>
      <x:c r="C361" s="93" t="n">
        <x:v>46087</x:v>
      </x:c>
      <x:c r="D361" s="94" t="str">
        <x:v>Microsoft Ads</x:v>
      </x:c>
      <x:c r="E361" s="94" t="str">
        <x:v>创意素材</x:v>
      </x:c>
      <x:c r="F361" s="94" t="str">
        <x:v>按活动</x:v>
      </x:c>
      <x:c r="G361" s="97" t="n">
        <x:v>2.81</x:v>
      </x:c>
      <x:c r="H361" s="94" t="str">
        <x:v>部分固定</x:v>
      </x:c>
      <x:c r="I361" s="94" t="str">
        <x:v>增长团队</x:v>
      </x:c>
      <x:c r="J361" s="94" t="str">
        <x:v>模拟项目运营成本；统一折算USD</x:v>
      </x:c>
    </x:row>
    <x:row r="362">
      <x:c r="A362" s="92" t="str">
        <x:v>COST-0361</x:v>
      </x:c>
      <x:c r="B362" s="94" t="str">
        <x:v>PROC-0361</x:v>
      </x:c>
      <x:c r="C362" s="93" t="n">
        <x:v>46088</x:v>
      </x:c>
      <x:c r="D362" s="94" t="str">
        <x:v>Google Ads</x:v>
      </x:c>
      <x:c r="E362" s="94" t="str">
        <x:v>创意素材</x:v>
      </x:c>
      <x:c r="F362" s="94" t="str">
        <x:v>按活动</x:v>
      </x:c>
      <x:c r="G362" s="97" t="n">
        <x:v>1.6</x:v>
      </x:c>
      <x:c r="H362" s="94" t="str">
        <x:v>部分固定</x:v>
      </x:c>
      <x:c r="I362" s="94" t="str">
        <x:v>增长团队</x:v>
      </x:c>
      <x:c r="J362" s="94" t="str">
        <x:v>模拟项目运营成本；统一折算USD</x:v>
      </x:c>
    </x:row>
    <x:row r="363">
      <x:c r="A363" s="92" t="str">
        <x:v>COST-0362</x:v>
      </x:c>
      <x:c r="B363" s="94" t="str">
        <x:v>PROC-0362</x:v>
      </x:c>
      <x:c r="C363" s="93" t="n">
        <x:v>46088</x:v>
      </x:c>
      <x:c r="D363" s="94" t="str">
        <x:v>Microsoft Ads</x:v>
      </x:c>
      <x:c r="E363" s="94" t="str">
        <x:v>云主机/CDN</x:v>
      </x:c>
      <x:c r="F363" s="94" t="str">
        <x:v>按访问量</x:v>
      </x:c>
      <x:c r="G363" s="97" t="n">
        <x:v>0.72</x:v>
      </x:c>
      <x:c r="H363" s="94" t="str">
        <x:v>变动</x:v>
      </x:c>
      <x:c r="I363" s="94" t="str">
        <x:v>技术团队</x:v>
      </x:c>
      <x:c r="J363" s="94" t="str">
        <x:v>模拟项目运营成本；统一折算USD</x:v>
      </x:c>
    </x:row>
    <x:row r="364">
      <x:c r="A364" s="92" t="str">
        <x:v>COST-0363</x:v>
      </x:c>
      <x:c r="B364" s="94" t="str">
        <x:v>PROC-0363</x:v>
      </x:c>
      <x:c r="C364" s="93" t="n">
        <x:v>46088</x:v>
      </x:c>
      <x:c r="D364" s="94" t="str">
        <x:v>Microsoft Ads</x:v>
      </x:c>
      <x:c r="E364" s="94" t="str">
        <x:v>归因与监测工具</x:v>
      </x:c>
      <x:c r="F364" s="94" t="str">
        <x:v>按点击量</x:v>
      </x:c>
      <x:c r="G364" s="97" t="n">
        <x:v>1.75</x:v>
      </x:c>
      <x:c r="H364" s="94" t="str">
        <x:v>变动</x:v>
      </x:c>
      <x:c r="I364" s="94" t="str">
        <x:v>分析团队</x:v>
      </x:c>
      <x:c r="J364" s="94" t="str">
        <x:v>模拟项目运营成本；统一折算USD</x:v>
      </x:c>
    </x:row>
    <x:row r="365">
      <x:c r="A365" s="92" t="str">
        <x:v>COST-0364</x:v>
      </x:c>
      <x:c r="B365" s="94" t="str">
        <x:v>PROC-0364</x:v>
      </x:c>
      <x:c r="C365" s="93" t="n">
        <x:v>46088</x:v>
      </x:c>
      <x:c r="D365" s="94" t="str">
        <x:v>Google Ads</x:v>
      </x:c>
      <x:c r="E365" s="94" t="str">
        <x:v>人工运营分摊</x:v>
      </x:c>
      <x:c r="F365" s="94" t="str">
        <x:v>按工时</x:v>
      </x:c>
      <x:c r="G365" s="97" t="n">
        <x:v>1.59</x:v>
      </x:c>
      <x:c r="H365" s="94" t="str">
        <x:v>部分固定</x:v>
      </x:c>
      <x:c r="I365" s="94" t="str">
        <x:v>运营团队</x:v>
      </x:c>
      <x:c r="J365" s="94" t="str">
        <x:v>模拟项目运营成本；统一折算USD</x:v>
      </x:c>
    </x:row>
    <x:row r="366">
      <x:c r="A366" s="92" t="str">
        <x:v>COST-0365</x:v>
      </x:c>
      <x:c r="B366" s="94" t="str">
        <x:v>PROC-0365</x:v>
      </x:c>
      <x:c r="C366" s="93" t="n">
        <x:v>46088</x:v>
      </x:c>
      <x:c r="D366" s="94" t="str">
        <x:v>Google Ads</x:v>
      </x:c>
      <x:c r="E366" s="94" t="str">
        <x:v>归因与监测工具</x:v>
      </x:c>
      <x:c r="F366" s="94" t="str">
        <x:v>按点击量</x:v>
      </x:c>
      <x:c r="G366" s="97" t="n">
        <x:v>1.58</x:v>
      </x:c>
      <x:c r="H366" s="94" t="str">
        <x:v>变动</x:v>
      </x:c>
      <x:c r="I366" s="94" t="str">
        <x:v>分析团队</x:v>
      </x:c>
      <x:c r="J366" s="94" t="str">
        <x:v>模拟项目运营成本；统一折算USD</x:v>
      </x:c>
    </x:row>
    <x:row r="367">
      <x:c r="A367" s="92" t="str">
        <x:v>COST-0366</x:v>
      </x:c>
      <x:c r="B367" s="94" t="str">
        <x:v>PROC-0366</x:v>
      </x:c>
      <x:c r="C367" s="93" t="n">
        <x:v>46089</x:v>
      </x:c>
      <x:c r="D367" s="94" t="str">
        <x:v>Microsoft Ads</x:v>
      </x:c>
      <x:c r="E367" s="94" t="str">
        <x:v>创意素材</x:v>
      </x:c>
      <x:c r="F367" s="94" t="str">
        <x:v>按活动</x:v>
      </x:c>
      <x:c r="G367" s="97" t="n">
        <x:v>1.07</x:v>
      </x:c>
      <x:c r="H367" s="94" t="str">
        <x:v>部分固定</x:v>
      </x:c>
      <x:c r="I367" s="94" t="str">
        <x:v>增长团队</x:v>
      </x:c>
      <x:c r="J367" s="94" t="str">
        <x:v>模拟项目运营成本；统一折算USD</x:v>
      </x:c>
    </x:row>
    <x:row r="368">
      <x:c r="A368" s="92" t="str">
        <x:v>COST-0367</x:v>
      </x:c>
      <x:c r="B368" s="94" t="str">
        <x:v>PROC-0367</x:v>
      </x:c>
      <x:c r="C368" s="93" t="n">
        <x:v>46089</x:v>
      </x:c>
      <x:c r="D368" s="94" t="str">
        <x:v>Google Ads</x:v>
      </x:c>
      <x:c r="E368" s="94" t="str">
        <x:v>归因与监测工具</x:v>
      </x:c>
      <x:c r="F368" s="94" t="str">
        <x:v>按点击量</x:v>
      </x:c>
      <x:c r="G368" s="97" t="n">
        <x:v>1.03</x:v>
      </x:c>
      <x:c r="H368" s="94" t="str">
        <x:v>变动</x:v>
      </x:c>
      <x:c r="I368" s="94" t="str">
        <x:v>分析团队</x:v>
      </x:c>
      <x:c r="J368" s="94" t="str">
        <x:v>模拟项目运营成本；统一折算USD</x:v>
      </x:c>
    </x:row>
    <x:row r="369">
      <x:c r="A369" s="92" t="str">
        <x:v>COST-0368</x:v>
      </x:c>
      <x:c r="B369" s="94" t="str">
        <x:v>PROC-0368</x:v>
      </x:c>
      <x:c r="C369" s="93" t="n">
        <x:v>46089</x:v>
      </x:c>
      <x:c r="D369" s="94" t="str">
        <x:v>Microsoft Ads</x:v>
      </x:c>
      <x:c r="E369" s="94" t="str">
        <x:v>创意素材</x:v>
      </x:c>
      <x:c r="F369" s="94" t="str">
        <x:v>按活动</x:v>
      </x:c>
      <x:c r="G369" s="97" t="n">
        <x:v>3.29</x:v>
      </x:c>
      <x:c r="H369" s="94" t="str">
        <x:v>部分固定</x:v>
      </x:c>
      <x:c r="I369" s="94" t="str">
        <x:v>增长团队</x:v>
      </x:c>
      <x:c r="J369" s="94" t="str">
        <x:v>模拟项目运营成本；统一折算USD</x:v>
      </x:c>
    </x:row>
    <x:row r="370">
      <x:c r="A370" s="92" t="str">
        <x:v>COST-0369</x:v>
      </x:c>
      <x:c r="B370" s="94" t="str">
        <x:v>PROC-0369</x:v>
      </x:c>
      <x:c r="C370" s="93" t="n">
        <x:v>46089</x:v>
      </x:c>
      <x:c r="D370" s="94" t="str">
        <x:v>Google Ads</x:v>
      </x:c>
      <x:c r="E370" s="94" t="str">
        <x:v>数据与ETL</x:v>
      </x:c>
      <x:c r="F370" s="94" t="str">
        <x:v>按采购批次</x:v>
      </x:c>
      <x:c r="G370" s="97" t="n">
        <x:v>1.49</x:v>
      </x:c>
      <x:c r="H370" s="94" t="str">
        <x:v>变动</x:v>
      </x:c>
      <x:c r="I370" s="94" t="str">
        <x:v>数据团队</x:v>
      </x:c>
      <x:c r="J370" s="94" t="str">
        <x:v>模拟项目运营成本；统一折算USD</x:v>
      </x:c>
    </x:row>
    <x:row r="371">
      <x:c r="A371" s="92" t="str">
        <x:v>COST-0370</x:v>
      </x:c>
      <x:c r="B371" s="94" t="str">
        <x:v>PROC-0370</x:v>
      </x:c>
      <x:c r="C371" s="93" t="n">
        <x:v>46089</x:v>
      </x:c>
      <x:c r="D371" s="94" t="str">
        <x:v>Google Ads</x:v>
      </x:c>
      <x:c r="E371" s="94" t="str">
        <x:v>创意素材</x:v>
      </x:c>
      <x:c r="F371" s="94" t="str">
        <x:v>按活动</x:v>
      </x:c>
      <x:c r="G371" s="97" t="n">
        <x:v>1.59</x:v>
      </x:c>
      <x:c r="H371" s="94" t="str">
        <x:v>部分固定</x:v>
      </x:c>
      <x:c r="I371" s="94" t="str">
        <x:v>增长团队</x:v>
      </x:c>
      <x:c r="J371" s="94" t="str">
        <x:v>模拟项目运营成本；统一折算USD</x:v>
      </x:c>
    </x:row>
    <x:row r="372">
      <x:c r="A372" s="92" t="str">
        <x:v>COST-0371</x:v>
      </x:c>
      <x:c r="B372" s="94" t="str">
        <x:v>PROC-0371</x:v>
      </x:c>
      <x:c r="C372" s="93" t="n">
        <x:v>46089</x:v>
      </x:c>
      <x:c r="D372" s="94" t="str">
        <x:v>Google Ads</x:v>
      </x:c>
      <x:c r="E372" s="94" t="str">
        <x:v>云主机/CDN</x:v>
      </x:c>
      <x:c r="F372" s="94" t="str">
        <x:v>按访问量</x:v>
      </x:c>
      <x:c r="G372" s="97" t="n">
        <x:v>0.95</x:v>
      </x:c>
      <x:c r="H372" s="94" t="str">
        <x:v>变动</x:v>
      </x:c>
      <x:c r="I372" s="94" t="str">
        <x:v>技术团队</x:v>
      </x:c>
      <x:c r="J372" s="94" t="str">
        <x:v>模拟项目运营成本；统一折算USD</x:v>
      </x:c>
    </x:row>
    <x:row r="373">
      <x:c r="A373" s="92" t="str">
        <x:v>COST-0372</x:v>
      </x:c>
      <x:c r="B373" s="94" t="str">
        <x:v>PROC-0372</x:v>
      </x:c>
      <x:c r="C373" s="93" t="n">
        <x:v>46090</x:v>
      </x:c>
      <x:c r="D373" s="94" t="str">
        <x:v>Microsoft Ads</x:v>
      </x:c>
      <x:c r="E373" s="94" t="str">
        <x:v>归因与监测工具</x:v>
      </x:c>
      <x:c r="F373" s="94" t="str">
        <x:v>按点击量</x:v>
      </x:c>
      <x:c r="G373" s="97" t="n">
        <x:v>0.73</x:v>
      </x:c>
      <x:c r="H373" s="94" t="str">
        <x:v>变动</x:v>
      </x:c>
      <x:c r="I373" s="94" t="str">
        <x:v>分析团队</x:v>
      </x:c>
      <x:c r="J373" s="94" t="str">
        <x:v>模拟项目运营成本；统一折算USD</x:v>
      </x:c>
    </x:row>
    <x:row r="374">
      <x:c r="A374" s="92" t="str">
        <x:v>COST-0373</x:v>
      </x:c>
      <x:c r="B374" s="94" t="str">
        <x:v>PROC-0373</x:v>
      </x:c>
      <x:c r="C374" s="93" t="n">
        <x:v>46090</x:v>
      </x:c>
      <x:c r="D374" s="94" t="str">
        <x:v>Google Ads</x:v>
      </x:c>
      <x:c r="E374" s="94" t="str">
        <x:v>数据与ETL</x:v>
      </x:c>
      <x:c r="F374" s="94" t="str">
        <x:v>按采购批次</x:v>
      </x:c>
      <x:c r="G374" s="97" t="n">
        <x:v>0.85</x:v>
      </x:c>
      <x:c r="H374" s="94" t="str">
        <x:v>变动</x:v>
      </x:c>
      <x:c r="I374" s="94" t="str">
        <x:v>数据团队</x:v>
      </x:c>
      <x:c r="J374" s="94" t="str">
        <x:v>模拟项目运营成本；统一折算USD</x:v>
      </x:c>
    </x:row>
    <x:row r="375">
      <x:c r="A375" s="92" t="str">
        <x:v>COST-0374</x:v>
      </x:c>
      <x:c r="B375" s="94" t="str">
        <x:v>PROC-0374</x:v>
      </x:c>
      <x:c r="C375" s="93" t="n">
        <x:v>46090</x:v>
      </x:c>
      <x:c r="D375" s="94" t="str">
        <x:v>Microsoft Ads</x:v>
      </x:c>
      <x:c r="E375" s="94" t="str">
        <x:v>云主机/CDN</x:v>
      </x:c>
      <x:c r="F375" s="94" t="str">
        <x:v>按访问量</x:v>
      </x:c>
      <x:c r="G375" s="97" t="n">
        <x:v>0.86</x:v>
      </x:c>
      <x:c r="H375" s="94" t="str">
        <x:v>变动</x:v>
      </x:c>
      <x:c r="I375" s="94" t="str">
        <x:v>技术团队</x:v>
      </x:c>
      <x:c r="J375" s="94" t="str">
        <x:v>模拟项目运营成本；统一折算USD</x:v>
      </x:c>
    </x:row>
    <x:row r="376">
      <x:c r="A376" s="92" t="str">
        <x:v>COST-0375</x:v>
      </x:c>
      <x:c r="B376" s="94" t="str">
        <x:v>PROC-0375</x:v>
      </x:c>
      <x:c r="C376" s="93" t="n">
        <x:v>46090</x:v>
      </x:c>
      <x:c r="D376" s="94" t="str">
        <x:v>Google Ads</x:v>
      </x:c>
      <x:c r="E376" s="94" t="str">
        <x:v>归因与监测工具</x:v>
      </x:c>
      <x:c r="F376" s="94" t="str">
        <x:v>按点击量</x:v>
      </x:c>
      <x:c r="G376" s="97" t="n">
        <x:v>0.62</x:v>
      </x:c>
      <x:c r="H376" s="94" t="str">
        <x:v>变动</x:v>
      </x:c>
      <x:c r="I376" s="94" t="str">
        <x:v>分析团队</x:v>
      </x:c>
      <x:c r="J376" s="94" t="str">
        <x:v>模拟项目运营成本；统一折算USD</x:v>
      </x:c>
    </x:row>
    <x:row r="377">
      <x:c r="A377" s="92" t="str">
        <x:v>COST-0376</x:v>
      </x:c>
      <x:c r="B377" s="94" t="str">
        <x:v>PROC-0376</x:v>
      </x:c>
      <x:c r="C377" s="93" t="n">
        <x:v>46090</x:v>
      </x:c>
      <x:c r="D377" s="94" t="str">
        <x:v>Google Ads</x:v>
      </x:c>
      <x:c r="E377" s="94" t="str">
        <x:v>归因与监测工具</x:v>
      </x:c>
      <x:c r="F377" s="94" t="str">
        <x:v>按点击量</x:v>
      </x:c>
      <x:c r="G377" s="97" t="n">
        <x:v>1.63</x:v>
      </x:c>
      <x:c r="H377" s="94" t="str">
        <x:v>变动</x:v>
      </x:c>
      <x:c r="I377" s="94" t="str">
        <x:v>分析团队</x:v>
      </x:c>
      <x:c r="J377" s="94" t="str">
        <x:v>模拟项目运营成本；统一折算USD</x:v>
      </x:c>
    </x:row>
    <x:row r="378">
      <x:c r="A378" s="92" t="str">
        <x:v>COST-0377</x:v>
      </x:c>
      <x:c r="B378" s="94" t="str">
        <x:v>PROC-0377</x:v>
      </x:c>
      <x:c r="C378" s="93" t="n">
        <x:v>46091</x:v>
      </x:c>
      <x:c r="D378" s="94" t="str">
        <x:v>Google Ads</x:v>
      </x:c>
      <x:c r="E378" s="94" t="str">
        <x:v>数据与ETL</x:v>
      </x:c>
      <x:c r="F378" s="94" t="str">
        <x:v>按采购批次</x:v>
      </x:c>
      <x:c r="G378" s="97" t="n">
        <x:v>0.42</x:v>
      </x:c>
      <x:c r="H378" s="94" t="str">
        <x:v>变动</x:v>
      </x:c>
      <x:c r="I378" s="94" t="str">
        <x:v>数据团队</x:v>
      </x:c>
      <x:c r="J378" s="94" t="str">
        <x:v>模拟项目运营成本；统一折算USD</x:v>
      </x:c>
    </x:row>
    <x:row r="379">
      <x:c r="A379" s="92" t="str">
        <x:v>COST-0378</x:v>
      </x:c>
      <x:c r="B379" s="94" t="str">
        <x:v>PROC-0378</x:v>
      </x:c>
      <x:c r="C379" s="93" t="n">
        <x:v>46091</x:v>
      </x:c>
      <x:c r="D379" s="94" t="str">
        <x:v>Google Ads</x:v>
      </x:c>
      <x:c r="E379" s="94" t="str">
        <x:v>数据与ETL</x:v>
      </x:c>
      <x:c r="F379" s="94" t="str">
        <x:v>按采购批次</x:v>
      </x:c>
      <x:c r="G379" s="97" t="n">
        <x:v>0.97</x:v>
      </x:c>
      <x:c r="H379" s="94" t="str">
        <x:v>变动</x:v>
      </x:c>
      <x:c r="I379" s="94" t="str">
        <x:v>数据团队</x:v>
      </x:c>
      <x:c r="J379" s="94" t="str">
        <x:v>模拟项目运营成本；统一折算USD</x:v>
      </x:c>
    </x:row>
    <x:row r="380">
      <x:c r="A380" s="92" t="str">
        <x:v>COST-0379</x:v>
      </x:c>
      <x:c r="B380" s="94" t="str">
        <x:v>PROC-0379</x:v>
      </x:c>
      <x:c r="C380" s="93" t="n">
        <x:v>46091</x:v>
      </x:c>
      <x:c r="D380" s="94" t="str">
        <x:v>Google Ads</x:v>
      </x:c>
      <x:c r="E380" s="94" t="str">
        <x:v>创意素材</x:v>
      </x:c>
      <x:c r="F380" s="94" t="str">
        <x:v>按活动</x:v>
      </x:c>
      <x:c r="G380" s="97" t="n">
        <x:v>1.53</x:v>
      </x:c>
      <x:c r="H380" s="94" t="str">
        <x:v>部分固定</x:v>
      </x:c>
      <x:c r="I380" s="94" t="str">
        <x:v>增长团队</x:v>
      </x:c>
      <x:c r="J380" s="94" t="str">
        <x:v>模拟项目运营成本；统一折算USD</x:v>
      </x:c>
    </x:row>
    <x:row r="381">
      <x:c r="A381" s="92" t="str">
        <x:v>COST-0380</x:v>
      </x:c>
      <x:c r="B381" s="94" t="str">
        <x:v>PROC-0380</x:v>
      </x:c>
      <x:c r="C381" s="93" t="n">
        <x:v>46091</x:v>
      </x:c>
      <x:c r="D381" s="94" t="str">
        <x:v>Google Ads</x:v>
      </x:c>
      <x:c r="E381" s="94" t="str">
        <x:v>人工运营分摊</x:v>
      </x:c>
      <x:c r="F381" s="94" t="str">
        <x:v>按工时</x:v>
      </x:c>
      <x:c r="G381" s="97" t="n">
        <x:v>3.64</x:v>
      </x:c>
      <x:c r="H381" s="94" t="str">
        <x:v>部分固定</x:v>
      </x:c>
      <x:c r="I381" s="94" t="str">
        <x:v>运营团队</x:v>
      </x:c>
      <x:c r="J381" s="94" t="str">
        <x:v>模拟项目运营成本；统一折算USD</x:v>
      </x:c>
    </x:row>
    <x:row r="382">
      <x:c r="A382" s="92" t="str">
        <x:v>COST-0381</x:v>
      </x:c>
      <x:c r="B382" s="94" t="str">
        <x:v>PROC-0381</x:v>
      </x:c>
      <x:c r="C382" s="93" t="n">
        <x:v>46091</x:v>
      </x:c>
      <x:c r="D382" s="94" t="str">
        <x:v>Google Ads</x:v>
      </x:c>
      <x:c r="E382" s="94" t="str">
        <x:v>数据与ETL</x:v>
      </x:c>
      <x:c r="F382" s="94" t="str">
        <x:v>按采购批次</x:v>
      </x:c>
      <x:c r="G382" s="97" t="n">
        <x:v>0.78</x:v>
      </x:c>
      <x:c r="H382" s="94" t="str">
        <x:v>变动</x:v>
      </x:c>
      <x:c r="I382" s="94" t="str">
        <x:v>数据团队</x:v>
      </x:c>
      <x:c r="J382" s="94" t="str">
        <x:v>模拟项目运营成本；统一折算USD</x:v>
      </x:c>
    </x:row>
    <x:row r="383">
      <x:c r="A383" s="92" t="str">
        <x:v>COST-0382</x:v>
      </x:c>
      <x:c r="B383" s="94" t="str">
        <x:v>PROC-0382</x:v>
      </x:c>
      <x:c r="C383" s="93" t="n">
        <x:v>46091</x:v>
      </x:c>
      <x:c r="D383" s="94" t="str">
        <x:v>Google Ads</x:v>
      </x:c>
      <x:c r="E383" s="94" t="str">
        <x:v>数据与ETL</x:v>
      </x:c>
      <x:c r="F383" s="94" t="str">
        <x:v>按采购批次</x:v>
      </x:c>
      <x:c r="G383" s="97" t="n">
        <x:v>1.43</x:v>
      </x:c>
      <x:c r="H383" s="94" t="str">
        <x:v>变动</x:v>
      </x:c>
      <x:c r="I383" s="94" t="str">
        <x:v>数据团队</x:v>
      </x:c>
      <x:c r="J383" s="94" t="str">
        <x:v>模拟项目运营成本；统一折算USD</x:v>
      </x:c>
    </x:row>
    <x:row r="384">
      <x:c r="A384" s="92" t="str">
        <x:v>COST-0383</x:v>
      </x:c>
      <x:c r="B384" s="94" t="str">
        <x:v>PROC-0383</x:v>
      </x:c>
      <x:c r="C384" s="93" t="n">
        <x:v>46092</x:v>
      </x:c>
      <x:c r="D384" s="94" t="str">
        <x:v>Microsoft Ads</x:v>
      </x:c>
      <x:c r="E384" s="94" t="str">
        <x:v>云主机/CDN</x:v>
      </x:c>
      <x:c r="F384" s="94" t="str">
        <x:v>按访问量</x:v>
      </x:c>
      <x:c r="G384" s="97" t="n">
        <x:v>0.43</x:v>
      </x:c>
      <x:c r="H384" s="94" t="str">
        <x:v>变动</x:v>
      </x:c>
      <x:c r="I384" s="94" t="str">
        <x:v>技术团队</x:v>
      </x:c>
      <x:c r="J384" s="94" t="str">
        <x:v>模拟项目运营成本；统一折算USD</x:v>
      </x:c>
    </x:row>
    <x:row r="385">
      <x:c r="A385" s="92" t="str">
        <x:v>COST-0384</x:v>
      </x:c>
      <x:c r="B385" s="94" t="str">
        <x:v>PROC-0384</x:v>
      </x:c>
      <x:c r="C385" s="93" t="n">
        <x:v>46092</x:v>
      </x:c>
      <x:c r="D385" s="94" t="str">
        <x:v>Microsoft Ads</x:v>
      </x:c>
      <x:c r="E385" s="94" t="str">
        <x:v>创意素材</x:v>
      </x:c>
      <x:c r="F385" s="94" t="str">
        <x:v>按活动</x:v>
      </x:c>
      <x:c r="G385" s="97" t="n">
        <x:v>2.12</x:v>
      </x:c>
      <x:c r="H385" s="94" t="str">
        <x:v>部分固定</x:v>
      </x:c>
      <x:c r="I385" s="94" t="str">
        <x:v>增长团队</x:v>
      </x:c>
      <x:c r="J385" s="94" t="str">
        <x:v>模拟项目运营成本；统一折算USD</x:v>
      </x:c>
    </x:row>
    <x:row r="386">
      <x:c r="A386" s="92" t="str">
        <x:v>COST-0385</x:v>
      </x:c>
      <x:c r="B386" s="94" t="str">
        <x:v>PROC-0385</x:v>
      </x:c>
      <x:c r="C386" s="93" t="n">
        <x:v>46092</x:v>
      </x:c>
      <x:c r="D386" s="94" t="str">
        <x:v>Google Ads</x:v>
      </x:c>
      <x:c r="E386" s="94" t="str">
        <x:v>数据与ETL</x:v>
      </x:c>
      <x:c r="F386" s="94" t="str">
        <x:v>按采购批次</x:v>
      </x:c>
      <x:c r="G386" s="97" t="n">
        <x:v>0.58</x:v>
      </x:c>
      <x:c r="H386" s="94" t="str">
        <x:v>变动</x:v>
      </x:c>
      <x:c r="I386" s="94" t="str">
        <x:v>数据团队</x:v>
      </x:c>
      <x:c r="J386" s="94" t="str">
        <x:v>模拟项目运营成本；统一折算USD</x:v>
      </x:c>
    </x:row>
    <x:row r="387">
      <x:c r="A387" s="92" t="str">
        <x:v>COST-0386</x:v>
      </x:c>
      <x:c r="B387" s="94" t="str">
        <x:v>PROC-0386</x:v>
      </x:c>
      <x:c r="C387" s="93" t="n">
        <x:v>46092</x:v>
      </x:c>
      <x:c r="D387" s="94" t="str">
        <x:v>Google Ads</x:v>
      </x:c>
      <x:c r="E387" s="94" t="str">
        <x:v>人工运营分摊</x:v>
      </x:c>
      <x:c r="F387" s="94" t="str">
        <x:v>按工时</x:v>
      </x:c>
      <x:c r="G387" s="97" t="n">
        <x:v>2.63</x:v>
      </x:c>
      <x:c r="H387" s="94" t="str">
        <x:v>部分固定</x:v>
      </x:c>
      <x:c r="I387" s="94" t="str">
        <x:v>运营团队</x:v>
      </x:c>
      <x:c r="J387" s="94" t="str">
        <x:v>模拟项目运营成本；统一折算USD</x:v>
      </x:c>
    </x:row>
    <x:row r="388">
      <x:c r="A388" s="92" t="str">
        <x:v>COST-0387</x:v>
      </x:c>
      <x:c r="B388" s="94" t="str">
        <x:v>PROC-0387</x:v>
      </x:c>
      <x:c r="C388" s="93" t="n">
        <x:v>46092</x:v>
      </x:c>
      <x:c r="D388" s="94" t="str">
        <x:v>Google Ads</x:v>
      </x:c>
      <x:c r="E388" s="94" t="str">
        <x:v>归因与监测工具</x:v>
      </x:c>
      <x:c r="F388" s="94" t="str">
        <x:v>按点击量</x:v>
      </x:c>
      <x:c r="G388" s="97" t="n">
        <x:v>1.65</x:v>
      </x:c>
      <x:c r="H388" s="94" t="str">
        <x:v>变动</x:v>
      </x:c>
      <x:c r="I388" s="94" t="str">
        <x:v>分析团队</x:v>
      </x:c>
      <x:c r="J388" s="94" t="str">
        <x:v>模拟项目运营成本；统一折算USD</x:v>
      </x:c>
    </x:row>
    <x:row r="389">
      <x:c r="A389" s="92" t="str">
        <x:v>COST-0388</x:v>
      </x:c>
      <x:c r="B389" s="94" t="str">
        <x:v>PROC-0388</x:v>
      </x:c>
      <x:c r="C389" s="93" t="n">
        <x:v>46093</x:v>
      </x:c>
      <x:c r="D389" s="94" t="str">
        <x:v>Microsoft Ads</x:v>
      </x:c>
      <x:c r="E389" s="94" t="str">
        <x:v>归因与监测工具</x:v>
      </x:c>
      <x:c r="F389" s="94" t="str">
        <x:v>按点击量</x:v>
      </x:c>
      <x:c r="G389" s="97" t="n">
        <x:v>0.58</x:v>
      </x:c>
      <x:c r="H389" s="94" t="str">
        <x:v>变动</x:v>
      </x:c>
      <x:c r="I389" s="94" t="str">
        <x:v>分析团队</x:v>
      </x:c>
      <x:c r="J389" s="94" t="str">
        <x:v>模拟项目运营成本；统一折算USD</x:v>
      </x:c>
    </x:row>
    <x:row r="390">
      <x:c r="A390" s="92" t="str">
        <x:v>COST-0389</x:v>
      </x:c>
      <x:c r="B390" s="94" t="str">
        <x:v>PROC-0389</x:v>
      </x:c>
      <x:c r="C390" s="93" t="n">
        <x:v>46093</x:v>
      </x:c>
      <x:c r="D390" s="94" t="str">
        <x:v>Microsoft Ads</x:v>
      </x:c>
      <x:c r="E390" s="94" t="str">
        <x:v>云主机/CDN</x:v>
      </x:c>
      <x:c r="F390" s="94" t="str">
        <x:v>按访问量</x:v>
      </x:c>
      <x:c r="G390" s="97" t="n">
        <x:v>0.75</x:v>
      </x:c>
      <x:c r="H390" s="94" t="str">
        <x:v>变动</x:v>
      </x:c>
      <x:c r="I390" s="94" t="str">
        <x:v>技术团队</x:v>
      </x:c>
      <x:c r="J390" s="94" t="str">
        <x:v>模拟项目运营成本；统一折算USD</x:v>
      </x:c>
    </x:row>
    <x:row r="391">
      <x:c r="A391" s="92" t="str">
        <x:v>COST-0390</x:v>
      </x:c>
      <x:c r="B391" s="94" t="str">
        <x:v>PROC-0390</x:v>
      </x:c>
      <x:c r="C391" s="93" t="n">
        <x:v>46093</x:v>
      </x:c>
      <x:c r="D391" s="94" t="str">
        <x:v>Google Ads</x:v>
      </x:c>
      <x:c r="E391" s="94" t="str">
        <x:v>云主机/CDN</x:v>
      </x:c>
      <x:c r="F391" s="94" t="str">
        <x:v>按访问量</x:v>
      </x:c>
      <x:c r="G391" s="97" t="n">
        <x:v>0.32</x:v>
      </x:c>
      <x:c r="H391" s="94" t="str">
        <x:v>变动</x:v>
      </x:c>
      <x:c r="I391" s="94" t="str">
        <x:v>技术团队</x:v>
      </x:c>
      <x:c r="J391" s="94" t="str">
        <x:v>模拟项目运营成本；统一折算USD</x:v>
      </x:c>
    </x:row>
    <x:row r="392">
      <x:c r="A392" s="92" t="str">
        <x:v>COST-0391</x:v>
      </x:c>
      <x:c r="B392" s="94" t="str">
        <x:v>PROC-0391</x:v>
      </x:c>
      <x:c r="C392" s="93" t="n">
        <x:v>46093</x:v>
      </x:c>
      <x:c r="D392" s="94" t="str">
        <x:v>Google Ads</x:v>
      </x:c>
      <x:c r="E392" s="94" t="str">
        <x:v>人工运营分摊</x:v>
      </x:c>
      <x:c r="F392" s="94" t="str">
        <x:v>按工时</x:v>
      </x:c>
      <x:c r="G392" s="97" t="n">
        <x:v>3.47</x:v>
      </x:c>
      <x:c r="H392" s="94" t="str">
        <x:v>部分固定</x:v>
      </x:c>
      <x:c r="I392" s="94" t="str">
        <x:v>运营团队</x:v>
      </x:c>
      <x:c r="J392" s="94" t="str">
        <x:v>模拟项目运营成本；统一折算USD</x:v>
      </x:c>
    </x:row>
    <x:row r="393">
      <x:c r="A393" s="92" t="str">
        <x:v>COST-0392</x:v>
      </x:c>
      <x:c r="B393" s="94" t="str">
        <x:v>PROC-0392</x:v>
      </x:c>
      <x:c r="C393" s="93" t="n">
        <x:v>46093</x:v>
      </x:c>
      <x:c r="D393" s="94" t="str">
        <x:v>Google Ads</x:v>
      </x:c>
      <x:c r="E393" s="94" t="str">
        <x:v>人工运营分摊</x:v>
      </x:c>
      <x:c r="F393" s="94" t="str">
        <x:v>按工时</x:v>
      </x:c>
      <x:c r="G393" s="97" t="n">
        <x:v>4.19</x:v>
      </x:c>
      <x:c r="H393" s="94" t="str">
        <x:v>部分固定</x:v>
      </x:c>
      <x:c r="I393" s="94" t="str">
        <x:v>运营团队</x:v>
      </x:c>
      <x:c r="J393" s="94" t="str">
        <x:v>模拟项目运营成本；统一折算USD</x:v>
      </x:c>
    </x:row>
    <x:row r="394">
      <x:c r="A394" s="92" t="str">
        <x:v>COST-0393</x:v>
      </x:c>
      <x:c r="B394" s="94" t="str">
        <x:v>PROC-0393</x:v>
      </x:c>
      <x:c r="C394" s="93" t="n">
        <x:v>46093</x:v>
      </x:c>
      <x:c r="D394" s="94" t="str">
        <x:v>Google Ads</x:v>
      </x:c>
      <x:c r="E394" s="94" t="str">
        <x:v>人工运营分摊</x:v>
      </x:c>
      <x:c r="F394" s="94" t="str">
        <x:v>按工时</x:v>
      </x:c>
      <x:c r="G394" s="97" t="n">
        <x:v>5.08</x:v>
      </x:c>
      <x:c r="H394" s="94" t="str">
        <x:v>部分固定</x:v>
      </x:c>
      <x:c r="I394" s="94" t="str">
        <x:v>运营团队</x:v>
      </x:c>
      <x:c r="J394" s="94" t="str">
        <x:v>模拟项目运营成本；统一折算USD</x:v>
      </x:c>
    </x:row>
    <x:row r="395">
      <x:c r="A395" s="92" t="str">
        <x:v>COST-0394</x:v>
      </x:c>
      <x:c r="B395" s="94" t="str">
        <x:v>PROC-0394</x:v>
      </x:c>
      <x:c r="C395" s="93" t="n">
        <x:v>46094</x:v>
      </x:c>
      <x:c r="D395" s="94" t="str">
        <x:v>Google Ads</x:v>
      </x:c>
      <x:c r="E395" s="94" t="str">
        <x:v>数据与ETL</x:v>
      </x:c>
      <x:c r="F395" s="94" t="str">
        <x:v>按采购批次</x:v>
      </x:c>
      <x:c r="G395" s="97" t="n">
        <x:v>0.92</x:v>
      </x:c>
      <x:c r="H395" s="94" t="str">
        <x:v>变动</x:v>
      </x:c>
      <x:c r="I395" s="94" t="str">
        <x:v>数据团队</x:v>
      </x:c>
      <x:c r="J395" s="94" t="str">
        <x:v>模拟项目运营成本；统一折算USD</x:v>
      </x:c>
    </x:row>
    <x:row r="396">
      <x:c r="A396" s="92" t="str">
        <x:v>COST-0395</x:v>
      </x:c>
      <x:c r="B396" s="94" t="str">
        <x:v>PROC-0395</x:v>
      </x:c>
      <x:c r="C396" s="93" t="n">
        <x:v>46094</x:v>
      </x:c>
      <x:c r="D396" s="94" t="str">
        <x:v>Google Ads</x:v>
      </x:c>
      <x:c r="E396" s="94" t="str">
        <x:v>云主机/CDN</x:v>
      </x:c>
      <x:c r="F396" s="94" t="str">
        <x:v>按访问量</x:v>
      </x:c>
      <x:c r="G396" s="97" t="n">
        <x:v>0.34</x:v>
      </x:c>
      <x:c r="H396" s="94" t="str">
        <x:v>变动</x:v>
      </x:c>
      <x:c r="I396" s="94" t="str">
        <x:v>技术团队</x:v>
      </x:c>
      <x:c r="J396" s="94" t="str">
        <x:v>模拟项目运营成本；统一折算USD</x:v>
      </x:c>
    </x:row>
    <x:row r="397">
      <x:c r="A397" s="92" t="str">
        <x:v>COST-0396</x:v>
      </x:c>
      <x:c r="B397" s="94" t="str">
        <x:v>PROC-0396</x:v>
      </x:c>
      <x:c r="C397" s="93" t="n">
        <x:v>46094</x:v>
      </x:c>
      <x:c r="D397" s="94" t="str">
        <x:v>Microsoft Ads</x:v>
      </x:c>
      <x:c r="E397" s="94" t="str">
        <x:v>云主机/CDN</x:v>
      </x:c>
      <x:c r="F397" s="94" t="str">
        <x:v>按访问量</x:v>
      </x:c>
      <x:c r="G397" s="97" t="n">
        <x:v>0.99</x:v>
      </x:c>
      <x:c r="H397" s="94" t="str">
        <x:v>变动</x:v>
      </x:c>
      <x:c r="I397" s="94" t="str">
        <x:v>技术团队</x:v>
      </x:c>
      <x:c r="J397" s="94" t="str">
        <x:v>模拟项目运营成本；统一折算USD</x:v>
      </x:c>
    </x:row>
    <x:row r="398">
      <x:c r="A398" s="92" t="str">
        <x:v>COST-0397</x:v>
      </x:c>
      <x:c r="B398" s="94" t="str">
        <x:v>PROC-0397</x:v>
      </x:c>
      <x:c r="C398" s="93" t="n">
        <x:v>46094</x:v>
      </x:c>
      <x:c r="D398" s="94" t="str">
        <x:v>Google Ads</x:v>
      </x:c>
      <x:c r="E398" s="94" t="str">
        <x:v>创意素材</x:v>
      </x:c>
      <x:c r="F398" s="94" t="str">
        <x:v>按活动</x:v>
      </x:c>
      <x:c r="G398" s="97" t="n">
        <x:v>3.14</x:v>
      </x:c>
      <x:c r="H398" s="94" t="str">
        <x:v>部分固定</x:v>
      </x:c>
      <x:c r="I398" s="94" t="str">
        <x:v>增长团队</x:v>
      </x:c>
      <x:c r="J398" s="94" t="str">
        <x:v>模拟项目运营成本；统一折算USD</x:v>
      </x:c>
    </x:row>
    <x:row r="399">
      <x:c r="A399" s="92" t="str">
        <x:v>COST-0398</x:v>
      </x:c>
      <x:c r="B399" s="94" t="str">
        <x:v>PROC-0398</x:v>
      </x:c>
      <x:c r="C399" s="93" t="n">
        <x:v>46094</x:v>
      </x:c>
      <x:c r="D399" s="94" t="str">
        <x:v>Microsoft Ads</x:v>
      </x:c>
      <x:c r="E399" s="94" t="str">
        <x:v>云主机/CDN</x:v>
      </x:c>
      <x:c r="F399" s="94" t="str">
        <x:v>按访问量</x:v>
      </x:c>
      <x:c r="G399" s="97" t="n">
        <x:v>0.4</x:v>
      </x:c>
      <x:c r="H399" s="94" t="str">
        <x:v>变动</x:v>
      </x:c>
      <x:c r="I399" s="94" t="str">
        <x:v>技术团队</x:v>
      </x:c>
      <x:c r="J399" s="94" t="str">
        <x:v>模拟项目运营成本；统一折算USD</x:v>
      </x:c>
    </x:row>
    <x:row r="400">
      <x:c r="A400" s="92" t="str">
        <x:v>COST-0399</x:v>
      </x:c>
      <x:c r="B400" s="94" t="str">
        <x:v>PROC-0399</x:v>
      </x:c>
      <x:c r="C400" s="93" t="n">
        <x:v>46095</x:v>
      </x:c>
      <x:c r="D400" s="94" t="str">
        <x:v>Google Ads</x:v>
      </x:c>
      <x:c r="E400" s="94" t="str">
        <x:v>云主机/CDN</x:v>
      </x:c>
      <x:c r="F400" s="94" t="str">
        <x:v>按访问量</x:v>
      </x:c>
      <x:c r="G400" s="97" t="n">
        <x:v>0.33</x:v>
      </x:c>
      <x:c r="H400" s="94" t="str">
        <x:v>变动</x:v>
      </x:c>
      <x:c r="I400" s="94" t="str">
        <x:v>技术团队</x:v>
      </x:c>
      <x:c r="J400" s="94" t="str">
        <x:v>模拟项目运营成本；统一折算USD</x:v>
      </x:c>
    </x:row>
    <x:row r="401">
      <x:c r="A401" s="92" t="str">
        <x:v>COST-0400</x:v>
      </x:c>
      <x:c r="B401" s="94" t="str">
        <x:v>PROC-0400</x:v>
      </x:c>
      <x:c r="C401" s="93" t="n">
        <x:v>46095</x:v>
      </x:c>
      <x:c r="D401" s="94" t="str">
        <x:v>Microsoft Ads</x:v>
      </x:c>
      <x:c r="E401" s="94" t="str">
        <x:v>人工运营分摊</x:v>
      </x:c>
      <x:c r="F401" s="94" t="str">
        <x:v>按工时</x:v>
      </x:c>
      <x:c r="G401" s="97" t="n">
        <x:v>2.28</x:v>
      </x:c>
      <x:c r="H401" s="94" t="str">
        <x:v>部分固定</x:v>
      </x:c>
      <x:c r="I401" s="94" t="str">
        <x:v>运营团队</x:v>
      </x:c>
      <x:c r="J401" s="94" t="str">
        <x:v>模拟项目运营成本；统一折算USD</x:v>
      </x:c>
    </x:row>
    <x:row r="402">
      <x:c r="A402" s="92" t="str">
        <x:v>COST-0401</x:v>
      </x:c>
      <x:c r="B402" s="94" t="str">
        <x:v>PROC-0401</x:v>
      </x:c>
      <x:c r="C402" s="93" t="n">
        <x:v>46095</x:v>
      </x:c>
      <x:c r="D402" s="94" t="str">
        <x:v>Microsoft Ads</x:v>
      </x:c>
      <x:c r="E402" s="94" t="str">
        <x:v>云主机/CDN</x:v>
      </x:c>
      <x:c r="F402" s="94" t="str">
        <x:v>按访问量</x:v>
      </x:c>
      <x:c r="G402" s="97" t="n">
        <x:v>0.7</x:v>
      </x:c>
      <x:c r="H402" s="94" t="str">
        <x:v>变动</x:v>
      </x:c>
      <x:c r="I402" s="94" t="str">
        <x:v>技术团队</x:v>
      </x:c>
      <x:c r="J402" s="94" t="str">
        <x:v>模拟项目运营成本；统一折算USD</x:v>
      </x:c>
    </x:row>
    <x:row r="403">
      <x:c r="A403" s="92" t="str">
        <x:v>COST-0402</x:v>
      </x:c>
      <x:c r="B403" s="94" t="str">
        <x:v>PROC-0402</x:v>
      </x:c>
      <x:c r="C403" s="93" t="n">
        <x:v>46095</x:v>
      </x:c>
      <x:c r="D403" s="94" t="str">
        <x:v>Microsoft Ads</x:v>
      </x:c>
      <x:c r="E403" s="94" t="str">
        <x:v>人工运营分摊</x:v>
      </x:c>
      <x:c r="F403" s="94" t="str">
        <x:v>按工时</x:v>
      </x:c>
      <x:c r="G403" s="97" t="n">
        <x:v>4.16</x:v>
      </x:c>
      <x:c r="H403" s="94" t="str">
        <x:v>部分固定</x:v>
      </x:c>
      <x:c r="I403" s="94" t="str">
        <x:v>运营团队</x:v>
      </x:c>
      <x:c r="J403" s="94" t="str">
        <x:v>模拟项目运营成本；统一折算USD</x:v>
      </x:c>
    </x:row>
    <x:row r="404">
      <x:c r="A404" s="92" t="str">
        <x:v>COST-0403</x:v>
      </x:c>
      <x:c r="B404" s="94" t="str">
        <x:v>PROC-0403</x:v>
      </x:c>
      <x:c r="C404" s="93" t="n">
        <x:v>46095</x:v>
      </x:c>
      <x:c r="D404" s="94" t="str">
        <x:v>Microsoft Ads</x:v>
      </x:c>
      <x:c r="E404" s="94" t="str">
        <x:v>人工运营分摊</x:v>
      </x:c>
      <x:c r="F404" s="94" t="str">
        <x:v>按工时</x:v>
      </x:c>
      <x:c r="G404" s="97" t="n">
        <x:v>2.5</x:v>
      </x:c>
      <x:c r="H404" s="94" t="str">
        <x:v>部分固定</x:v>
      </x:c>
      <x:c r="I404" s="94" t="str">
        <x:v>运营团队</x:v>
      </x:c>
      <x:c r="J404" s="94" t="str">
        <x:v>模拟项目运营成本；统一折算USD</x:v>
      </x:c>
    </x:row>
    <x:row r="405">
      <x:c r="A405" s="92" t="str">
        <x:v>COST-0404</x:v>
      </x:c>
      <x:c r="B405" s="94" t="str">
        <x:v>PROC-0404</x:v>
      </x:c>
      <x:c r="C405" s="93" t="n">
        <x:v>46095</x:v>
      </x:c>
      <x:c r="D405" s="94" t="str">
        <x:v>Microsoft Ads</x:v>
      </x:c>
      <x:c r="E405" s="94" t="str">
        <x:v>创意素材</x:v>
      </x:c>
      <x:c r="F405" s="94" t="str">
        <x:v>按活动</x:v>
      </x:c>
      <x:c r="G405" s="97" t="n">
        <x:v>2.4</x:v>
      </x:c>
      <x:c r="H405" s="94" t="str">
        <x:v>部分固定</x:v>
      </x:c>
      <x:c r="I405" s="94" t="str">
        <x:v>增长团队</x:v>
      </x:c>
      <x:c r="J405" s="94" t="str">
        <x:v>模拟项目运营成本；统一折算USD</x:v>
      </x:c>
    </x:row>
    <x:row r="406">
      <x:c r="A406" s="92" t="str">
        <x:v>COST-0405</x:v>
      </x:c>
      <x:c r="B406" s="94" t="str">
        <x:v>PROC-0405</x:v>
      </x:c>
      <x:c r="C406" s="93" t="n">
        <x:v>46096</x:v>
      </x:c>
      <x:c r="D406" s="94" t="str">
        <x:v>Microsoft Ads</x:v>
      </x:c>
      <x:c r="E406" s="94" t="str">
        <x:v>云主机/CDN</x:v>
      </x:c>
      <x:c r="F406" s="94" t="str">
        <x:v>按访问量</x:v>
      </x:c>
      <x:c r="G406" s="97" t="n">
        <x:v>0.97</x:v>
      </x:c>
      <x:c r="H406" s="94" t="str">
        <x:v>变动</x:v>
      </x:c>
      <x:c r="I406" s="94" t="str">
        <x:v>技术团队</x:v>
      </x:c>
      <x:c r="J406" s="94" t="str">
        <x:v>模拟项目运营成本；统一折算USD</x:v>
      </x:c>
    </x:row>
    <x:row r="407">
      <x:c r="A407" s="92" t="str">
        <x:v>COST-0406</x:v>
      </x:c>
      <x:c r="B407" s="94" t="str">
        <x:v>PROC-0406</x:v>
      </x:c>
      <x:c r="C407" s="93" t="n">
        <x:v>46096</x:v>
      </x:c>
      <x:c r="D407" s="94" t="str">
        <x:v>Google Ads</x:v>
      </x:c>
      <x:c r="E407" s="94" t="str">
        <x:v>归因与监测工具</x:v>
      </x:c>
      <x:c r="F407" s="94" t="str">
        <x:v>按点击量</x:v>
      </x:c>
      <x:c r="G407" s="97" t="n">
        <x:v>0.88</x:v>
      </x:c>
      <x:c r="H407" s="94" t="str">
        <x:v>变动</x:v>
      </x:c>
      <x:c r="I407" s="94" t="str">
        <x:v>分析团队</x:v>
      </x:c>
      <x:c r="J407" s="94" t="str">
        <x:v>模拟项目运营成本；统一折算USD</x:v>
      </x:c>
    </x:row>
    <x:row r="408">
      <x:c r="A408" s="92" t="str">
        <x:v>COST-0407</x:v>
      </x:c>
      <x:c r="B408" s="94" t="str">
        <x:v>PROC-0407</x:v>
      </x:c>
      <x:c r="C408" s="93" t="n">
        <x:v>46096</x:v>
      </x:c>
      <x:c r="D408" s="94" t="str">
        <x:v>Google Ads</x:v>
      </x:c>
      <x:c r="E408" s="94" t="str">
        <x:v>人工运营分摊</x:v>
      </x:c>
      <x:c r="F408" s="94" t="str">
        <x:v>按工时</x:v>
      </x:c>
      <x:c r="G408" s="97" t="n">
        <x:v>1.5</x:v>
      </x:c>
      <x:c r="H408" s="94" t="str">
        <x:v>部分固定</x:v>
      </x:c>
      <x:c r="I408" s="94" t="str">
        <x:v>运营团队</x:v>
      </x:c>
      <x:c r="J408" s="94" t="str">
        <x:v>模拟项目运营成本；统一折算USD</x:v>
      </x:c>
    </x:row>
    <x:row r="409">
      <x:c r="A409" s="92" t="str">
        <x:v>COST-0408</x:v>
      </x:c>
      <x:c r="B409" s="94" t="str">
        <x:v>PROC-0408</x:v>
      </x:c>
      <x:c r="C409" s="93" t="n">
        <x:v>46096</x:v>
      </x:c>
      <x:c r="D409" s="94" t="str">
        <x:v>Microsoft Ads</x:v>
      </x:c>
      <x:c r="E409" s="94" t="str">
        <x:v>数据与ETL</x:v>
      </x:c>
      <x:c r="F409" s="94" t="str">
        <x:v>按采购批次</x:v>
      </x:c>
      <x:c r="G409" s="97" t="n">
        <x:v>1.55</x:v>
      </x:c>
      <x:c r="H409" s="94" t="str">
        <x:v>变动</x:v>
      </x:c>
      <x:c r="I409" s="94" t="str">
        <x:v>数据团队</x:v>
      </x:c>
      <x:c r="J409" s="94" t="str">
        <x:v>模拟项目运营成本；统一折算USD</x:v>
      </x:c>
    </x:row>
    <x:row r="410">
      <x:c r="A410" s="92" t="str">
        <x:v>COST-0409</x:v>
      </x:c>
      <x:c r="B410" s="94" t="str">
        <x:v>PROC-0409</x:v>
      </x:c>
      <x:c r="C410" s="93" t="n">
        <x:v>46096</x:v>
      </x:c>
      <x:c r="D410" s="94" t="str">
        <x:v>Google Ads</x:v>
      </x:c>
      <x:c r="E410" s="94" t="str">
        <x:v>创意素材</x:v>
      </x:c>
      <x:c r="F410" s="94" t="str">
        <x:v>按活动</x:v>
      </x:c>
      <x:c r="G410" s="97" t="n">
        <x:v>3.66</x:v>
      </x:c>
      <x:c r="H410" s="94" t="str">
        <x:v>部分固定</x:v>
      </x:c>
      <x:c r="I410" s="94" t="str">
        <x:v>增长团队</x:v>
      </x:c>
      <x:c r="J410" s="94" t="str">
        <x:v>模拟项目运营成本；统一折算USD</x:v>
      </x:c>
    </x:row>
    <x:row r="411">
      <x:c r="A411" s="92" t="str">
        <x:v>COST-0410</x:v>
      </x:c>
      <x:c r="B411" s="94" t="str">
        <x:v>PROC-0410</x:v>
      </x:c>
      <x:c r="C411" s="93" t="n">
        <x:v>46097</x:v>
      </x:c>
      <x:c r="D411" s="94" t="str">
        <x:v>Google Ads</x:v>
      </x:c>
      <x:c r="E411" s="94" t="str">
        <x:v>创意素材</x:v>
      </x:c>
      <x:c r="F411" s="94" t="str">
        <x:v>按活动</x:v>
      </x:c>
      <x:c r="G411" s="97" t="n">
        <x:v>2.79</x:v>
      </x:c>
      <x:c r="H411" s="94" t="str">
        <x:v>部分固定</x:v>
      </x:c>
      <x:c r="I411" s="94" t="str">
        <x:v>增长团队</x:v>
      </x:c>
      <x:c r="J411" s="94" t="str">
        <x:v>模拟项目运营成本；统一折算USD</x:v>
      </x:c>
    </x:row>
    <x:row r="412">
      <x:c r="A412" s="92" t="str">
        <x:v>COST-0411</x:v>
      </x:c>
      <x:c r="B412" s="94" t="str">
        <x:v>PROC-0411</x:v>
      </x:c>
      <x:c r="C412" s="93" t="n">
        <x:v>46097</x:v>
      </x:c>
      <x:c r="D412" s="94" t="str">
        <x:v>Google Ads</x:v>
      </x:c>
      <x:c r="E412" s="94" t="str">
        <x:v>数据与ETL</x:v>
      </x:c>
      <x:c r="F412" s="94" t="str">
        <x:v>按采购批次</x:v>
      </x:c>
      <x:c r="G412" s="97" t="n">
        <x:v>1.22</x:v>
      </x:c>
      <x:c r="H412" s="94" t="str">
        <x:v>变动</x:v>
      </x:c>
      <x:c r="I412" s="94" t="str">
        <x:v>数据团队</x:v>
      </x:c>
      <x:c r="J412" s="94" t="str">
        <x:v>模拟项目运营成本；统一折算USD</x:v>
      </x:c>
    </x:row>
    <x:row r="413">
      <x:c r="A413" s="92" t="str">
        <x:v>COST-0412</x:v>
      </x:c>
      <x:c r="B413" s="94" t="str">
        <x:v>PROC-0412</x:v>
      </x:c>
      <x:c r="C413" s="93" t="n">
        <x:v>46097</x:v>
      </x:c>
      <x:c r="D413" s="94" t="str">
        <x:v>Microsoft Ads</x:v>
      </x:c>
      <x:c r="E413" s="94" t="str">
        <x:v>归因与监测工具</x:v>
      </x:c>
      <x:c r="F413" s="94" t="str">
        <x:v>按点击量</x:v>
      </x:c>
      <x:c r="G413" s="97" t="n">
        <x:v>1.36</x:v>
      </x:c>
      <x:c r="H413" s="94" t="str">
        <x:v>变动</x:v>
      </x:c>
      <x:c r="I413" s="94" t="str">
        <x:v>分析团队</x:v>
      </x:c>
      <x:c r="J413" s="94" t="str">
        <x:v>模拟项目运营成本；统一折算USD</x:v>
      </x:c>
    </x:row>
    <x:row r="414">
      <x:c r="A414" s="92" t="str">
        <x:v>COST-0413</x:v>
      </x:c>
      <x:c r="B414" s="94" t="str">
        <x:v>PROC-0413</x:v>
      </x:c>
      <x:c r="C414" s="93" t="n">
        <x:v>46097</x:v>
      </x:c>
      <x:c r="D414" s="94" t="str">
        <x:v>Google Ads</x:v>
      </x:c>
      <x:c r="E414" s="94" t="str">
        <x:v>创意素材</x:v>
      </x:c>
      <x:c r="F414" s="94" t="str">
        <x:v>按活动</x:v>
      </x:c>
      <x:c r="G414" s="97" t="n">
        <x:v>2.19</x:v>
      </x:c>
      <x:c r="H414" s="94" t="str">
        <x:v>部分固定</x:v>
      </x:c>
      <x:c r="I414" s="94" t="str">
        <x:v>增长团队</x:v>
      </x:c>
      <x:c r="J414" s="94" t="str">
        <x:v>模拟项目运营成本；统一折算USD</x:v>
      </x:c>
    </x:row>
    <x:row r="415">
      <x:c r="A415" s="92" t="str">
        <x:v>COST-0414</x:v>
      </x:c>
      <x:c r="B415" s="94" t="str">
        <x:v>PROC-0414</x:v>
      </x:c>
      <x:c r="C415" s="93" t="n">
        <x:v>46097</x:v>
      </x:c>
      <x:c r="D415" s="94" t="str">
        <x:v>Google Ads</x:v>
      </x:c>
      <x:c r="E415" s="94" t="str">
        <x:v>创意素材</x:v>
      </x:c>
      <x:c r="F415" s="94" t="str">
        <x:v>按活动</x:v>
      </x:c>
      <x:c r="G415" s="97" t="n">
        <x:v>1.82</x:v>
      </x:c>
      <x:c r="H415" s="94" t="str">
        <x:v>部分固定</x:v>
      </x:c>
      <x:c r="I415" s="94" t="str">
        <x:v>增长团队</x:v>
      </x:c>
      <x:c r="J415" s="94" t="str">
        <x:v>模拟项目运营成本；统一折算USD</x:v>
      </x:c>
    </x:row>
    <x:row r="416">
      <x:c r="A416" s="92" t="str">
        <x:v>COST-0415</x:v>
      </x:c>
      <x:c r="B416" s="94" t="str">
        <x:v>PROC-0415</x:v>
      </x:c>
      <x:c r="C416" s="93" t="n">
        <x:v>46097</x:v>
      </x:c>
      <x:c r="D416" s="94" t="str">
        <x:v>Microsoft Ads</x:v>
      </x:c>
      <x:c r="E416" s="94" t="str">
        <x:v>数据与ETL</x:v>
      </x:c>
      <x:c r="F416" s="94" t="str">
        <x:v>按采购批次</x:v>
      </x:c>
      <x:c r="G416" s="97" t="n">
        <x:v>1.49</x:v>
      </x:c>
      <x:c r="H416" s="94" t="str">
        <x:v>变动</x:v>
      </x:c>
      <x:c r="I416" s="94" t="str">
        <x:v>数据团队</x:v>
      </x:c>
      <x:c r="J416" s="94" t="str">
        <x:v>模拟项目运营成本；统一折算USD</x:v>
      </x:c>
    </x:row>
    <x:row r="417">
      <x:c r="A417" s="92" t="str">
        <x:v>COST-0416</x:v>
      </x:c>
      <x:c r="B417" s="94" t="str">
        <x:v>PROC-0416</x:v>
      </x:c>
      <x:c r="C417" s="93" t="n">
        <x:v>46098</x:v>
      </x:c>
      <x:c r="D417" s="94" t="str">
        <x:v>Google Ads</x:v>
      </x:c>
      <x:c r="E417" s="94" t="str">
        <x:v>云主机/CDN</x:v>
      </x:c>
      <x:c r="F417" s="94" t="str">
        <x:v>按访问量</x:v>
      </x:c>
      <x:c r="G417" s="97" t="n">
        <x:v>1.1</x:v>
      </x:c>
      <x:c r="H417" s="94" t="str">
        <x:v>变动</x:v>
      </x:c>
      <x:c r="I417" s="94" t="str">
        <x:v>技术团队</x:v>
      </x:c>
      <x:c r="J417" s="94" t="str">
        <x:v>模拟项目运营成本；统一折算USD</x:v>
      </x:c>
    </x:row>
    <x:row r="418">
      <x:c r="A418" s="92" t="str">
        <x:v>COST-0417</x:v>
      </x:c>
      <x:c r="B418" s="94" t="str">
        <x:v>PROC-0417</x:v>
      </x:c>
      <x:c r="C418" s="93" t="n">
        <x:v>46098</x:v>
      </x:c>
      <x:c r="D418" s="94" t="str">
        <x:v>Microsoft Ads</x:v>
      </x:c>
      <x:c r="E418" s="94" t="str">
        <x:v>云主机/CDN</x:v>
      </x:c>
      <x:c r="F418" s="94" t="str">
        <x:v>按访问量</x:v>
      </x:c>
      <x:c r="G418" s="97" t="n">
        <x:v>0.57</x:v>
      </x:c>
      <x:c r="H418" s="94" t="str">
        <x:v>变动</x:v>
      </x:c>
      <x:c r="I418" s="94" t="str">
        <x:v>技术团队</x:v>
      </x:c>
      <x:c r="J418" s="94" t="str">
        <x:v>模拟项目运营成本；统一折算USD</x:v>
      </x:c>
    </x:row>
    <x:row r="419">
      <x:c r="A419" s="92" t="str">
        <x:v>COST-0418</x:v>
      </x:c>
      <x:c r="B419" s="94" t="str">
        <x:v>PROC-0418</x:v>
      </x:c>
      <x:c r="C419" s="93" t="n">
        <x:v>46098</x:v>
      </x:c>
      <x:c r="D419" s="94" t="str">
        <x:v>Google Ads</x:v>
      </x:c>
      <x:c r="E419" s="94" t="str">
        <x:v>人工运营分摊</x:v>
      </x:c>
      <x:c r="F419" s="94" t="str">
        <x:v>按工时</x:v>
      </x:c>
      <x:c r="G419" s="97" t="n">
        <x:v>4.47</x:v>
      </x:c>
      <x:c r="H419" s="94" t="str">
        <x:v>部分固定</x:v>
      </x:c>
      <x:c r="I419" s="94" t="str">
        <x:v>运营团队</x:v>
      </x:c>
      <x:c r="J419" s="94" t="str">
        <x:v>模拟项目运营成本；统一折算USD</x:v>
      </x:c>
    </x:row>
    <x:row r="420">
      <x:c r="A420" s="92" t="str">
        <x:v>COST-0419</x:v>
      </x:c>
      <x:c r="B420" s="94" t="str">
        <x:v>PROC-0419</x:v>
      </x:c>
      <x:c r="C420" s="93" t="n">
        <x:v>46098</x:v>
      </x:c>
      <x:c r="D420" s="94" t="str">
        <x:v>Google Ads</x:v>
      </x:c>
      <x:c r="E420" s="94" t="str">
        <x:v>数据与ETL</x:v>
      </x:c>
      <x:c r="F420" s="94" t="str">
        <x:v>按采购批次</x:v>
      </x:c>
      <x:c r="G420" s="97" t="n">
        <x:v>0.52</x:v>
      </x:c>
      <x:c r="H420" s="94" t="str">
        <x:v>变动</x:v>
      </x:c>
      <x:c r="I420" s="94" t="str">
        <x:v>数据团队</x:v>
      </x:c>
      <x:c r="J420" s="94" t="str">
        <x:v>模拟项目运营成本；统一折算USD</x:v>
      </x:c>
    </x:row>
    <x:row r="421">
      <x:c r="A421" s="92" t="str">
        <x:v>COST-0420</x:v>
      </x:c>
      <x:c r="B421" s="94" t="str">
        <x:v>PROC-0420</x:v>
      </x:c>
      <x:c r="C421" s="93" t="n">
        <x:v>46098</x:v>
      </x:c>
      <x:c r="D421" s="94" t="str">
        <x:v>Google Ads</x:v>
      </x:c>
      <x:c r="E421" s="94" t="str">
        <x:v>云主机/CDN</x:v>
      </x:c>
      <x:c r="F421" s="94" t="str">
        <x:v>按访问量</x:v>
      </x:c>
      <x:c r="G421" s="97" t="n">
        <x:v>0.3</x:v>
      </x:c>
      <x:c r="H421" s="94" t="str">
        <x:v>变动</x:v>
      </x:c>
      <x:c r="I421" s="94" t="str">
        <x:v>技术团队</x:v>
      </x:c>
      <x:c r="J421" s="94" t="str">
        <x:v>模拟项目运营成本；统一折算USD</x:v>
      </x:c>
    </x:row>
    <x:row r="422">
      <x:c r="A422" s="92" t="str">
        <x:v>COST-0421</x:v>
      </x:c>
      <x:c r="B422" s="94" t="str">
        <x:v>PROC-0421</x:v>
      </x:c>
      <x:c r="C422" s="93" t="n">
        <x:v>46099</x:v>
      </x:c>
      <x:c r="D422" s="94" t="str">
        <x:v>Google Ads</x:v>
      </x:c>
      <x:c r="E422" s="94" t="str">
        <x:v>数据与ETL</x:v>
      </x:c>
      <x:c r="F422" s="94" t="str">
        <x:v>按采购批次</x:v>
      </x:c>
      <x:c r="G422" s="97" t="n">
        <x:v>0.71</x:v>
      </x:c>
      <x:c r="H422" s="94" t="str">
        <x:v>变动</x:v>
      </x:c>
      <x:c r="I422" s="94" t="str">
        <x:v>数据团队</x:v>
      </x:c>
      <x:c r="J422" s="94" t="str">
        <x:v>模拟项目运营成本；统一折算USD</x:v>
      </x:c>
    </x:row>
    <x:row r="423">
      <x:c r="A423" s="92" t="str">
        <x:v>COST-0422</x:v>
      </x:c>
      <x:c r="B423" s="94" t="str">
        <x:v>PROC-0422</x:v>
      </x:c>
      <x:c r="C423" s="93" t="n">
        <x:v>46099</x:v>
      </x:c>
      <x:c r="D423" s="94" t="str">
        <x:v>Microsoft Ads</x:v>
      </x:c>
      <x:c r="E423" s="94" t="str">
        <x:v>创意素材</x:v>
      </x:c>
      <x:c r="F423" s="94" t="str">
        <x:v>按活动</x:v>
      </x:c>
      <x:c r="G423" s="97" t="n">
        <x:v>3.3</x:v>
      </x:c>
      <x:c r="H423" s="94" t="str">
        <x:v>部分固定</x:v>
      </x:c>
      <x:c r="I423" s="94" t="str">
        <x:v>增长团队</x:v>
      </x:c>
      <x:c r="J423" s="94" t="str">
        <x:v>模拟项目运营成本；统一折算USD</x:v>
      </x:c>
    </x:row>
    <x:row r="424">
      <x:c r="A424" s="92" t="str">
        <x:v>COST-0423</x:v>
      </x:c>
      <x:c r="B424" s="94" t="str">
        <x:v>PROC-0423</x:v>
      </x:c>
      <x:c r="C424" s="93" t="n">
        <x:v>46099</x:v>
      </x:c>
      <x:c r="D424" s="94" t="str">
        <x:v>Google Ads</x:v>
      </x:c>
      <x:c r="E424" s="94" t="str">
        <x:v>归因与监测工具</x:v>
      </x:c>
      <x:c r="F424" s="94" t="str">
        <x:v>按点击量</x:v>
      </x:c>
      <x:c r="G424" s="97" t="n">
        <x:v>0.66</x:v>
      </x:c>
      <x:c r="H424" s="94" t="str">
        <x:v>变动</x:v>
      </x:c>
      <x:c r="I424" s="94" t="str">
        <x:v>分析团队</x:v>
      </x:c>
      <x:c r="J424" s="94" t="str">
        <x:v>模拟项目运营成本；统一折算USD</x:v>
      </x:c>
    </x:row>
    <x:row r="425">
      <x:c r="A425" s="92" t="str">
        <x:v>COST-0424</x:v>
      </x:c>
      <x:c r="B425" s="94" t="str">
        <x:v>PROC-0424</x:v>
      </x:c>
      <x:c r="C425" s="93" t="n">
        <x:v>46099</x:v>
      </x:c>
      <x:c r="D425" s="94" t="str">
        <x:v>Microsoft Ads</x:v>
      </x:c>
      <x:c r="E425" s="94" t="str">
        <x:v>数据与ETL</x:v>
      </x:c>
      <x:c r="F425" s="94" t="str">
        <x:v>按采购批次</x:v>
      </x:c>
      <x:c r="G425" s="97" t="n">
        <x:v>0.68</x:v>
      </x:c>
      <x:c r="H425" s="94" t="str">
        <x:v>变动</x:v>
      </x:c>
      <x:c r="I425" s="94" t="str">
        <x:v>数据团队</x:v>
      </x:c>
      <x:c r="J425" s="94" t="str">
        <x:v>模拟项目运营成本；统一折算USD</x:v>
      </x:c>
    </x:row>
    <x:row r="426">
      <x:c r="A426" s="92" t="str">
        <x:v>COST-0425</x:v>
      </x:c>
      <x:c r="B426" s="94" t="str">
        <x:v>PROC-0425</x:v>
      </x:c>
      <x:c r="C426" s="93" t="n">
        <x:v>46099</x:v>
      </x:c>
      <x:c r="D426" s="94" t="str">
        <x:v>Microsoft Ads</x:v>
      </x:c>
      <x:c r="E426" s="94" t="str">
        <x:v>归因与监测工具</x:v>
      </x:c>
      <x:c r="F426" s="94" t="str">
        <x:v>按点击量</x:v>
      </x:c>
      <x:c r="G426" s="97" t="n">
        <x:v>0.63</x:v>
      </x:c>
      <x:c r="H426" s="94" t="str">
        <x:v>变动</x:v>
      </x:c>
      <x:c r="I426" s="94" t="str">
        <x:v>分析团队</x:v>
      </x:c>
      <x:c r="J426" s="94" t="str">
        <x:v>模拟项目运营成本；统一折算USD</x:v>
      </x:c>
    </x:row>
    <x:row r="427">
      <x:c r="A427" s="92" t="str">
        <x:v>COST-0426</x:v>
      </x:c>
      <x:c r="B427" s="94" t="str">
        <x:v>PROC-0426</x:v>
      </x:c>
      <x:c r="C427" s="93" t="n">
        <x:v>46099</x:v>
      </x:c>
      <x:c r="D427" s="94" t="str">
        <x:v>Google Ads</x:v>
      </x:c>
      <x:c r="E427" s="94" t="str">
        <x:v>云主机/CDN</x:v>
      </x:c>
      <x:c r="F427" s="94" t="str">
        <x:v>按访问量</x:v>
      </x:c>
      <x:c r="G427" s="97" t="n">
        <x:v>0.29</x:v>
      </x:c>
      <x:c r="H427" s="94" t="str">
        <x:v>变动</x:v>
      </x:c>
      <x:c r="I427" s="94" t="str">
        <x:v>技术团队</x:v>
      </x:c>
      <x:c r="J427" s="94" t="str">
        <x:v>模拟项目运营成本；统一折算USD</x:v>
      </x:c>
    </x:row>
    <x:row r="428">
      <x:c r="A428" s="92" t="str">
        <x:v>COST-0427</x:v>
      </x:c>
      <x:c r="B428" s="94" t="str">
        <x:v>PROC-0427</x:v>
      </x:c>
      <x:c r="C428" s="93" t="n">
        <x:v>46100</x:v>
      </x:c>
      <x:c r="D428" s="94" t="str">
        <x:v>Google Ads</x:v>
      </x:c>
      <x:c r="E428" s="94" t="str">
        <x:v>归因与监测工具</x:v>
      </x:c>
      <x:c r="F428" s="94" t="str">
        <x:v>按点击量</x:v>
      </x:c>
      <x:c r="G428" s="97" t="n">
        <x:v>1.63</x:v>
      </x:c>
      <x:c r="H428" s="94" t="str">
        <x:v>变动</x:v>
      </x:c>
      <x:c r="I428" s="94" t="str">
        <x:v>分析团队</x:v>
      </x:c>
      <x:c r="J428" s="94" t="str">
        <x:v>模拟项目运营成本；统一折算USD</x:v>
      </x:c>
    </x:row>
    <x:row r="429">
      <x:c r="A429" s="92" t="str">
        <x:v>COST-0428</x:v>
      </x:c>
      <x:c r="B429" s="94" t="str">
        <x:v>PROC-0428</x:v>
      </x:c>
      <x:c r="C429" s="93" t="n">
        <x:v>46100</x:v>
      </x:c>
      <x:c r="D429" s="94" t="str">
        <x:v>Google Ads</x:v>
      </x:c>
      <x:c r="E429" s="94" t="str">
        <x:v>创意素材</x:v>
      </x:c>
      <x:c r="F429" s="94" t="str">
        <x:v>按活动</x:v>
      </x:c>
      <x:c r="G429" s="97" t="n">
        <x:v>1.76</x:v>
      </x:c>
      <x:c r="H429" s="94" t="str">
        <x:v>部分固定</x:v>
      </x:c>
      <x:c r="I429" s="94" t="str">
        <x:v>增长团队</x:v>
      </x:c>
      <x:c r="J429" s="94" t="str">
        <x:v>模拟项目运营成本；统一折算USD</x:v>
      </x:c>
    </x:row>
    <x:row r="430">
      <x:c r="A430" s="92" t="str">
        <x:v>COST-0429</x:v>
      </x:c>
      <x:c r="B430" s="94" t="str">
        <x:v>PROC-0429</x:v>
      </x:c>
      <x:c r="C430" s="93" t="n">
        <x:v>46100</x:v>
      </x:c>
      <x:c r="D430" s="94" t="str">
        <x:v>Microsoft Ads</x:v>
      </x:c>
      <x:c r="E430" s="94" t="str">
        <x:v>云主机/CDN</x:v>
      </x:c>
      <x:c r="F430" s="94" t="str">
        <x:v>按访问量</x:v>
      </x:c>
      <x:c r="G430" s="97" t="n">
        <x:v>0.62</x:v>
      </x:c>
      <x:c r="H430" s="94" t="str">
        <x:v>变动</x:v>
      </x:c>
      <x:c r="I430" s="94" t="str">
        <x:v>技术团队</x:v>
      </x:c>
      <x:c r="J430" s="94" t="str">
        <x:v>模拟项目运营成本；统一折算USD</x:v>
      </x:c>
    </x:row>
    <x:row r="431">
      <x:c r="A431" s="92" t="str">
        <x:v>COST-0430</x:v>
      </x:c>
      <x:c r="B431" s="94" t="str">
        <x:v>PROC-0430</x:v>
      </x:c>
      <x:c r="C431" s="93" t="n">
        <x:v>46100</x:v>
      </x:c>
      <x:c r="D431" s="94" t="str">
        <x:v>Microsoft Ads</x:v>
      </x:c>
      <x:c r="E431" s="94" t="str">
        <x:v>云主机/CDN</x:v>
      </x:c>
      <x:c r="F431" s="94" t="str">
        <x:v>按访问量</x:v>
      </x:c>
      <x:c r="G431" s="97" t="n">
        <x:v>0.83</x:v>
      </x:c>
      <x:c r="H431" s="94" t="str">
        <x:v>变动</x:v>
      </x:c>
      <x:c r="I431" s="94" t="str">
        <x:v>技术团队</x:v>
      </x:c>
      <x:c r="J431" s="94" t="str">
        <x:v>模拟项目运营成本；统一折算USD</x:v>
      </x:c>
    </x:row>
    <x:row r="432">
      <x:c r="A432" s="92" t="str">
        <x:v>COST-0431</x:v>
      </x:c>
      <x:c r="B432" s="94" t="str">
        <x:v>PROC-0431</x:v>
      </x:c>
      <x:c r="C432" s="93" t="n">
        <x:v>46100</x:v>
      </x:c>
      <x:c r="D432" s="94" t="str">
        <x:v>Google Ads</x:v>
      </x:c>
      <x:c r="E432" s="94" t="str">
        <x:v>数据与ETL</x:v>
      </x:c>
      <x:c r="F432" s="94" t="str">
        <x:v>按采购批次</x:v>
      </x:c>
      <x:c r="G432" s="97" t="n">
        <x:v>1.19</x:v>
      </x:c>
      <x:c r="H432" s="94" t="str">
        <x:v>变动</x:v>
      </x:c>
      <x:c r="I432" s="94" t="str">
        <x:v>数据团队</x:v>
      </x:c>
      <x:c r="J432" s="94" t="str">
        <x:v>模拟项目运营成本；统一折算USD</x:v>
      </x:c>
    </x:row>
    <x:row r="433">
      <x:c r="A433" s="92" t="str">
        <x:v>COST-0432</x:v>
      </x:c>
      <x:c r="B433" s="94" t="str">
        <x:v>PROC-0432</x:v>
      </x:c>
      <x:c r="C433" s="93" t="n">
        <x:v>46101</x:v>
      </x:c>
      <x:c r="D433" s="94" t="str">
        <x:v>Google Ads</x:v>
      </x:c>
      <x:c r="E433" s="94" t="str">
        <x:v>人工运营分摊</x:v>
      </x:c>
      <x:c r="F433" s="94" t="str">
        <x:v>按工时</x:v>
      </x:c>
      <x:c r="G433" s="97" t="n">
        <x:v>3</x:v>
      </x:c>
      <x:c r="H433" s="94" t="str">
        <x:v>部分固定</x:v>
      </x:c>
      <x:c r="I433" s="94" t="str">
        <x:v>运营团队</x:v>
      </x:c>
      <x:c r="J433" s="94" t="str">
        <x:v>模拟项目运营成本；统一折算USD</x:v>
      </x:c>
    </x:row>
    <x:row r="434">
      <x:c r="A434" s="92" t="str">
        <x:v>COST-0433</x:v>
      </x:c>
      <x:c r="B434" s="94" t="str">
        <x:v>PROC-0433</x:v>
      </x:c>
      <x:c r="C434" s="93" t="n">
        <x:v>46101</x:v>
      </x:c>
      <x:c r="D434" s="94" t="str">
        <x:v>Microsoft Ads</x:v>
      </x:c>
      <x:c r="E434" s="94" t="str">
        <x:v>人工运营分摊</x:v>
      </x:c>
      <x:c r="F434" s="94" t="str">
        <x:v>按工时</x:v>
      </x:c>
      <x:c r="G434" s="97" t="n">
        <x:v>2.85</x:v>
      </x:c>
      <x:c r="H434" s="94" t="str">
        <x:v>部分固定</x:v>
      </x:c>
      <x:c r="I434" s="94" t="str">
        <x:v>运营团队</x:v>
      </x:c>
      <x:c r="J434" s="94" t="str">
        <x:v>模拟项目运营成本；统一折算USD</x:v>
      </x:c>
    </x:row>
    <x:row r="435">
      <x:c r="A435" s="92" t="str">
        <x:v>COST-0434</x:v>
      </x:c>
      <x:c r="B435" s="94" t="str">
        <x:v>PROC-0434</x:v>
      </x:c>
      <x:c r="C435" s="93" t="n">
        <x:v>46101</x:v>
      </x:c>
      <x:c r="D435" s="94" t="str">
        <x:v>Google Ads</x:v>
      </x:c>
      <x:c r="E435" s="94" t="str">
        <x:v>云主机/CDN</x:v>
      </x:c>
      <x:c r="F435" s="94" t="str">
        <x:v>按访问量</x:v>
      </x:c>
      <x:c r="G435" s="97" t="n">
        <x:v>0.86</x:v>
      </x:c>
      <x:c r="H435" s="94" t="str">
        <x:v>变动</x:v>
      </x:c>
      <x:c r="I435" s="94" t="str">
        <x:v>技术团队</x:v>
      </x:c>
      <x:c r="J435" s="94" t="str">
        <x:v>模拟项目运营成本；统一折算USD</x:v>
      </x:c>
    </x:row>
    <x:row r="436">
      <x:c r="A436" s="92" t="str">
        <x:v>COST-0435</x:v>
      </x:c>
      <x:c r="B436" s="94" t="str">
        <x:v>PROC-0435</x:v>
      </x:c>
      <x:c r="C436" s="93" t="n">
        <x:v>46101</x:v>
      </x:c>
      <x:c r="D436" s="94" t="str">
        <x:v>Google Ads</x:v>
      </x:c>
      <x:c r="E436" s="94" t="str">
        <x:v>数据与ETL</x:v>
      </x:c>
      <x:c r="F436" s="94" t="str">
        <x:v>按采购批次</x:v>
      </x:c>
      <x:c r="G436" s="97" t="n">
        <x:v>0.84</x:v>
      </x:c>
      <x:c r="H436" s="94" t="str">
        <x:v>变动</x:v>
      </x:c>
      <x:c r="I436" s="94" t="str">
        <x:v>数据团队</x:v>
      </x:c>
      <x:c r="J436" s="94" t="str">
        <x:v>模拟项目运营成本；统一折算USD</x:v>
      </x:c>
    </x:row>
    <x:row r="437">
      <x:c r="A437" s="92" t="str">
        <x:v>COST-0436</x:v>
      </x:c>
      <x:c r="B437" s="94" t="str">
        <x:v>PROC-0436</x:v>
      </x:c>
      <x:c r="C437" s="93" t="n">
        <x:v>46101</x:v>
      </x:c>
      <x:c r="D437" s="94" t="str">
        <x:v>Microsoft Ads</x:v>
      </x:c>
      <x:c r="E437" s="94" t="str">
        <x:v>创意素材</x:v>
      </x:c>
      <x:c r="F437" s="94" t="str">
        <x:v>按活动</x:v>
      </x:c>
      <x:c r="G437" s="97" t="n">
        <x:v>3.53</x:v>
      </x:c>
      <x:c r="H437" s="94" t="str">
        <x:v>部分固定</x:v>
      </x:c>
      <x:c r="I437" s="94" t="str">
        <x:v>增长团队</x:v>
      </x:c>
      <x:c r="J437" s="94" t="str">
        <x:v>模拟项目运营成本；统一折算USD</x:v>
      </x:c>
    </x:row>
    <x:row r="438">
      <x:c r="A438" s="92" t="str">
        <x:v>COST-0437</x:v>
      </x:c>
      <x:c r="B438" s="94" t="str">
        <x:v>PROC-0437</x:v>
      </x:c>
      <x:c r="C438" s="93" t="n">
        <x:v>46101</x:v>
      </x:c>
      <x:c r="D438" s="94" t="str">
        <x:v>Google Ads</x:v>
      </x:c>
      <x:c r="E438" s="94" t="str">
        <x:v>归因与监测工具</x:v>
      </x:c>
      <x:c r="F438" s="94" t="str">
        <x:v>按点击量</x:v>
      </x:c>
      <x:c r="G438" s="97" t="n">
        <x:v>0.66</x:v>
      </x:c>
      <x:c r="H438" s="94" t="str">
        <x:v>变动</x:v>
      </x:c>
      <x:c r="I438" s="94" t="str">
        <x:v>分析团队</x:v>
      </x:c>
      <x:c r="J438" s="94" t="str">
        <x:v>模拟项目运营成本；统一折算USD</x:v>
      </x:c>
    </x:row>
    <x:row r="439">
      <x:c r="A439" s="92" t="str">
        <x:v>COST-0438</x:v>
      </x:c>
      <x:c r="B439" s="94" t="str">
        <x:v>PROC-0438</x:v>
      </x:c>
      <x:c r="C439" s="93" t="n">
        <x:v>46102</x:v>
      </x:c>
      <x:c r="D439" s="94" t="str">
        <x:v>Google Ads</x:v>
      </x:c>
      <x:c r="E439" s="94" t="str">
        <x:v>创意素材</x:v>
      </x:c>
      <x:c r="F439" s="94" t="str">
        <x:v>按活动</x:v>
      </x:c>
      <x:c r="G439" s="97" t="n">
        <x:v>1.07</x:v>
      </x:c>
      <x:c r="H439" s="94" t="str">
        <x:v>部分固定</x:v>
      </x:c>
      <x:c r="I439" s="94" t="str">
        <x:v>增长团队</x:v>
      </x:c>
      <x:c r="J439" s="94" t="str">
        <x:v>模拟项目运营成本；统一折算USD</x:v>
      </x:c>
    </x:row>
    <x:row r="440">
      <x:c r="A440" s="92" t="str">
        <x:v>COST-0439</x:v>
      </x:c>
      <x:c r="B440" s="94" t="str">
        <x:v>PROC-0439</x:v>
      </x:c>
      <x:c r="C440" s="93" t="n">
        <x:v>46102</x:v>
      </x:c>
      <x:c r="D440" s="94" t="str">
        <x:v>Google Ads</x:v>
      </x:c>
      <x:c r="E440" s="94" t="str">
        <x:v>人工运营分摊</x:v>
      </x:c>
      <x:c r="F440" s="94" t="str">
        <x:v>按工时</x:v>
      </x:c>
      <x:c r="G440" s="97" t="n">
        <x:v>5.11</x:v>
      </x:c>
      <x:c r="H440" s="94" t="str">
        <x:v>部分固定</x:v>
      </x:c>
      <x:c r="I440" s="94" t="str">
        <x:v>运营团队</x:v>
      </x:c>
      <x:c r="J440" s="94" t="str">
        <x:v>模拟项目运营成本；统一折算USD</x:v>
      </x:c>
    </x:row>
    <x:row r="441">
      <x:c r="A441" s="92" t="str">
        <x:v>COST-0440</x:v>
      </x:c>
      <x:c r="B441" s="94" t="str">
        <x:v>PROC-0440</x:v>
      </x:c>
      <x:c r="C441" s="93" t="n">
        <x:v>46102</x:v>
      </x:c>
      <x:c r="D441" s="94" t="str">
        <x:v>Google Ads</x:v>
      </x:c>
      <x:c r="E441" s="94" t="str">
        <x:v>人工运营分摊</x:v>
      </x:c>
      <x:c r="F441" s="94" t="str">
        <x:v>按工时</x:v>
      </x:c>
      <x:c r="G441" s="97" t="n">
        <x:v>2.3</x:v>
      </x:c>
      <x:c r="H441" s="94" t="str">
        <x:v>部分固定</x:v>
      </x:c>
      <x:c r="I441" s="94" t="str">
        <x:v>运营团队</x:v>
      </x:c>
      <x:c r="J441" s="94" t="str">
        <x:v>模拟项目运营成本；统一折算USD</x:v>
      </x:c>
    </x:row>
    <x:row r="442">
      <x:c r="A442" s="92" t="str">
        <x:v>COST-0441</x:v>
      </x:c>
      <x:c r="B442" s="94" t="str">
        <x:v>PROC-0441</x:v>
      </x:c>
      <x:c r="C442" s="93" t="n">
        <x:v>46102</x:v>
      </x:c>
      <x:c r="D442" s="94" t="str">
        <x:v>Google Ads</x:v>
      </x:c>
      <x:c r="E442" s="94" t="str">
        <x:v>人工运营分摊</x:v>
      </x:c>
      <x:c r="F442" s="94" t="str">
        <x:v>按工时</x:v>
      </x:c>
      <x:c r="G442" s="97" t="n">
        <x:v>4.06</x:v>
      </x:c>
      <x:c r="H442" s="94" t="str">
        <x:v>部分固定</x:v>
      </x:c>
      <x:c r="I442" s="94" t="str">
        <x:v>运营团队</x:v>
      </x:c>
      <x:c r="J442" s="94" t="str">
        <x:v>模拟项目运营成本；统一折算USD</x:v>
      </x:c>
    </x:row>
    <x:row r="443">
      <x:c r="A443" s="92" t="str">
        <x:v>COST-0442</x:v>
      </x:c>
      <x:c r="B443" s="94" t="str">
        <x:v>PROC-0442</x:v>
      </x:c>
      <x:c r="C443" s="93" t="n">
        <x:v>46102</x:v>
      </x:c>
      <x:c r="D443" s="94" t="str">
        <x:v>Google Ads</x:v>
      </x:c>
      <x:c r="E443" s="94" t="str">
        <x:v>云主机/CDN</x:v>
      </x:c>
      <x:c r="F443" s="94" t="str">
        <x:v>按访问量</x:v>
      </x:c>
      <x:c r="G443" s="97" t="n">
        <x:v>0.86</x:v>
      </x:c>
      <x:c r="H443" s="94" t="str">
        <x:v>变动</x:v>
      </x:c>
      <x:c r="I443" s="94" t="str">
        <x:v>技术团队</x:v>
      </x:c>
      <x:c r="J443" s="94" t="str">
        <x:v>模拟项目运营成本；统一折算USD</x:v>
      </x:c>
    </x:row>
    <x:row r="444">
      <x:c r="A444" s="92" t="str">
        <x:v>COST-0443</x:v>
      </x:c>
      <x:c r="B444" s="94" t="str">
        <x:v>PROC-0443</x:v>
      </x:c>
      <x:c r="C444" s="93" t="n">
        <x:v>46103</x:v>
      </x:c>
      <x:c r="D444" s="94" t="str">
        <x:v>Google Ads</x:v>
      </x:c>
      <x:c r="E444" s="94" t="str">
        <x:v>云主机/CDN</x:v>
      </x:c>
      <x:c r="F444" s="94" t="str">
        <x:v>按访问量</x:v>
      </x:c>
      <x:c r="G444" s="97" t="n">
        <x:v>0.95</x:v>
      </x:c>
      <x:c r="H444" s="94" t="str">
        <x:v>变动</x:v>
      </x:c>
      <x:c r="I444" s="94" t="str">
        <x:v>技术团队</x:v>
      </x:c>
      <x:c r="J444" s="94" t="str">
        <x:v>模拟项目运营成本；统一折算USD</x:v>
      </x:c>
    </x:row>
    <x:row r="445">
      <x:c r="A445" s="92" t="str">
        <x:v>COST-0444</x:v>
      </x:c>
      <x:c r="B445" s="94" t="str">
        <x:v>PROC-0444</x:v>
      </x:c>
      <x:c r="C445" s="93" t="n">
        <x:v>46103</x:v>
      </x:c>
      <x:c r="D445" s="94" t="str">
        <x:v>Google Ads</x:v>
      </x:c>
      <x:c r="E445" s="94" t="str">
        <x:v>归因与监测工具</x:v>
      </x:c>
      <x:c r="F445" s="94" t="str">
        <x:v>按点击量</x:v>
      </x:c>
      <x:c r="G445" s="97" t="n">
        <x:v>1.63</x:v>
      </x:c>
      <x:c r="H445" s="94" t="str">
        <x:v>变动</x:v>
      </x:c>
      <x:c r="I445" s="94" t="str">
        <x:v>分析团队</x:v>
      </x:c>
      <x:c r="J445" s="94" t="str">
        <x:v>模拟项目运营成本；统一折算USD</x:v>
      </x:c>
    </x:row>
    <x:row r="446">
      <x:c r="A446" s="92" t="str">
        <x:v>COST-0445</x:v>
      </x:c>
      <x:c r="B446" s="94" t="str">
        <x:v>PROC-0445</x:v>
      </x:c>
      <x:c r="C446" s="93" t="n">
        <x:v>46103</x:v>
      </x:c>
      <x:c r="D446" s="94" t="str">
        <x:v>Google Ads</x:v>
      </x:c>
      <x:c r="E446" s="94" t="str">
        <x:v>归因与监测工具</x:v>
      </x:c>
      <x:c r="F446" s="94" t="str">
        <x:v>按点击量</x:v>
      </x:c>
      <x:c r="G446" s="97" t="n">
        <x:v>1.56</x:v>
      </x:c>
      <x:c r="H446" s="94" t="str">
        <x:v>变动</x:v>
      </x:c>
      <x:c r="I446" s="94" t="str">
        <x:v>分析团队</x:v>
      </x:c>
      <x:c r="J446" s="94" t="str">
        <x:v>模拟项目运营成本；统一折算USD</x:v>
      </x:c>
    </x:row>
    <x:row r="447">
      <x:c r="A447" s="92" t="str">
        <x:v>COST-0446</x:v>
      </x:c>
      <x:c r="B447" s="94" t="str">
        <x:v>PROC-0446</x:v>
      </x:c>
      <x:c r="C447" s="93" t="n">
        <x:v>46103</x:v>
      </x:c>
      <x:c r="D447" s="94" t="str">
        <x:v>Google Ads</x:v>
      </x:c>
      <x:c r="E447" s="94" t="str">
        <x:v>云主机/CDN</x:v>
      </x:c>
      <x:c r="F447" s="94" t="str">
        <x:v>按访问量</x:v>
      </x:c>
      <x:c r="G447" s="97" t="n">
        <x:v>0.98</x:v>
      </x:c>
      <x:c r="H447" s="94" t="str">
        <x:v>变动</x:v>
      </x:c>
      <x:c r="I447" s="94" t="str">
        <x:v>技术团队</x:v>
      </x:c>
      <x:c r="J447" s="94" t="str">
        <x:v>模拟项目运营成本；统一折算USD</x:v>
      </x:c>
    </x:row>
    <x:row r="448">
      <x:c r="A448" s="92" t="str">
        <x:v>COST-0447</x:v>
      </x:c>
      <x:c r="B448" s="94" t="str">
        <x:v>PROC-0447</x:v>
      </x:c>
      <x:c r="C448" s="93" t="n">
        <x:v>46103</x:v>
      </x:c>
      <x:c r="D448" s="94" t="str">
        <x:v>Google Ads</x:v>
      </x:c>
      <x:c r="E448" s="94" t="str">
        <x:v>云主机/CDN</x:v>
      </x:c>
      <x:c r="F448" s="94" t="str">
        <x:v>按访问量</x:v>
      </x:c>
      <x:c r="G448" s="97" t="n">
        <x:v>0.56</x:v>
      </x:c>
      <x:c r="H448" s="94" t="str">
        <x:v>变动</x:v>
      </x:c>
      <x:c r="I448" s="94" t="str">
        <x:v>技术团队</x:v>
      </x:c>
      <x:c r="J448" s="94" t="str">
        <x:v>模拟项目运营成本；统一折算USD</x:v>
      </x:c>
    </x:row>
    <x:row r="449">
      <x:c r="A449" s="92" t="str">
        <x:v>COST-0448</x:v>
      </x:c>
      <x:c r="B449" s="94" t="str">
        <x:v>PROC-0448</x:v>
      </x:c>
      <x:c r="C449" s="93" t="n">
        <x:v>46103</x:v>
      </x:c>
      <x:c r="D449" s="94" t="str">
        <x:v>Microsoft Ads</x:v>
      </x:c>
      <x:c r="E449" s="94" t="str">
        <x:v>归因与监测工具</x:v>
      </x:c>
      <x:c r="F449" s="94" t="str">
        <x:v>按点击量</x:v>
      </x:c>
      <x:c r="G449" s="97" t="n">
        <x:v>0.75</x:v>
      </x:c>
      <x:c r="H449" s="94" t="str">
        <x:v>变动</x:v>
      </x:c>
      <x:c r="I449" s="94" t="str">
        <x:v>分析团队</x:v>
      </x:c>
      <x:c r="J449" s="94" t="str">
        <x:v>模拟项目运营成本；统一折算USD</x:v>
      </x:c>
    </x:row>
    <x:row r="450">
      <x:c r="A450" s="92" t="str">
        <x:v>COST-0449</x:v>
      </x:c>
      <x:c r="B450" s="94" t="str">
        <x:v>PROC-0449</x:v>
      </x:c>
      <x:c r="C450" s="93" t="n">
        <x:v>46104</x:v>
      </x:c>
      <x:c r="D450" s="94" t="str">
        <x:v>Microsoft Ads</x:v>
      </x:c>
      <x:c r="E450" s="94" t="str">
        <x:v>云主机/CDN</x:v>
      </x:c>
      <x:c r="F450" s="94" t="str">
        <x:v>按访问量</x:v>
      </x:c>
      <x:c r="G450" s="97" t="n">
        <x:v>0.89</x:v>
      </x:c>
      <x:c r="H450" s="94" t="str">
        <x:v>变动</x:v>
      </x:c>
      <x:c r="I450" s="94" t="str">
        <x:v>技术团队</x:v>
      </x:c>
      <x:c r="J450" s="94" t="str">
        <x:v>模拟项目运营成本；统一折算USD</x:v>
      </x:c>
    </x:row>
    <x:row r="451">
      <x:c r="A451" s="92" t="str">
        <x:v>COST-0450</x:v>
      </x:c>
      <x:c r="B451" s="94" t="str">
        <x:v>PROC-0450</x:v>
      </x:c>
      <x:c r="C451" s="93" t="n">
        <x:v>46104</x:v>
      </x:c>
      <x:c r="D451" s="94" t="str">
        <x:v>Google Ads</x:v>
      </x:c>
      <x:c r="E451" s="94" t="str">
        <x:v>人工运营分摊</x:v>
      </x:c>
      <x:c r="F451" s="94" t="str">
        <x:v>按工时</x:v>
      </x:c>
      <x:c r="G451" s="97" t="n">
        <x:v>3.01</x:v>
      </x:c>
      <x:c r="H451" s="94" t="str">
        <x:v>部分固定</x:v>
      </x:c>
      <x:c r="I451" s="94" t="str">
        <x:v>运营团队</x:v>
      </x:c>
      <x:c r="J451" s="94" t="str">
        <x:v>模拟项目运营成本；统一折算USD</x:v>
      </x:c>
    </x:row>
    <x:row r="452">
      <x:c r="A452" s="92" t="str">
        <x:v>COST-0451</x:v>
      </x:c>
      <x:c r="B452" s="94" t="str">
        <x:v>PROC-0451</x:v>
      </x:c>
      <x:c r="C452" s="93" t="n">
        <x:v>46104</x:v>
      </x:c>
      <x:c r="D452" s="94" t="str">
        <x:v>Google Ads</x:v>
      </x:c>
      <x:c r="E452" s="94" t="str">
        <x:v>人工运营分摊</x:v>
      </x:c>
      <x:c r="F452" s="94" t="str">
        <x:v>按工时</x:v>
      </x:c>
      <x:c r="G452" s="97" t="n">
        <x:v>5.01</x:v>
      </x:c>
      <x:c r="H452" s="94" t="str">
        <x:v>部分固定</x:v>
      </x:c>
      <x:c r="I452" s="94" t="str">
        <x:v>运营团队</x:v>
      </x:c>
      <x:c r="J452" s="94" t="str">
        <x:v>模拟项目运营成本；统一折算USD</x:v>
      </x:c>
    </x:row>
    <x:row r="453">
      <x:c r="A453" s="92" t="str">
        <x:v>COST-0452</x:v>
      </x:c>
      <x:c r="B453" s="94" t="str">
        <x:v>PROC-0452</x:v>
      </x:c>
      <x:c r="C453" s="93" t="n">
        <x:v>46104</x:v>
      </x:c>
      <x:c r="D453" s="94" t="str">
        <x:v>Microsoft Ads</x:v>
      </x:c>
      <x:c r="E453" s="94" t="str">
        <x:v>人工运营分摊</x:v>
      </x:c>
      <x:c r="F453" s="94" t="str">
        <x:v>按工时</x:v>
      </x:c>
      <x:c r="G453" s="97" t="n">
        <x:v>2.07</x:v>
      </x:c>
      <x:c r="H453" s="94" t="str">
        <x:v>部分固定</x:v>
      </x:c>
      <x:c r="I453" s="94" t="str">
        <x:v>运营团队</x:v>
      </x:c>
      <x:c r="J453" s="94" t="str">
        <x:v>模拟项目运营成本；统一折算USD</x:v>
      </x:c>
    </x:row>
    <x:row r="454">
      <x:c r="A454" s="92" t="str">
        <x:v>COST-0453</x:v>
      </x:c>
      <x:c r="B454" s="94" t="str">
        <x:v>PROC-0453</x:v>
      </x:c>
      <x:c r="C454" s="93" t="n">
        <x:v>46104</x:v>
      </x:c>
      <x:c r="D454" s="94" t="str">
        <x:v>Microsoft Ads</x:v>
      </x:c>
      <x:c r="E454" s="94" t="str">
        <x:v>云主机/CDN</x:v>
      </x:c>
      <x:c r="F454" s="94" t="str">
        <x:v>按访问量</x:v>
      </x:c>
      <x:c r="G454" s="97" t="n">
        <x:v>0.88</x:v>
      </x:c>
      <x:c r="H454" s="94" t="str">
        <x:v>变动</x:v>
      </x:c>
      <x:c r="I454" s="94" t="str">
        <x:v>技术团队</x:v>
      </x:c>
      <x:c r="J454" s="94" t="str">
        <x:v>模拟项目运营成本；统一折算USD</x:v>
      </x:c>
    </x:row>
    <x:row r="455">
      <x:c r="A455" s="92" t="str">
        <x:v>COST-0454</x:v>
      </x:c>
      <x:c r="B455" s="94" t="str">
        <x:v>PROC-0454</x:v>
      </x:c>
      <x:c r="C455" s="93" t="n">
        <x:v>46104</x:v>
      </x:c>
      <x:c r="D455" s="94" t="str">
        <x:v>Google Ads</x:v>
      </x:c>
      <x:c r="E455" s="94" t="str">
        <x:v>数据与ETL</x:v>
      </x:c>
      <x:c r="F455" s="94" t="str">
        <x:v>按采购批次</x:v>
      </x:c>
      <x:c r="G455" s="97" t="n">
        <x:v>0.48</x:v>
      </x:c>
      <x:c r="H455" s="94" t="str">
        <x:v>变动</x:v>
      </x:c>
      <x:c r="I455" s="94" t="str">
        <x:v>数据团队</x:v>
      </x:c>
      <x:c r="J455" s="94" t="str">
        <x:v>模拟项目运营成本；统一折算USD</x:v>
      </x:c>
    </x:row>
    <x:row r="456">
      <x:c r="A456" s="92" t="str">
        <x:v>COST-0455</x:v>
      </x:c>
      <x:c r="B456" s="94" t="str">
        <x:v>PROC-0455</x:v>
      </x:c>
      <x:c r="C456" s="93" t="n">
        <x:v>46105</x:v>
      </x:c>
      <x:c r="D456" s="94" t="str">
        <x:v>Google Ads</x:v>
      </x:c>
      <x:c r="E456" s="94" t="str">
        <x:v>云主机/CDN</x:v>
      </x:c>
      <x:c r="F456" s="94" t="str">
        <x:v>按访问量</x:v>
      </x:c>
      <x:c r="G456" s="97" t="n">
        <x:v>0.62</x:v>
      </x:c>
      <x:c r="H456" s="94" t="str">
        <x:v>变动</x:v>
      </x:c>
      <x:c r="I456" s="94" t="str">
        <x:v>技术团队</x:v>
      </x:c>
      <x:c r="J456" s="94" t="str">
        <x:v>模拟项目运营成本；统一折算USD</x:v>
      </x:c>
    </x:row>
    <x:row r="457">
      <x:c r="A457" s="92" t="str">
        <x:v>COST-0456</x:v>
      </x:c>
      <x:c r="B457" s="94" t="str">
        <x:v>PROC-0456</x:v>
      </x:c>
      <x:c r="C457" s="93" t="n">
        <x:v>46105</x:v>
      </x:c>
      <x:c r="D457" s="94" t="str">
        <x:v>Google Ads</x:v>
      </x:c>
      <x:c r="E457" s="94" t="str">
        <x:v>人工运营分摊</x:v>
      </x:c>
      <x:c r="F457" s="94" t="str">
        <x:v>按工时</x:v>
      </x:c>
      <x:c r="G457" s="97" t="n">
        <x:v>4.39</x:v>
      </x:c>
      <x:c r="H457" s="94" t="str">
        <x:v>部分固定</x:v>
      </x:c>
      <x:c r="I457" s="94" t="str">
        <x:v>运营团队</x:v>
      </x:c>
      <x:c r="J457" s="94" t="str">
        <x:v>模拟项目运营成本；统一折算USD</x:v>
      </x:c>
    </x:row>
    <x:row r="458">
      <x:c r="A458" s="92" t="str">
        <x:v>COST-0457</x:v>
      </x:c>
      <x:c r="B458" s="94" t="str">
        <x:v>PROC-0457</x:v>
      </x:c>
      <x:c r="C458" s="93" t="n">
        <x:v>46105</x:v>
      </x:c>
      <x:c r="D458" s="94" t="str">
        <x:v>Microsoft Ads</x:v>
      </x:c>
      <x:c r="E458" s="94" t="str">
        <x:v>云主机/CDN</x:v>
      </x:c>
      <x:c r="F458" s="94" t="str">
        <x:v>按访问量</x:v>
      </x:c>
      <x:c r="G458" s="97" t="n">
        <x:v>0.59</x:v>
      </x:c>
      <x:c r="H458" s="94" t="str">
        <x:v>变动</x:v>
      </x:c>
      <x:c r="I458" s="94" t="str">
        <x:v>技术团队</x:v>
      </x:c>
      <x:c r="J458" s="94" t="str">
        <x:v>模拟项目运营成本；统一折算USD</x:v>
      </x:c>
    </x:row>
    <x:row r="459">
      <x:c r="A459" s="92" t="str">
        <x:v>COST-0458</x:v>
      </x:c>
      <x:c r="B459" s="94" t="str">
        <x:v>PROC-0458</x:v>
      </x:c>
      <x:c r="C459" s="93" t="n">
        <x:v>46105</x:v>
      </x:c>
      <x:c r="D459" s="94" t="str">
        <x:v>Google Ads</x:v>
      </x:c>
      <x:c r="E459" s="94" t="str">
        <x:v>人工运营分摊</x:v>
      </x:c>
      <x:c r="F459" s="94" t="str">
        <x:v>按工时</x:v>
      </x:c>
      <x:c r="G459" s="97" t="n">
        <x:v>3.18</x:v>
      </x:c>
      <x:c r="H459" s="94" t="str">
        <x:v>部分固定</x:v>
      </x:c>
      <x:c r="I459" s="94" t="str">
        <x:v>运营团队</x:v>
      </x:c>
      <x:c r="J459" s="94" t="str">
        <x:v>模拟项目运营成本；统一折算USD</x:v>
      </x:c>
    </x:row>
    <x:row r="460">
      <x:c r="A460" s="92" t="str">
        <x:v>COST-0459</x:v>
      </x:c>
      <x:c r="B460" s="94" t="str">
        <x:v>PROC-0459</x:v>
      </x:c>
      <x:c r="C460" s="93" t="n">
        <x:v>46105</x:v>
      </x:c>
      <x:c r="D460" s="94" t="str">
        <x:v>Google Ads</x:v>
      </x:c>
      <x:c r="E460" s="94" t="str">
        <x:v>数据与ETL</x:v>
      </x:c>
      <x:c r="F460" s="94" t="str">
        <x:v>按采购批次</x:v>
      </x:c>
      <x:c r="G460" s="97" t="n">
        <x:v>0.98</x:v>
      </x:c>
      <x:c r="H460" s="94" t="str">
        <x:v>变动</x:v>
      </x:c>
      <x:c r="I460" s="94" t="str">
        <x:v>数据团队</x:v>
      </x:c>
      <x:c r="J460" s="94" t="str">
        <x:v>模拟项目运营成本；统一折算USD</x:v>
      </x:c>
    </x:row>
    <x:row r="461">
      <x:c r="A461" s="92" t="str">
        <x:v>COST-0460</x:v>
      </x:c>
      <x:c r="B461" s="94" t="str">
        <x:v>PROC-0460</x:v>
      </x:c>
      <x:c r="C461" s="93" t="n">
        <x:v>46106</x:v>
      </x:c>
      <x:c r="D461" s="94" t="str">
        <x:v>Google Ads</x:v>
      </x:c>
      <x:c r="E461" s="94" t="str">
        <x:v>数据与ETL</x:v>
      </x:c>
      <x:c r="F461" s="94" t="str">
        <x:v>按采购批次</x:v>
      </x:c>
      <x:c r="G461" s="97" t="n">
        <x:v>0.61</x:v>
      </x:c>
      <x:c r="H461" s="94" t="str">
        <x:v>变动</x:v>
      </x:c>
      <x:c r="I461" s="94" t="str">
        <x:v>数据团队</x:v>
      </x:c>
      <x:c r="J461" s="94" t="str">
        <x:v>模拟项目运营成本；统一折算USD</x:v>
      </x:c>
    </x:row>
    <x:row r="462">
      <x:c r="A462" s="92" t="str">
        <x:v>COST-0461</x:v>
      </x:c>
      <x:c r="B462" s="94" t="str">
        <x:v>PROC-0461</x:v>
      </x:c>
      <x:c r="C462" s="93" t="n">
        <x:v>46106</x:v>
      </x:c>
      <x:c r="D462" s="94" t="str">
        <x:v>Google Ads</x:v>
      </x:c>
      <x:c r="E462" s="94" t="str">
        <x:v>数据与ETL</x:v>
      </x:c>
      <x:c r="F462" s="94" t="str">
        <x:v>按采购批次</x:v>
      </x:c>
      <x:c r="G462" s="97" t="n">
        <x:v>0.92</x:v>
      </x:c>
      <x:c r="H462" s="94" t="str">
        <x:v>变动</x:v>
      </x:c>
      <x:c r="I462" s="94" t="str">
        <x:v>数据团队</x:v>
      </x:c>
      <x:c r="J462" s="94" t="str">
        <x:v>模拟项目运营成本；统一折算USD</x:v>
      </x:c>
    </x:row>
    <x:row r="463">
      <x:c r="A463" s="92" t="str">
        <x:v>COST-0462</x:v>
      </x:c>
      <x:c r="B463" s="94" t="str">
        <x:v>PROC-0462</x:v>
      </x:c>
      <x:c r="C463" s="93" t="n">
        <x:v>46106</x:v>
      </x:c>
      <x:c r="D463" s="94" t="str">
        <x:v>Google Ads</x:v>
      </x:c>
      <x:c r="E463" s="94" t="str">
        <x:v>人工运营分摊</x:v>
      </x:c>
      <x:c r="F463" s="94" t="str">
        <x:v>按工时</x:v>
      </x:c>
      <x:c r="G463" s="97" t="n">
        <x:v>2.64</x:v>
      </x:c>
      <x:c r="H463" s="94" t="str">
        <x:v>部分固定</x:v>
      </x:c>
      <x:c r="I463" s="94" t="str">
        <x:v>运营团队</x:v>
      </x:c>
      <x:c r="J463" s="94" t="str">
        <x:v>模拟项目运营成本；统一折算USD</x:v>
      </x:c>
    </x:row>
    <x:row r="464">
      <x:c r="A464" s="92" t="str">
        <x:v>COST-0463</x:v>
      </x:c>
      <x:c r="B464" s="94" t="str">
        <x:v>PROC-0463</x:v>
      </x:c>
      <x:c r="C464" s="93" t="n">
        <x:v>46106</x:v>
      </x:c>
      <x:c r="D464" s="94" t="str">
        <x:v>Microsoft Ads</x:v>
      </x:c>
      <x:c r="E464" s="94" t="str">
        <x:v>创意素材</x:v>
      </x:c>
      <x:c r="F464" s="94" t="str">
        <x:v>按活动</x:v>
      </x:c>
      <x:c r="G464" s="97" t="n">
        <x:v>1.87</x:v>
      </x:c>
      <x:c r="H464" s="94" t="str">
        <x:v>部分固定</x:v>
      </x:c>
      <x:c r="I464" s="94" t="str">
        <x:v>增长团队</x:v>
      </x:c>
      <x:c r="J464" s="94" t="str">
        <x:v>模拟项目运营成本；统一折算USD</x:v>
      </x:c>
    </x:row>
    <x:row r="465">
      <x:c r="A465" s="92" t="str">
        <x:v>COST-0464</x:v>
      </x:c>
      <x:c r="B465" s="94" t="str">
        <x:v>PROC-0464</x:v>
      </x:c>
      <x:c r="C465" s="93" t="n">
        <x:v>46106</x:v>
      </x:c>
      <x:c r="D465" s="94" t="str">
        <x:v>Google Ads</x:v>
      </x:c>
      <x:c r="E465" s="94" t="str">
        <x:v>云主机/CDN</x:v>
      </x:c>
      <x:c r="F465" s="94" t="str">
        <x:v>按访问量</x:v>
      </x:c>
      <x:c r="G465" s="97" t="n">
        <x:v>0.79</x:v>
      </x:c>
      <x:c r="H465" s="94" t="str">
        <x:v>变动</x:v>
      </x:c>
      <x:c r="I465" s="94" t="str">
        <x:v>技术团队</x:v>
      </x:c>
      <x:c r="J465" s="94" t="str">
        <x:v>模拟项目运营成本；统一折算USD</x:v>
      </x:c>
    </x:row>
    <x:row r="466">
      <x:c r="A466" s="92" t="str">
        <x:v>COST-0465</x:v>
      </x:c>
      <x:c r="B466" s="94" t="str">
        <x:v>PROC-0465</x:v>
      </x:c>
      <x:c r="C466" s="93" t="n">
        <x:v>46106</x:v>
      </x:c>
      <x:c r="D466" s="94" t="str">
        <x:v>Google Ads</x:v>
      </x:c>
      <x:c r="E466" s="94" t="str">
        <x:v>归因与监测工具</x:v>
      </x:c>
      <x:c r="F466" s="94" t="str">
        <x:v>按点击量</x:v>
      </x:c>
      <x:c r="G466" s="97" t="n">
        <x:v>0.92</x:v>
      </x:c>
      <x:c r="H466" s="94" t="str">
        <x:v>变动</x:v>
      </x:c>
      <x:c r="I466" s="94" t="str">
        <x:v>分析团队</x:v>
      </x:c>
      <x:c r="J466" s="94" t="str">
        <x:v>模拟项目运营成本；统一折算USD</x:v>
      </x:c>
    </x:row>
    <x:row r="467">
      <x:c r="A467" s="92" t="str">
        <x:v>COST-0466</x:v>
      </x:c>
      <x:c r="B467" s="94" t="str">
        <x:v>PROC-0466</x:v>
      </x:c>
      <x:c r="C467" s="93" t="n">
        <x:v>46107</x:v>
      </x:c>
      <x:c r="D467" s="94" t="str">
        <x:v>Microsoft Ads</x:v>
      </x:c>
      <x:c r="E467" s="94" t="str">
        <x:v>数据与ETL</x:v>
      </x:c>
      <x:c r="F467" s="94" t="str">
        <x:v>按采购批次</x:v>
      </x:c>
      <x:c r="G467" s="97" t="n">
        <x:v>0.44</x:v>
      </x:c>
      <x:c r="H467" s="94" t="str">
        <x:v>变动</x:v>
      </x:c>
      <x:c r="I467" s="94" t="str">
        <x:v>数据团队</x:v>
      </x:c>
      <x:c r="J467" s="94" t="str">
        <x:v>模拟项目运营成本；统一折算USD</x:v>
      </x:c>
    </x:row>
    <x:row r="468">
      <x:c r="A468" s="92" t="str">
        <x:v>COST-0467</x:v>
      </x:c>
      <x:c r="B468" s="94" t="str">
        <x:v>PROC-0467</x:v>
      </x:c>
      <x:c r="C468" s="93" t="n">
        <x:v>46107</x:v>
      </x:c>
      <x:c r="D468" s="94" t="str">
        <x:v>Google Ads</x:v>
      </x:c>
      <x:c r="E468" s="94" t="str">
        <x:v>归因与监测工具</x:v>
      </x:c>
      <x:c r="F468" s="94" t="str">
        <x:v>按点击量</x:v>
      </x:c>
      <x:c r="G468" s="97" t="n">
        <x:v>1.42</x:v>
      </x:c>
      <x:c r="H468" s="94" t="str">
        <x:v>变动</x:v>
      </x:c>
      <x:c r="I468" s="94" t="str">
        <x:v>分析团队</x:v>
      </x:c>
      <x:c r="J468" s="94" t="str">
        <x:v>模拟项目运营成本；统一折算USD</x:v>
      </x:c>
    </x:row>
    <x:row r="469">
      <x:c r="A469" s="92" t="str">
        <x:v>COST-0468</x:v>
      </x:c>
      <x:c r="B469" s="94" t="str">
        <x:v>PROC-0468</x:v>
      </x:c>
      <x:c r="C469" s="93" t="n">
        <x:v>46107</x:v>
      </x:c>
      <x:c r="D469" s="94" t="str">
        <x:v>Microsoft Ads</x:v>
      </x:c>
      <x:c r="E469" s="94" t="str">
        <x:v>创意素材</x:v>
      </x:c>
      <x:c r="F469" s="94" t="str">
        <x:v>按活动</x:v>
      </x:c>
      <x:c r="G469" s="97" t="n">
        <x:v>1.17</x:v>
      </x:c>
      <x:c r="H469" s="94" t="str">
        <x:v>部分固定</x:v>
      </x:c>
      <x:c r="I469" s="94" t="str">
        <x:v>增长团队</x:v>
      </x:c>
      <x:c r="J469" s="94" t="str">
        <x:v>模拟项目运营成本；统一折算USD</x:v>
      </x:c>
    </x:row>
    <x:row r="470">
      <x:c r="A470" s="92" t="str">
        <x:v>COST-0469</x:v>
      </x:c>
      <x:c r="B470" s="94" t="str">
        <x:v>PROC-0469</x:v>
      </x:c>
      <x:c r="C470" s="93" t="n">
        <x:v>46107</x:v>
      </x:c>
      <x:c r="D470" s="94" t="str">
        <x:v>Google Ads</x:v>
      </x:c>
      <x:c r="E470" s="94" t="str">
        <x:v>云主机/CDN</x:v>
      </x:c>
      <x:c r="F470" s="94" t="str">
        <x:v>按访问量</x:v>
      </x:c>
      <x:c r="G470" s="97" t="n">
        <x:v>0.7</x:v>
      </x:c>
      <x:c r="H470" s="94" t="str">
        <x:v>变动</x:v>
      </x:c>
      <x:c r="I470" s="94" t="str">
        <x:v>技术团队</x:v>
      </x:c>
      <x:c r="J470" s="94" t="str">
        <x:v>模拟项目运营成本；统一折算USD</x:v>
      </x:c>
    </x:row>
    <x:row r="471">
      <x:c r="A471" s="92" t="str">
        <x:v>COST-0470</x:v>
      </x:c>
      <x:c r="B471" s="94" t="str">
        <x:v>PROC-0470</x:v>
      </x:c>
      <x:c r="C471" s="93" t="n">
        <x:v>46107</x:v>
      </x:c>
      <x:c r="D471" s="94" t="str">
        <x:v>Microsoft Ads</x:v>
      </x:c>
      <x:c r="E471" s="94" t="str">
        <x:v>创意素材</x:v>
      </x:c>
      <x:c r="F471" s="94" t="str">
        <x:v>按活动</x:v>
      </x:c>
      <x:c r="G471" s="97" t="n">
        <x:v>1.76</x:v>
      </x:c>
      <x:c r="H471" s="94" t="str">
        <x:v>部分固定</x:v>
      </x:c>
      <x:c r="I471" s="94" t="str">
        <x:v>增长团队</x:v>
      </x:c>
      <x:c r="J471" s="94" t="str">
        <x:v>模拟项目运营成本；统一折算USD</x:v>
      </x:c>
    </x:row>
    <x:row r="472">
      <x:c r="A472" s="92" t="str">
        <x:v>COST-0471</x:v>
      </x:c>
      <x:c r="B472" s="94" t="str">
        <x:v>PROC-0471</x:v>
      </x:c>
      <x:c r="C472" s="93" t="n">
        <x:v>46108</x:v>
      </x:c>
      <x:c r="D472" s="94" t="str">
        <x:v>Microsoft Ads</x:v>
      </x:c>
      <x:c r="E472" s="94" t="str">
        <x:v>云主机/CDN</x:v>
      </x:c>
      <x:c r="F472" s="94" t="str">
        <x:v>按访问量</x:v>
      </x:c>
      <x:c r="G472" s="97" t="n">
        <x:v>0.63</x:v>
      </x:c>
      <x:c r="H472" s="94" t="str">
        <x:v>变动</x:v>
      </x:c>
      <x:c r="I472" s="94" t="str">
        <x:v>技术团队</x:v>
      </x:c>
      <x:c r="J472" s="94" t="str">
        <x:v>模拟项目运营成本；统一折算USD</x:v>
      </x:c>
    </x:row>
    <x:row r="473">
      <x:c r="A473" s="92" t="str">
        <x:v>COST-0472</x:v>
      </x:c>
      <x:c r="B473" s="94" t="str">
        <x:v>PROC-0472</x:v>
      </x:c>
      <x:c r="C473" s="93" t="n">
        <x:v>46108</x:v>
      </x:c>
      <x:c r="D473" s="94" t="str">
        <x:v>Microsoft Ads</x:v>
      </x:c>
      <x:c r="E473" s="94" t="str">
        <x:v>数据与ETL</x:v>
      </x:c>
      <x:c r="F473" s="94" t="str">
        <x:v>按采购批次</x:v>
      </x:c>
      <x:c r="G473" s="97" t="n">
        <x:v>1.63</x:v>
      </x:c>
      <x:c r="H473" s="94" t="str">
        <x:v>变动</x:v>
      </x:c>
      <x:c r="I473" s="94" t="str">
        <x:v>数据团队</x:v>
      </x:c>
      <x:c r="J473" s="94" t="str">
        <x:v>模拟项目运营成本；统一折算USD</x:v>
      </x:c>
    </x:row>
    <x:row r="474">
      <x:c r="A474" s="92" t="str">
        <x:v>COST-0473</x:v>
      </x:c>
      <x:c r="B474" s="94" t="str">
        <x:v>PROC-0473</x:v>
      </x:c>
      <x:c r="C474" s="93" t="n">
        <x:v>46108</x:v>
      </x:c>
      <x:c r="D474" s="94" t="str">
        <x:v>Google Ads</x:v>
      </x:c>
      <x:c r="E474" s="94" t="str">
        <x:v>云主机/CDN</x:v>
      </x:c>
      <x:c r="F474" s="94" t="str">
        <x:v>按访问量</x:v>
      </x:c>
      <x:c r="G474" s="97" t="n">
        <x:v>0.99</x:v>
      </x:c>
      <x:c r="H474" s="94" t="str">
        <x:v>变动</x:v>
      </x:c>
      <x:c r="I474" s="94" t="str">
        <x:v>技术团队</x:v>
      </x:c>
      <x:c r="J474" s="94" t="str">
        <x:v>模拟项目运营成本；统一折算USD</x:v>
      </x:c>
    </x:row>
    <x:row r="475">
      <x:c r="A475" s="92" t="str">
        <x:v>COST-0474</x:v>
      </x:c>
      <x:c r="B475" s="94" t="str">
        <x:v>PROC-0474</x:v>
      </x:c>
      <x:c r="C475" s="93" t="n">
        <x:v>46108</x:v>
      </x:c>
      <x:c r="D475" s="94" t="str">
        <x:v>Google Ads</x:v>
      </x:c>
      <x:c r="E475" s="94" t="str">
        <x:v>数据与ETL</x:v>
      </x:c>
      <x:c r="F475" s="94" t="str">
        <x:v>按采购批次</x:v>
      </x:c>
      <x:c r="G475" s="97" t="n">
        <x:v>1.5</x:v>
      </x:c>
      <x:c r="H475" s="94" t="str">
        <x:v>变动</x:v>
      </x:c>
      <x:c r="I475" s="94" t="str">
        <x:v>数据团队</x:v>
      </x:c>
      <x:c r="J475" s="94" t="str">
        <x:v>模拟项目运营成本；统一折算USD</x:v>
      </x:c>
    </x:row>
    <x:row r="476">
      <x:c r="A476" s="92" t="str">
        <x:v>COST-0475</x:v>
      </x:c>
      <x:c r="B476" s="94" t="str">
        <x:v>PROC-0475</x:v>
      </x:c>
      <x:c r="C476" s="93" t="n">
        <x:v>46108</x:v>
      </x:c>
      <x:c r="D476" s="94" t="str">
        <x:v>Microsoft Ads</x:v>
      </x:c>
      <x:c r="E476" s="94" t="str">
        <x:v>人工运营分摊</x:v>
      </x:c>
      <x:c r="F476" s="94" t="str">
        <x:v>按工时</x:v>
      </x:c>
      <x:c r="G476" s="97" t="n">
        <x:v>1.78</x:v>
      </x:c>
      <x:c r="H476" s="94" t="str">
        <x:v>部分固定</x:v>
      </x:c>
      <x:c r="I476" s="94" t="str">
        <x:v>运营团队</x:v>
      </x:c>
      <x:c r="J476" s="94" t="str">
        <x:v>模拟项目运营成本；统一折算USD</x:v>
      </x:c>
    </x:row>
    <x:row r="477">
      <x:c r="A477" s="92" t="str">
        <x:v>COST-0476</x:v>
      </x:c>
      <x:c r="B477" s="94" t="str">
        <x:v>PROC-0476</x:v>
      </x:c>
      <x:c r="C477" s="93" t="n">
        <x:v>46108</x:v>
      </x:c>
      <x:c r="D477" s="94" t="str">
        <x:v>Google Ads</x:v>
      </x:c>
      <x:c r="E477" s="94" t="str">
        <x:v>人工运营分摊</x:v>
      </x:c>
      <x:c r="F477" s="94" t="str">
        <x:v>按工时</x:v>
      </x:c>
      <x:c r="G477" s="97" t="n">
        <x:v>3.86</x:v>
      </x:c>
      <x:c r="H477" s="94" t="str">
        <x:v>部分固定</x:v>
      </x:c>
      <x:c r="I477" s="94" t="str">
        <x:v>运营团队</x:v>
      </x:c>
      <x:c r="J477" s="94" t="str">
        <x:v>模拟项目运营成本；统一折算USD</x:v>
      </x:c>
    </x:row>
    <x:row r="478">
      <x:c r="A478" s="92" t="str">
        <x:v>COST-0477</x:v>
      </x:c>
      <x:c r="B478" s="94" t="str">
        <x:v>PROC-0477</x:v>
      </x:c>
      <x:c r="C478" s="93" t="n">
        <x:v>46109</x:v>
      </x:c>
      <x:c r="D478" s="94" t="str">
        <x:v>Google Ads</x:v>
      </x:c>
      <x:c r="E478" s="94" t="str">
        <x:v>创意素材</x:v>
      </x:c>
      <x:c r="F478" s="94" t="str">
        <x:v>按活动</x:v>
      </x:c>
      <x:c r="G478" s="97" t="n">
        <x:v>3.25</x:v>
      </x:c>
      <x:c r="H478" s="94" t="str">
        <x:v>部分固定</x:v>
      </x:c>
      <x:c r="I478" s="94" t="str">
        <x:v>增长团队</x:v>
      </x:c>
      <x:c r="J478" s="94" t="str">
        <x:v>模拟项目运营成本；统一折算USD</x:v>
      </x:c>
    </x:row>
    <x:row r="479">
      <x:c r="A479" s="92" t="str">
        <x:v>COST-0478</x:v>
      </x:c>
      <x:c r="B479" s="94" t="str">
        <x:v>PROC-0478</x:v>
      </x:c>
      <x:c r="C479" s="93" t="n">
        <x:v>46109</x:v>
      </x:c>
      <x:c r="D479" s="94" t="str">
        <x:v>Google Ads</x:v>
      </x:c>
      <x:c r="E479" s="94" t="str">
        <x:v>归因与监测工具</x:v>
      </x:c>
      <x:c r="F479" s="94" t="str">
        <x:v>按点击量</x:v>
      </x:c>
      <x:c r="G479" s="97" t="n">
        <x:v>1.41</x:v>
      </x:c>
      <x:c r="H479" s="94" t="str">
        <x:v>变动</x:v>
      </x:c>
      <x:c r="I479" s="94" t="str">
        <x:v>分析团队</x:v>
      </x:c>
      <x:c r="J479" s="94" t="str">
        <x:v>模拟项目运营成本；统一折算USD</x:v>
      </x:c>
    </x:row>
    <x:row r="480">
      <x:c r="A480" s="92" t="str">
        <x:v>COST-0479</x:v>
      </x:c>
      <x:c r="B480" s="94" t="str">
        <x:v>PROC-0479</x:v>
      </x:c>
      <x:c r="C480" s="93" t="n">
        <x:v>46109</x:v>
      </x:c>
      <x:c r="D480" s="94" t="str">
        <x:v>Google Ads</x:v>
      </x:c>
      <x:c r="E480" s="94" t="str">
        <x:v>云主机/CDN</x:v>
      </x:c>
      <x:c r="F480" s="94" t="str">
        <x:v>按访问量</x:v>
      </x:c>
      <x:c r="G480" s="97" t="n">
        <x:v>0.91</x:v>
      </x:c>
      <x:c r="H480" s="94" t="str">
        <x:v>变动</x:v>
      </x:c>
      <x:c r="I480" s="94" t="str">
        <x:v>技术团队</x:v>
      </x:c>
      <x:c r="J480" s="94" t="str">
        <x:v>模拟项目运营成本；统一折算USD</x:v>
      </x:c>
    </x:row>
    <x:row r="481">
      <x:c r="A481" s="92" t="str">
        <x:v>COST-0480</x:v>
      </x:c>
      <x:c r="B481" s="94" t="str">
        <x:v>PROC-0480</x:v>
      </x:c>
      <x:c r="C481" s="93" t="n">
        <x:v>46109</x:v>
      </x:c>
      <x:c r="D481" s="94" t="str">
        <x:v>Microsoft Ads</x:v>
      </x:c>
      <x:c r="E481" s="94" t="str">
        <x:v>数据与ETL</x:v>
      </x:c>
      <x:c r="F481" s="94" t="str">
        <x:v>按采购批次</x:v>
      </x:c>
      <x:c r="G481" s="97" t="n">
        <x:v>0.76</x:v>
      </x:c>
      <x:c r="H481" s="94" t="str">
        <x:v>变动</x:v>
      </x:c>
      <x:c r="I481" s="94" t="str">
        <x:v>数据团队</x:v>
      </x:c>
      <x:c r="J481" s="94" t="str">
        <x:v>模拟项目运营成本；统一折算USD</x:v>
      </x:c>
    </x:row>
    <x:row r="482">
      <x:c r="A482" s="92" t="str">
        <x:v>COST-0481</x:v>
      </x:c>
      <x:c r="B482" s="94" t="str">
        <x:v>PROC-0481</x:v>
      </x:c>
      <x:c r="C482" s="93" t="n">
        <x:v>46109</x:v>
      </x:c>
      <x:c r="D482" s="94" t="str">
        <x:v>Microsoft Ads</x:v>
      </x:c>
      <x:c r="E482" s="94" t="str">
        <x:v>人工运营分摊</x:v>
      </x:c>
      <x:c r="F482" s="94" t="str">
        <x:v>按工时</x:v>
      </x:c>
      <x:c r="G482" s="97" t="n">
        <x:v>1.78</x:v>
      </x:c>
      <x:c r="H482" s="94" t="str">
        <x:v>部分固定</x:v>
      </x:c>
      <x:c r="I482" s="94" t="str">
        <x:v>运营团队</x:v>
      </x:c>
      <x:c r="J482" s="94" t="str">
        <x:v>模拟项目运营成本；统一折算USD</x:v>
      </x:c>
    </x:row>
    <x:row r="483">
      <x:c r="A483" s="92" t="str">
        <x:v>COST-0482</x:v>
      </x:c>
      <x:c r="B483" s="94" t="str">
        <x:v>PROC-0482</x:v>
      </x:c>
      <x:c r="C483" s="93" t="n">
        <x:v>46110</x:v>
      </x:c>
      <x:c r="D483" s="94" t="str">
        <x:v>Google Ads</x:v>
      </x:c>
      <x:c r="E483" s="94" t="str">
        <x:v>归因与监测工具</x:v>
      </x:c>
      <x:c r="F483" s="94" t="str">
        <x:v>按点击量</x:v>
      </x:c>
      <x:c r="G483" s="97" t="n">
        <x:v>1.9</x:v>
      </x:c>
      <x:c r="H483" s="94" t="str">
        <x:v>变动</x:v>
      </x:c>
      <x:c r="I483" s="94" t="str">
        <x:v>分析团队</x:v>
      </x:c>
      <x:c r="J483" s="94" t="str">
        <x:v>模拟项目运营成本；统一折算USD</x:v>
      </x:c>
    </x:row>
    <x:row r="484">
      <x:c r="A484" s="92" t="str">
        <x:v>COST-0483</x:v>
      </x:c>
      <x:c r="B484" s="94" t="str">
        <x:v>PROC-0483</x:v>
      </x:c>
      <x:c r="C484" s="93" t="n">
        <x:v>46110</x:v>
      </x:c>
      <x:c r="D484" s="94" t="str">
        <x:v>Microsoft Ads</x:v>
      </x:c>
      <x:c r="E484" s="94" t="str">
        <x:v>云主机/CDN</x:v>
      </x:c>
      <x:c r="F484" s="94" t="str">
        <x:v>按访问量</x:v>
      </x:c>
      <x:c r="G484" s="97" t="n">
        <x:v>0.65</x:v>
      </x:c>
      <x:c r="H484" s="94" t="str">
        <x:v>变动</x:v>
      </x:c>
      <x:c r="I484" s="94" t="str">
        <x:v>技术团队</x:v>
      </x:c>
      <x:c r="J484" s="94" t="str">
        <x:v>模拟项目运营成本；统一折算USD</x:v>
      </x:c>
    </x:row>
    <x:row r="485">
      <x:c r="A485" s="92" t="str">
        <x:v>COST-0484</x:v>
      </x:c>
      <x:c r="B485" s="94" t="str">
        <x:v>PROC-0484</x:v>
      </x:c>
      <x:c r="C485" s="93" t="n">
        <x:v>46110</x:v>
      </x:c>
      <x:c r="D485" s="94" t="str">
        <x:v>Microsoft Ads</x:v>
      </x:c>
      <x:c r="E485" s="94" t="str">
        <x:v>归因与监测工具</x:v>
      </x:c>
      <x:c r="F485" s="94" t="str">
        <x:v>按点击量</x:v>
      </x:c>
      <x:c r="G485" s="97" t="n">
        <x:v>1.52</x:v>
      </x:c>
      <x:c r="H485" s="94" t="str">
        <x:v>变动</x:v>
      </x:c>
      <x:c r="I485" s="94" t="str">
        <x:v>分析团队</x:v>
      </x:c>
      <x:c r="J485" s="94" t="str">
        <x:v>模拟项目运营成本；统一折算USD</x:v>
      </x:c>
    </x:row>
    <x:row r="486">
      <x:c r="A486" s="92" t="str">
        <x:v>COST-0485</x:v>
      </x:c>
      <x:c r="B486" s="94" t="str">
        <x:v>PROC-0485</x:v>
      </x:c>
      <x:c r="C486" s="93" t="n">
        <x:v>46110</x:v>
      </x:c>
      <x:c r="D486" s="94" t="str">
        <x:v>Microsoft Ads</x:v>
      </x:c>
      <x:c r="E486" s="94" t="str">
        <x:v>归因与监测工具</x:v>
      </x:c>
      <x:c r="F486" s="94" t="str">
        <x:v>按点击量</x:v>
      </x:c>
      <x:c r="G486" s="97" t="n">
        <x:v>0.98</x:v>
      </x:c>
      <x:c r="H486" s="94" t="str">
        <x:v>变动</x:v>
      </x:c>
      <x:c r="I486" s="94" t="str">
        <x:v>分析团队</x:v>
      </x:c>
      <x:c r="J486" s="94" t="str">
        <x:v>模拟项目运营成本；统一折算USD</x:v>
      </x:c>
    </x:row>
    <x:row r="487">
      <x:c r="A487" s="92" t="str">
        <x:v>COST-0486</x:v>
      </x:c>
      <x:c r="B487" s="94" t="str">
        <x:v>PROC-0486</x:v>
      </x:c>
      <x:c r="C487" s="93" t="n">
        <x:v>46110</x:v>
      </x:c>
      <x:c r="D487" s="94" t="str">
        <x:v>Google Ads</x:v>
      </x:c>
      <x:c r="E487" s="94" t="str">
        <x:v>数据与ETL</x:v>
      </x:c>
      <x:c r="F487" s="94" t="str">
        <x:v>按采购批次</x:v>
      </x:c>
      <x:c r="G487" s="97" t="n">
        <x:v>0.66</x:v>
      </x:c>
      <x:c r="H487" s="94" t="str">
        <x:v>变动</x:v>
      </x:c>
      <x:c r="I487" s="94" t="str">
        <x:v>数据团队</x:v>
      </x:c>
      <x:c r="J487" s="94" t="str">
        <x:v>模拟项目运营成本；统一折算USD</x:v>
      </x:c>
    </x:row>
    <x:row r="488">
      <x:c r="A488" s="92" t="str">
        <x:v>COST-0487</x:v>
      </x:c>
      <x:c r="B488" s="94" t="str">
        <x:v>PROC-0487</x:v>
      </x:c>
      <x:c r="C488" s="93" t="n">
        <x:v>46110</x:v>
      </x:c>
      <x:c r="D488" s="94" t="str">
        <x:v>Google Ads</x:v>
      </x:c>
      <x:c r="E488" s="94" t="str">
        <x:v>人工运营分摊</x:v>
      </x:c>
      <x:c r="F488" s="94" t="str">
        <x:v>按工时</x:v>
      </x:c>
      <x:c r="G488" s="97" t="n">
        <x:v>4.76</x:v>
      </x:c>
      <x:c r="H488" s="94" t="str">
        <x:v>部分固定</x:v>
      </x:c>
      <x:c r="I488" s="94" t="str">
        <x:v>运营团队</x:v>
      </x:c>
      <x:c r="J488" s="94" t="str">
        <x:v>模拟项目运营成本；统一折算USD</x:v>
      </x:c>
    </x:row>
    <x:row r="489">
      <x:c r="A489" s="92" t="str">
        <x:v>COST-0488</x:v>
      </x:c>
      <x:c r="B489" s="94" t="str">
        <x:v>PROC-0488</x:v>
      </x:c>
      <x:c r="C489" s="93" t="n">
        <x:v>46111</x:v>
      </x:c>
      <x:c r="D489" s="94" t="str">
        <x:v>Microsoft Ads</x:v>
      </x:c>
      <x:c r="E489" s="94" t="str">
        <x:v>归因与监测工具</x:v>
      </x:c>
      <x:c r="F489" s="94" t="str">
        <x:v>按点击量</x:v>
      </x:c>
      <x:c r="G489" s="97" t="n">
        <x:v>0.9</x:v>
      </x:c>
      <x:c r="H489" s="94" t="str">
        <x:v>变动</x:v>
      </x:c>
      <x:c r="I489" s="94" t="str">
        <x:v>分析团队</x:v>
      </x:c>
      <x:c r="J489" s="94" t="str">
        <x:v>模拟项目运营成本；统一折算USD</x:v>
      </x:c>
    </x:row>
    <x:row r="490">
      <x:c r="A490" s="92" t="str">
        <x:v>COST-0489</x:v>
      </x:c>
      <x:c r="B490" s="94" t="str">
        <x:v>PROC-0489</x:v>
      </x:c>
      <x:c r="C490" s="93" t="n">
        <x:v>46111</x:v>
      </x:c>
      <x:c r="D490" s="94" t="str">
        <x:v>Google Ads</x:v>
      </x:c>
      <x:c r="E490" s="94" t="str">
        <x:v>人工运营分摊</x:v>
      </x:c>
      <x:c r="F490" s="94" t="str">
        <x:v>按工时</x:v>
      </x:c>
      <x:c r="G490" s="97" t="n">
        <x:v>2.59</x:v>
      </x:c>
      <x:c r="H490" s="94" t="str">
        <x:v>部分固定</x:v>
      </x:c>
      <x:c r="I490" s="94" t="str">
        <x:v>运营团队</x:v>
      </x:c>
      <x:c r="J490" s="94" t="str">
        <x:v>模拟项目运营成本；统一折算USD</x:v>
      </x:c>
    </x:row>
    <x:row r="491">
      <x:c r="A491" s="92" t="str">
        <x:v>COST-0490</x:v>
      </x:c>
      <x:c r="B491" s="94" t="str">
        <x:v>PROC-0490</x:v>
      </x:c>
      <x:c r="C491" s="93" t="n">
        <x:v>46111</x:v>
      </x:c>
      <x:c r="D491" s="94" t="str">
        <x:v>Google Ads</x:v>
      </x:c>
      <x:c r="E491" s="94" t="str">
        <x:v>人工运营分摊</x:v>
      </x:c>
      <x:c r="F491" s="94" t="str">
        <x:v>按工时</x:v>
      </x:c>
      <x:c r="G491" s="97" t="n">
        <x:v>4.09</x:v>
      </x:c>
      <x:c r="H491" s="94" t="str">
        <x:v>部分固定</x:v>
      </x:c>
      <x:c r="I491" s="94" t="str">
        <x:v>运营团队</x:v>
      </x:c>
      <x:c r="J491" s="94" t="str">
        <x:v>模拟项目运营成本；统一折算USD</x:v>
      </x:c>
    </x:row>
    <x:row r="492">
      <x:c r="A492" s="92" t="str">
        <x:v>COST-0491</x:v>
      </x:c>
      <x:c r="B492" s="94" t="str">
        <x:v>PROC-0491</x:v>
      </x:c>
      <x:c r="C492" s="93" t="n">
        <x:v>46111</x:v>
      </x:c>
      <x:c r="D492" s="94" t="str">
        <x:v>Google Ads</x:v>
      </x:c>
      <x:c r="E492" s="94" t="str">
        <x:v>人工运营分摊</x:v>
      </x:c>
      <x:c r="F492" s="94" t="str">
        <x:v>按工时</x:v>
      </x:c>
      <x:c r="G492" s="97" t="n">
        <x:v>2.28</x:v>
      </x:c>
      <x:c r="H492" s="94" t="str">
        <x:v>部分固定</x:v>
      </x:c>
      <x:c r="I492" s="94" t="str">
        <x:v>运营团队</x:v>
      </x:c>
      <x:c r="J492" s="94" t="str">
        <x:v>模拟项目运营成本；统一折算USD</x:v>
      </x:c>
    </x:row>
    <x:row r="493">
      <x:c r="A493" s="92" t="str">
        <x:v>COST-0492</x:v>
      </x:c>
      <x:c r="B493" s="94" t="str">
        <x:v>PROC-0492</x:v>
      </x:c>
      <x:c r="C493" s="93" t="n">
        <x:v>46111</x:v>
      </x:c>
      <x:c r="D493" s="94" t="str">
        <x:v>Microsoft Ads</x:v>
      </x:c>
      <x:c r="E493" s="94" t="str">
        <x:v>人工运营分摊</x:v>
      </x:c>
      <x:c r="F493" s="94" t="str">
        <x:v>按工时</x:v>
      </x:c>
      <x:c r="G493" s="97" t="n">
        <x:v>1.97</x:v>
      </x:c>
      <x:c r="H493" s="94" t="str">
        <x:v>部分固定</x:v>
      </x:c>
      <x:c r="I493" s="94" t="str">
        <x:v>运营团队</x:v>
      </x:c>
      <x:c r="J493" s="94" t="str">
        <x:v>模拟项目运营成本；统一折算USD</x:v>
      </x:c>
    </x:row>
    <x:row r="494">
      <x:c r="A494" s="92" t="str">
        <x:v>COST-0493</x:v>
      </x:c>
      <x:c r="B494" s="94" t="str">
        <x:v>PROC-0493</x:v>
      </x:c>
      <x:c r="C494" s="93" t="n">
        <x:v>46112</x:v>
      </x:c>
      <x:c r="D494" s="94" t="str">
        <x:v>Google Ads</x:v>
      </x:c>
      <x:c r="E494" s="94" t="str">
        <x:v>创意素材</x:v>
      </x:c>
      <x:c r="F494" s="94" t="str">
        <x:v>按活动</x:v>
      </x:c>
      <x:c r="G494" s="97" t="n">
        <x:v>3.51</x:v>
      </x:c>
      <x:c r="H494" s="94" t="str">
        <x:v>部分固定</x:v>
      </x:c>
      <x:c r="I494" s="94" t="str">
        <x:v>增长团队</x:v>
      </x:c>
      <x:c r="J494" s="94" t="str">
        <x:v>模拟项目运营成本；统一折算USD</x:v>
      </x:c>
    </x:row>
    <x:row r="495">
      <x:c r="A495" s="92" t="str">
        <x:v>COST-0494</x:v>
      </x:c>
      <x:c r="B495" s="94" t="str">
        <x:v>PROC-0494</x:v>
      </x:c>
      <x:c r="C495" s="93" t="n">
        <x:v>46112</x:v>
      </x:c>
      <x:c r="D495" s="94" t="str">
        <x:v>Google Ads</x:v>
      </x:c>
      <x:c r="E495" s="94" t="str">
        <x:v>人工运营分摊</x:v>
      </x:c>
      <x:c r="F495" s="94" t="str">
        <x:v>按工时</x:v>
      </x:c>
      <x:c r="G495" s="97" t="n">
        <x:v>3.68</x:v>
      </x:c>
      <x:c r="H495" s="94" t="str">
        <x:v>部分固定</x:v>
      </x:c>
      <x:c r="I495" s="94" t="str">
        <x:v>运营团队</x:v>
      </x:c>
      <x:c r="J495" s="94" t="str">
        <x:v>模拟项目运营成本；统一折算USD</x:v>
      </x:c>
    </x:row>
    <x:row r="496">
      <x:c r="A496" s="92" t="str">
        <x:v>COST-0495</x:v>
      </x:c>
      <x:c r="B496" s="94" t="str">
        <x:v>PROC-0495</x:v>
      </x:c>
      <x:c r="C496" s="93" t="n">
        <x:v>46112</x:v>
      </x:c>
      <x:c r="D496" s="94" t="str">
        <x:v>Google Ads</x:v>
      </x:c>
      <x:c r="E496" s="94" t="str">
        <x:v>归因与监测工具</x:v>
      </x:c>
      <x:c r="F496" s="94" t="str">
        <x:v>按点击量</x:v>
      </x:c>
      <x:c r="G496" s="97" t="n">
        <x:v>1.25</x:v>
      </x:c>
      <x:c r="H496" s="94" t="str">
        <x:v>变动</x:v>
      </x:c>
      <x:c r="I496" s="94" t="str">
        <x:v>分析团队</x:v>
      </x:c>
      <x:c r="J496" s="94" t="str">
        <x:v>模拟项目运营成本；统一折算USD</x:v>
      </x:c>
    </x:row>
    <x:row r="497">
      <x:c r="A497" s="92" t="str">
        <x:v>COST-0496</x:v>
      </x:c>
      <x:c r="B497" s="94" t="str">
        <x:v>PROC-0496</x:v>
      </x:c>
      <x:c r="C497" s="93" t="n">
        <x:v>46112</x:v>
      </x:c>
      <x:c r="D497" s="94" t="str">
        <x:v>Google Ads</x:v>
      </x:c>
      <x:c r="E497" s="94" t="str">
        <x:v>创意素材</x:v>
      </x:c>
      <x:c r="F497" s="94" t="str">
        <x:v>按活动</x:v>
      </x:c>
      <x:c r="G497" s="97" t="n">
        <x:v>1.76</x:v>
      </x:c>
      <x:c r="H497" s="94" t="str">
        <x:v>部分固定</x:v>
      </x:c>
      <x:c r="I497" s="94" t="str">
        <x:v>增长团队</x:v>
      </x:c>
      <x:c r="J497" s="94" t="str">
        <x:v>模拟项目运营成本；统一折算USD</x:v>
      </x:c>
    </x:row>
    <x:row r="498">
      <x:c r="A498" s="92" t="str">
        <x:v>COST-0497</x:v>
      </x:c>
      <x:c r="B498" s="94" t="str">
        <x:v>PROC-0497</x:v>
      </x:c>
      <x:c r="C498" s="93" t="n">
        <x:v>46112</x:v>
      </x:c>
      <x:c r="D498" s="94" t="str">
        <x:v>Google Ads</x:v>
      </x:c>
      <x:c r="E498" s="94" t="str">
        <x:v>人工运营分摊</x:v>
      </x:c>
      <x:c r="F498" s="94" t="str">
        <x:v>按工时</x:v>
      </x:c>
      <x:c r="G498" s="97" t="n">
        <x:v>4.64</x:v>
      </x:c>
      <x:c r="H498" s="94" t="str">
        <x:v>部分固定</x:v>
      </x:c>
      <x:c r="I498" s="94" t="str">
        <x:v>运营团队</x:v>
      </x:c>
      <x:c r="J498" s="94" t="str">
        <x:v>模拟项目运营成本；统一折算USD</x:v>
      </x:c>
    </x:row>
    <x:row r="499">
      <x:c r="A499" s="92" t="str">
        <x:v>COST-0498</x:v>
      </x:c>
      <x:c r="B499" s="94" t="str">
        <x:v>PROC-0498</x:v>
      </x:c>
      <x:c r="C499" s="93" t="n">
        <x:v>46112</x:v>
      </x:c>
      <x:c r="D499" s="94" t="str">
        <x:v>Microsoft Ads</x:v>
      </x:c>
      <x:c r="E499" s="94" t="str">
        <x:v>数据与ETL</x:v>
      </x:c>
      <x:c r="F499" s="94" t="str">
        <x:v>按采购批次</x:v>
      </x:c>
      <x:c r="G499" s="97" t="n">
        <x:v>1.39</x:v>
      </x:c>
      <x:c r="H499" s="94" t="str">
        <x:v>变动</x:v>
      </x:c>
      <x:c r="I499" s="94" t="str">
        <x:v>数据团队</x:v>
      </x:c>
      <x:c r="J499" s="94" t="str">
        <x:v>模拟项目运营成本；统一折算USD</x:v>
      </x:c>
    </x:row>
    <x:row r="500">
      <x:c r="A500" s="92" t="str">
        <x:v>COST-0499</x:v>
      </x:c>
      <x:c r="B500" s="94" t="str">
        <x:v>PROC-0499</x:v>
      </x:c>
      <x:c r="C500" s="93" t="n">
        <x:v>46113</x:v>
      </x:c>
      <x:c r="D500" s="94" t="str">
        <x:v>Google Ads</x:v>
      </x:c>
      <x:c r="E500" s="94" t="str">
        <x:v>人工运营分摊</x:v>
      </x:c>
      <x:c r="F500" s="94" t="str">
        <x:v>按工时</x:v>
      </x:c>
      <x:c r="G500" s="97" t="n">
        <x:v>3.74</x:v>
      </x:c>
      <x:c r="H500" s="94" t="str">
        <x:v>部分固定</x:v>
      </x:c>
      <x:c r="I500" s="94" t="str">
        <x:v>运营团队</x:v>
      </x:c>
      <x:c r="J500" s="94" t="str">
        <x:v>模拟项目运营成本；统一折算USD</x:v>
      </x:c>
    </x:row>
    <x:row r="501">
      <x:c r="A501" s="92" t="str">
        <x:v>COST-0500</x:v>
      </x:c>
      <x:c r="B501" s="94" t="str">
        <x:v>PROC-0500</x:v>
      </x:c>
      <x:c r="C501" s="93" t="n">
        <x:v>46113</x:v>
      </x:c>
      <x:c r="D501" s="94" t="str">
        <x:v>Google Ads</x:v>
      </x:c>
      <x:c r="E501" s="94" t="str">
        <x:v>人工运营分摊</x:v>
      </x:c>
      <x:c r="F501" s="94" t="str">
        <x:v>按工时</x:v>
      </x:c>
      <x:c r="G501" s="97" t="n">
        <x:v>2.22</x:v>
      </x:c>
      <x:c r="H501" s="94" t="str">
        <x:v>部分固定</x:v>
      </x:c>
      <x:c r="I501" s="94" t="str">
        <x:v>运营团队</x:v>
      </x:c>
      <x:c r="J501" s="94" t="str">
        <x:v>模拟项目运营成本；统一折算USD</x:v>
      </x:c>
    </x:row>
    <x:row r="502">
      <x:c r="A502" s="92" t="str">
        <x:v>COST-0501</x:v>
      </x:c>
      <x:c r="B502" s="94" t="str">
        <x:v>PROC-0501</x:v>
      </x:c>
      <x:c r="C502" s="93" t="n">
        <x:v>46113</x:v>
      </x:c>
      <x:c r="D502" s="94" t="str">
        <x:v>Google Ads</x:v>
      </x:c>
      <x:c r="E502" s="94" t="str">
        <x:v>人工运营分摊</x:v>
      </x:c>
      <x:c r="F502" s="94" t="str">
        <x:v>按工时</x:v>
      </x:c>
      <x:c r="G502" s="97" t="n">
        <x:v>4.26</x:v>
      </x:c>
      <x:c r="H502" s="94" t="str">
        <x:v>部分固定</x:v>
      </x:c>
      <x:c r="I502" s="94" t="str">
        <x:v>运营团队</x:v>
      </x:c>
      <x:c r="J502" s="94" t="str">
        <x:v>模拟项目运营成本；统一折算USD</x:v>
      </x:c>
    </x:row>
    <x:row r="503">
      <x:c r="A503" s="92" t="str">
        <x:v>COST-0502</x:v>
      </x:c>
      <x:c r="B503" s="94" t="str">
        <x:v>PROC-0502</x:v>
      </x:c>
      <x:c r="C503" s="93" t="n">
        <x:v>46113</x:v>
      </x:c>
      <x:c r="D503" s="94" t="str">
        <x:v>Google Ads</x:v>
      </x:c>
      <x:c r="E503" s="94" t="str">
        <x:v>创意素材</x:v>
      </x:c>
      <x:c r="F503" s="94" t="str">
        <x:v>按活动</x:v>
      </x:c>
      <x:c r="G503" s="97" t="n">
        <x:v>1.24</x:v>
      </x:c>
      <x:c r="H503" s="94" t="str">
        <x:v>部分固定</x:v>
      </x:c>
      <x:c r="I503" s="94" t="str">
        <x:v>增长团队</x:v>
      </x:c>
      <x:c r="J503" s="94" t="str">
        <x:v>模拟项目运营成本；统一折算USD</x:v>
      </x:c>
    </x:row>
    <x:row r="504">
      <x:c r="A504" s="92" t="str">
        <x:v>COST-0503</x:v>
      </x:c>
      <x:c r="B504" s="94" t="str">
        <x:v>PROC-0503</x:v>
      </x:c>
      <x:c r="C504" s="93" t="n">
        <x:v>46113</x:v>
      </x:c>
      <x:c r="D504" s="94" t="str">
        <x:v>Google Ads</x:v>
      </x:c>
      <x:c r="E504" s="94" t="str">
        <x:v>创意素材</x:v>
      </x:c>
      <x:c r="F504" s="94" t="str">
        <x:v>按活动</x:v>
      </x:c>
      <x:c r="G504" s="97" t="n">
        <x:v>3.88</x:v>
      </x:c>
      <x:c r="H504" s="94" t="str">
        <x:v>部分固定</x:v>
      </x:c>
      <x:c r="I504" s="94" t="str">
        <x:v>增长团队</x:v>
      </x:c>
      <x:c r="J504" s="94" t="str">
        <x:v>模拟项目运营成本；统一折算USD</x:v>
      </x:c>
    </x:row>
    <x:row r="505">
      <x:c r="A505" s="92" t="str">
        <x:v>COST-0504</x:v>
      </x:c>
      <x:c r="B505" s="94" t="str">
        <x:v>PROC-0504</x:v>
      </x:c>
      <x:c r="C505" s="93" t="n">
        <x:v>46114</x:v>
      </x:c>
      <x:c r="D505" s="94" t="str">
        <x:v>Google Ads</x:v>
      </x:c>
      <x:c r="E505" s="94" t="str">
        <x:v>创意素材</x:v>
      </x:c>
      <x:c r="F505" s="94" t="str">
        <x:v>按活动</x:v>
      </x:c>
      <x:c r="G505" s="97" t="n">
        <x:v>2.6</x:v>
      </x:c>
      <x:c r="H505" s="94" t="str">
        <x:v>部分固定</x:v>
      </x:c>
      <x:c r="I505" s="94" t="str">
        <x:v>增长团队</x:v>
      </x:c>
      <x:c r="J505" s="94" t="str">
        <x:v>模拟项目运营成本；统一折算USD</x:v>
      </x:c>
    </x:row>
    <x:row r="506">
      <x:c r="A506" s="92" t="str">
        <x:v>COST-0505</x:v>
      </x:c>
      <x:c r="B506" s="94" t="str">
        <x:v>PROC-0505</x:v>
      </x:c>
      <x:c r="C506" s="93" t="n">
        <x:v>46114</x:v>
      </x:c>
      <x:c r="D506" s="94" t="str">
        <x:v>Google Ads</x:v>
      </x:c>
      <x:c r="E506" s="94" t="str">
        <x:v>数据与ETL</x:v>
      </x:c>
      <x:c r="F506" s="94" t="str">
        <x:v>按采购批次</x:v>
      </x:c>
      <x:c r="G506" s="97" t="n">
        <x:v>0.52</x:v>
      </x:c>
      <x:c r="H506" s="94" t="str">
        <x:v>变动</x:v>
      </x:c>
      <x:c r="I506" s="94" t="str">
        <x:v>数据团队</x:v>
      </x:c>
      <x:c r="J506" s="94" t="str">
        <x:v>模拟项目运营成本；统一折算USD</x:v>
      </x:c>
    </x:row>
    <x:row r="507">
      <x:c r="A507" s="92" t="str">
        <x:v>COST-0506</x:v>
      </x:c>
      <x:c r="B507" s="94" t="str">
        <x:v>PROC-0506</x:v>
      </x:c>
      <x:c r="C507" s="93" t="n">
        <x:v>46114</x:v>
      </x:c>
      <x:c r="D507" s="94" t="str">
        <x:v>Google Ads</x:v>
      </x:c>
      <x:c r="E507" s="94" t="str">
        <x:v>人工运营分摊</x:v>
      </x:c>
      <x:c r="F507" s="94" t="str">
        <x:v>按工时</x:v>
      </x:c>
      <x:c r="G507" s="97" t="n">
        <x:v>1.72</x:v>
      </x:c>
      <x:c r="H507" s="94" t="str">
        <x:v>部分固定</x:v>
      </x:c>
      <x:c r="I507" s="94" t="str">
        <x:v>运营团队</x:v>
      </x:c>
      <x:c r="J507" s="94" t="str">
        <x:v>模拟项目运营成本；统一折算USD</x:v>
      </x:c>
    </x:row>
    <x:row r="508">
      <x:c r="A508" s="92" t="str">
        <x:v>COST-0507</x:v>
      </x:c>
      <x:c r="B508" s="94" t="str">
        <x:v>PROC-0507</x:v>
      </x:c>
      <x:c r="C508" s="93" t="n">
        <x:v>46114</x:v>
      </x:c>
      <x:c r="D508" s="94" t="str">
        <x:v>Google Ads</x:v>
      </x:c>
      <x:c r="E508" s="94" t="str">
        <x:v>数据与ETL</x:v>
      </x:c>
      <x:c r="F508" s="94" t="str">
        <x:v>按采购批次</x:v>
      </x:c>
      <x:c r="G508" s="97" t="n">
        <x:v>1.6</x:v>
      </x:c>
      <x:c r="H508" s="94" t="str">
        <x:v>变动</x:v>
      </x:c>
      <x:c r="I508" s="94" t="str">
        <x:v>数据团队</x:v>
      </x:c>
      <x:c r="J508" s="94" t="str">
        <x:v>模拟项目运营成本；统一折算USD</x:v>
      </x:c>
    </x:row>
    <x:row r="509">
      <x:c r="A509" s="92" t="str">
        <x:v>COST-0508</x:v>
      </x:c>
      <x:c r="B509" s="94" t="str">
        <x:v>PROC-0508</x:v>
      </x:c>
      <x:c r="C509" s="93" t="n">
        <x:v>46114</x:v>
      </x:c>
      <x:c r="D509" s="94" t="str">
        <x:v>Google Ads</x:v>
      </x:c>
      <x:c r="E509" s="94" t="str">
        <x:v>创意素材</x:v>
      </x:c>
      <x:c r="F509" s="94" t="str">
        <x:v>按活动</x:v>
      </x:c>
      <x:c r="G509" s="97" t="n">
        <x:v>1.9</x:v>
      </x:c>
      <x:c r="H509" s="94" t="str">
        <x:v>部分固定</x:v>
      </x:c>
      <x:c r="I509" s="94" t="str">
        <x:v>增长团队</x:v>
      </x:c>
      <x:c r="J509" s="94" t="str">
        <x:v>模拟项目运营成本；统一折算USD</x:v>
      </x:c>
    </x:row>
    <x:row r="510">
      <x:c r="A510" s="92" t="str">
        <x:v>COST-0509</x:v>
      </x:c>
      <x:c r="B510" s="94" t="str">
        <x:v>PROC-0509</x:v>
      </x:c>
      <x:c r="C510" s="93" t="n">
        <x:v>46114</x:v>
      </x:c>
      <x:c r="D510" s="94" t="str">
        <x:v>Google Ads</x:v>
      </x:c>
      <x:c r="E510" s="94" t="str">
        <x:v>创意素材</x:v>
      </x:c>
      <x:c r="F510" s="94" t="str">
        <x:v>按活动</x:v>
      </x:c>
      <x:c r="G510" s="97" t="n">
        <x:v>1.9</x:v>
      </x:c>
      <x:c r="H510" s="94" t="str">
        <x:v>部分固定</x:v>
      </x:c>
      <x:c r="I510" s="94" t="str">
        <x:v>增长团队</x:v>
      </x:c>
      <x:c r="J510" s="94" t="str">
        <x:v>模拟项目运营成本；统一折算USD</x:v>
      </x:c>
    </x:row>
    <x:row r="511">
      <x:c r="A511" s="92" t="str">
        <x:v>COST-0510</x:v>
      </x:c>
      <x:c r="B511" s="94" t="str">
        <x:v>PROC-0510</x:v>
      </x:c>
      <x:c r="C511" s="93" t="n">
        <x:v>46115</x:v>
      </x:c>
      <x:c r="D511" s="94" t="str">
        <x:v>Google Ads</x:v>
      </x:c>
      <x:c r="E511" s="94" t="str">
        <x:v>数据与ETL</x:v>
      </x:c>
      <x:c r="F511" s="94" t="str">
        <x:v>按采购批次</x:v>
      </x:c>
      <x:c r="G511" s="97" t="n">
        <x:v>1.26</x:v>
      </x:c>
      <x:c r="H511" s="94" t="str">
        <x:v>变动</x:v>
      </x:c>
      <x:c r="I511" s="94" t="str">
        <x:v>数据团队</x:v>
      </x:c>
      <x:c r="J511" s="94" t="str">
        <x:v>模拟项目运营成本；统一折算USD</x:v>
      </x:c>
    </x:row>
    <x:row r="512">
      <x:c r="A512" s="92" t="str">
        <x:v>COST-0511</x:v>
      </x:c>
      <x:c r="B512" s="94" t="str">
        <x:v>PROC-0511</x:v>
      </x:c>
      <x:c r="C512" s="93" t="n">
        <x:v>46115</x:v>
      </x:c>
      <x:c r="D512" s="94" t="str">
        <x:v>Microsoft Ads</x:v>
      </x:c>
      <x:c r="E512" s="94" t="str">
        <x:v>云主机/CDN</x:v>
      </x:c>
      <x:c r="F512" s="94" t="str">
        <x:v>按访问量</x:v>
      </x:c>
      <x:c r="G512" s="97" t="n">
        <x:v>0.98</x:v>
      </x:c>
      <x:c r="H512" s="94" t="str">
        <x:v>变动</x:v>
      </x:c>
      <x:c r="I512" s="94" t="str">
        <x:v>技术团队</x:v>
      </x:c>
      <x:c r="J512" s="94" t="str">
        <x:v>模拟项目运营成本；统一折算USD</x:v>
      </x:c>
    </x:row>
    <x:row r="513">
      <x:c r="A513" s="92" t="str">
        <x:v>COST-0512</x:v>
      </x:c>
      <x:c r="B513" s="94" t="str">
        <x:v>PROC-0512</x:v>
      </x:c>
      <x:c r="C513" s="93" t="n">
        <x:v>46115</x:v>
      </x:c>
      <x:c r="D513" s="94" t="str">
        <x:v>Microsoft Ads</x:v>
      </x:c>
      <x:c r="E513" s="94" t="str">
        <x:v>数据与ETL</x:v>
      </x:c>
      <x:c r="F513" s="94" t="str">
        <x:v>按采购批次</x:v>
      </x:c>
      <x:c r="G513" s="97" t="n">
        <x:v>0.82</x:v>
      </x:c>
      <x:c r="H513" s="94" t="str">
        <x:v>变动</x:v>
      </x:c>
      <x:c r="I513" s="94" t="str">
        <x:v>数据团队</x:v>
      </x:c>
      <x:c r="J513" s="94" t="str">
        <x:v>模拟项目运营成本；统一折算USD</x:v>
      </x:c>
    </x:row>
    <x:row r="514">
      <x:c r="A514" s="92" t="str">
        <x:v>COST-0513</x:v>
      </x:c>
      <x:c r="B514" s="94" t="str">
        <x:v>PROC-0513</x:v>
      </x:c>
      <x:c r="C514" s="93" t="n">
        <x:v>46115</x:v>
      </x:c>
      <x:c r="D514" s="94" t="str">
        <x:v>Microsoft Ads</x:v>
      </x:c>
      <x:c r="E514" s="94" t="str">
        <x:v>归因与监测工具</x:v>
      </x:c>
      <x:c r="F514" s="94" t="str">
        <x:v>按点击量</x:v>
      </x:c>
      <x:c r="G514" s="97" t="n">
        <x:v>0.88</x:v>
      </x:c>
      <x:c r="H514" s="94" t="str">
        <x:v>变动</x:v>
      </x:c>
      <x:c r="I514" s="94" t="str">
        <x:v>分析团队</x:v>
      </x:c>
      <x:c r="J514" s="94" t="str">
        <x:v>模拟项目运营成本；统一折算USD</x:v>
      </x:c>
    </x:row>
    <x:row r="515">
      <x:c r="A515" s="92" t="str">
        <x:v>COST-0514</x:v>
      </x:c>
      <x:c r="B515" s="94" t="str">
        <x:v>PROC-0514</x:v>
      </x:c>
      <x:c r="C515" s="93" t="n">
        <x:v>46115</x:v>
      </x:c>
      <x:c r="D515" s="94" t="str">
        <x:v>Google Ads</x:v>
      </x:c>
      <x:c r="E515" s="94" t="str">
        <x:v>云主机/CDN</x:v>
      </x:c>
      <x:c r="F515" s="94" t="str">
        <x:v>按访问量</x:v>
      </x:c>
      <x:c r="G515" s="97" t="n">
        <x:v>0.85</x:v>
      </x:c>
      <x:c r="H515" s="94" t="str">
        <x:v>变动</x:v>
      </x:c>
      <x:c r="I515" s="94" t="str">
        <x:v>技术团队</x:v>
      </x:c>
      <x:c r="J515" s="94" t="str">
        <x:v>模拟项目运营成本；统一折算USD</x:v>
      </x:c>
    </x:row>
    <x:row r="516">
      <x:c r="A516" s="92" t="str">
        <x:v>COST-0515</x:v>
      </x:c>
      <x:c r="B516" s="94" t="str">
        <x:v>PROC-0515</x:v>
      </x:c>
      <x:c r="C516" s="93" t="n">
        <x:v>46116</x:v>
      </x:c>
      <x:c r="D516" s="94" t="str">
        <x:v>Google Ads</x:v>
      </x:c>
      <x:c r="E516" s="94" t="str">
        <x:v>人工运营分摊</x:v>
      </x:c>
      <x:c r="F516" s="94" t="str">
        <x:v>按工时</x:v>
      </x:c>
      <x:c r="G516" s="97" t="n">
        <x:v>4.18</x:v>
      </x:c>
      <x:c r="H516" s="94" t="str">
        <x:v>部分固定</x:v>
      </x:c>
      <x:c r="I516" s="94" t="str">
        <x:v>运营团队</x:v>
      </x:c>
      <x:c r="J516" s="94" t="str">
        <x:v>模拟项目运营成本；统一折算USD</x:v>
      </x:c>
    </x:row>
    <x:row r="517">
      <x:c r="A517" s="92" t="str">
        <x:v>COST-0516</x:v>
      </x:c>
      <x:c r="B517" s="94" t="str">
        <x:v>PROC-0516</x:v>
      </x:c>
      <x:c r="C517" s="93" t="n">
        <x:v>46116</x:v>
      </x:c>
      <x:c r="D517" s="94" t="str">
        <x:v>Google Ads</x:v>
      </x:c>
      <x:c r="E517" s="94" t="str">
        <x:v>创意素材</x:v>
      </x:c>
      <x:c r="F517" s="94" t="str">
        <x:v>按活动</x:v>
      </x:c>
      <x:c r="G517" s="97" t="n">
        <x:v>3.34</x:v>
      </x:c>
      <x:c r="H517" s="94" t="str">
        <x:v>部分固定</x:v>
      </x:c>
      <x:c r="I517" s="94" t="str">
        <x:v>增长团队</x:v>
      </x:c>
      <x:c r="J517" s="94" t="str">
        <x:v>模拟项目运营成本；统一折算USD</x:v>
      </x:c>
    </x:row>
    <x:row r="518">
      <x:c r="A518" s="92" t="str">
        <x:v>COST-0517</x:v>
      </x:c>
      <x:c r="B518" s="94" t="str">
        <x:v>PROC-0517</x:v>
      </x:c>
      <x:c r="C518" s="93" t="n">
        <x:v>46116</x:v>
      </x:c>
      <x:c r="D518" s="94" t="str">
        <x:v>Google Ads</x:v>
      </x:c>
      <x:c r="E518" s="94" t="str">
        <x:v>数据与ETL</x:v>
      </x:c>
      <x:c r="F518" s="94" t="str">
        <x:v>按采购批次</x:v>
      </x:c>
      <x:c r="G518" s="97" t="n">
        <x:v>1.22</x:v>
      </x:c>
      <x:c r="H518" s="94" t="str">
        <x:v>变动</x:v>
      </x:c>
      <x:c r="I518" s="94" t="str">
        <x:v>数据团队</x:v>
      </x:c>
      <x:c r="J518" s="94" t="str">
        <x:v>模拟项目运营成本；统一折算USD</x:v>
      </x:c>
    </x:row>
    <x:row r="519">
      <x:c r="A519" s="92" t="str">
        <x:v>COST-0518</x:v>
      </x:c>
      <x:c r="B519" s="94" t="str">
        <x:v>PROC-0518</x:v>
      </x:c>
      <x:c r="C519" s="93" t="n">
        <x:v>46116</x:v>
      </x:c>
      <x:c r="D519" s="94" t="str">
        <x:v>Microsoft Ads</x:v>
      </x:c>
      <x:c r="E519" s="94" t="str">
        <x:v>创意素材</x:v>
      </x:c>
      <x:c r="F519" s="94" t="str">
        <x:v>按活动</x:v>
      </x:c>
      <x:c r="G519" s="97" t="n">
        <x:v>2.78</x:v>
      </x:c>
      <x:c r="H519" s="94" t="str">
        <x:v>部分固定</x:v>
      </x:c>
      <x:c r="I519" s="94" t="str">
        <x:v>增长团队</x:v>
      </x:c>
      <x:c r="J519" s="94" t="str">
        <x:v>模拟项目运营成本；统一折算USD</x:v>
      </x:c>
    </x:row>
    <x:row r="520">
      <x:c r="A520" s="92" t="str">
        <x:v>COST-0519</x:v>
      </x:c>
      <x:c r="B520" s="94" t="str">
        <x:v>PROC-0519</x:v>
      </x:c>
      <x:c r="C520" s="93" t="n">
        <x:v>46116</x:v>
      </x:c>
      <x:c r="D520" s="94" t="str">
        <x:v>Google Ads</x:v>
      </x:c>
      <x:c r="E520" s="94" t="str">
        <x:v>人工运营分摊</x:v>
      </x:c>
      <x:c r="F520" s="94" t="str">
        <x:v>按工时</x:v>
      </x:c>
      <x:c r="G520" s="97" t="n">
        <x:v>2.1</x:v>
      </x:c>
      <x:c r="H520" s="94" t="str">
        <x:v>部分固定</x:v>
      </x:c>
      <x:c r="I520" s="94" t="str">
        <x:v>运营团队</x:v>
      </x:c>
      <x:c r="J520" s="94" t="str">
        <x:v>模拟项目运营成本；统一折算USD</x:v>
      </x:c>
    </x:row>
    <x:row r="521">
      <x:c r="A521" s="92" t="str">
        <x:v>COST-0520</x:v>
      </x:c>
      <x:c r="B521" s="94" t="str">
        <x:v>PROC-0520</x:v>
      </x:c>
      <x:c r="C521" s="93" t="n">
        <x:v>46116</x:v>
      </x:c>
      <x:c r="D521" s="94" t="str">
        <x:v>Microsoft Ads</x:v>
      </x:c>
      <x:c r="E521" s="94" t="str">
        <x:v>归因与监测工具</x:v>
      </x:c>
      <x:c r="F521" s="94" t="str">
        <x:v>按点击量</x:v>
      </x:c>
      <x:c r="G521" s="97" t="n">
        <x:v>1.74</x:v>
      </x:c>
      <x:c r="H521" s="94" t="str">
        <x:v>变动</x:v>
      </x:c>
      <x:c r="I521" s="94" t="str">
        <x:v>分析团队</x:v>
      </x:c>
      <x:c r="J521" s="94" t="str">
        <x:v>模拟项目运营成本；统一折算USD</x:v>
      </x:c>
    </x:row>
    <x:row r="522">
      <x:c r="A522" s="92" t="str">
        <x:v>COST-0521</x:v>
      </x:c>
      <x:c r="B522" s="94" t="str">
        <x:v>PROC-0521</x:v>
      </x:c>
      <x:c r="C522" s="93" t="n">
        <x:v>46117</x:v>
      </x:c>
      <x:c r="D522" s="94" t="str">
        <x:v>Google Ads</x:v>
      </x:c>
      <x:c r="E522" s="94" t="str">
        <x:v>归因与监测工具</x:v>
      </x:c>
      <x:c r="F522" s="94" t="str">
        <x:v>按点击量</x:v>
      </x:c>
      <x:c r="G522" s="97" t="n">
        <x:v>1.11</x:v>
      </x:c>
      <x:c r="H522" s="94" t="str">
        <x:v>变动</x:v>
      </x:c>
      <x:c r="I522" s="94" t="str">
        <x:v>分析团队</x:v>
      </x:c>
      <x:c r="J522" s="94" t="str">
        <x:v>模拟项目运营成本；统一折算USD</x:v>
      </x:c>
    </x:row>
    <x:row r="523">
      <x:c r="A523" s="92" t="str">
        <x:v>COST-0522</x:v>
      </x:c>
      <x:c r="B523" s="94" t="str">
        <x:v>PROC-0522</x:v>
      </x:c>
      <x:c r="C523" s="93" t="n">
        <x:v>46117</x:v>
      </x:c>
      <x:c r="D523" s="94" t="str">
        <x:v>Google Ads</x:v>
      </x:c>
      <x:c r="E523" s="94" t="str">
        <x:v>云主机/CDN</x:v>
      </x:c>
      <x:c r="F523" s="94" t="str">
        <x:v>按访问量</x:v>
      </x:c>
      <x:c r="G523" s="97" t="n">
        <x:v>0.47</x:v>
      </x:c>
      <x:c r="H523" s="94" t="str">
        <x:v>变动</x:v>
      </x:c>
      <x:c r="I523" s="94" t="str">
        <x:v>技术团队</x:v>
      </x:c>
      <x:c r="J523" s="94" t="str">
        <x:v>模拟项目运营成本；统一折算USD</x:v>
      </x:c>
    </x:row>
    <x:row r="524">
      <x:c r="A524" s="92" t="str">
        <x:v>COST-0523</x:v>
      </x:c>
      <x:c r="B524" s="94" t="str">
        <x:v>PROC-0523</x:v>
      </x:c>
      <x:c r="C524" s="93" t="n">
        <x:v>46117</x:v>
      </x:c>
      <x:c r="D524" s="94" t="str">
        <x:v>Google Ads</x:v>
      </x:c>
      <x:c r="E524" s="94" t="str">
        <x:v>归因与监测工具</x:v>
      </x:c>
      <x:c r="F524" s="94" t="str">
        <x:v>按点击量</x:v>
      </x:c>
      <x:c r="G524" s="97" t="n">
        <x:v>0.67</x:v>
      </x:c>
      <x:c r="H524" s="94" t="str">
        <x:v>变动</x:v>
      </x:c>
      <x:c r="I524" s="94" t="str">
        <x:v>分析团队</x:v>
      </x:c>
      <x:c r="J524" s="94" t="str">
        <x:v>模拟项目运营成本；统一折算USD</x:v>
      </x:c>
    </x:row>
    <x:row r="525">
      <x:c r="A525" s="92" t="str">
        <x:v>COST-0524</x:v>
      </x:c>
      <x:c r="B525" s="94" t="str">
        <x:v>PROC-0524</x:v>
      </x:c>
      <x:c r="C525" s="93" t="n">
        <x:v>46117</x:v>
      </x:c>
      <x:c r="D525" s="94" t="str">
        <x:v>Microsoft Ads</x:v>
      </x:c>
      <x:c r="E525" s="94" t="str">
        <x:v>人工运营分摊</x:v>
      </x:c>
      <x:c r="F525" s="94" t="str">
        <x:v>按工时</x:v>
      </x:c>
      <x:c r="G525" s="97" t="n">
        <x:v>3.46</x:v>
      </x:c>
      <x:c r="H525" s="94" t="str">
        <x:v>部分固定</x:v>
      </x:c>
      <x:c r="I525" s="94" t="str">
        <x:v>运营团队</x:v>
      </x:c>
      <x:c r="J525" s="94" t="str">
        <x:v>模拟项目运营成本；统一折算USD</x:v>
      </x:c>
    </x:row>
    <x:row r="526">
      <x:c r="A526" s="92" t="str">
        <x:v>COST-0525</x:v>
      </x:c>
      <x:c r="B526" s="94" t="str">
        <x:v>PROC-0525</x:v>
      </x:c>
      <x:c r="C526" s="93" t="n">
        <x:v>46117</x:v>
      </x:c>
      <x:c r="D526" s="94" t="str">
        <x:v>Google Ads</x:v>
      </x:c>
      <x:c r="E526" s="94" t="str">
        <x:v>人工运营分摊</x:v>
      </x:c>
      <x:c r="F526" s="94" t="str">
        <x:v>按工时</x:v>
      </x:c>
      <x:c r="G526" s="97" t="n">
        <x:v>4.49</x:v>
      </x:c>
      <x:c r="H526" s="94" t="str">
        <x:v>部分固定</x:v>
      </x:c>
      <x:c r="I526" s="94" t="str">
        <x:v>运营团队</x:v>
      </x:c>
      <x:c r="J526" s="94" t="str">
        <x:v>模拟项目运营成本；统一折算USD</x:v>
      </x:c>
    </x:row>
    <x:row r="527">
      <x:c r="A527" s="92" t="str">
        <x:v>COST-0526</x:v>
      </x:c>
      <x:c r="B527" s="94" t="str">
        <x:v>PROC-0526</x:v>
      </x:c>
      <x:c r="C527" s="93" t="n">
        <x:v>46118</x:v>
      </x:c>
      <x:c r="D527" s="94" t="str">
        <x:v>Google Ads</x:v>
      </x:c>
      <x:c r="E527" s="94" t="str">
        <x:v>归因与监测工具</x:v>
      </x:c>
      <x:c r="F527" s="94" t="str">
        <x:v>按点击量</x:v>
      </x:c>
      <x:c r="G527" s="97" t="n">
        <x:v>1.29</x:v>
      </x:c>
      <x:c r="H527" s="94" t="str">
        <x:v>变动</x:v>
      </x:c>
      <x:c r="I527" s="94" t="str">
        <x:v>分析团队</x:v>
      </x:c>
      <x:c r="J527" s="94" t="str">
        <x:v>模拟项目运营成本；统一折算USD</x:v>
      </x:c>
    </x:row>
    <x:row r="528">
      <x:c r="A528" s="92" t="str">
        <x:v>COST-0527</x:v>
      </x:c>
      <x:c r="B528" s="94" t="str">
        <x:v>PROC-0527</x:v>
      </x:c>
      <x:c r="C528" s="93" t="n">
        <x:v>46118</x:v>
      </x:c>
      <x:c r="D528" s="94" t="str">
        <x:v>Google Ads</x:v>
      </x:c>
      <x:c r="E528" s="94" t="str">
        <x:v>创意素材</x:v>
      </x:c>
      <x:c r="F528" s="94" t="str">
        <x:v>按活动</x:v>
      </x:c>
      <x:c r="G528" s="97" t="n">
        <x:v>2.61</x:v>
      </x:c>
      <x:c r="H528" s="94" t="str">
        <x:v>部分固定</x:v>
      </x:c>
      <x:c r="I528" s="94" t="str">
        <x:v>增长团队</x:v>
      </x:c>
      <x:c r="J528" s="94" t="str">
        <x:v>模拟项目运营成本；统一折算USD</x:v>
      </x:c>
    </x:row>
    <x:row r="529">
      <x:c r="A529" s="92" t="str">
        <x:v>COST-0528</x:v>
      </x:c>
      <x:c r="B529" s="94" t="str">
        <x:v>PROC-0528</x:v>
      </x:c>
      <x:c r="C529" s="93" t="n">
        <x:v>46118</x:v>
      </x:c>
      <x:c r="D529" s="94" t="str">
        <x:v>Microsoft Ads</x:v>
      </x:c>
      <x:c r="E529" s="94" t="str">
        <x:v>人工运营分摊</x:v>
      </x:c>
      <x:c r="F529" s="94" t="str">
        <x:v>按工时</x:v>
      </x:c>
      <x:c r="G529" s="97" t="n">
        <x:v>3.22</x:v>
      </x:c>
      <x:c r="H529" s="94" t="str">
        <x:v>部分固定</x:v>
      </x:c>
      <x:c r="I529" s="94" t="str">
        <x:v>运营团队</x:v>
      </x:c>
      <x:c r="J529" s="94" t="str">
        <x:v>模拟项目运营成本；统一折算USD</x:v>
      </x:c>
    </x:row>
    <x:row r="530">
      <x:c r="A530" s="92" t="str">
        <x:v>COST-0529</x:v>
      </x:c>
      <x:c r="B530" s="94" t="str">
        <x:v>PROC-0529</x:v>
      </x:c>
      <x:c r="C530" s="93" t="n">
        <x:v>46118</x:v>
      </x:c>
      <x:c r="D530" s="94" t="str">
        <x:v>Microsoft Ads</x:v>
      </x:c>
      <x:c r="E530" s="94" t="str">
        <x:v>归因与监测工具</x:v>
      </x:c>
      <x:c r="F530" s="94" t="str">
        <x:v>按点击量</x:v>
      </x:c>
      <x:c r="G530" s="97" t="n">
        <x:v>1.64</x:v>
      </x:c>
      <x:c r="H530" s="94" t="str">
        <x:v>变动</x:v>
      </x:c>
      <x:c r="I530" s="94" t="str">
        <x:v>分析团队</x:v>
      </x:c>
      <x:c r="J530" s="94" t="str">
        <x:v>模拟项目运营成本；统一折算USD</x:v>
      </x:c>
    </x:row>
    <x:row r="531">
      <x:c r="A531" s="92" t="str">
        <x:v>COST-0530</x:v>
      </x:c>
      <x:c r="B531" s="94" t="str">
        <x:v>PROC-0530</x:v>
      </x:c>
      <x:c r="C531" s="93" t="n">
        <x:v>46118</x:v>
      </x:c>
      <x:c r="D531" s="94" t="str">
        <x:v>Google Ads</x:v>
      </x:c>
      <x:c r="E531" s="94" t="str">
        <x:v>云主机/CDN</x:v>
      </x:c>
      <x:c r="F531" s="94" t="str">
        <x:v>按访问量</x:v>
      </x:c>
      <x:c r="G531" s="97" t="n">
        <x:v>0.99</x:v>
      </x:c>
      <x:c r="H531" s="94" t="str">
        <x:v>变动</x:v>
      </x:c>
      <x:c r="I531" s="94" t="str">
        <x:v>技术团队</x:v>
      </x:c>
      <x:c r="J531" s="94" t="str">
        <x:v>模拟项目运营成本；统一折算USD</x:v>
      </x:c>
    </x:row>
    <x:row r="532">
      <x:c r="A532" s="92" t="str">
        <x:v>COST-0531</x:v>
      </x:c>
      <x:c r="B532" s="94" t="str">
        <x:v>PROC-0531</x:v>
      </x:c>
      <x:c r="C532" s="93" t="n">
        <x:v>46118</x:v>
      </x:c>
      <x:c r="D532" s="94" t="str">
        <x:v>Google Ads</x:v>
      </x:c>
      <x:c r="E532" s="94" t="str">
        <x:v>云主机/CDN</x:v>
      </x:c>
      <x:c r="F532" s="94" t="str">
        <x:v>按访问量</x:v>
      </x:c>
      <x:c r="G532" s="97" t="n">
        <x:v>0.86</x:v>
      </x:c>
      <x:c r="H532" s="94" t="str">
        <x:v>变动</x:v>
      </x:c>
      <x:c r="I532" s="94" t="str">
        <x:v>技术团队</x:v>
      </x:c>
      <x:c r="J532" s="94" t="str">
        <x:v>模拟项目运营成本；统一折算USD</x:v>
      </x:c>
    </x:row>
    <x:row r="533">
      <x:c r="A533" s="92" t="str">
        <x:v>COST-0532</x:v>
      </x:c>
      <x:c r="B533" s="94" t="str">
        <x:v>PROC-0532</x:v>
      </x:c>
      <x:c r="C533" s="93" t="n">
        <x:v>46119</x:v>
      </x:c>
      <x:c r="D533" s="94" t="str">
        <x:v>Google Ads</x:v>
      </x:c>
      <x:c r="E533" s="94" t="str">
        <x:v>云主机/CDN</x:v>
      </x:c>
      <x:c r="F533" s="94" t="str">
        <x:v>按访问量</x:v>
      </x:c>
      <x:c r="G533" s="97" t="n">
        <x:v>0.61</x:v>
      </x:c>
      <x:c r="H533" s="94" t="str">
        <x:v>变动</x:v>
      </x:c>
      <x:c r="I533" s="94" t="str">
        <x:v>技术团队</x:v>
      </x:c>
      <x:c r="J533" s="94" t="str">
        <x:v>模拟项目运营成本；统一折算USD</x:v>
      </x:c>
    </x:row>
    <x:row r="534">
      <x:c r="A534" s="92" t="str">
        <x:v>COST-0533</x:v>
      </x:c>
      <x:c r="B534" s="94" t="str">
        <x:v>PROC-0533</x:v>
      </x:c>
      <x:c r="C534" s="93" t="n">
        <x:v>46119</x:v>
      </x:c>
      <x:c r="D534" s="94" t="str">
        <x:v>Google Ads</x:v>
      </x:c>
      <x:c r="E534" s="94" t="str">
        <x:v>创意素材</x:v>
      </x:c>
      <x:c r="F534" s="94" t="str">
        <x:v>按活动</x:v>
      </x:c>
      <x:c r="G534" s="97" t="n">
        <x:v>1.85</x:v>
      </x:c>
      <x:c r="H534" s="94" t="str">
        <x:v>部分固定</x:v>
      </x:c>
      <x:c r="I534" s="94" t="str">
        <x:v>增长团队</x:v>
      </x:c>
      <x:c r="J534" s="94" t="str">
        <x:v>模拟项目运营成本；统一折算USD</x:v>
      </x:c>
    </x:row>
    <x:row r="535">
      <x:c r="A535" s="92" t="str">
        <x:v>COST-0534</x:v>
      </x:c>
      <x:c r="B535" s="94" t="str">
        <x:v>PROC-0534</x:v>
      </x:c>
      <x:c r="C535" s="93" t="n">
        <x:v>46119</x:v>
      </x:c>
      <x:c r="D535" s="94" t="str">
        <x:v>Google Ads</x:v>
      </x:c>
      <x:c r="E535" s="94" t="str">
        <x:v>数据与ETL</x:v>
      </x:c>
      <x:c r="F535" s="94" t="str">
        <x:v>按采购批次</x:v>
      </x:c>
      <x:c r="G535" s="97" t="n">
        <x:v>1.71</x:v>
      </x:c>
      <x:c r="H535" s="94" t="str">
        <x:v>变动</x:v>
      </x:c>
      <x:c r="I535" s="94" t="str">
        <x:v>数据团队</x:v>
      </x:c>
      <x:c r="J535" s="94" t="str">
        <x:v>模拟项目运营成本；统一折算USD</x:v>
      </x:c>
    </x:row>
    <x:row r="536">
      <x:c r="A536" s="92" t="str">
        <x:v>COST-0535</x:v>
      </x:c>
      <x:c r="B536" s="94" t="str">
        <x:v>PROC-0535</x:v>
      </x:c>
      <x:c r="C536" s="93" t="n">
        <x:v>46119</x:v>
      </x:c>
      <x:c r="D536" s="94" t="str">
        <x:v>Google Ads</x:v>
      </x:c>
      <x:c r="E536" s="94" t="str">
        <x:v>归因与监测工具</x:v>
      </x:c>
      <x:c r="F536" s="94" t="str">
        <x:v>按点击量</x:v>
      </x:c>
      <x:c r="G536" s="97" t="n">
        <x:v>1.64</x:v>
      </x:c>
      <x:c r="H536" s="94" t="str">
        <x:v>变动</x:v>
      </x:c>
      <x:c r="I536" s="94" t="str">
        <x:v>分析团队</x:v>
      </x:c>
      <x:c r="J536" s="94" t="str">
        <x:v>模拟项目运营成本；统一折算USD</x:v>
      </x:c>
    </x:row>
    <x:row r="537">
      <x:c r="A537" s="92" t="str">
        <x:v>COST-0536</x:v>
      </x:c>
      <x:c r="B537" s="94" t="str">
        <x:v>PROC-0536</x:v>
      </x:c>
      <x:c r="C537" s="93" t="n">
        <x:v>46119</x:v>
      </x:c>
      <x:c r="D537" s="94" t="str">
        <x:v>Microsoft Ads</x:v>
      </x:c>
      <x:c r="E537" s="94" t="str">
        <x:v>归因与监测工具</x:v>
      </x:c>
      <x:c r="F537" s="94" t="str">
        <x:v>按点击量</x:v>
      </x:c>
      <x:c r="G537" s="97" t="n">
        <x:v>0.91</x:v>
      </x:c>
      <x:c r="H537" s="94" t="str">
        <x:v>变动</x:v>
      </x:c>
      <x:c r="I537" s="94" t="str">
        <x:v>分析团队</x:v>
      </x:c>
      <x:c r="J537" s="94" t="str">
        <x:v>模拟项目运营成本；统一折算USD</x:v>
      </x:c>
    </x:row>
    <x:row r="538">
      <x:c r="A538" s="92" t="str">
        <x:v>COST-0537</x:v>
      </x:c>
      <x:c r="B538" s="94" t="str">
        <x:v>PROC-0537</x:v>
      </x:c>
      <x:c r="C538" s="93" t="n">
        <x:v>46120</x:v>
      </x:c>
      <x:c r="D538" s="94" t="str">
        <x:v>Microsoft Ads</x:v>
      </x:c>
      <x:c r="E538" s="94" t="str">
        <x:v>创意素材</x:v>
      </x:c>
      <x:c r="F538" s="94" t="str">
        <x:v>按活动</x:v>
      </x:c>
      <x:c r="G538" s="97" t="n">
        <x:v>3.68</x:v>
      </x:c>
      <x:c r="H538" s="94" t="str">
        <x:v>部分固定</x:v>
      </x:c>
      <x:c r="I538" s="94" t="str">
        <x:v>增长团队</x:v>
      </x:c>
      <x:c r="J538" s="94" t="str">
        <x:v>模拟项目运营成本；统一折算USD</x:v>
      </x:c>
    </x:row>
    <x:row r="539">
      <x:c r="A539" s="92" t="str">
        <x:v>COST-0538</x:v>
      </x:c>
      <x:c r="B539" s="94" t="str">
        <x:v>PROC-0538</x:v>
      </x:c>
      <x:c r="C539" s="93" t="n">
        <x:v>46120</x:v>
      </x:c>
      <x:c r="D539" s="94" t="str">
        <x:v>Google Ads</x:v>
      </x:c>
      <x:c r="E539" s="94" t="str">
        <x:v>云主机/CDN</x:v>
      </x:c>
      <x:c r="F539" s="94" t="str">
        <x:v>按访问量</x:v>
      </x:c>
      <x:c r="G539" s="97" t="n">
        <x:v>0.4</x:v>
      </x:c>
      <x:c r="H539" s="94" t="str">
        <x:v>变动</x:v>
      </x:c>
      <x:c r="I539" s="94" t="str">
        <x:v>技术团队</x:v>
      </x:c>
      <x:c r="J539" s="94" t="str">
        <x:v>模拟项目运营成本；统一折算USD</x:v>
      </x:c>
    </x:row>
    <x:row r="540">
      <x:c r="A540" s="92" t="str">
        <x:v>COST-0539</x:v>
      </x:c>
      <x:c r="B540" s="94" t="str">
        <x:v>PROC-0539</x:v>
      </x:c>
      <x:c r="C540" s="93" t="n">
        <x:v>46120</x:v>
      </x:c>
      <x:c r="D540" s="94" t="str">
        <x:v>Microsoft Ads</x:v>
      </x:c>
      <x:c r="E540" s="94" t="str">
        <x:v>创意素材</x:v>
      </x:c>
      <x:c r="F540" s="94" t="str">
        <x:v>按活动</x:v>
      </x:c>
      <x:c r="G540" s="97" t="n">
        <x:v>2.27</x:v>
      </x:c>
      <x:c r="H540" s="94" t="str">
        <x:v>部分固定</x:v>
      </x:c>
      <x:c r="I540" s="94" t="str">
        <x:v>增长团队</x:v>
      </x:c>
      <x:c r="J540" s="94" t="str">
        <x:v>模拟项目运营成本；统一折算USD</x:v>
      </x:c>
    </x:row>
    <x:row r="541">
      <x:c r="A541" s="92" t="str">
        <x:v>COST-0540</x:v>
      </x:c>
      <x:c r="B541" s="94" t="str">
        <x:v>PROC-0540</x:v>
      </x:c>
      <x:c r="C541" s="93" t="n">
        <x:v>46120</x:v>
      </x:c>
      <x:c r="D541" s="94" t="str">
        <x:v>Microsoft Ads</x:v>
      </x:c>
      <x:c r="E541" s="94" t="str">
        <x:v>归因与监测工具</x:v>
      </x:c>
      <x:c r="F541" s="94" t="str">
        <x:v>按点击量</x:v>
      </x:c>
      <x:c r="G541" s="97" t="n">
        <x:v>0.95</x:v>
      </x:c>
      <x:c r="H541" s="94" t="str">
        <x:v>变动</x:v>
      </x:c>
      <x:c r="I541" s="94" t="str">
        <x:v>分析团队</x:v>
      </x:c>
      <x:c r="J541" s="94" t="str">
        <x:v>模拟项目运营成本；统一折算USD</x:v>
      </x:c>
    </x:row>
    <x:row r="542">
      <x:c r="A542" s="92" t="str">
        <x:v>COST-0541</x:v>
      </x:c>
      <x:c r="B542" s="94" t="str">
        <x:v>PROC-0541</x:v>
      </x:c>
      <x:c r="C542" s="93" t="n">
        <x:v>46120</x:v>
      </x:c>
      <x:c r="D542" s="94" t="str">
        <x:v>Google Ads</x:v>
      </x:c>
      <x:c r="E542" s="94" t="str">
        <x:v>创意素材</x:v>
      </x:c>
      <x:c r="F542" s="94" t="str">
        <x:v>按活动</x:v>
      </x:c>
      <x:c r="G542" s="97" t="n">
        <x:v>2.75</x:v>
      </x:c>
      <x:c r="H542" s="94" t="str">
        <x:v>部分固定</x:v>
      </x:c>
      <x:c r="I542" s="94" t="str">
        <x:v>增长团队</x:v>
      </x:c>
      <x:c r="J542" s="94" t="str">
        <x:v>模拟项目运营成本；统一折算USD</x:v>
      </x:c>
    </x:row>
    <x:row r="543">
      <x:c r="A543" s="92" t="str">
        <x:v>COST-0542</x:v>
      </x:c>
      <x:c r="B543" s="94" t="str">
        <x:v>PROC-0542</x:v>
      </x:c>
      <x:c r="C543" s="93" t="n">
        <x:v>46120</x:v>
      </x:c>
      <x:c r="D543" s="94" t="str">
        <x:v>Google Ads</x:v>
      </x:c>
      <x:c r="E543" s="94" t="str">
        <x:v>数据与ETL</x:v>
      </x:c>
      <x:c r="F543" s="94" t="str">
        <x:v>按采购批次</x:v>
      </x:c>
      <x:c r="G543" s="97" t="n">
        <x:v>0.77</x:v>
      </x:c>
      <x:c r="H543" s="94" t="str">
        <x:v>变动</x:v>
      </x:c>
      <x:c r="I543" s="94" t="str">
        <x:v>数据团队</x:v>
      </x:c>
      <x:c r="J543" s="94" t="str">
        <x:v>模拟项目运营成本；统一折算USD</x:v>
      </x:c>
    </x:row>
    <x:row r="544">
      <x:c r="A544" s="92" t="str">
        <x:v>COST-0543</x:v>
      </x:c>
      <x:c r="B544" s="94" t="str">
        <x:v>PROC-0543</x:v>
      </x:c>
      <x:c r="C544" s="93" t="n">
        <x:v>46121</x:v>
      </x:c>
      <x:c r="D544" s="94" t="str">
        <x:v>Google Ads</x:v>
      </x:c>
      <x:c r="E544" s="94" t="str">
        <x:v>归因与监测工具</x:v>
      </x:c>
      <x:c r="F544" s="94" t="str">
        <x:v>按点击量</x:v>
      </x:c>
      <x:c r="G544" s="97" t="n">
        <x:v>0.68</x:v>
      </x:c>
      <x:c r="H544" s="94" t="str">
        <x:v>变动</x:v>
      </x:c>
      <x:c r="I544" s="94" t="str">
        <x:v>分析团队</x:v>
      </x:c>
      <x:c r="J544" s="94" t="str">
        <x:v>模拟项目运营成本；统一折算USD</x:v>
      </x:c>
    </x:row>
    <x:row r="545">
      <x:c r="A545" s="92" t="str">
        <x:v>COST-0544</x:v>
      </x:c>
      <x:c r="B545" s="94" t="str">
        <x:v>PROC-0544</x:v>
      </x:c>
      <x:c r="C545" s="93" t="n">
        <x:v>46121</x:v>
      </x:c>
      <x:c r="D545" s="94" t="str">
        <x:v>Google Ads</x:v>
      </x:c>
      <x:c r="E545" s="94" t="str">
        <x:v>云主机/CDN</x:v>
      </x:c>
      <x:c r="F545" s="94" t="str">
        <x:v>按访问量</x:v>
      </x:c>
      <x:c r="G545" s="97" t="n">
        <x:v>0.74</x:v>
      </x:c>
      <x:c r="H545" s="94" t="str">
        <x:v>变动</x:v>
      </x:c>
      <x:c r="I545" s="94" t="str">
        <x:v>技术团队</x:v>
      </x:c>
      <x:c r="J545" s="94" t="str">
        <x:v>模拟项目运营成本；统一折算USD</x:v>
      </x:c>
    </x:row>
    <x:row r="546">
      <x:c r="A546" s="92" t="str">
        <x:v>COST-0545</x:v>
      </x:c>
      <x:c r="B546" s="94" t="str">
        <x:v>PROC-0545</x:v>
      </x:c>
      <x:c r="C546" s="93" t="n">
        <x:v>46121</x:v>
      </x:c>
      <x:c r="D546" s="94" t="str">
        <x:v>Microsoft Ads</x:v>
      </x:c>
      <x:c r="E546" s="94" t="str">
        <x:v>数据与ETL</x:v>
      </x:c>
      <x:c r="F546" s="94" t="str">
        <x:v>按采购批次</x:v>
      </x:c>
      <x:c r="G546" s="97" t="n">
        <x:v>0.83</x:v>
      </x:c>
      <x:c r="H546" s="94" t="str">
        <x:v>变动</x:v>
      </x:c>
      <x:c r="I546" s="94" t="str">
        <x:v>数据团队</x:v>
      </x:c>
      <x:c r="J546" s="94" t="str">
        <x:v>模拟项目运营成本；统一折算USD</x:v>
      </x:c>
    </x:row>
    <x:row r="547">
      <x:c r="A547" s="92" t="str">
        <x:v>COST-0546</x:v>
      </x:c>
      <x:c r="B547" s="94" t="str">
        <x:v>PROC-0546</x:v>
      </x:c>
      <x:c r="C547" s="93" t="n">
        <x:v>46121</x:v>
      </x:c>
      <x:c r="D547" s="94" t="str">
        <x:v>Microsoft Ads</x:v>
      </x:c>
      <x:c r="E547" s="94" t="str">
        <x:v>人工运营分摊</x:v>
      </x:c>
      <x:c r="F547" s="94" t="str">
        <x:v>按工时</x:v>
      </x:c>
      <x:c r="G547" s="97" t="n">
        <x:v>2.83</x:v>
      </x:c>
      <x:c r="H547" s="94" t="str">
        <x:v>部分固定</x:v>
      </x:c>
      <x:c r="I547" s="94" t="str">
        <x:v>运营团队</x:v>
      </x:c>
      <x:c r="J547" s="94" t="str">
        <x:v>模拟项目运营成本；统一折算USD</x:v>
      </x:c>
    </x:row>
    <x:row r="548">
      <x:c r="A548" s="92" t="str">
        <x:v>COST-0547</x:v>
      </x:c>
      <x:c r="B548" s="94" t="str">
        <x:v>PROC-0547</x:v>
      </x:c>
      <x:c r="C548" s="93" t="n">
        <x:v>46121</x:v>
      </x:c>
      <x:c r="D548" s="94" t="str">
        <x:v>Microsoft Ads</x:v>
      </x:c>
      <x:c r="E548" s="94" t="str">
        <x:v>创意素材</x:v>
      </x:c>
      <x:c r="F548" s="94" t="str">
        <x:v>按活动</x:v>
      </x:c>
      <x:c r="G548" s="97" t="n">
        <x:v>1.79</x:v>
      </x:c>
      <x:c r="H548" s="94" t="str">
        <x:v>部分固定</x:v>
      </x:c>
      <x:c r="I548" s="94" t="str">
        <x:v>增长团队</x:v>
      </x:c>
      <x:c r="J548" s="94" t="str">
        <x:v>模拟项目运营成本；统一折算USD</x:v>
      </x:c>
    </x:row>
    <x:row r="549">
      <x:c r="A549" s="92" t="str">
        <x:v>COST-0548</x:v>
      </x:c>
      <x:c r="B549" s="94" t="str">
        <x:v>PROC-0548</x:v>
      </x:c>
      <x:c r="C549" s="93" t="n">
        <x:v>46122</x:v>
      </x:c>
      <x:c r="D549" s="94" t="str">
        <x:v>Google Ads</x:v>
      </x:c>
      <x:c r="E549" s="94" t="str">
        <x:v>归因与监测工具</x:v>
      </x:c>
      <x:c r="F549" s="94" t="str">
        <x:v>按点击量</x:v>
      </x:c>
      <x:c r="G549" s="97" t="n">
        <x:v>0.84</x:v>
      </x:c>
      <x:c r="H549" s="94" t="str">
        <x:v>变动</x:v>
      </x:c>
      <x:c r="I549" s="94" t="str">
        <x:v>分析团队</x:v>
      </x:c>
      <x:c r="J549" s="94" t="str">
        <x:v>模拟项目运营成本；统一折算USD</x:v>
      </x:c>
    </x:row>
    <x:row r="550">
      <x:c r="A550" s="92" t="str">
        <x:v>COST-0549</x:v>
      </x:c>
      <x:c r="B550" s="94" t="str">
        <x:v>PROC-0549</x:v>
      </x:c>
      <x:c r="C550" s="93" t="n">
        <x:v>46122</x:v>
      </x:c>
      <x:c r="D550" s="94" t="str">
        <x:v>Google Ads</x:v>
      </x:c>
      <x:c r="E550" s="94" t="str">
        <x:v>云主机/CDN</x:v>
      </x:c>
      <x:c r="F550" s="94" t="str">
        <x:v>按访问量</x:v>
      </x:c>
      <x:c r="G550" s="97" t="n">
        <x:v>0.88</x:v>
      </x:c>
      <x:c r="H550" s="94" t="str">
        <x:v>变动</x:v>
      </x:c>
      <x:c r="I550" s="94" t="str">
        <x:v>技术团队</x:v>
      </x:c>
      <x:c r="J550" s="94" t="str">
        <x:v>模拟项目运营成本；统一折算USD</x:v>
      </x:c>
    </x:row>
    <x:row r="551">
      <x:c r="A551" s="92" t="str">
        <x:v>COST-0550</x:v>
      </x:c>
      <x:c r="B551" s="94" t="str">
        <x:v>PROC-0550</x:v>
      </x:c>
      <x:c r="C551" s="93" t="n">
        <x:v>46122</x:v>
      </x:c>
      <x:c r="D551" s="94" t="str">
        <x:v>Google Ads</x:v>
      </x:c>
      <x:c r="E551" s="94" t="str">
        <x:v>创意素材</x:v>
      </x:c>
      <x:c r="F551" s="94" t="str">
        <x:v>按活动</x:v>
      </x:c>
      <x:c r="G551" s="97" t="n">
        <x:v>2.08</x:v>
      </x:c>
      <x:c r="H551" s="94" t="str">
        <x:v>部分固定</x:v>
      </x:c>
      <x:c r="I551" s="94" t="str">
        <x:v>增长团队</x:v>
      </x:c>
      <x:c r="J551" s="94" t="str">
        <x:v>模拟项目运营成本；统一折算USD</x:v>
      </x:c>
    </x:row>
    <x:row r="552">
      <x:c r="A552" s="92" t="str">
        <x:v>COST-0551</x:v>
      </x:c>
      <x:c r="B552" s="94" t="str">
        <x:v>PROC-0551</x:v>
      </x:c>
      <x:c r="C552" s="93" t="n">
        <x:v>46122</x:v>
      </x:c>
      <x:c r="D552" s="94" t="str">
        <x:v>Microsoft Ads</x:v>
      </x:c>
      <x:c r="E552" s="94" t="str">
        <x:v>数据与ETL</x:v>
      </x:c>
      <x:c r="F552" s="94" t="str">
        <x:v>按采购批次</x:v>
      </x:c>
      <x:c r="G552" s="97" t="n">
        <x:v>1.11</x:v>
      </x:c>
      <x:c r="H552" s="94" t="str">
        <x:v>变动</x:v>
      </x:c>
      <x:c r="I552" s="94" t="str">
        <x:v>数据团队</x:v>
      </x:c>
      <x:c r="J552" s="94" t="str">
        <x:v>模拟项目运营成本；统一折算USD</x:v>
      </x:c>
    </x:row>
    <x:row r="553">
      <x:c r="A553" s="92" t="str">
        <x:v>COST-0552</x:v>
      </x:c>
      <x:c r="B553" s="94" t="str">
        <x:v>PROC-0552</x:v>
      </x:c>
      <x:c r="C553" s="93" t="n">
        <x:v>46122</x:v>
      </x:c>
      <x:c r="D553" s="94" t="str">
        <x:v>Microsoft Ads</x:v>
      </x:c>
      <x:c r="E553" s="94" t="str">
        <x:v>创意素材</x:v>
      </x:c>
      <x:c r="F553" s="94" t="str">
        <x:v>按活动</x:v>
      </x:c>
      <x:c r="G553" s="97" t="n">
        <x:v>1.93</x:v>
      </x:c>
      <x:c r="H553" s="94" t="str">
        <x:v>部分固定</x:v>
      </x:c>
      <x:c r="I553" s="94" t="str">
        <x:v>增长团队</x:v>
      </x:c>
      <x:c r="J553" s="94" t="str">
        <x:v>模拟项目运营成本；统一折算USD</x:v>
      </x:c>
    </x:row>
    <x:row r="554">
      <x:c r="A554" s="92" t="str">
        <x:v>COST-0553</x:v>
      </x:c>
      <x:c r="B554" s="94" t="str">
        <x:v>PROC-0553</x:v>
      </x:c>
      <x:c r="C554" s="93" t="n">
        <x:v>46122</x:v>
      </x:c>
      <x:c r="D554" s="94" t="str">
        <x:v>Google Ads</x:v>
      </x:c>
      <x:c r="E554" s="94" t="str">
        <x:v>创意素材</x:v>
      </x:c>
      <x:c r="F554" s="94" t="str">
        <x:v>按活动</x:v>
      </x:c>
      <x:c r="G554" s="97" t="n">
        <x:v>2.63</x:v>
      </x:c>
      <x:c r="H554" s="94" t="str">
        <x:v>部分固定</x:v>
      </x:c>
      <x:c r="I554" s="94" t="str">
        <x:v>增长团队</x:v>
      </x:c>
      <x:c r="J554" s="94" t="str">
        <x:v>模拟项目运营成本；统一折算USD</x:v>
      </x:c>
    </x:row>
    <x:row r="555">
      <x:c r="A555" s="92" t="str">
        <x:v>COST-0554</x:v>
      </x:c>
      <x:c r="B555" s="94" t="str">
        <x:v>PROC-0554</x:v>
      </x:c>
      <x:c r="C555" s="93" t="n">
        <x:v>46123</x:v>
      </x:c>
      <x:c r="D555" s="94" t="str">
        <x:v>Microsoft Ads</x:v>
      </x:c>
      <x:c r="E555" s="94" t="str">
        <x:v>归因与监测工具</x:v>
      </x:c>
      <x:c r="F555" s="94" t="str">
        <x:v>按点击量</x:v>
      </x:c>
      <x:c r="G555" s="97" t="n">
        <x:v>0.83</x:v>
      </x:c>
      <x:c r="H555" s="94" t="str">
        <x:v>变动</x:v>
      </x:c>
      <x:c r="I555" s="94" t="str">
        <x:v>分析团队</x:v>
      </x:c>
      <x:c r="J555" s="94" t="str">
        <x:v>模拟项目运营成本；统一折算USD</x:v>
      </x:c>
    </x:row>
    <x:row r="556">
      <x:c r="A556" s="92" t="str">
        <x:v>COST-0555</x:v>
      </x:c>
      <x:c r="B556" s="94" t="str">
        <x:v>PROC-0555</x:v>
      </x:c>
      <x:c r="C556" s="93" t="n">
        <x:v>46123</x:v>
      </x:c>
      <x:c r="D556" s="94" t="str">
        <x:v>Google Ads</x:v>
      </x:c>
      <x:c r="E556" s="94" t="str">
        <x:v>数据与ETL</x:v>
      </x:c>
      <x:c r="F556" s="94" t="str">
        <x:v>按采购批次</x:v>
      </x:c>
      <x:c r="G556" s="97" t="n">
        <x:v>0.48</x:v>
      </x:c>
      <x:c r="H556" s="94" t="str">
        <x:v>变动</x:v>
      </x:c>
      <x:c r="I556" s="94" t="str">
        <x:v>数据团队</x:v>
      </x:c>
      <x:c r="J556" s="94" t="str">
        <x:v>模拟项目运营成本；统一折算USD</x:v>
      </x:c>
    </x:row>
    <x:row r="557">
      <x:c r="A557" s="92" t="str">
        <x:v>COST-0556</x:v>
      </x:c>
      <x:c r="B557" s="94" t="str">
        <x:v>PROC-0556</x:v>
      </x:c>
      <x:c r="C557" s="93" t="n">
        <x:v>46123</x:v>
      </x:c>
      <x:c r="D557" s="94" t="str">
        <x:v>Microsoft Ads</x:v>
      </x:c>
      <x:c r="E557" s="94" t="str">
        <x:v>创意素材</x:v>
      </x:c>
      <x:c r="F557" s="94" t="str">
        <x:v>按活动</x:v>
      </x:c>
      <x:c r="G557" s="97" t="n">
        <x:v>3.33</x:v>
      </x:c>
      <x:c r="H557" s="94" t="str">
        <x:v>部分固定</x:v>
      </x:c>
      <x:c r="I557" s="94" t="str">
        <x:v>增长团队</x:v>
      </x:c>
      <x:c r="J557" s="94" t="str">
        <x:v>模拟项目运营成本；统一折算USD</x:v>
      </x:c>
    </x:row>
    <x:row r="558">
      <x:c r="A558" s="92" t="str">
        <x:v>COST-0557</x:v>
      </x:c>
      <x:c r="B558" s="94" t="str">
        <x:v>PROC-0557</x:v>
      </x:c>
      <x:c r="C558" s="93" t="n">
        <x:v>46123</x:v>
      </x:c>
      <x:c r="D558" s="94" t="str">
        <x:v>Google Ads</x:v>
      </x:c>
      <x:c r="E558" s="94" t="str">
        <x:v>创意素材</x:v>
      </x:c>
      <x:c r="F558" s="94" t="str">
        <x:v>按活动</x:v>
      </x:c>
      <x:c r="G558" s="97" t="n">
        <x:v>2.17</x:v>
      </x:c>
      <x:c r="H558" s="94" t="str">
        <x:v>部分固定</x:v>
      </x:c>
      <x:c r="I558" s="94" t="str">
        <x:v>增长团队</x:v>
      </x:c>
      <x:c r="J558" s="94" t="str">
        <x:v>模拟项目运营成本；统一折算USD</x:v>
      </x:c>
    </x:row>
    <x:row r="559">
      <x:c r="A559" s="92" t="str">
        <x:v>COST-0558</x:v>
      </x:c>
      <x:c r="B559" s="94" t="str">
        <x:v>PROC-0558</x:v>
      </x:c>
      <x:c r="C559" s="93" t="n">
        <x:v>46123</x:v>
      </x:c>
      <x:c r="D559" s="94" t="str">
        <x:v>Google Ads</x:v>
      </x:c>
      <x:c r="E559" s="94" t="str">
        <x:v>云主机/CDN</x:v>
      </x:c>
      <x:c r="F559" s="94" t="str">
        <x:v>按访问量</x:v>
      </x:c>
      <x:c r="G559" s="97" t="n">
        <x:v>0.93</x:v>
      </x:c>
      <x:c r="H559" s="94" t="str">
        <x:v>变动</x:v>
      </x:c>
      <x:c r="I559" s="94" t="str">
        <x:v>技术团队</x:v>
      </x:c>
      <x:c r="J559" s="94" t="str">
        <x:v>模拟项目运营成本；统一折算USD</x:v>
      </x:c>
    </x:row>
    <x:row r="560">
      <x:c r="A560" s="92" t="str">
        <x:v>COST-0559</x:v>
      </x:c>
      <x:c r="B560" s="94" t="str">
        <x:v>PROC-0559</x:v>
      </x:c>
      <x:c r="C560" s="93" t="n">
        <x:v>46123</x:v>
      </x:c>
      <x:c r="D560" s="94" t="str">
        <x:v>Microsoft Ads</x:v>
      </x:c>
      <x:c r="E560" s="94" t="str">
        <x:v>数据与ETL</x:v>
      </x:c>
      <x:c r="F560" s="94" t="str">
        <x:v>按采购批次</x:v>
      </x:c>
      <x:c r="G560" s="97" t="n">
        <x:v>0.83</x:v>
      </x:c>
      <x:c r="H560" s="94" t="str">
        <x:v>变动</x:v>
      </x:c>
      <x:c r="I560" s="94" t="str">
        <x:v>数据团队</x:v>
      </x:c>
      <x:c r="J560" s="94" t="str">
        <x:v>模拟项目运营成本；统一折算USD</x:v>
      </x:c>
    </x:row>
    <x:row r="561">
      <x:c r="A561" s="92" t="str">
        <x:v>COST-0560</x:v>
      </x:c>
      <x:c r="B561" s="94" t="str">
        <x:v>PROC-0560</x:v>
      </x:c>
      <x:c r="C561" s="93" t="n">
        <x:v>46124</x:v>
      </x:c>
      <x:c r="D561" s="94" t="str">
        <x:v>Google Ads</x:v>
      </x:c>
      <x:c r="E561" s="94" t="str">
        <x:v>人工运营分摊</x:v>
      </x:c>
      <x:c r="F561" s="94" t="str">
        <x:v>按工时</x:v>
      </x:c>
      <x:c r="G561" s="97" t="n">
        <x:v>3.17</x:v>
      </x:c>
      <x:c r="H561" s="94" t="str">
        <x:v>部分固定</x:v>
      </x:c>
      <x:c r="I561" s="94" t="str">
        <x:v>运营团队</x:v>
      </x:c>
      <x:c r="J561" s="94" t="str">
        <x:v>模拟项目运营成本；统一折算USD</x:v>
      </x:c>
    </x:row>
    <x:row r="562">
      <x:c r="A562" s="92" t="str">
        <x:v>COST-0561</x:v>
      </x:c>
      <x:c r="B562" s="94" t="str">
        <x:v>PROC-0561</x:v>
      </x:c>
      <x:c r="C562" s="93" t="n">
        <x:v>46124</x:v>
      </x:c>
      <x:c r="D562" s="94" t="str">
        <x:v>Google Ads</x:v>
      </x:c>
      <x:c r="E562" s="94" t="str">
        <x:v>云主机/CDN</x:v>
      </x:c>
      <x:c r="F562" s="94" t="str">
        <x:v>按访问量</x:v>
      </x:c>
      <x:c r="G562" s="97" t="n">
        <x:v>0.24</x:v>
      </x:c>
      <x:c r="H562" s="94" t="str">
        <x:v>变动</x:v>
      </x:c>
      <x:c r="I562" s="94" t="str">
        <x:v>技术团队</x:v>
      </x:c>
      <x:c r="J562" s="94" t="str">
        <x:v>模拟项目运营成本；统一折算USD</x:v>
      </x:c>
    </x:row>
    <x:row r="563">
      <x:c r="A563" s="92" t="str">
        <x:v>COST-0562</x:v>
      </x:c>
      <x:c r="B563" s="94" t="str">
        <x:v>PROC-0562</x:v>
      </x:c>
      <x:c r="C563" s="93" t="n">
        <x:v>46124</x:v>
      </x:c>
      <x:c r="D563" s="94" t="str">
        <x:v>Google Ads</x:v>
      </x:c>
      <x:c r="E563" s="94" t="str">
        <x:v>创意素材</x:v>
      </x:c>
      <x:c r="F563" s="94" t="str">
        <x:v>按活动</x:v>
      </x:c>
      <x:c r="G563" s="97" t="n">
        <x:v>2.89</x:v>
      </x:c>
      <x:c r="H563" s="94" t="str">
        <x:v>部分固定</x:v>
      </x:c>
      <x:c r="I563" s="94" t="str">
        <x:v>增长团队</x:v>
      </x:c>
      <x:c r="J563" s="94" t="str">
        <x:v>模拟项目运营成本；统一折算USD</x:v>
      </x:c>
    </x:row>
    <x:row r="564">
      <x:c r="A564" s="92" t="str">
        <x:v>COST-0563</x:v>
      </x:c>
      <x:c r="B564" s="94" t="str">
        <x:v>PROC-0563</x:v>
      </x:c>
      <x:c r="C564" s="93" t="n">
        <x:v>46124</x:v>
      </x:c>
      <x:c r="D564" s="94" t="str">
        <x:v>Microsoft Ads</x:v>
      </x:c>
      <x:c r="E564" s="94" t="str">
        <x:v>人工运营分摊</x:v>
      </x:c>
      <x:c r="F564" s="94" t="str">
        <x:v>按工时</x:v>
      </x:c>
      <x:c r="G564" s="97" t="n">
        <x:v>2.9</x:v>
      </x:c>
      <x:c r="H564" s="94" t="str">
        <x:v>部分固定</x:v>
      </x:c>
      <x:c r="I564" s="94" t="str">
        <x:v>运营团队</x:v>
      </x:c>
      <x:c r="J564" s="94" t="str">
        <x:v>模拟项目运营成本；统一折算USD</x:v>
      </x:c>
    </x:row>
    <x:row r="565">
      <x:c r="A565" s="92" t="str">
        <x:v>COST-0564</x:v>
      </x:c>
      <x:c r="B565" s="94" t="str">
        <x:v>PROC-0564</x:v>
      </x:c>
      <x:c r="C565" s="93" t="n">
        <x:v>46124</x:v>
      </x:c>
      <x:c r="D565" s="94" t="str">
        <x:v>Google Ads</x:v>
      </x:c>
      <x:c r="E565" s="94" t="str">
        <x:v>数据与ETL</x:v>
      </x:c>
      <x:c r="F565" s="94" t="str">
        <x:v>按采购批次</x:v>
      </x:c>
      <x:c r="G565" s="97" t="n">
        <x:v>1.27</x:v>
      </x:c>
      <x:c r="H565" s="94" t="str">
        <x:v>变动</x:v>
      </x:c>
      <x:c r="I565" s="94" t="str">
        <x:v>数据团队</x:v>
      </x:c>
      <x:c r="J565" s="94" t="str">
        <x:v>模拟项目运营成本；统一折算USD</x:v>
      </x:c>
    </x:row>
    <x:row r="566">
      <x:c r="A566" s="92" t="str">
        <x:v>COST-0565</x:v>
      </x:c>
      <x:c r="B566" s="94" t="str">
        <x:v>PROC-0565</x:v>
      </x:c>
      <x:c r="C566" s="93" t="n">
        <x:v>46125</x:v>
      </x:c>
      <x:c r="D566" s="94" t="str">
        <x:v>Microsoft Ads</x:v>
      </x:c>
      <x:c r="E566" s="94" t="str">
        <x:v>人工运营分摊</x:v>
      </x:c>
      <x:c r="F566" s="94" t="str">
        <x:v>按工时</x:v>
      </x:c>
      <x:c r="G566" s="97" t="n">
        <x:v>3.35</x:v>
      </x:c>
      <x:c r="H566" s="94" t="str">
        <x:v>部分固定</x:v>
      </x:c>
      <x:c r="I566" s="94" t="str">
        <x:v>运营团队</x:v>
      </x:c>
      <x:c r="J566" s="94" t="str">
        <x:v>模拟项目运营成本；统一折算USD</x:v>
      </x:c>
    </x:row>
    <x:row r="567">
      <x:c r="A567" s="92" t="str">
        <x:v>COST-0566</x:v>
      </x:c>
      <x:c r="B567" s="94" t="str">
        <x:v>PROC-0566</x:v>
      </x:c>
      <x:c r="C567" s="93" t="n">
        <x:v>46125</x:v>
      </x:c>
      <x:c r="D567" s="94" t="str">
        <x:v>Google Ads</x:v>
      </x:c>
      <x:c r="E567" s="94" t="str">
        <x:v>归因与监测工具</x:v>
      </x:c>
      <x:c r="F567" s="94" t="str">
        <x:v>按点击量</x:v>
      </x:c>
      <x:c r="G567" s="97" t="n">
        <x:v>1.47</x:v>
      </x:c>
      <x:c r="H567" s="94" t="str">
        <x:v>变动</x:v>
      </x:c>
      <x:c r="I567" s="94" t="str">
        <x:v>分析团队</x:v>
      </x:c>
      <x:c r="J567" s="94" t="str">
        <x:v>模拟项目运营成本；统一折算USD</x:v>
      </x:c>
    </x:row>
    <x:row r="568">
      <x:c r="A568" s="92" t="str">
        <x:v>COST-0567</x:v>
      </x:c>
      <x:c r="B568" s="94" t="str">
        <x:v>PROC-0567</x:v>
      </x:c>
      <x:c r="C568" s="93" t="n">
        <x:v>46125</x:v>
      </x:c>
      <x:c r="D568" s="94" t="str">
        <x:v>Microsoft Ads</x:v>
      </x:c>
      <x:c r="E568" s="94" t="str">
        <x:v>人工运营分摊</x:v>
      </x:c>
      <x:c r="F568" s="94" t="str">
        <x:v>按工时</x:v>
      </x:c>
      <x:c r="G568" s="97" t="n">
        <x:v>3.21</x:v>
      </x:c>
      <x:c r="H568" s="94" t="str">
        <x:v>部分固定</x:v>
      </x:c>
      <x:c r="I568" s="94" t="str">
        <x:v>运营团队</x:v>
      </x:c>
      <x:c r="J568" s="94" t="str">
        <x:v>模拟项目运营成本；统一折算USD</x:v>
      </x:c>
    </x:row>
    <x:row r="569">
      <x:c r="A569" s="92" t="str">
        <x:v>COST-0568</x:v>
      </x:c>
      <x:c r="B569" s="94" t="str">
        <x:v>PROC-0568</x:v>
      </x:c>
      <x:c r="C569" s="93" t="n">
        <x:v>46125</x:v>
      </x:c>
      <x:c r="D569" s="94" t="str">
        <x:v>Microsoft Ads</x:v>
      </x:c>
      <x:c r="E569" s="94" t="str">
        <x:v>云主机/CDN</x:v>
      </x:c>
      <x:c r="F569" s="94" t="str">
        <x:v>按访问量</x:v>
      </x:c>
      <x:c r="G569" s="97" t="n">
        <x:v>0.24</x:v>
      </x:c>
      <x:c r="H569" s="94" t="str">
        <x:v>变动</x:v>
      </x:c>
      <x:c r="I569" s="94" t="str">
        <x:v>技术团队</x:v>
      </x:c>
      <x:c r="J569" s="94" t="str">
        <x:v>模拟项目运营成本；统一折算USD</x:v>
      </x:c>
    </x:row>
    <x:row r="570">
      <x:c r="A570" s="92" t="str">
        <x:v>COST-0569</x:v>
      </x:c>
      <x:c r="B570" s="94" t="str">
        <x:v>PROC-0569</x:v>
      </x:c>
      <x:c r="C570" s="93" t="n">
        <x:v>46125</x:v>
      </x:c>
      <x:c r="D570" s="94" t="str">
        <x:v>Google Ads</x:v>
      </x:c>
      <x:c r="E570" s="94" t="str">
        <x:v>数据与ETL</x:v>
      </x:c>
      <x:c r="F570" s="94" t="str">
        <x:v>按采购批次</x:v>
      </x:c>
      <x:c r="G570" s="97" t="n">
        <x:v>1</x:v>
      </x:c>
      <x:c r="H570" s="94" t="str">
        <x:v>变动</x:v>
      </x:c>
      <x:c r="I570" s="94" t="str">
        <x:v>数据团队</x:v>
      </x:c>
      <x:c r="J570" s="94" t="str">
        <x:v>模拟项目运营成本；统一折算USD</x:v>
      </x:c>
    </x:row>
    <x:row r="571">
      <x:c r="A571" s="92" t="str">
        <x:v>COST-0570</x:v>
      </x:c>
      <x:c r="B571" s="94" t="str">
        <x:v>PROC-0570</x:v>
      </x:c>
      <x:c r="C571" s="93" t="n">
        <x:v>46125</x:v>
      </x:c>
      <x:c r="D571" s="94" t="str">
        <x:v>Google Ads</x:v>
      </x:c>
      <x:c r="E571" s="94" t="str">
        <x:v>数据与ETL</x:v>
      </x:c>
      <x:c r="F571" s="94" t="str">
        <x:v>按采购批次</x:v>
      </x:c>
      <x:c r="G571" s="97" t="n">
        <x:v>0.79</x:v>
      </x:c>
      <x:c r="H571" s="94" t="str">
        <x:v>变动</x:v>
      </x:c>
      <x:c r="I571" s="94" t="str">
        <x:v>数据团队</x:v>
      </x:c>
      <x:c r="J571" s="94" t="str">
        <x:v>模拟项目运营成本；统一折算USD</x:v>
      </x:c>
    </x:row>
    <x:row r="572">
      <x:c r="A572" s="92" t="str">
        <x:v>COST-0571</x:v>
      </x:c>
      <x:c r="B572" s="94" t="str">
        <x:v>PROC-0571</x:v>
      </x:c>
      <x:c r="C572" s="93" t="n">
        <x:v>46126</x:v>
      </x:c>
      <x:c r="D572" s="94" t="str">
        <x:v>Microsoft Ads</x:v>
      </x:c>
      <x:c r="E572" s="94" t="str">
        <x:v>云主机/CDN</x:v>
      </x:c>
      <x:c r="F572" s="94" t="str">
        <x:v>按访问量</x:v>
      </x:c>
      <x:c r="G572" s="97" t="n">
        <x:v>0.72</x:v>
      </x:c>
      <x:c r="H572" s="94" t="str">
        <x:v>变动</x:v>
      </x:c>
      <x:c r="I572" s="94" t="str">
        <x:v>技术团队</x:v>
      </x:c>
      <x:c r="J572" s="94" t="str">
        <x:v>模拟项目运营成本；统一折算USD</x:v>
      </x:c>
    </x:row>
    <x:row r="573">
      <x:c r="A573" s="92" t="str">
        <x:v>COST-0572</x:v>
      </x:c>
      <x:c r="B573" s="94" t="str">
        <x:v>PROC-0572</x:v>
      </x:c>
      <x:c r="C573" s="93" t="n">
        <x:v>46126</x:v>
      </x:c>
      <x:c r="D573" s="94" t="str">
        <x:v>Microsoft Ads</x:v>
      </x:c>
      <x:c r="E573" s="94" t="str">
        <x:v>云主机/CDN</x:v>
      </x:c>
      <x:c r="F573" s="94" t="str">
        <x:v>按访问量</x:v>
      </x:c>
      <x:c r="G573" s="97" t="n">
        <x:v>0.49</x:v>
      </x:c>
      <x:c r="H573" s="94" t="str">
        <x:v>变动</x:v>
      </x:c>
      <x:c r="I573" s="94" t="str">
        <x:v>技术团队</x:v>
      </x:c>
      <x:c r="J573" s="94" t="str">
        <x:v>模拟项目运营成本；统一折算USD</x:v>
      </x:c>
    </x:row>
    <x:row r="574">
      <x:c r="A574" s="92" t="str">
        <x:v>COST-0573</x:v>
      </x:c>
      <x:c r="B574" s="94" t="str">
        <x:v>PROC-0573</x:v>
      </x:c>
      <x:c r="C574" s="93" t="n">
        <x:v>46126</x:v>
      </x:c>
      <x:c r="D574" s="94" t="str">
        <x:v>Google Ads</x:v>
      </x:c>
      <x:c r="E574" s="94" t="str">
        <x:v>创意素材</x:v>
      </x:c>
      <x:c r="F574" s="94" t="str">
        <x:v>按活动</x:v>
      </x:c>
      <x:c r="G574" s="97" t="n">
        <x:v>3.04</x:v>
      </x:c>
      <x:c r="H574" s="94" t="str">
        <x:v>部分固定</x:v>
      </x:c>
      <x:c r="I574" s="94" t="str">
        <x:v>增长团队</x:v>
      </x:c>
      <x:c r="J574" s="94" t="str">
        <x:v>模拟项目运营成本；统一折算USD</x:v>
      </x:c>
    </x:row>
    <x:row r="575">
      <x:c r="A575" s="92" t="str">
        <x:v>COST-0574</x:v>
      </x:c>
      <x:c r="B575" s="94" t="str">
        <x:v>PROC-0574</x:v>
      </x:c>
      <x:c r="C575" s="93" t="n">
        <x:v>46126</x:v>
      </x:c>
      <x:c r="D575" s="94" t="str">
        <x:v>Microsoft Ads</x:v>
      </x:c>
      <x:c r="E575" s="94" t="str">
        <x:v>数据与ETL</x:v>
      </x:c>
      <x:c r="F575" s="94" t="str">
        <x:v>按采购批次</x:v>
      </x:c>
      <x:c r="G575" s="97" t="n">
        <x:v>1.6</x:v>
      </x:c>
      <x:c r="H575" s="94" t="str">
        <x:v>变动</x:v>
      </x:c>
      <x:c r="I575" s="94" t="str">
        <x:v>数据团队</x:v>
      </x:c>
      <x:c r="J575" s="94" t="str">
        <x:v>模拟项目运营成本；统一折算USD</x:v>
      </x:c>
    </x:row>
    <x:row r="576">
      <x:c r="A576" s="92" t="str">
        <x:v>COST-0575</x:v>
      </x:c>
      <x:c r="B576" s="94" t="str">
        <x:v>PROC-0575</x:v>
      </x:c>
      <x:c r="C576" s="93" t="n">
        <x:v>46126</x:v>
      </x:c>
      <x:c r="D576" s="94" t="str">
        <x:v>Google Ads</x:v>
      </x:c>
      <x:c r="E576" s="94" t="str">
        <x:v>数据与ETL</x:v>
      </x:c>
      <x:c r="F576" s="94" t="str">
        <x:v>按采购批次</x:v>
      </x:c>
      <x:c r="G576" s="97" t="n">
        <x:v>0.79</x:v>
      </x:c>
      <x:c r="H576" s="94" t="str">
        <x:v>变动</x:v>
      </x:c>
      <x:c r="I576" s="94" t="str">
        <x:v>数据团队</x:v>
      </x:c>
      <x:c r="J576" s="94" t="str">
        <x:v>模拟项目运营成本；统一折算USD</x:v>
      </x:c>
    </x:row>
    <x:row r="577">
      <x:c r="A577" s="92" t="str">
        <x:v>COST-0576</x:v>
      </x:c>
      <x:c r="B577" s="94" t="str">
        <x:v>PROC-0576</x:v>
      </x:c>
      <x:c r="C577" s="93" t="n">
        <x:v>46127</x:v>
      </x:c>
      <x:c r="D577" s="94" t="str">
        <x:v>Google Ads</x:v>
      </x:c>
      <x:c r="E577" s="94" t="str">
        <x:v>归因与监测工具</x:v>
      </x:c>
      <x:c r="F577" s="94" t="str">
        <x:v>按点击量</x:v>
      </x:c>
      <x:c r="G577" s="97" t="n">
        <x:v>1.35</x:v>
      </x:c>
      <x:c r="H577" s="94" t="str">
        <x:v>变动</x:v>
      </x:c>
      <x:c r="I577" s="94" t="str">
        <x:v>分析团队</x:v>
      </x:c>
      <x:c r="J577" s="94" t="str">
        <x:v>模拟项目运营成本；统一折算USD</x:v>
      </x:c>
    </x:row>
    <x:row r="578">
      <x:c r="A578" s="92" t="str">
        <x:v>COST-0577</x:v>
      </x:c>
      <x:c r="B578" s="94" t="str">
        <x:v>PROC-0577</x:v>
      </x:c>
      <x:c r="C578" s="93" t="n">
        <x:v>46127</x:v>
      </x:c>
      <x:c r="D578" s="94" t="str">
        <x:v>Microsoft Ads</x:v>
      </x:c>
      <x:c r="E578" s="94" t="str">
        <x:v>创意素材</x:v>
      </x:c>
      <x:c r="F578" s="94" t="str">
        <x:v>按活动</x:v>
      </x:c>
      <x:c r="G578" s="97" t="n">
        <x:v>3.56</x:v>
      </x:c>
      <x:c r="H578" s="94" t="str">
        <x:v>部分固定</x:v>
      </x:c>
      <x:c r="I578" s="94" t="str">
        <x:v>增长团队</x:v>
      </x:c>
      <x:c r="J578" s="94" t="str">
        <x:v>模拟项目运营成本；统一折算USD</x:v>
      </x:c>
    </x:row>
    <x:row r="579">
      <x:c r="A579" s="92" t="str">
        <x:v>COST-0578</x:v>
      </x:c>
      <x:c r="B579" s="94" t="str">
        <x:v>PROC-0578</x:v>
      </x:c>
      <x:c r="C579" s="93" t="n">
        <x:v>46127</x:v>
      </x:c>
      <x:c r="D579" s="94" t="str">
        <x:v>Google Ads</x:v>
      </x:c>
      <x:c r="E579" s="94" t="str">
        <x:v>数据与ETL</x:v>
      </x:c>
      <x:c r="F579" s="94" t="str">
        <x:v>按采购批次</x:v>
      </x:c>
      <x:c r="G579" s="97" t="n">
        <x:v>1.21</x:v>
      </x:c>
      <x:c r="H579" s="94" t="str">
        <x:v>变动</x:v>
      </x:c>
      <x:c r="I579" s="94" t="str">
        <x:v>数据团队</x:v>
      </x:c>
      <x:c r="J579" s="94" t="str">
        <x:v>模拟项目运营成本；统一折算USD</x:v>
      </x:c>
    </x:row>
    <x:row r="580">
      <x:c r="A580" s="92" t="str">
        <x:v>COST-0579</x:v>
      </x:c>
      <x:c r="B580" s="94" t="str">
        <x:v>PROC-0579</x:v>
      </x:c>
      <x:c r="C580" s="93" t="n">
        <x:v>46127</x:v>
      </x:c>
      <x:c r="D580" s="94" t="str">
        <x:v>Google Ads</x:v>
      </x:c>
      <x:c r="E580" s="94" t="str">
        <x:v>数据与ETL</x:v>
      </x:c>
      <x:c r="F580" s="94" t="str">
        <x:v>按采购批次</x:v>
      </x:c>
      <x:c r="G580" s="97" t="n">
        <x:v>0.53</x:v>
      </x:c>
      <x:c r="H580" s="94" t="str">
        <x:v>变动</x:v>
      </x:c>
      <x:c r="I580" s="94" t="str">
        <x:v>数据团队</x:v>
      </x:c>
      <x:c r="J580" s="94" t="str">
        <x:v>模拟项目运营成本；统一折算USD</x:v>
      </x:c>
    </x:row>
    <x:row r="581">
      <x:c r="A581" s="92" t="str">
        <x:v>COST-0580</x:v>
      </x:c>
      <x:c r="B581" s="94" t="str">
        <x:v>PROC-0580</x:v>
      </x:c>
      <x:c r="C581" s="93" t="n">
        <x:v>46127</x:v>
      </x:c>
      <x:c r="D581" s="94" t="str">
        <x:v>Google Ads</x:v>
      </x:c>
      <x:c r="E581" s="94" t="str">
        <x:v>数据与ETL</x:v>
      </x:c>
      <x:c r="F581" s="94" t="str">
        <x:v>按采购批次</x:v>
      </x:c>
      <x:c r="G581" s="97" t="n">
        <x:v>0.45</x:v>
      </x:c>
      <x:c r="H581" s="94" t="str">
        <x:v>变动</x:v>
      </x:c>
      <x:c r="I581" s="94" t="str">
        <x:v>数据团队</x:v>
      </x:c>
      <x:c r="J581" s="94" t="str">
        <x:v>模拟项目运营成本；统一折算USD</x:v>
      </x:c>
    </x:row>
    <x:row r="582">
      <x:c r="A582" s="92" t="str">
        <x:v>COST-0581</x:v>
      </x:c>
      <x:c r="B582" s="94" t="str">
        <x:v>PROC-0581</x:v>
      </x:c>
      <x:c r="C582" s="93" t="n">
        <x:v>46127</x:v>
      </x:c>
      <x:c r="D582" s="94" t="str">
        <x:v>Microsoft Ads</x:v>
      </x:c>
      <x:c r="E582" s="94" t="str">
        <x:v>归因与监测工具</x:v>
      </x:c>
      <x:c r="F582" s="94" t="str">
        <x:v>按点击量</x:v>
      </x:c>
      <x:c r="G582" s="97" t="n">
        <x:v>1.68</x:v>
      </x:c>
      <x:c r="H582" s="94" t="str">
        <x:v>变动</x:v>
      </x:c>
      <x:c r="I582" s="94" t="str">
        <x:v>分析团队</x:v>
      </x:c>
      <x:c r="J582" s="94" t="str">
        <x:v>模拟项目运营成本；统一折算USD</x:v>
      </x:c>
    </x:row>
    <x:row r="583">
      <x:c r="A583" s="92" t="str">
        <x:v>COST-0582</x:v>
      </x:c>
      <x:c r="B583" s="94" t="str">
        <x:v>PROC-0582</x:v>
      </x:c>
      <x:c r="C583" s="93" t="n">
        <x:v>46128</x:v>
      </x:c>
      <x:c r="D583" s="94" t="str">
        <x:v>Google Ads</x:v>
      </x:c>
      <x:c r="E583" s="94" t="str">
        <x:v>人工运营分摊</x:v>
      </x:c>
      <x:c r="F583" s="94" t="str">
        <x:v>按工时</x:v>
      </x:c>
      <x:c r="G583" s="97" t="n">
        <x:v>2.6</x:v>
      </x:c>
      <x:c r="H583" s="94" t="str">
        <x:v>部分固定</x:v>
      </x:c>
      <x:c r="I583" s="94" t="str">
        <x:v>运营团队</x:v>
      </x:c>
      <x:c r="J583" s="94" t="str">
        <x:v>模拟项目运营成本；统一折算USD</x:v>
      </x:c>
    </x:row>
    <x:row r="584">
      <x:c r="A584" s="92" t="str">
        <x:v>COST-0583</x:v>
      </x:c>
      <x:c r="B584" s="94" t="str">
        <x:v>PROC-0583</x:v>
      </x:c>
      <x:c r="C584" s="93" t="n">
        <x:v>46128</x:v>
      </x:c>
      <x:c r="D584" s="94" t="str">
        <x:v>Google Ads</x:v>
      </x:c>
      <x:c r="E584" s="94" t="str">
        <x:v>数据与ETL</x:v>
      </x:c>
      <x:c r="F584" s="94" t="str">
        <x:v>按采购批次</x:v>
      </x:c>
      <x:c r="G584" s="97" t="n">
        <x:v>1.12</x:v>
      </x:c>
      <x:c r="H584" s="94" t="str">
        <x:v>变动</x:v>
      </x:c>
      <x:c r="I584" s="94" t="str">
        <x:v>数据团队</x:v>
      </x:c>
      <x:c r="J584" s="94" t="str">
        <x:v>模拟项目运营成本；统一折算USD</x:v>
      </x:c>
    </x:row>
    <x:row r="585">
      <x:c r="A585" s="92" t="str">
        <x:v>COST-0584</x:v>
      </x:c>
      <x:c r="B585" s="94" t="str">
        <x:v>PROC-0584</x:v>
      </x:c>
      <x:c r="C585" s="93" t="n">
        <x:v>46128</x:v>
      </x:c>
      <x:c r="D585" s="94" t="str">
        <x:v>Microsoft Ads</x:v>
      </x:c>
      <x:c r="E585" s="94" t="str">
        <x:v>云主机/CDN</x:v>
      </x:c>
      <x:c r="F585" s="94" t="str">
        <x:v>按访问量</x:v>
      </x:c>
      <x:c r="G585" s="97" t="n">
        <x:v>0.7</x:v>
      </x:c>
      <x:c r="H585" s="94" t="str">
        <x:v>变动</x:v>
      </x:c>
      <x:c r="I585" s="94" t="str">
        <x:v>技术团队</x:v>
      </x:c>
      <x:c r="J585" s="94" t="str">
        <x:v>模拟项目运营成本；统一折算USD</x:v>
      </x:c>
    </x:row>
    <x:row r="586">
      <x:c r="A586" s="92" t="str">
        <x:v>COST-0585</x:v>
      </x:c>
      <x:c r="B586" s="94" t="str">
        <x:v>PROC-0585</x:v>
      </x:c>
      <x:c r="C586" s="93" t="n">
        <x:v>46128</x:v>
      </x:c>
      <x:c r="D586" s="94" t="str">
        <x:v>Microsoft Ads</x:v>
      </x:c>
      <x:c r="E586" s="94" t="str">
        <x:v>云主机/CDN</x:v>
      </x:c>
      <x:c r="F586" s="94" t="str">
        <x:v>按访问量</x:v>
      </x:c>
      <x:c r="G586" s="97" t="n">
        <x:v>0.49</x:v>
      </x:c>
      <x:c r="H586" s="94" t="str">
        <x:v>变动</x:v>
      </x:c>
      <x:c r="I586" s="94" t="str">
        <x:v>技术团队</x:v>
      </x:c>
      <x:c r="J586" s="94" t="str">
        <x:v>模拟项目运营成本；统一折算USD</x:v>
      </x:c>
    </x:row>
    <x:row r="587">
      <x:c r="A587" s="92" t="str">
        <x:v>COST-0586</x:v>
      </x:c>
      <x:c r="B587" s="94" t="str">
        <x:v>PROC-0586</x:v>
      </x:c>
      <x:c r="C587" s="93" t="n">
        <x:v>46128</x:v>
      </x:c>
      <x:c r="D587" s="94" t="str">
        <x:v>Google Ads</x:v>
      </x:c>
      <x:c r="E587" s="94" t="str">
        <x:v>数据与ETL</x:v>
      </x:c>
      <x:c r="F587" s="94" t="str">
        <x:v>按采购批次</x:v>
      </x:c>
      <x:c r="G587" s="97" t="n">
        <x:v>0.74</x:v>
      </x:c>
      <x:c r="H587" s="94" t="str">
        <x:v>变动</x:v>
      </x:c>
      <x:c r="I587" s="94" t="str">
        <x:v>数据团队</x:v>
      </x:c>
      <x:c r="J587" s="94" t="str">
        <x:v>模拟项目运营成本；统一折算USD</x:v>
      </x:c>
    </x:row>
    <x:row r="588">
      <x:c r="A588" s="92" t="str">
        <x:v>COST-0587</x:v>
      </x:c>
      <x:c r="B588" s="94" t="str">
        <x:v>PROC-0587</x:v>
      </x:c>
      <x:c r="C588" s="93" t="n">
        <x:v>46129</x:v>
      </x:c>
      <x:c r="D588" s="94" t="str">
        <x:v>Microsoft Ads</x:v>
      </x:c>
      <x:c r="E588" s="94" t="str">
        <x:v>人工运营分摊</x:v>
      </x:c>
      <x:c r="F588" s="94" t="str">
        <x:v>按工时</x:v>
      </x:c>
      <x:c r="G588" s="97" t="n">
        <x:v>4.41</x:v>
      </x:c>
      <x:c r="H588" s="94" t="str">
        <x:v>部分固定</x:v>
      </x:c>
      <x:c r="I588" s="94" t="str">
        <x:v>运营团队</x:v>
      </x:c>
      <x:c r="J588" s="94" t="str">
        <x:v>模拟项目运营成本；统一折算USD</x:v>
      </x:c>
    </x:row>
    <x:row r="589">
      <x:c r="A589" s="92" t="str">
        <x:v>COST-0588</x:v>
      </x:c>
      <x:c r="B589" s="94" t="str">
        <x:v>PROC-0588</x:v>
      </x:c>
      <x:c r="C589" s="93" t="n">
        <x:v>46129</x:v>
      </x:c>
      <x:c r="D589" s="94" t="str">
        <x:v>Microsoft Ads</x:v>
      </x:c>
      <x:c r="E589" s="94" t="str">
        <x:v>归因与监测工具</x:v>
      </x:c>
      <x:c r="F589" s="94" t="str">
        <x:v>按点击量</x:v>
      </x:c>
      <x:c r="G589" s="97" t="n">
        <x:v>1.55</x:v>
      </x:c>
      <x:c r="H589" s="94" t="str">
        <x:v>变动</x:v>
      </x:c>
      <x:c r="I589" s="94" t="str">
        <x:v>分析团队</x:v>
      </x:c>
      <x:c r="J589" s="94" t="str">
        <x:v>模拟项目运营成本；统一折算USD</x:v>
      </x:c>
    </x:row>
    <x:row r="590">
      <x:c r="A590" s="92" t="str">
        <x:v>COST-0589</x:v>
      </x:c>
      <x:c r="B590" s="94" t="str">
        <x:v>PROC-0589</x:v>
      </x:c>
      <x:c r="C590" s="93" t="n">
        <x:v>46129</x:v>
      </x:c>
      <x:c r="D590" s="94" t="str">
        <x:v>Google Ads</x:v>
      </x:c>
      <x:c r="E590" s="94" t="str">
        <x:v>云主机/CDN</x:v>
      </x:c>
      <x:c r="F590" s="94" t="str">
        <x:v>按访问量</x:v>
      </x:c>
      <x:c r="G590" s="97" t="n">
        <x:v>0.97</x:v>
      </x:c>
      <x:c r="H590" s="94" t="str">
        <x:v>变动</x:v>
      </x:c>
      <x:c r="I590" s="94" t="str">
        <x:v>技术团队</x:v>
      </x:c>
      <x:c r="J590" s="94" t="str">
        <x:v>模拟项目运营成本；统一折算USD</x:v>
      </x:c>
    </x:row>
    <x:row r="591">
      <x:c r="A591" s="92" t="str">
        <x:v>COST-0590</x:v>
      </x:c>
      <x:c r="B591" s="94" t="str">
        <x:v>PROC-0590</x:v>
      </x:c>
      <x:c r="C591" s="93" t="n">
        <x:v>46129</x:v>
      </x:c>
      <x:c r="D591" s="94" t="str">
        <x:v>Google Ads</x:v>
      </x:c>
      <x:c r="E591" s="94" t="str">
        <x:v>云主机/CDN</x:v>
      </x:c>
      <x:c r="F591" s="94" t="str">
        <x:v>按访问量</x:v>
      </x:c>
      <x:c r="G591" s="97" t="n">
        <x:v>1.02</x:v>
      </x:c>
      <x:c r="H591" s="94" t="str">
        <x:v>变动</x:v>
      </x:c>
      <x:c r="I591" s="94" t="str">
        <x:v>技术团队</x:v>
      </x:c>
      <x:c r="J591" s="94" t="str">
        <x:v>模拟项目运营成本；统一折算USD</x:v>
      </x:c>
    </x:row>
    <x:row r="592">
      <x:c r="A592" s="92" t="str">
        <x:v>COST-0591</x:v>
      </x:c>
      <x:c r="B592" s="94" t="str">
        <x:v>PROC-0591</x:v>
      </x:c>
      <x:c r="C592" s="93" t="n">
        <x:v>46129</x:v>
      </x:c>
      <x:c r="D592" s="94" t="str">
        <x:v>Google Ads</x:v>
      </x:c>
      <x:c r="E592" s="94" t="str">
        <x:v>数据与ETL</x:v>
      </x:c>
      <x:c r="F592" s="94" t="str">
        <x:v>按采购批次</x:v>
      </x:c>
      <x:c r="G592" s="97" t="n">
        <x:v>1.49</x:v>
      </x:c>
      <x:c r="H592" s="94" t="str">
        <x:v>变动</x:v>
      </x:c>
      <x:c r="I592" s="94" t="str">
        <x:v>数据团队</x:v>
      </x:c>
      <x:c r="J592" s="94" t="str">
        <x:v>模拟项目运营成本；统一折算USD</x:v>
      </x:c>
    </x:row>
    <x:row r="593">
      <x:c r="A593" s="92" t="str">
        <x:v>COST-0592</x:v>
      </x:c>
      <x:c r="B593" s="94" t="str">
        <x:v>PROC-0592</x:v>
      </x:c>
      <x:c r="C593" s="93" t="n">
        <x:v>46129</x:v>
      </x:c>
      <x:c r="D593" s="94" t="str">
        <x:v>Google Ads</x:v>
      </x:c>
      <x:c r="E593" s="94" t="str">
        <x:v>归因与监测工具</x:v>
      </x:c>
      <x:c r="F593" s="94" t="str">
        <x:v>按点击量</x:v>
      </x:c>
      <x:c r="G593" s="97" t="n">
        <x:v>0.71</x:v>
      </x:c>
      <x:c r="H593" s="94" t="str">
        <x:v>变动</x:v>
      </x:c>
      <x:c r="I593" s="94" t="str">
        <x:v>分析团队</x:v>
      </x:c>
      <x:c r="J593" s="94" t="str">
        <x:v>模拟项目运营成本；统一折算USD</x:v>
      </x:c>
    </x:row>
    <x:row r="594">
      <x:c r="A594" s="92" t="str">
        <x:v>COST-0593</x:v>
      </x:c>
      <x:c r="B594" s="94" t="str">
        <x:v>PROC-0593</x:v>
      </x:c>
      <x:c r="C594" s="93" t="n">
        <x:v>46130</x:v>
      </x:c>
      <x:c r="D594" s="94" t="str">
        <x:v>Google Ads</x:v>
      </x:c>
      <x:c r="E594" s="94" t="str">
        <x:v>云主机/CDN</x:v>
      </x:c>
      <x:c r="F594" s="94" t="str">
        <x:v>按访问量</x:v>
      </x:c>
      <x:c r="G594" s="97" t="n">
        <x:v>0.57</x:v>
      </x:c>
      <x:c r="H594" s="94" t="str">
        <x:v>变动</x:v>
      </x:c>
      <x:c r="I594" s="94" t="str">
        <x:v>技术团队</x:v>
      </x:c>
      <x:c r="J594" s="94" t="str">
        <x:v>模拟项目运营成本；统一折算USD</x:v>
      </x:c>
    </x:row>
    <x:row r="595">
      <x:c r="A595" s="92" t="str">
        <x:v>COST-0594</x:v>
      </x:c>
      <x:c r="B595" s="94" t="str">
        <x:v>PROC-0594</x:v>
      </x:c>
      <x:c r="C595" s="93" t="n">
        <x:v>46130</x:v>
      </x:c>
      <x:c r="D595" s="94" t="str">
        <x:v>Google Ads</x:v>
      </x:c>
      <x:c r="E595" s="94" t="str">
        <x:v>数据与ETL</x:v>
      </x:c>
      <x:c r="F595" s="94" t="str">
        <x:v>按采购批次</x:v>
      </x:c>
      <x:c r="G595" s="97" t="n">
        <x:v>0.83</x:v>
      </x:c>
      <x:c r="H595" s="94" t="str">
        <x:v>变动</x:v>
      </x:c>
      <x:c r="I595" s="94" t="str">
        <x:v>数据团队</x:v>
      </x:c>
      <x:c r="J595" s="94" t="str">
        <x:v>模拟项目运营成本；统一折算USD</x:v>
      </x:c>
    </x:row>
    <x:row r="596">
      <x:c r="A596" s="92" t="str">
        <x:v>COST-0595</x:v>
      </x:c>
      <x:c r="B596" s="94" t="str">
        <x:v>PROC-0595</x:v>
      </x:c>
      <x:c r="C596" s="93" t="n">
        <x:v>46130</x:v>
      </x:c>
      <x:c r="D596" s="94" t="str">
        <x:v>Google Ads</x:v>
      </x:c>
      <x:c r="E596" s="94" t="str">
        <x:v>数据与ETL</x:v>
      </x:c>
      <x:c r="F596" s="94" t="str">
        <x:v>按采购批次</x:v>
      </x:c>
      <x:c r="G596" s="97" t="n">
        <x:v>0.5</x:v>
      </x:c>
      <x:c r="H596" s="94" t="str">
        <x:v>变动</x:v>
      </x:c>
      <x:c r="I596" s="94" t="str">
        <x:v>数据团队</x:v>
      </x:c>
      <x:c r="J596" s="94" t="str">
        <x:v>模拟项目运营成本；统一折算USD</x:v>
      </x:c>
    </x:row>
    <x:row r="597">
      <x:c r="A597" s="92" t="str">
        <x:v>COST-0596</x:v>
      </x:c>
      <x:c r="B597" s="94" t="str">
        <x:v>PROC-0596</x:v>
      </x:c>
      <x:c r="C597" s="93" t="n">
        <x:v>46130</x:v>
      </x:c>
      <x:c r="D597" s="94" t="str">
        <x:v>Microsoft Ads</x:v>
      </x:c>
      <x:c r="E597" s="94" t="str">
        <x:v>归因与监测工具</x:v>
      </x:c>
      <x:c r="F597" s="94" t="str">
        <x:v>按点击量</x:v>
      </x:c>
      <x:c r="G597" s="97" t="n">
        <x:v>1.19</x:v>
      </x:c>
      <x:c r="H597" s="94" t="str">
        <x:v>变动</x:v>
      </x:c>
      <x:c r="I597" s="94" t="str">
        <x:v>分析团队</x:v>
      </x:c>
      <x:c r="J597" s="94" t="str">
        <x:v>模拟项目运营成本；统一折算USD</x:v>
      </x:c>
    </x:row>
    <x:row r="598">
      <x:c r="A598" s="92" t="str">
        <x:v>COST-0597</x:v>
      </x:c>
      <x:c r="B598" s="94" t="str">
        <x:v>PROC-0597</x:v>
      </x:c>
      <x:c r="C598" s="93" t="n">
        <x:v>46130</x:v>
      </x:c>
      <x:c r="D598" s="94" t="str">
        <x:v>Microsoft Ads</x:v>
      </x:c>
      <x:c r="E598" s="94" t="str">
        <x:v>数据与ETL</x:v>
      </x:c>
      <x:c r="F598" s="94" t="str">
        <x:v>按采购批次</x:v>
      </x:c>
      <x:c r="G598" s="97" t="n">
        <x:v>1.44</x:v>
      </x:c>
      <x:c r="H598" s="94" t="str">
        <x:v>变动</x:v>
      </x:c>
      <x:c r="I598" s="94" t="str">
        <x:v>数据团队</x:v>
      </x:c>
      <x:c r="J598" s="94" t="str">
        <x:v>模拟项目运营成本；统一折算USD</x:v>
      </x:c>
    </x:row>
    <x:row r="599">
      <x:c r="A599" s="92" t="str">
        <x:v>COST-0598</x:v>
      </x:c>
      <x:c r="B599" s="94" t="str">
        <x:v>PROC-0598</x:v>
      </x:c>
      <x:c r="C599" s="93" t="n">
        <x:v>46131</x:v>
      </x:c>
      <x:c r="D599" s="94" t="str">
        <x:v>Microsoft Ads</x:v>
      </x:c>
      <x:c r="E599" s="94" t="str">
        <x:v>云主机/CDN</x:v>
      </x:c>
      <x:c r="F599" s="94" t="str">
        <x:v>按访问量</x:v>
      </x:c>
      <x:c r="G599" s="97" t="n">
        <x:v>1.03</x:v>
      </x:c>
      <x:c r="H599" s="94" t="str">
        <x:v>变动</x:v>
      </x:c>
      <x:c r="I599" s="94" t="str">
        <x:v>技术团队</x:v>
      </x:c>
      <x:c r="J599" s="94" t="str">
        <x:v>模拟项目运营成本；统一折算USD</x:v>
      </x:c>
    </x:row>
    <x:row r="600">
      <x:c r="A600" s="92" t="str">
        <x:v>COST-0599</x:v>
      </x:c>
      <x:c r="B600" s="94" t="str">
        <x:v>PROC-0599</x:v>
      </x:c>
      <x:c r="C600" s="93" t="n">
        <x:v>46131</x:v>
      </x:c>
      <x:c r="D600" s="94" t="str">
        <x:v>Microsoft Ads</x:v>
      </x:c>
      <x:c r="E600" s="94" t="str">
        <x:v>云主机/CDN</x:v>
      </x:c>
      <x:c r="F600" s="94" t="str">
        <x:v>按访问量</x:v>
      </x:c>
      <x:c r="G600" s="97" t="n">
        <x:v>0.83</x:v>
      </x:c>
      <x:c r="H600" s="94" t="str">
        <x:v>变动</x:v>
      </x:c>
      <x:c r="I600" s="94" t="str">
        <x:v>技术团队</x:v>
      </x:c>
      <x:c r="J600" s="94" t="str">
        <x:v>模拟项目运营成本；统一折算USD</x:v>
      </x:c>
    </x:row>
    <x:row r="601">
      <x:c r="A601" s="92" t="str">
        <x:v>COST-0600</x:v>
      </x:c>
      <x:c r="B601" s="94" t="str">
        <x:v>PROC-0600</x:v>
      </x:c>
      <x:c r="C601" s="93" t="n">
        <x:v>46131</x:v>
      </x:c>
      <x:c r="D601" s="94" t="str">
        <x:v>Google Ads</x:v>
      </x:c>
      <x:c r="E601" s="94" t="str">
        <x:v>数据与ETL</x:v>
      </x:c>
      <x:c r="F601" s="94" t="str">
        <x:v>按采购批次</x:v>
      </x:c>
      <x:c r="G601" s="97" t="n">
        <x:v>1.41</x:v>
      </x:c>
      <x:c r="H601" s="94" t="str">
        <x:v>变动</x:v>
      </x:c>
      <x:c r="I601" s="94" t="str">
        <x:v>数据团队</x:v>
      </x:c>
      <x:c r="J601" s="94" t="str">
        <x:v>模拟项目运营成本；统一折算USD</x:v>
      </x:c>
    </x:row>
    <x:row r="602">
      <x:c r="A602" s="92" t="str">
        <x:v>COST-0601</x:v>
      </x:c>
      <x:c r="B602" s="94" t="str">
        <x:v>PROC-0601</x:v>
      </x:c>
      <x:c r="C602" s="93" t="n">
        <x:v>46131</x:v>
      </x:c>
      <x:c r="D602" s="94" t="str">
        <x:v>Google Ads</x:v>
      </x:c>
      <x:c r="E602" s="94" t="str">
        <x:v>创意素材</x:v>
      </x:c>
      <x:c r="F602" s="94" t="str">
        <x:v>按活动</x:v>
      </x:c>
      <x:c r="G602" s="97" t="n">
        <x:v>1.46</x:v>
      </x:c>
      <x:c r="H602" s="94" t="str">
        <x:v>部分固定</x:v>
      </x:c>
      <x:c r="I602" s="94" t="str">
        <x:v>增长团队</x:v>
      </x:c>
      <x:c r="J602" s="94" t="str">
        <x:v>模拟项目运营成本；统一折算USD</x:v>
      </x:c>
    </x:row>
    <x:row r="603">
      <x:c r="A603" s="92" t="str">
        <x:v>COST-0602</x:v>
      </x:c>
      <x:c r="B603" s="94" t="str">
        <x:v>PROC-0602</x:v>
      </x:c>
      <x:c r="C603" s="93" t="n">
        <x:v>46131</x:v>
      </x:c>
      <x:c r="D603" s="94" t="str">
        <x:v>Google Ads</x:v>
      </x:c>
      <x:c r="E603" s="94" t="str">
        <x:v>数据与ETL</x:v>
      </x:c>
      <x:c r="F603" s="94" t="str">
        <x:v>按采购批次</x:v>
      </x:c>
      <x:c r="G603" s="97" t="n">
        <x:v>0.77</x:v>
      </x:c>
      <x:c r="H603" s="94" t="str">
        <x:v>变动</x:v>
      </x:c>
      <x:c r="I603" s="94" t="str">
        <x:v>数据团队</x:v>
      </x:c>
      <x:c r="J603" s="94" t="str">
        <x:v>模拟项目运营成本；统一折算USD</x:v>
      </x:c>
    </x:row>
    <x:row r="604">
      <x:c r="A604" s="92" t="str">
        <x:v>COST-0603</x:v>
      </x:c>
      <x:c r="B604" s="94" t="str">
        <x:v>PROC-0603</x:v>
      </x:c>
      <x:c r="C604" s="93" t="n">
        <x:v>46131</x:v>
      </x:c>
      <x:c r="D604" s="94" t="str">
        <x:v>Google Ads</x:v>
      </x:c>
      <x:c r="E604" s="94" t="str">
        <x:v>云主机/CDN</x:v>
      </x:c>
      <x:c r="F604" s="94" t="str">
        <x:v>按访问量</x:v>
      </x:c>
      <x:c r="G604" s="97" t="n">
        <x:v>0.44</x:v>
      </x:c>
      <x:c r="H604" s="94" t="str">
        <x:v>变动</x:v>
      </x:c>
      <x:c r="I604" s="94" t="str">
        <x:v>技术团队</x:v>
      </x:c>
      <x:c r="J604" s="94" t="str">
        <x:v>模拟项目运营成本；统一折算USD</x:v>
      </x:c>
    </x:row>
    <x:row r="605">
      <x:c r="A605" s="92" t="str">
        <x:v>COST-0604</x:v>
      </x:c>
      <x:c r="B605" s="94" t="str">
        <x:v>PROC-0604</x:v>
      </x:c>
      <x:c r="C605" s="93" t="n">
        <x:v>46132</x:v>
      </x:c>
      <x:c r="D605" s="94" t="str">
        <x:v>Google Ads</x:v>
      </x:c>
      <x:c r="E605" s="94" t="str">
        <x:v>数据与ETL</x:v>
      </x:c>
      <x:c r="F605" s="94" t="str">
        <x:v>按采购批次</x:v>
      </x:c>
      <x:c r="G605" s="97" t="n">
        <x:v>1.52</x:v>
      </x:c>
      <x:c r="H605" s="94" t="str">
        <x:v>变动</x:v>
      </x:c>
      <x:c r="I605" s="94" t="str">
        <x:v>数据团队</x:v>
      </x:c>
      <x:c r="J605" s="94" t="str">
        <x:v>模拟项目运营成本；统一折算USD</x:v>
      </x:c>
    </x:row>
    <x:row r="606">
      <x:c r="A606" s="92" t="str">
        <x:v>COST-0605</x:v>
      </x:c>
      <x:c r="B606" s="94" t="str">
        <x:v>PROC-0605</x:v>
      </x:c>
      <x:c r="C606" s="93" t="n">
        <x:v>46132</x:v>
      </x:c>
      <x:c r="D606" s="94" t="str">
        <x:v>Google Ads</x:v>
      </x:c>
      <x:c r="E606" s="94" t="str">
        <x:v>人工运营分摊</x:v>
      </x:c>
      <x:c r="F606" s="94" t="str">
        <x:v>按工时</x:v>
      </x:c>
      <x:c r="G606" s="97" t="n">
        <x:v>2.1</x:v>
      </x:c>
      <x:c r="H606" s="94" t="str">
        <x:v>部分固定</x:v>
      </x:c>
      <x:c r="I606" s="94" t="str">
        <x:v>运营团队</x:v>
      </x:c>
      <x:c r="J606" s="94" t="str">
        <x:v>模拟项目运营成本；统一折算USD</x:v>
      </x:c>
    </x:row>
    <x:row r="607">
      <x:c r="A607" s="92" t="str">
        <x:v>COST-0606</x:v>
      </x:c>
      <x:c r="B607" s="94" t="str">
        <x:v>PROC-0606</x:v>
      </x:c>
      <x:c r="C607" s="93" t="n">
        <x:v>46132</x:v>
      </x:c>
      <x:c r="D607" s="94" t="str">
        <x:v>Google Ads</x:v>
      </x:c>
      <x:c r="E607" s="94" t="str">
        <x:v>创意素材</x:v>
      </x:c>
      <x:c r="F607" s="94" t="str">
        <x:v>按活动</x:v>
      </x:c>
      <x:c r="G607" s="97" t="n">
        <x:v>2.88</x:v>
      </x:c>
      <x:c r="H607" s="94" t="str">
        <x:v>部分固定</x:v>
      </x:c>
      <x:c r="I607" s="94" t="str">
        <x:v>增长团队</x:v>
      </x:c>
      <x:c r="J607" s="94" t="str">
        <x:v>模拟项目运营成本；统一折算USD</x:v>
      </x:c>
    </x:row>
    <x:row r="608">
      <x:c r="A608" s="92" t="str">
        <x:v>COST-0607</x:v>
      </x:c>
      <x:c r="B608" s="94" t="str">
        <x:v>PROC-0607</x:v>
      </x:c>
      <x:c r="C608" s="93" t="n">
        <x:v>46132</x:v>
      </x:c>
      <x:c r="D608" s="94" t="str">
        <x:v>Microsoft Ads</x:v>
      </x:c>
      <x:c r="E608" s="94" t="str">
        <x:v>数据与ETL</x:v>
      </x:c>
      <x:c r="F608" s="94" t="str">
        <x:v>按采购批次</x:v>
      </x:c>
      <x:c r="G608" s="97" t="n">
        <x:v>1.18</x:v>
      </x:c>
      <x:c r="H608" s="94" t="str">
        <x:v>变动</x:v>
      </x:c>
      <x:c r="I608" s="94" t="str">
        <x:v>数据团队</x:v>
      </x:c>
      <x:c r="J608" s="94" t="str">
        <x:v>模拟项目运营成本；统一折算USD</x:v>
      </x:c>
    </x:row>
    <x:row r="609">
      <x:c r="A609" s="92" t="str">
        <x:v>COST-0608</x:v>
      </x:c>
      <x:c r="B609" s="94" t="str">
        <x:v>PROC-0608</x:v>
      </x:c>
      <x:c r="C609" s="93" t="n">
        <x:v>46132</x:v>
      </x:c>
      <x:c r="D609" s="94" t="str">
        <x:v>Google Ads</x:v>
      </x:c>
      <x:c r="E609" s="94" t="str">
        <x:v>人工运营分摊</x:v>
      </x:c>
      <x:c r="F609" s="94" t="str">
        <x:v>按工时</x:v>
      </x:c>
      <x:c r="G609" s="97" t="n">
        <x:v>3.93</x:v>
      </x:c>
      <x:c r="H609" s="94" t="str">
        <x:v>部分固定</x:v>
      </x:c>
      <x:c r="I609" s="94" t="str">
        <x:v>运营团队</x:v>
      </x:c>
      <x:c r="J609" s="94" t="str">
        <x:v>模拟项目运营成本；统一折算USD</x:v>
      </x:c>
    </x:row>
    <x:row r="610">
      <x:c r="A610" s="92" t="str">
        <x:v>COST-0609</x:v>
      </x:c>
      <x:c r="B610" s="94" t="str">
        <x:v>PROC-0609</x:v>
      </x:c>
      <x:c r="C610" s="93" t="n">
        <x:v>46133</x:v>
      </x:c>
      <x:c r="D610" s="94" t="str">
        <x:v>Google Ads</x:v>
      </x:c>
      <x:c r="E610" s="94" t="str">
        <x:v>人工运营分摊</x:v>
      </x:c>
      <x:c r="F610" s="94" t="str">
        <x:v>按工时</x:v>
      </x:c>
      <x:c r="G610" s="97" t="n">
        <x:v>2.86</x:v>
      </x:c>
      <x:c r="H610" s="94" t="str">
        <x:v>部分固定</x:v>
      </x:c>
      <x:c r="I610" s="94" t="str">
        <x:v>运营团队</x:v>
      </x:c>
      <x:c r="J610" s="94" t="str">
        <x:v>模拟项目运营成本；统一折算USD</x:v>
      </x:c>
    </x:row>
    <x:row r="611">
      <x:c r="A611" s="92" t="str">
        <x:v>COST-0610</x:v>
      </x:c>
      <x:c r="B611" s="94" t="str">
        <x:v>PROC-0610</x:v>
      </x:c>
      <x:c r="C611" s="93" t="n">
        <x:v>46133</x:v>
      </x:c>
      <x:c r="D611" s="94" t="str">
        <x:v>Microsoft Ads</x:v>
      </x:c>
      <x:c r="E611" s="94" t="str">
        <x:v>归因与监测工具</x:v>
      </x:c>
      <x:c r="F611" s="94" t="str">
        <x:v>按点击量</x:v>
      </x:c>
      <x:c r="G611" s="97" t="n">
        <x:v>1.66</x:v>
      </x:c>
      <x:c r="H611" s="94" t="str">
        <x:v>变动</x:v>
      </x:c>
      <x:c r="I611" s="94" t="str">
        <x:v>分析团队</x:v>
      </x:c>
      <x:c r="J611" s="94" t="str">
        <x:v>模拟项目运营成本；统一折算USD</x:v>
      </x:c>
    </x:row>
    <x:row r="612">
      <x:c r="A612" s="92" t="str">
        <x:v>COST-0611</x:v>
      </x:c>
      <x:c r="B612" s="94" t="str">
        <x:v>PROC-0611</x:v>
      </x:c>
      <x:c r="C612" s="93" t="n">
        <x:v>46133</x:v>
      </x:c>
      <x:c r="D612" s="94" t="str">
        <x:v>Google Ads</x:v>
      </x:c>
      <x:c r="E612" s="94" t="str">
        <x:v>数据与ETL</x:v>
      </x:c>
      <x:c r="F612" s="94" t="str">
        <x:v>按采购批次</x:v>
      </x:c>
      <x:c r="G612" s="97" t="n">
        <x:v>0.84</x:v>
      </x:c>
      <x:c r="H612" s="94" t="str">
        <x:v>变动</x:v>
      </x:c>
      <x:c r="I612" s="94" t="str">
        <x:v>数据团队</x:v>
      </x:c>
      <x:c r="J612" s="94" t="str">
        <x:v>模拟项目运营成本；统一折算USD</x:v>
      </x:c>
    </x:row>
    <x:row r="613">
      <x:c r="A613" s="92" t="str">
        <x:v>COST-0612</x:v>
      </x:c>
      <x:c r="B613" s="94" t="str">
        <x:v>PROC-0612</x:v>
      </x:c>
      <x:c r="C613" s="93" t="n">
        <x:v>46133</x:v>
      </x:c>
      <x:c r="D613" s="94" t="str">
        <x:v>Microsoft Ads</x:v>
      </x:c>
      <x:c r="E613" s="94" t="str">
        <x:v>人工运营分摊</x:v>
      </x:c>
      <x:c r="F613" s="94" t="str">
        <x:v>按工时</x:v>
      </x:c>
      <x:c r="G613" s="97" t="n">
        <x:v>3.58</x:v>
      </x:c>
      <x:c r="H613" s="94" t="str">
        <x:v>部分固定</x:v>
      </x:c>
      <x:c r="I613" s="94" t="str">
        <x:v>运营团队</x:v>
      </x:c>
      <x:c r="J613" s="94" t="str">
        <x:v>模拟项目运营成本；统一折算USD</x:v>
      </x:c>
    </x:row>
    <x:row r="614">
      <x:c r="A614" s="92" t="str">
        <x:v>COST-0613</x:v>
      </x:c>
      <x:c r="B614" s="94" t="str">
        <x:v>PROC-0613</x:v>
      </x:c>
      <x:c r="C614" s="93" t="n">
        <x:v>46133</x:v>
      </x:c>
      <x:c r="D614" s="94" t="str">
        <x:v>Google Ads</x:v>
      </x:c>
      <x:c r="E614" s="94" t="str">
        <x:v>云主机/CDN</x:v>
      </x:c>
      <x:c r="F614" s="94" t="str">
        <x:v>按访问量</x:v>
      </x:c>
      <x:c r="G614" s="97" t="n">
        <x:v>0.85</x:v>
      </x:c>
      <x:c r="H614" s="94" t="str">
        <x:v>变动</x:v>
      </x:c>
      <x:c r="I614" s="94" t="str">
        <x:v>技术团队</x:v>
      </x:c>
      <x:c r="J614" s="94" t="str">
        <x:v>模拟项目运营成本；统一折算USD</x:v>
      </x:c>
    </x:row>
    <x:row r="615">
      <x:c r="A615" s="92" t="str">
        <x:v>COST-0614</x:v>
      </x:c>
      <x:c r="B615" s="94" t="str">
        <x:v>PROC-0614</x:v>
      </x:c>
      <x:c r="C615" s="93" t="n">
        <x:v>46133</x:v>
      </x:c>
      <x:c r="D615" s="94" t="str">
        <x:v>Google Ads</x:v>
      </x:c>
      <x:c r="E615" s="94" t="str">
        <x:v>归因与监测工具</x:v>
      </x:c>
      <x:c r="F615" s="94" t="str">
        <x:v>按点击量</x:v>
      </x:c>
      <x:c r="G615" s="97" t="n">
        <x:v>1.77</x:v>
      </x:c>
      <x:c r="H615" s="94" t="str">
        <x:v>变动</x:v>
      </x:c>
      <x:c r="I615" s="94" t="str">
        <x:v>分析团队</x:v>
      </x:c>
      <x:c r="J615" s="94" t="str">
        <x:v>模拟项目运营成本；统一折算USD</x:v>
      </x:c>
    </x:row>
    <x:row r="616">
      <x:c r="A616" s="92" t="str">
        <x:v>COST-0615</x:v>
      </x:c>
      <x:c r="B616" s="94" t="str">
        <x:v>PROC-0615</x:v>
      </x:c>
      <x:c r="C616" s="93" t="n">
        <x:v>46134</x:v>
      </x:c>
      <x:c r="D616" s="94" t="str">
        <x:v>Google Ads</x:v>
      </x:c>
      <x:c r="E616" s="94" t="str">
        <x:v>人工运营分摊</x:v>
      </x:c>
      <x:c r="F616" s="94" t="str">
        <x:v>按工时</x:v>
      </x:c>
      <x:c r="G616" s="97" t="n">
        <x:v>2.97</x:v>
      </x:c>
      <x:c r="H616" s="94" t="str">
        <x:v>部分固定</x:v>
      </x:c>
      <x:c r="I616" s="94" t="str">
        <x:v>运营团队</x:v>
      </x:c>
      <x:c r="J616" s="94" t="str">
        <x:v>模拟项目运营成本；统一折算USD</x:v>
      </x:c>
    </x:row>
    <x:row r="617">
      <x:c r="A617" s="92" t="str">
        <x:v>COST-0616</x:v>
      </x:c>
      <x:c r="B617" s="94" t="str">
        <x:v>PROC-0616</x:v>
      </x:c>
      <x:c r="C617" s="93" t="n">
        <x:v>46134</x:v>
      </x:c>
      <x:c r="D617" s="94" t="str">
        <x:v>Google Ads</x:v>
      </x:c>
      <x:c r="E617" s="94" t="str">
        <x:v>人工运营分摊</x:v>
      </x:c>
      <x:c r="F617" s="94" t="str">
        <x:v>按工时</x:v>
      </x:c>
      <x:c r="G617" s="97" t="n">
        <x:v>3.37</x:v>
      </x:c>
      <x:c r="H617" s="94" t="str">
        <x:v>部分固定</x:v>
      </x:c>
      <x:c r="I617" s="94" t="str">
        <x:v>运营团队</x:v>
      </x:c>
      <x:c r="J617" s="94" t="str">
        <x:v>模拟项目运营成本；统一折算USD</x:v>
      </x:c>
    </x:row>
    <x:row r="618">
      <x:c r="A618" s="92" t="str">
        <x:v>COST-0617</x:v>
      </x:c>
      <x:c r="B618" s="94" t="str">
        <x:v>PROC-0617</x:v>
      </x:c>
      <x:c r="C618" s="93" t="n">
        <x:v>46134</x:v>
      </x:c>
      <x:c r="D618" s="94" t="str">
        <x:v>Microsoft Ads</x:v>
      </x:c>
      <x:c r="E618" s="94" t="str">
        <x:v>人工运营分摊</x:v>
      </x:c>
      <x:c r="F618" s="94" t="str">
        <x:v>按工时</x:v>
      </x:c>
      <x:c r="G618" s="97" t="n">
        <x:v>1.31</x:v>
      </x:c>
      <x:c r="H618" s="94" t="str">
        <x:v>部分固定</x:v>
      </x:c>
      <x:c r="I618" s="94" t="str">
        <x:v>运营团队</x:v>
      </x:c>
      <x:c r="J618" s="94" t="str">
        <x:v>模拟项目运营成本；统一折算USD</x:v>
      </x:c>
    </x:row>
    <x:row r="619">
      <x:c r="A619" s="92" t="str">
        <x:v>COST-0618</x:v>
      </x:c>
      <x:c r="B619" s="94" t="str">
        <x:v>PROC-0618</x:v>
      </x:c>
      <x:c r="C619" s="93" t="n">
        <x:v>46134</x:v>
      </x:c>
      <x:c r="D619" s="94" t="str">
        <x:v>Google Ads</x:v>
      </x:c>
      <x:c r="E619" s="94" t="str">
        <x:v>归因与监测工具</x:v>
      </x:c>
      <x:c r="F619" s="94" t="str">
        <x:v>按点击量</x:v>
      </x:c>
      <x:c r="G619" s="97" t="n">
        <x:v>1.32</x:v>
      </x:c>
      <x:c r="H619" s="94" t="str">
        <x:v>变动</x:v>
      </x:c>
      <x:c r="I619" s="94" t="str">
        <x:v>分析团队</x:v>
      </x:c>
      <x:c r="J619" s="94" t="str">
        <x:v>模拟项目运营成本；统一折算USD</x:v>
      </x:c>
    </x:row>
    <x:row r="620">
      <x:c r="A620" s="92" t="str">
        <x:v>COST-0619</x:v>
      </x:c>
      <x:c r="B620" s="94" t="str">
        <x:v>PROC-0619</x:v>
      </x:c>
      <x:c r="C620" s="93" t="n">
        <x:v>46134</x:v>
      </x:c>
      <x:c r="D620" s="94" t="str">
        <x:v>Google Ads</x:v>
      </x:c>
      <x:c r="E620" s="94" t="str">
        <x:v>归因与监测工具</x:v>
      </x:c>
      <x:c r="F620" s="94" t="str">
        <x:v>按点击量</x:v>
      </x:c>
      <x:c r="G620" s="97" t="n">
        <x:v>0.62</x:v>
      </x:c>
      <x:c r="H620" s="94" t="str">
        <x:v>变动</x:v>
      </x:c>
      <x:c r="I620" s="94" t="str">
        <x:v>分析团队</x:v>
      </x:c>
      <x:c r="J620" s="94" t="str">
        <x:v>模拟项目运营成本；统一折算USD</x:v>
      </x:c>
    </x:row>
    <x:row r="621">
      <x:c r="A621" s="92" t="str">
        <x:v>COST-0620</x:v>
      </x:c>
      <x:c r="B621" s="94" t="str">
        <x:v>PROC-0620</x:v>
      </x:c>
      <x:c r="C621" s="93" t="n">
        <x:v>46135</x:v>
      </x:c>
      <x:c r="D621" s="94" t="str">
        <x:v>Google Ads</x:v>
      </x:c>
      <x:c r="E621" s="94" t="str">
        <x:v>人工运营分摊</x:v>
      </x:c>
      <x:c r="F621" s="94" t="str">
        <x:v>按工时</x:v>
      </x:c>
      <x:c r="G621" s="97" t="n">
        <x:v>2.66</x:v>
      </x:c>
      <x:c r="H621" s="94" t="str">
        <x:v>部分固定</x:v>
      </x:c>
      <x:c r="I621" s="94" t="str">
        <x:v>运营团队</x:v>
      </x:c>
      <x:c r="J621" s="94" t="str">
        <x:v>模拟项目运营成本；统一折算USD</x:v>
      </x:c>
    </x:row>
    <x:row r="622">
      <x:c r="A622" s="92" t="str">
        <x:v>COST-0621</x:v>
      </x:c>
      <x:c r="B622" s="94" t="str">
        <x:v>PROC-0621</x:v>
      </x:c>
      <x:c r="C622" s="93" t="n">
        <x:v>46135</x:v>
      </x:c>
      <x:c r="D622" s="94" t="str">
        <x:v>Google Ads</x:v>
      </x:c>
      <x:c r="E622" s="94" t="str">
        <x:v>创意素材</x:v>
      </x:c>
      <x:c r="F622" s="94" t="str">
        <x:v>按活动</x:v>
      </x:c>
      <x:c r="G622" s="97" t="n">
        <x:v>2.21</x:v>
      </x:c>
      <x:c r="H622" s="94" t="str">
        <x:v>部分固定</x:v>
      </x:c>
      <x:c r="I622" s="94" t="str">
        <x:v>增长团队</x:v>
      </x:c>
      <x:c r="J622" s="94" t="str">
        <x:v>模拟项目运营成本；统一折算USD</x:v>
      </x:c>
    </x:row>
    <x:row r="623">
      <x:c r="A623" s="92" t="str">
        <x:v>COST-0622</x:v>
      </x:c>
      <x:c r="B623" s="94" t="str">
        <x:v>PROC-0622</x:v>
      </x:c>
      <x:c r="C623" s="93" t="n">
        <x:v>46135</x:v>
      </x:c>
      <x:c r="D623" s="94" t="str">
        <x:v>Google Ads</x:v>
      </x:c>
      <x:c r="E623" s="94" t="str">
        <x:v>云主机/CDN</x:v>
      </x:c>
      <x:c r="F623" s="94" t="str">
        <x:v>按访问量</x:v>
      </x:c>
      <x:c r="G623" s="97" t="n">
        <x:v>0.68</x:v>
      </x:c>
      <x:c r="H623" s="94" t="str">
        <x:v>变动</x:v>
      </x:c>
      <x:c r="I623" s="94" t="str">
        <x:v>技术团队</x:v>
      </x:c>
      <x:c r="J623" s="94" t="str">
        <x:v>模拟项目运营成本；统一折算USD</x:v>
      </x:c>
    </x:row>
    <x:row r="624">
      <x:c r="A624" s="92" t="str">
        <x:v>COST-0623</x:v>
      </x:c>
      <x:c r="B624" s="94" t="str">
        <x:v>PROC-0623</x:v>
      </x:c>
      <x:c r="C624" s="93" t="n">
        <x:v>46135</x:v>
      </x:c>
      <x:c r="D624" s="94" t="str">
        <x:v>Microsoft Ads</x:v>
      </x:c>
      <x:c r="E624" s="94" t="str">
        <x:v>归因与监测工具</x:v>
      </x:c>
      <x:c r="F624" s="94" t="str">
        <x:v>按点击量</x:v>
      </x:c>
      <x:c r="G624" s="97" t="n">
        <x:v>1.77</x:v>
      </x:c>
      <x:c r="H624" s="94" t="str">
        <x:v>变动</x:v>
      </x:c>
      <x:c r="I624" s="94" t="str">
        <x:v>分析团队</x:v>
      </x:c>
      <x:c r="J624" s="94" t="str">
        <x:v>模拟项目运营成本；统一折算USD</x:v>
      </x:c>
    </x:row>
    <x:row r="625">
      <x:c r="A625" s="92" t="str">
        <x:v>COST-0624</x:v>
      </x:c>
      <x:c r="B625" s="94" t="str">
        <x:v>PROC-0624</x:v>
      </x:c>
      <x:c r="C625" s="93" t="n">
        <x:v>46135</x:v>
      </x:c>
      <x:c r="D625" s="94" t="str">
        <x:v>Microsoft Ads</x:v>
      </x:c>
      <x:c r="E625" s="94" t="str">
        <x:v>人工运营分摊</x:v>
      </x:c>
      <x:c r="F625" s="94" t="str">
        <x:v>按工时</x:v>
      </x:c>
      <x:c r="G625" s="97" t="n">
        <x:v>2.69</x:v>
      </x:c>
      <x:c r="H625" s="94" t="str">
        <x:v>部分固定</x:v>
      </x:c>
      <x:c r="I625" s="94" t="str">
        <x:v>运营团队</x:v>
      </x:c>
      <x:c r="J625" s="94" t="str">
        <x:v>模拟项目运营成本；统一折算USD</x:v>
      </x:c>
    </x:row>
    <x:row r="626">
      <x:c r="A626" s="92" t="str">
        <x:v>COST-0625</x:v>
      </x:c>
      <x:c r="B626" s="94" t="str">
        <x:v>PROC-0625</x:v>
      </x:c>
      <x:c r="C626" s="93" t="n">
        <x:v>46135</x:v>
      </x:c>
      <x:c r="D626" s="94" t="str">
        <x:v>Google Ads</x:v>
      </x:c>
      <x:c r="E626" s="94" t="str">
        <x:v>云主机/CDN</x:v>
      </x:c>
      <x:c r="F626" s="94" t="str">
        <x:v>按访问量</x:v>
      </x:c>
      <x:c r="G626" s="97" t="n">
        <x:v>0.97</x:v>
      </x:c>
      <x:c r="H626" s="94" t="str">
        <x:v>变动</x:v>
      </x:c>
      <x:c r="I626" s="94" t="str">
        <x:v>技术团队</x:v>
      </x:c>
      <x:c r="J626" s="94" t="str">
        <x:v>模拟项目运营成本；统一折算USD</x:v>
      </x:c>
    </x:row>
    <x:row r="627">
      <x:c r="A627" s="92" t="str">
        <x:v>COST-0626</x:v>
      </x:c>
      <x:c r="B627" s="94" t="str">
        <x:v>PROC-0626</x:v>
      </x:c>
      <x:c r="C627" s="93" t="n">
        <x:v>46136</x:v>
      </x:c>
      <x:c r="D627" s="94" t="str">
        <x:v>Microsoft Ads</x:v>
      </x:c>
      <x:c r="E627" s="94" t="str">
        <x:v>创意素材</x:v>
      </x:c>
      <x:c r="F627" s="94" t="str">
        <x:v>按活动</x:v>
      </x:c>
      <x:c r="G627" s="97" t="n">
        <x:v>2.18</x:v>
      </x:c>
      <x:c r="H627" s="94" t="str">
        <x:v>部分固定</x:v>
      </x:c>
      <x:c r="I627" s="94" t="str">
        <x:v>增长团队</x:v>
      </x:c>
      <x:c r="J627" s="94" t="str">
        <x:v>模拟项目运营成本；统一折算USD</x:v>
      </x:c>
    </x:row>
    <x:row r="628">
      <x:c r="A628" s="92" t="str">
        <x:v>COST-0627</x:v>
      </x:c>
      <x:c r="B628" s="94" t="str">
        <x:v>PROC-0627</x:v>
      </x:c>
      <x:c r="C628" s="93" t="n">
        <x:v>46136</x:v>
      </x:c>
      <x:c r="D628" s="94" t="str">
        <x:v>Google Ads</x:v>
      </x:c>
      <x:c r="E628" s="94" t="str">
        <x:v>创意素材</x:v>
      </x:c>
      <x:c r="F628" s="94" t="str">
        <x:v>按活动</x:v>
      </x:c>
      <x:c r="G628" s="97" t="n">
        <x:v>2.34</x:v>
      </x:c>
      <x:c r="H628" s="94" t="str">
        <x:v>部分固定</x:v>
      </x:c>
      <x:c r="I628" s="94" t="str">
        <x:v>增长团队</x:v>
      </x:c>
      <x:c r="J628" s="94" t="str">
        <x:v>模拟项目运营成本；统一折算USD</x:v>
      </x:c>
    </x:row>
    <x:row r="629">
      <x:c r="A629" s="92" t="str">
        <x:v>COST-0628</x:v>
      </x:c>
      <x:c r="B629" s="94" t="str">
        <x:v>PROC-0628</x:v>
      </x:c>
      <x:c r="C629" s="93" t="n">
        <x:v>46136</x:v>
      </x:c>
      <x:c r="D629" s="94" t="str">
        <x:v>Google Ads</x:v>
      </x:c>
      <x:c r="E629" s="94" t="str">
        <x:v>云主机/CDN</x:v>
      </x:c>
      <x:c r="F629" s="94" t="str">
        <x:v>按访问量</x:v>
      </x:c>
      <x:c r="G629" s="97" t="n">
        <x:v>0.98</x:v>
      </x:c>
      <x:c r="H629" s="94" t="str">
        <x:v>变动</x:v>
      </x:c>
      <x:c r="I629" s="94" t="str">
        <x:v>技术团队</x:v>
      </x:c>
      <x:c r="J629" s="94" t="str">
        <x:v>模拟项目运营成本；统一折算USD</x:v>
      </x:c>
    </x:row>
    <x:row r="630">
      <x:c r="A630" s="92" t="str">
        <x:v>COST-0629</x:v>
      </x:c>
      <x:c r="B630" s="94" t="str">
        <x:v>PROC-0629</x:v>
      </x:c>
      <x:c r="C630" s="93" t="n">
        <x:v>46136</x:v>
      </x:c>
      <x:c r="D630" s="94" t="str">
        <x:v>Google Ads</x:v>
      </x:c>
      <x:c r="E630" s="94" t="str">
        <x:v>数据与ETL</x:v>
      </x:c>
      <x:c r="F630" s="94" t="str">
        <x:v>按采购批次</x:v>
      </x:c>
      <x:c r="G630" s="97" t="n">
        <x:v>1.15</x:v>
      </x:c>
      <x:c r="H630" s="94" t="str">
        <x:v>变动</x:v>
      </x:c>
      <x:c r="I630" s="94" t="str">
        <x:v>数据团队</x:v>
      </x:c>
      <x:c r="J630" s="94" t="str">
        <x:v>模拟项目运营成本；统一折算USD</x:v>
      </x:c>
    </x:row>
    <x:row r="631">
      <x:c r="A631" s="92" t="str">
        <x:v>COST-0630</x:v>
      </x:c>
      <x:c r="B631" s="94" t="str">
        <x:v>PROC-0630</x:v>
      </x:c>
      <x:c r="C631" s="93" t="n">
        <x:v>46136</x:v>
      </x:c>
      <x:c r="D631" s="94" t="str">
        <x:v>Google Ads</x:v>
      </x:c>
      <x:c r="E631" s="94" t="str">
        <x:v>数据与ETL</x:v>
      </x:c>
      <x:c r="F631" s="94" t="str">
        <x:v>按采购批次</x:v>
      </x:c>
      <x:c r="G631" s="97" t="n">
        <x:v>1.1</x:v>
      </x:c>
      <x:c r="H631" s="94" t="str">
        <x:v>变动</x:v>
      </x:c>
      <x:c r="I631" s="94" t="str">
        <x:v>数据团队</x:v>
      </x:c>
      <x:c r="J631" s="94" t="str">
        <x:v>模拟项目运营成本；统一折算USD</x:v>
      </x:c>
    </x:row>
    <x:row r="632">
      <x:c r="A632" s="92" t="str">
        <x:v>COST-0631</x:v>
      </x:c>
      <x:c r="B632" s="94" t="str">
        <x:v>PROC-0631</x:v>
      </x:c>
      <x:c r="C632" s="93" t="n">
        <x:v>46137</x:v>
      </x:c>
      <x:c r="D632" s="94" t="str">
        <x:v>Microsoft Ads</x:v>
      </x:c>
      <x:c r="E632" s="94" t="str">
        <x:v>数据与ETL</x:v>
      </x:c>
      <x:c r="F632" s="94" t="str">
        <x:v>按采购批次</x:v>
      </x:c>
      <x:c r="G632" s="97" t="n">
        <x:v>0.72</x:v>
      </x:c>
      <x:c r="H632" s="94" t="str">
        <x:v>变动</x:v>
      </x:c>
      <x:c r="I632" s="94" t="str">
        <x:v>数据团队</x:v>
      </x:c>
      <x:c r="J632" s="94" t="str">
        <x:v>模拟项目运营成本；统一折算USD</x:v>
      </x:c>
    </x:row>
    <x:row r="633">
      <x:c r="A633" s="92" t="str">
        <x:v>COST-0632</x:v>
      </x:c>
      <x:c r="B633" s="94" t="str">
        <x:v>PROC-0632</x:v>
      </x:c>
      <x:c r="C633" s="93" t="n">
        <x:v>46137</x:v>
      </x:c>
      <x:c r="D633" s="94" t="str">
        <x:v>Microsoft Ads</x:v>
      </x:c>
      <x:c r="E633" s="94" t="str">
        <x:v>人工运营分摊</x:v>
      </x:c>
      <x:c r="F633" s="94" t="str">
        <x:v>按工时</x:v>
      </x:c>
      <x:c r="G633" s="97" t="n">
        <x:v>1.23</x:v>
      </x:c>
      <x:c r="H633" s="94" t="str">
        <x:v>部分固定</x:v>
      </x:c>
      <x:c r="I633" s="94" t="str">
        <x:v>运营团队</x:v>
      </x:c>
      <x:c r="J633" s="94" t="str">
        <x:v>模拟项目运营成本；统一折算USD</x:v>
      </x:c>
    </x:row>
    <x:row r="634">
      <x:c r="A634" s="92" t="str">
        <x:v>COST-0633</x:v>
      </x:c>
      <x:c r="B634" s="94" t="str">
        <x:v>PROC-0633</x:v>
      </x:c>
      <x:c r="C634" s="93" t="n">
        <x:v>46137</x:v>
      </x:c>
      <x:c r="D634" s="94" t="str">
        <x:v>Google Ads</x:v>
      </x:c>
      <x:c r="E634" s="94" t="str">
        <x:v>人工运营分摊</x:v>
      </x:c>
      <x:c r="F634" s="94" t="str">
        <x:v>按工时</x:v>
      </x:c>
      <x:c r="G634" s="97" t="n">
        <x:v>4.22</x:v>
      </x:c>
      <x:c r="H634" s="94" t="str">
        <x:v>部分固定</x:v>
      </x:c>
      <x:c r="I634" s="94" t="str">
        <x:v>运营团队</x:v>
      </x:c>
      <x:c r="J634" s="94" t="str">
        <x:v>模拟项目运营成本；统一折算USD</x:v>
      </x:c>
    </x:row>
    <x:row r="635">
      <x:c r="A635" s="92" t="str">
        <x:v>COST-0634</x:v>
      </x:c>
      <x:c r="B635" s="94" t="str">
        <x:v>PROC-0634</x:v>
      </x:c>
      <x:c r="C635" s="93" t="n">
        <x:v>46137</x:v>
      </x:c>
      <x:c r="D635" s="94" t="str">
        <x:v>Google Ads</x:v>
      </x:c>
      <x:c r="E635" s="94" t="str">
        <x:v>创意素材</x:v>
      </x:c>
      <x:c r="F635" s="94" t="str">
        <x:v>按活动</x:v>
      </x:c>
      <x:c r="G635" s="97" t="n">
        <x:v>1.05</x:v>
      </x:c>
      <x:c r="H635" s="94" t="str">
        <x:v>部分固定</x:v>
      </x:c>
      <x:c r="I635" s="94" t="str">
        <x:v>增长团队</x:v>
      </x:c>
      <x:c r="J635" s="94" t="str">
        <x:v>模拟项目运营成本；统一折算USD</x:v>
      </x:c>
    </x:row>
    <x:row r="636">
      <x:c r="A636" s="92" t="str">
        <x:v>COST-0635</x:v>
      </x:c>
      <x:c r="B636" s="94" t="str">
        <x:v>PROC-0635</x:v>
      </x:c>
      <x:c r="C636" s="93" t="n">
        <x:v>46137</x:v>
      </x:c>
      <x:c r="D636" s="94" t="str">
        <x:v>Google Ads</x:v>
      </x:c>
      <x:c r="E636" s="94" t="str">
        <x:v>归因与监测工具</x:v>
      </x:c>
      <x:c r="F636" s="94" t="str">
        <x:v>按点击量</x:v>
      </x:c>
      <x:c r="G636" s="97" t="n">
        <x:v>1.04</x:v>
      </x:c>
      <x:c r="H636" s="94" t="str">
        <x:v>变动</x:v>
      </x:c>
      <x:c r="I636" s="94" t="str">
        <x:v>分析团队</x:v>
      </x:c>
      <x:c r="J636" s="94" t="str">
        <x:v>模拟项目运营成本；统一折算USD</x:v>
      </x:c>
    </x:row>
    <x:row r="637">
      <x:c r="A637" s="92" t="str">
        <x:v>COST-0636</x:v>
      </x:c>
      <x:c r="B637" s="94" t="str">
        <x:v>PROC-0636</x:v>
      </x:c>
      <x:c r="C637" s="93" t="n">
        <x:v>46137</x:v>
      </x:c>
      <x:c r="D637" s="94" t="str">
        <x:v>Google Ads</x:v>
      </x:c>
      <x:c r="E637" s="94" t="str">
        <x:v>数据与ETL</x:v>
      </x:c>
      <x:c r="F637" s="94" t="str">
        <x:v>按采购批次</x:v>
      </x:c>
      <x:c r="G637" s="97" t="n">
        <x:v>0.57</x:v>
      </x:c>
      <x:c r="H637" s="94" t="str">
        <x:v>变动</x:v>
      </x:c>
      <x:c r="I637" s="94" t="str">
        <x:v>数据团队</x:v>
      </x:c>
      <x:c r="J637" s="94" t="str">
        <x:v>模拟项目运营成本；统一折算USD</x:v>
      </x:c>
    </x:row>
    <x:row r="638">
      <x:c r="A638" s="92" t="str">
        <x:v>COST-0637</x:v>
      </x:c>
      <x:c r="B638" s="94" t="str">
        <x:v>PROC-0637</x:v>
      </x:c>
      <x:c r="C638" s="93" t="n">
        <x:v>46138</x:v>
      </x:c>
      <x:c r="D638" s="94" t="str">
        <x:v>Google Ads</x:v>
      </x:c>
      <x:c r="E638" s="94" t="str">
        <x:v>归因与监测工具</x:v>
      </x:c>
      <x:c r="F638" s="94" t="str">
        <x:v>按点击量</x:v>
      </x:c>
      <x:c r="G638" s="97" t="n">
        <x:v>1.66</x:v>
      </x:c>
      <x:c r="H638" s="94" t="str">
        <x:v>变动</x:v>
      </x:c>
      <x:c r="I638" s="94" t="str">
        <x:v>分析团队</x:v>
      </x:c>
      <x:c r="J638" s="94" t="str">
        <x:v>模拟项目运营成本；统一折算USD</x:v>
      </x:c>
    </x:row>
    <x:row r="639">
      <x:c r="A639" s="92" t="str">
        <x:v>COST-0638</x:v>
      </x:c>
      <x:c r="B639" s="94" t="str">
        <x:v>PROC-0638</x:v>
      </x:c>
      <x:c r="C639" s="93" t="n">
        <x:v>46138</x:v>
      </x:c>
      <x:c r="D639" s="94" t="str">
        <x:v>Google Ads</x:v>
      </x:c>
      <x:c r="E639" s="94" t="str">
        <x:v>数据与ETL</x:v>
      </x:c>
      <x:c r="F639" s="94" t="str">
        <x:v>按采购批次</x:v>
      </x:c>
      <x:c r="G639" s="97" t="n">
        <x:v>1.43</x:v>
      </x:c>
      <x:c r="H639" s="94" t="str">
        <x:v>变动</x:v>
      </x:c>
      <x:c r="I639" s="94" t="str">
        <x:v>数据团队</x:v>
      </x:c>
      <x:c r="J639" s="94" t="str">
        <x:v>模拟项目运营成本；统一折算USD</x:v>
      </x:c>
    </x:row>
    <x:row r="640">
      <x:c r="A640" s="92" t="str">
        <x:v>COST-0639</x:v>
      </x:c>
      <x:c r="B640" s="94" t="str">
        <x:v>PROC-0639</x:v>
      </x:c>
      <x:c r="C640" s="93" t="n">
        <x:v>46138</x:v>
      </x:c>
      <x:c r="D640" s="94" t="str">
        <x:v>Microsoft Ads</x:v>
      </x:c>
      <x:c r="E640" s="94" t="str">
        <x:v>归因与监测工具</x:v>
      </x:c>
      <x:c r="F640" s="94" t="str">
        <x:v>按点击量</x:v>
      </x:c>
      <x:c r="G640" s="97" t="n">
        <x:v>0.93</x:v>
      </x:c>
      <x:c r="H640" s="94" t="str">
        <x:v>变动</x:v>
      </x:c>
      <x:c r="I640" s="94" t="str">
        <x:v>分析团队</x:v>
      </x:c>
      <x:c r="J640" s="94" t="str">
        <x:v>模拟项目运营成本；统一折算USD</x:v>
      </x:c>
    </x:row>
    <x:row r="641">
      <x:c r="A641" s="92" t="str">
        <x:v>COST-0640</x:v>
      </x:c>
      <x:c r="B641" s="94" t="str">
        <x:v>PROC-0640</x:v>
      </x:c>
      <x:c r="C641" s="93" t="n">
        <x:v>46138</x:v>
      </x:c>
      <x:c r="D641" s="94" t="str">
        <x:v>Google Ads</x:v>
      </x:c>
      <x:c r="E641" s="94" t="str">
        <x:v>云主机/CDN</x:v>
      </x:c>
      <x:c r="F641" s="94" t="str">
        <x:v>按访问量</x:v>
      </x:c>
      <x:c r="G641" s="97" t="n">
        <x:v>0.25</x:v>
      </x:c>
      <x:c r="H641" s="94" t="str">
        <x:v>变动</x:v>
      </x:c>
      <x:c r="I641" s="94" t="str">
        <x:v>技术团队</x:v>
      </x:c>
      <x:c r="J641" s="94" t="str">
        <x:v>模拟项目运营成本；统一折算USD</x:v>
      </x:c>
    </x:row>
    <x:row r="642">
      <x:c r="A642" s="92" t="str">
        <x:v>COST-0641</x:v>
      </x:c>
      <x:c r="B642" s="94" t="str">
        <x:v>PROC-0641</x:v>
      </x:c>
      <x:c r="C642" s="93" t="n">
        <x:v>46138</x:v>
      </x:c>
      <x:c r="D642" s="94" t="str">
        <x:v>Google Ads</x:v>
      </x:c>
      <x:c r="E642" s="94" t="str">
        <x:v>数据与ETL</x:v>
      </x:c>
      <x:c r="F642" s="94" t="str">
        <x:v>按采购批次</x:v>
      </x:c>
      <x:c r="G642" s="97" t="n">
        <x:v>1.2</x:v>
      </x:c>
      <x:c r="H642" s="94" t="str">
        <x:v>变动</x:v>
      </x:c>
      <x:c r="I642" s="94" t="str">
        <x:v>数据团队</x:v>
      </x:c>
      <x:c r="J642" s="94" t="str">
        <x:v>模拟项目运营成本；统一折算USD</x:v>
      </x:c>
    </x:row>
    <x:row r="643">
      <x:c r="A643" s="92" t="str">
        <x:v>COST-0642</x:v>
      </x:c>
      <x:c r="B643" s="94" t="str">
        <x:v>PROC-0642</x:v>
      </x:c>
      <x:c r="C643" s="93" t="n">
        <x:v>46139</x:v>
      </x:c>
      <x:c r="D643" s="94" t="str">
        <x:v>Google Ads</x:v>
      </x:c>
      <x:c r="E643" s="94" t="str">
        <x:v>数据与ETL</x:v>
      </x:c>
      <x:c r="F643" s="94" t="str">
        <x:v>按采购批次</x:v>
      </x:c>
      <x:c r="G643" s="97" t="n">
        <x:v>1.61</x:v>
      </x:c>
      <x:c r="H643" s="94" t="str">
        <x:v>变动</x:v>
      </x:c>
      <x:c r="I643" s="94" t="str">
        <x:v>数据团队</x:v>
      </x:c>
      <x:c r="J643" s="94" t="str">
        <x:v>模拟项目运营成本；统一折算USD</x:v>
      </x:c>
    </x:row>
    <x:row r="644">
      <x:c r="A644" s="92" t="str">
        <x:v>COST-0643</x:v>
      </x:c>
      <x:c r="B644" s="94" t="str">
        <x:v>PROC-0643</x:v>
      </x:c>
      <x:c r="C644" s="93" t="n">
        <x:v>46139</x:v>
      </x:c>
      <x:c r="D644" s="94" t="str">
        <x:v>Google Ads</x:v>
      </x:c>
      <x:c r="E644" s="94" t="str">
        <x:v>人工运营分摊</x:v>
      </x:c>
      <x:c r="F644" s="94" t="str">
        <x:v>按工时</x:v>
      </x:c>
      <x:c r="G644" s="97" t="n">
        <x:v>3.28</x:v>
      </x:c>
      <x:c r="H644" s="94" t="str">
        <x:v>部分固定</x:v>
      </x:c>
      <x:c r="I644" s="94" t="str">
        <x:v>运营团队</x:v>
      </x:c>
      <x:c r="J644" s="94" t="str">
        <x:v>模拟项目运营成本；统一折算USD</x:v>
      </x:c>
    </x:row>
    <x:row r="645">
      <x:c r="A645" s="92" t="str">
        <x:v>COST-0644</x:v>
      </x:c>
      <x:c r="B645" s="94" t="str">
        <x:v>PROC-0644</x:v>
      </x:c>
      <x:c r="C645" s="93" t="n">
        <x:v>46139</x:v>
      </x:c>
      <x:c r="D645" s="94" t="str">
        <x:v>Google Ads</x:v>
      </x:c>
      <x:c r="E645" s="94" t="str">
        <x:v>云主机/CDN</x:v>
      </x:c>
      <x:c r="F645" s="94" t="str">
        <x:v>按访问量</x:v>
      </x:c>
      <x:c r="G645" s="97" t="n">
        <x:v>0.65</x:v>
      </x:c>
      <x:c r="H645" s="94" t="str">
        <x:v>变动</x:v>
      </x:c>
      <x:c r="I645" s="94" t="str">
        <x:v>技术团队</x:v>
      </x:c>
      <x:c r="J645" s="94" t="str">
        <x:v>模拟项目运营成本；统一折算USD</x:v>
      </x:c>
    </x:row>
    <x:row r="646">
      <x:c r="A646" s="92" t="str">
        <x:v>COST-0645</x:v>
      </x:c>
      <x:c r="B646" s="94" t="str">
        <x:v>PROC-0645</x:v>
      </x:c>
      <x:c r="C646" s="93" t="n">
        <x:v>46139</x:v>
      </x:c>
      <x:c r="D646" s="94" t="str">
        <x:v>Google Ads</x:v>
      </x:c>
      <x:c r="E646" s="94" t="str">
        <x:v>人工运营分摊</x:v>
      </x:c>
      <x:c r="F646" s="94" t="str">
        <x:v>按工时</x:v>
      </x:c>
      <x:c r="G646" s="97" t="n">
        <x:v>2.6</x:v>
      </x:c>
      <x:c r="H646" s="94" t="str">
        <x:v>部分固定</x:v>
      </x:c>
      <x:c r="I646" s="94" t="str">
        <x:v>运营团队</x:v>
      </x:c>
      <x:c r="J646" s="94" t="str">
        <x:v>模拟项目运营成本；统一折算USD</x:v>
      </x:c>
    </x:row>
    <x:row r="647">
      <x:c r="A647" s="92" t="str">
        <x:v>COST-0646</x:v>
      </x:c>
      <x:c r="B647" s="94" t="str">
        <x:v>PROC-0646</x:v>
      </x:c>
      <x:c r="C647" s="93" t="n">
        <x:v>46139</x:v>
      </x:c>
      <x:c r="D647" s="94" t="str">
        <x:v>Microsoft Ads</x:v>
      </x:c>
      <x:c r="E647" s="94" t="str">
        <x:v>云主机/CDN</x:v>
      </x:c>
      <x:c r="F647" s="94" t="str">
        <x:v>按访问量</x:v>
      </x:c>
      <x:c r="G647" s="97" t="n">
        <x:v>0.29</x:v>
      </x:c>
      <x:c r="H647" s="94" t="str">
        <x:v>变动</x:v>
      </x:c>
      <x:c r="I647" s="94" t="str">
        <x:v>技术团队</x:v>
      </x:c>
      <x:c r="J647" s="94" t="str">
        <x:v>模拟项目运营成本；统一折算USD</x:v>
      </x:c>
    </x:row>
    <x:row r="648">
      <x:c r="A648" s="92" t="str">
        <x:v>COST-0647</x:v>
      </x:c>
      <x:c r="B648" s="94" t="str">
        <x:v>PROC-0647</x:v>
      </x:c>
      <x:c r="C648" s="93" t="n">
        <x:v>46139</x:v>
      </x:c>
      <x:c r="D648" s="94" t="str">
        <x:v>Google Ads</x:v>
      </x:c>
      <x:c r="E648" s="94" t="str">
        <x:v>数据与ETL</x:v>
      </x:c>
      <x:c r="F648" s="94" t="str">
        <x:v>按采购批次</x:v>
      </x:c>
      <x:c r="G648" s="97" t="n">
        <x:v>0.59</x:v>
      </x:c>
      <x:c r="H648" s="94" t="str">
        <x:v>变动</x:v>
      </x:c>
      <x:c r="I648" s="94" t="str">
        <x:v>数据团队</x:v>
      </x:c>
      <x:c r="J648" s="94" t="str">
        <x:v>模拟项目运营成本；统一折算USD</x:v>
      </x:c>
    </x:row>
    <x:row r="649">
      <x:c r="A649" s="92" t="str">
        <x:v>COST-0648</x:v>
      </x:c>
      <x:c r="B649" s="94" t="str">
        <x:v>PROC-0648</x:v>
      </x:c>
      <x:c r="C649" s="93" t="n">
        <x:v>46140</x:v>
      </x:c>
      <x:c r="D649" s="94" t="str">
        <x:v>Google Ads</x:v>
      </x:c>
      <x:c r="E649" s="94" t="str">
        <x:v>创意素材</x:v>
      </x:c>
      <x:c r="F649" s="94" t="str">
        <x:v>按活动</x:v>
      </x:c>
      <x:c r="G649" s="97" t="n">
        <x:v>2.91</x:v>
      </x:c>
      <x:c r="H649" s="94" t="str">
        <x:v>部分固定</x:v>
      </x:c>
      <x:c r="I649" s="94" t="str">
        <x:v>增长团队</x:v>
      </x:c>
      <x:c r="J649" s="94" t="str">
        <x:v>模拟项目运营成本；统一折算USD</x:v>
      </x:c>
    </x:row>
    <x:row r="650">
      <x:c r="A650" s="92" t="str">
        <x:v>COST-0649</x:v>
      </x:c>
      <x:c r="B650" s="94" t="str">
        <x:v>PROC-0649</x:v>
      </x:c>
      <x:c r="C650" s="93" t="n">
        <x:v>46140</x:v>
      </x:c>
      <x:c r="D650" s="94" t="str">
        <x:v>Google Ads</x:v>
      </x:c>
      <x:c r="E650" s="94" t="str">
        <x:v>数据与ETL</x:v>
      </x:c>
      <x:c r="F650" s="94" t="str">
        <x:v>按采购批次</x:v>
      </x:c>
      <x:c r="G650" s="97" t="n">
        <x:v>1.8</x:v>
      </x:c>
      <x:c r="H650" s="94" t="str">
        <x:v>变动</x:v>
      </x:c>
      <x:c r="I650" s="94" t="str">
        <x:v>数据团队</x:v>
      </x:c>
      <x:c r="J650" s="94" t="str">
        <x:v>模拟项目运营成本；统一折算USD</x:v>
      </x:c>
    </x:row>
    <x:row r="651">
      <x:c r="A651" s="92" t="str">
        <x:v>COST-0650</x:v>
      </x:c>
      <x:c r="B651" s="94" t="str">
        <x:v>PROC-0650</x:v>
      </x:c>
      <x:c r="C651" s="93" t="n">
        <x:v>46140</x:v>
      </x:c>
      <x:c r="D651" s="94" t="str">
        <x:v>Google Ads</x:v>
      </x:c>
      <x:c r="E651" s="94" t="str">
        <x:v>数据与ETL</x:v>
      </x:c>
      <x:c r="F651" s="94" t="str">
        <x:v>按采购批次</x:v>
      </x:c>
      <x:c r="G651" s="97" t="n">
        <x:v>1.06</x:v>
      </x:c>
      <x:c r="H651" s="94" t="str">
        <x:v>变动</x:v>
      </x:c>
      <x:c r="I651" s="94" t="str">
        <x:v>数据团队</x:v>
      </x:c>
      <x:c r="J651" s="94" t="str">
        <x:v>模拟项目运营成本；统一折算USD</x:v>
      </x:c>
    </x:row>
    <x:row r="652">
      <x:c r="A652" s="92" t="str">
        <x:v>COST-0651</x:v>
      </x:c>
      <x:c r="B652" s="94" t="str">
        <x:v>PROC-0651</x:v>
      </x:c>
      <x:c r="C652" s="93" t="n">
        <x:v>46140</x:v>
      </x:c>
      <x:c r="D652" s="94" t="str">
        <x:v>Microsoft Ads</x:v>
      </x:c>
      <x:c r="E652" s="94" t="str">
        <x:v>云主机/CDN</x:v>
      </x:c>
      <x:c r="F652" s="94" t="str">
        <x:v>按访问量</x:v>
      </x:c>
      <x:c r="G652" s="97" t="n">
        <x:v>1.14</x:v>
      </x:c>
      <x:c r="H652" s="94" t="str">
        <x:v>变动</x:v>
      </x:c>
      <x:c r="I652" s="94" t="str">
        <x:v>技术团队</x:v>
      </x:c>
      <x:c r="J652" s="94" t="str">
        <x:v>模拟项目运营成本；统一折算USD</x:v>
      </x:c>
    </x:row>
    <x:row r="653">
      <x:c r="A653" s="92" t="str">
        <x:v>COST-0652</x:v>
      </x:c>
      <x:c r="B653" s="94" t="str">
        <x:v>PROC-0652</x:v>
      </x:c>
      <x:c r="C653" s="93" t="n">
        <x:v>46140</x:v>
      </x:c>
      <x:c r="D653" s="94" t="str">
        <x:v>Microsoft Ads</x:v>
      </x:c>
      <x:c r="E653" s="94" t="str">
        <x:v>数据与ETL</x:v>
      </x:c>
      <x:c r="F653" s="94" t="str">
        <x:v>按采购批次</x:v>
      </x:c>
      <x:c r="G653" s="97" t="n">
        <x:v>1.39</x:v>
      </x:c>
      <x:c r="H653" s="94" t="str">
        <x:v>变动</x:v>
      </x:c>
      <x:c r="I653" s="94" t="str">
        <x:v>数据团队</x:v>
      </x:c>
      <x:c r="J653" s="94" t="str">
        <x:v>模拟项目运营成本；统一折算USD</x:v>
      </x:c>
    </x:row>
    <x:row r="654">
      <x:c r="A654" s="92" t="str">
        <x:v>COST-0653</x:v>
      </x:c>
      <x:c r="B654" s="94" t="str">
        <x:v>PROC-0653</x:v>
      </x:c>
      <x:c r="C654" s="93" t="n">
        <x:v>46141</x:v>
      </x:c>
      <x:c r="D654" s="94" t="str">
        <x:v>Google Ads</x:v>
      </x:c>
      <x:c r="E654" s="94" t="str">
        <x:v>数据与ETL</x:v>
      </x:c>
      <x:c r="F654" s="94" t="str">
        <x:v>按采购批次</x:v>
      </x:c>
      <x:c r="G654" s="97" t="n">
        <x:v>1.52</x:v>
      </x:c>
      <x:c r="H654" s="94" t="str">
        <x:v>变动</x:v>
      </x:c>
      <x:c r="I654" s="94" t="str">
        <x:v>数据团队</x:v>
      </x:c>
      <x:c r="J654" s="94" t="str">
        <x:v>模拟项目运营成本；统一折算USD</x:v>
      </x:c>
    </x:row>
    <x:row r="655">
      <x:c r="A655" s="92" t="str">
        <x:v>COST-0654</x:v>
      </x:c>
      <x:c r="B655" s="94" t="str">
        <x:v>PROC-0654</x:v>
      </x:c>
      <x:c r="C655" s="93" t="n">
        <x:v>46141</x:v>
      </x:c>
      <x:c r="D655" s="94" t="str">
        <x:v>Microsoft Ads</x:v>
      </x:c>
      <x:c r="E655" s="94" t="str">
        <x:v>数据与ETL</x:v>
      </x:c>
      <x:c r="F655" s="94" t="str">
        <x:v>按采购批次</x:v>
      </x:c>
      <x:c r="G655" s="97" t="n">
        <x:v>1.57</x:v>
      </x:c>
      <x:c r="H655" s="94" t="str">
        <x:v>变动</x:v>
      </x:c>
      <x:c r="I655" s="94" t="str">
        <x:v>数据团队</x:v>
      </x:c>
      <x:c r="J655" s="94" t="str">
        <x:v>模拟项目运营成本；统一折算USD</x:v>
      </x:c>
    </x:row>
    <x:row r="656">
      <x:c r="A656" s="92" t="str">
        <x:v>COST-0655</x:v>
      </x:c>
      <x:c r="B656" s="94" t="str">
        <x:v>PROC-0655</x:v>
      </x:c>
      <x:c r="C656" s="93" t="n">
        <x:v>46141</x:v>
      </x:c>
      <x:c r="D656" s="94" t="str">
        <x:v>Google Ads</x:v>
      </x:c>
      <x:c r="E656" s="94" t="str">
        <x:v>归因与监测工具</x:v>
      </x:c>
      <x:c r="F656" s="94" t="str">
        <x:v>按点击量</x:v>
      </x:c>
      <x:c r="G656" s="97" t="n">
        <x:v>1.96</x:v>
      </x:c>
      <x:c r="H656" s="94" t="str">
        <x:v>变动</x:v>
      </x:c>
      <x:c r="I656" s="94" t="str">
        <x:v>分析团队</x:v>
      </x:c>
      <x:c r="J656" s="94" t="str">
        <x:v>模拟项目运营成本；统一折算USD</x:v>
      </x:c>
    </x:row>
    <x:row r="657">
      <x:c r="A657" s="92" t="str">
        <x:v>COST-0656</x:v>
      </x:c>
      <x:c r="B657" s="94" t="str">
        <x:v>PROC-0656</x:v>
      </x:c>
      <x:c r="C657" s="93" t="n">
        <x:v>46141</x:v>
      </x:c>
      <x:c r="D657" s="94" t="str">
        <x:v>Microsoft Ads</x:v>
      </x:c>
      <x:c r="E657" s="94" t="str">
        <x:v>数据与ETL</x:v>
      </x:c>
      <x:c r="F657" s="94" t="str">
        <x:v>按采购批次</x:v>
      </x:c>
      <x:c r="G657" s="97" t="n">
        <x:v>1.24</x:v>
      </x:c>
      <x:c r="H657" s="94" t="str">
        <x:v>变动</x:v>
      </x:c>
      <x:c r="I657" s="94" t="str">
        <x:v>数据团队</x:v>
      </x:c>
      <x:c r="J657" s="94" t="str">
        <x:v>模拟项目运营成本；统一折算USD</x:v>
      </x:c>
    </x:row>
    <x:row r="658">
      <x:c r="A658" s="92" t="str">
        <x:v>COST-0657</x:v>
      </x:c>
      <x:c r="B658" s="94" t="str">
        <x:v>PROC-0657</x:v>
      </x:c>
      <x:c r="C658" s="93" t="n">
        <x:v>46141</x:v>
      </x:c>
      <x:c r="D658" s="94" t="str">
        <x:v>Microsoft Ads</x:v>
      </x:c>
      <x:c r="E658" s="94" t="str">
        <x:v>归因与监测工具</x:v>
      </x:c>
      <x:c r="F658" s="94" t="str">
        <x:v>按点击量</x:v>
      </x:c>
      <x:c r="G658" s="97" t="n">
        <x:v>1.53</x:v>
      </x:c>
      <x:c r="H658" s="94" t="str">
        <x:v>变动</x:v>
      </x:c>
      <x:c r="I658" s="94" t="str">
        <x:v>分析团队</x:v>
      </x:c>
      <x:c r="J658" s="94" t="str">
        <x:v>模拟项目运营成本；统一折算USD</x:v>
      </x:c>
    </x:row>
    <x:row r="659">
      <x:c r="A659" s="92" t="str">
        <x:v>COST-0658</x:v>
      </x:c>
      <x:c r="B659" s="94" t="str">
        <x:v>PROC-0658</x:v>
      </x:c>
      <x:c r="C659" s="93" t="n">
        <x:v>46141</x:v>
      </x:c>
      <x:c r="D659" s="94" t="str">
        <x:v>Google Ads</x:v>
      </x:c>
      <x:c r="E659" s="94" t="str">
        <x:v>数据与ETL</x:v>
      </x:c>
      <x:c r="F659" s="94" t="str">
        <x:v>按采购批次</x:v>
      </x:c>
      <x:c r="G659" s="97" t="n">
        <x:v>0.57</x:v>
      </x:c>
      <x:c r="H659" s="94" t="str">
        <x:v>变动</x:v>
      </x:c>
      <x:c r="I659" s="94" t="str">
        <x:v>数据团队</x:v>
      </x:c>
      <x:c r="J659" s="94" t="str">
        <x:v>模拟项目运营成本；统一折算USD</x:v>
      </x:c>
    </x:row>
    <x:row r="660">
      <x:c r="A660" s="92" t="str">
        <x:v>COST-0659</x:v>
      </x:c>
      <x:c r="B660" s="94" t="str">
        <x:v>PROC-0659</x:v>
      </x:c>
      <x:c r="C660" s="93" t="n">
        <x:v>46142</x:v>
      </x:c>
      <x:c r="D660" s="94" t="str">
        <x:v>Google Ads</x:v>
      </x:c>
      <x:c r="E660" s="94" t="str">
        <x:v>数据与ETL</x:v>
      </x:c>
      <x:c r="F660" s="94" t="str">
        <x:v>按采购批次</x:v>
      </x:c>
      <x:c r="G660" s="97" t="n">
        <x:v>0.92</x:v>
      </x:c>
      <x:c r="H660" s="94" t="str">
        <x:v>变动</x:v>
      </x:c>
      <x:c r="I660" s="94" t="str">
        <x:v>数据团队</x:v>
      </x:c>
      <x:c r="J660" s="94" t="str">
        <x:v>模拟项目运营成本；统一折算USD</x:v>
      </x:c>
    </x:row>
    <x:row r="661">
      <x:c r="A661" s="92" t="str">
        <x:v>COST-0660</x:v>
      </x:c>
      <x:c r="B661" s="94" t="str">
        <x:v>PROC-0660</x:v>
      </x:c>
      <x:c r="C661" s="93" t="n">
        <x:v>46142</x:v>
      </x:c>
      <x:c r="D661" s="94" t="str">
        <x:v>Google Ads</x:v>
      </x:c>
      <x:c r="E661" s="94" t="str">
        <x:v>归因与监测工具</x:v>
      </x:c>
      <x:c r="F661" s="94" t="str">
        <x:v>按点击量</x:v>
      </x:c>
      <x:c r="G661" s="97" t="n">
        <x:v>1.36</x:v>
      </x:c>
      <x:c r="H661" s="94" t="str">
        <x:v>变动</x:v>
      </x:c>
      <x:c r="I661" s="94" t="str">
        <x:v>分析团队</x:v>
      </x:c>
      <x:c r="J661" s="94" t="str">
        <x:v>模拟项目运营成本；统一折算USD</x:v>
      </x:c>
    </x:row>
    <x:row r="662">
      <x:c r="A662" s="92" t="str">
        <x:v>COST-0661</x:v>
      </x:c>
      <x:c r="B662" s="94" t="str">
        <x:v>PROC-0661</x:v>
      </x:c>
      <x:c r="C662" s="93" t="n">
        <x:v>46142</x:v>
      </x:c>
      <x:c r="D662" s="94" t="str">
        <x:v>Google Ads</x:v>
      </x:c>
      <x:c r="E662" s="94" t="str">
        <x:v>数据与ETL</x:v>
      </x:c>
      <x:c r="F662" s="94" t="str">
        <x:v>按采购批次</x:v>
      </x:c>
      <x:c r="G662" s="97" t="n">
        <x:v>1.19</x:v>
      </x:c>
      <x:c r="H662" s="94" t="str">
        <x:v>变动</x:v>
      </x:c>
      <x:c r="I662" s="94" t="str">
        <x:v>数据团队</x:v>
      </x:c>
      <x:c r="J662" s="94" t="str">
        <x:v>模拟项目运营成本；统一折算USD</x:v>
      </x:c>
    </x:row>
    <x:row r="663">
      <x:c r="A663" s="92" t="str">
        <x:v>COST-0662</x:v>
      </x:c>
      <x:c r="B663" s="94" t="str">
        <x:v>PROC-0662</x:v>
      </x:c>
      <x:c r="C663" s="93" t="n">
        <x:v>46142</x:v>
      </x:c>
      <x:c r="D663" s="94" t="str">
        <x:v>Google Ads</x:v>
      </x:c>
      <x:c r="E663" s="94" t="str">
        <x:v>归因与监测工具</x:v>
      </x:c>
      <x:c r="F663" s="94" t="str">
        <x:v>按点击量</x:v>
      </x:c>
      <x:c r="G663" s="97" t="n">
        <x:v>1.36</x:v>
      </x:c>
      <x:c r="H663" s="94" t="str">
        <x:v>变动</x:v>
      </x:c>
      <x:c r="I663" s="94" t="str">
        <x:v>分析团队</x:v>
      </x:c>
      <x:c r="J663" s="94" t="str">
        <x:v>模拟项目运营成本；统一折算USD</x:v>
      </x:c>
    </x:row>
    <x:row r="664">
      <x:c r="A664" s="92" t="str">
        <x:v>COST-0663</x:v>
      </x:c>
      <x:c r="B664" s="94" t="str">
        <x:v>PROC-0663</x:v>
      </x:c>
      <x:c r="C664" s="93" t="n">
        <x:v>46142</x:v>
      </x:c>
      <x:c r="D664" s="94" t="str">
        <x:v>Google Ads</x:v>
      </x:c>
      <x:c r="E664" s="94" t="str">
        <x:v>数据与ETL</x:v>
      </x:c>
      <x:c r="F664" s="94" t="str">
        <x:v>按采购批次</x:v>
      </x:c>
      <x:c r="G664" s="97" t="n">
        <x:v>0.69</x:v>
      </x:c>
      <x:c r="H664" s="94" t="str">
        <x:v>变动</x:v>
      </x:c>
      <x:c r="I664" s="94" t="str">
        <x:v>数据团队</x:v>
      </x:c>
      <x:c r="J664" s="94" t="str">
        <x:v>模拟项目运营成本；统一折算USD</x:v>
      </x:c>
    </x:row>
    <x:row r="665">
      <x:c r="A665" s="92" t="str">
        <x:v>COST-0664</x:v>
      </x:c>
      <x:c r="B665" s="94" t="str">
        <x:v>PROC-0664</x:v>
      </x:c>
      <x:c r="C665" s="93" t="n">
        <x:v>46143</x:v>
      </x:c>
      <x:c r="D665" s="94" t="str">
        <x:v>Microsoft Ads</x:v>
      </x:c>
      <x:c r="E665" s="94" t="str">
        <x:v>云主机/CDN</x:v>
      </x:c>
      <x:c r="F665" s="94" t="str">
        <x:v>按访问量</x:v>
      </x:c>
      <x:c r="G665" s="97" t="n">
        <x:v>0.88</x:v>
      </x:c>
      <x:c r="H665" s="94" t="str">
        <x:v>变动</x:v>
      </x:c>
      <x:c r="I665" s="94" t="str">
        <x:v>技术团队</x:v>
      </x:c>
      <x:c r="J665" s="94" t="str">
        <x:v>模拟项目运营成本；统一折算USD</x:v>
      </x:c>
    </x:row>
    <x:row r="666">
      <x:c r="A666" s="92" t="str">
        <x:v>COST-0665</x:v>
      </x:c>
      <x:c r="B666" s="94" t="str">
        <x:v>PROC-0665</x:v>
      </x:c>
      <x:c r="C666" s="93" t="n">
        <x:v>46143</x:v>
      </x:c>
      <x:c r="D666" s="94" t="str">
        <x:v>Microsoft Ads</x:v>
      </x:c>
      <x:c r="E666" s="94" t="str">
        <x:v>数据与ETL</x:v>
      </x:c>
      <x:c r="F666" s="94" t="str">
        <x:v>按采购批次</x:v>
      </x:c>
      <x:c r="G666" s="97" t="n">
        <x:v>0.94</x:v>
      </x:c>
      <x:c r="H666" s="94" t="str">
        <x:v>变动</x:v>
      </x:c>
      <x:c r="I666" s="94" t="str">
        <x:v>数据团队</x:v>
      </x:c>
      <x:c r="J666" s="94" t="str">
        <x:v>模拟项目运营成本；统一折算USD</x:v>
      </x:c>
    </x:row>
    <x:row r="667">
      <x:c r="A667" s="92" t="str">
        <x:v>COST-0666</x:v>
      </x:c>
      <x:c r="B667" s="94" t="str">
        <x:v>PROC-0666</x:v>
      </x:c>
      <x:c r="C667" s="93" t="n">
        <x:v>46143</x:v>
      </x:c>
      <x:c r="D667" s="94" t="str">
        <x:v>Google Ads</x:v>
      </x:c>
      <x:c r="E667" s="94" t="str">
        <x:v>数据与ETL</x:v>
      </x:c>
      <x:c r="F667" s="94" t="str">
        <x:v>按采购批次</x:v>
      </x:c>
      <x:c r="G667" s="97" t="n">
        <x:v>1.64</x:v>
      </x:c>
      <x:c r="H667" s="94" t="str">
        <x:v>变动</x:v>
      </x:c>
      <x:c r="I667" s="94" t="str">
        <x:v>数据团队</x:v>
      </x:c>
      <x:c r="J667" s="94" t="str">
        <x:v>模拟项目运营成本；统一折算USD</x:v>
      </x:c>
    </x:row>
    <x:row r="668">
      <x:c r="A668" s="92" t="str">
        <x:v>COST-0667</x:v>
      </x:c>
      <x:c r="B668" s="94" t="str">
        <x:v>PROC-0667</x:v>
      </x:c>
      <x:c r="C668" s="93" t="n">
        <x:v>46143</x:v>
      </x:c>
      <x:c r="D668" s="94" t="str">
        <x:v>Google Ads</x:v>
      </x:c>
      <x:c r="E668" s="94" t="str">
        <x:v>创意素材</x:v>
      </x:c>
      <x:c r="F668" s="94" t="str">
        <x:v>按活动</x:v>
      </x:c>
      <x:c r="G668" s="97" t="n">
        <x:v>1.37</x:v>
      </x:c>
      <x:c r="H668" s="94" t="str">
        <x:v>部分固定</x:v>
      </x:c>
      <x:c r="I668" s="94" t="str">
        <x:v>增长团队</x:v>
      </x:c>
      <x:c r="J668" s="94" t="str">
        <x:v>模拟项目运营成本；统一折算USD</x:v>
      </x:c>
    </x:row>
    <x:row r="669">
      <x:c r="A669" s="92" t="str">
        <x:v>COST-0668</x:v>
      </x:c>
      <x:c r="B669" s="94" t="str">
        <x:v>PROC-0668</x:v>
      </x:c>
      <x:c r="C669" s="93" t="n">
        <x:v>46143</x:v>
      </x:c>
      <x:c r="D669" s="94" t="str">
        <x:v>Google Ads</x:v>
      </x:c>
      <x:c r="E669" s="94" t="str">
        <x:v>数据与ETL</x:v>
      </x:c>
      <x:c r="F669" s="94" t="str">
        <x:v>按采购批次</x:v>
      </x:c>
      <x:c r="G669" s="97" t="n">
        <x:v>0.69</x:v>
      </x:c>
      <x:c r="H669" s="94" t="str">
        <x:v>变动</x:v>
      </x:c>
      <x:c r="I669" s="94" t="str">
        <x:v>数据团队</x:v>
      </x:c>
      <x:c r="J669" s="94" t="str">
        <x:v>模拟项目运营成本；统一折算USD</x:v>
      </x:c>
    </x:row>
    <x:row r="670">
      <x:c r="A670" s="92" t="str">
        <x:v>COST-0669</x:v>
      </x:c>
      <x:c r="B670" s="94" t="str">
        <x:v>PROC-0669</x:v>
      </x:c>
      <x:c r="C670" s="93" t="n">
        <x:v>46143</x:v>
      </x:c>
      <x:c r="D670" s="94" t="str">
        <x:v>Microsoft Ads</x:v>
      </x:c>
      <x:c r="E670" s="94" t="str">
        <x:v>数据与ETL</x:v>
      </x:c>
      <x:c r="F670" s="94" t="str">
        <x:v>按采购批次</x:v>
      </x:c>
      <x:c r="G670" s="97" t="n">
        <x:v>0.68</x:v>
      </x:c>
      <x:c r="H670" s="94" t="str">
        <x:v>变动</x:v>
      </x:c>
      <x:c r="I670" s="94" t="str">
        <x:v>数据团队</x:v>
      </x:c>
      <x:c r="J670" s="94" t="str">
        <x:v>模拟项目运营成本；统一折算USD</x:v>
      </x:c>
    </x:row>
    <x:row r="671">
      <x:c r="A671" s="92" t="str">
        <x:v>COST-0670</x:v>
      </x:c>
      <x:c r="B671" s="94" t="str">
        <x:v>PROC-0670</x:v>
      </x:c>
      <x:c r="C671" s="93" t="n">
        <x:v>46144</x:v>
      </x:c>
      <x:c r="D671" s="94" t="str">
        <x:v>Google Ads</x:v>
      </x:c>
      <x:c r="E671" s="94" t="str">
        <x:v>归因与监测工具</x:v>
      </x:c>
      <x:c r="F671" s="94" t="str">
        <x:v>按点击量</x:v>
      </x:c>
      <x:c r="G671" s="97" t="n">
        <x:v>1.06</x:v>
      </x:c>
      <x:c r="H671" s="94" t="str">
        <x:v>变动</x:v>
      </x:c>
      <x:c r="I671" s="94" t="str">
        <x:v>分析团队</x:v>
      </x:c>
      <x:c r="J671" s="94" t="str">
        <x:v>模拟项目运营成本；统一折算USD</x:v>
      </x:c>
    </x:row>
    <x:row r="672">
      <x:c r="A672" s="92" t="str">
        <x:v>COST-0671</x:v>
      </x:c>
      <x:c r="B672" s="94" t="str">
        <x:v>PROC-0671</x:v>
      </x:c>
      <x:c r="C672" s="93" t="n">
        <x:v>46144</x:v>
      </x:c>
      <x:c r="D672" s="94" t="str">
        <x:v>Microsoft Ads</x:v>
      </x:c>
      <x:c r="E672" s="94" t="str">
        <x:v>归因与监测工具</x:v>
      </x:c>
      <x:c r="F672" s="94" t="str">
        <x:v>按点击量</x:v>
      </x:c>
      <x:c r="G672" s="97" t="n">
        <x:v>1.19</x:v>
      </x:c>
      <x:c r="H672" s="94" t="str">
        <x:v>变动</x:v>
      </x:c>
      <x:c r="I672" s="94" t="str">
        <x:v>分析团队</x:v>
      </x:c>
      <x:c r="J672" s="94" t="str">
        <x:v>模拟项目运营成本；统一折算USD</x:v>
      </x:c>
    </x:row>
    <x:row r="673">
      <x:c r="A673" s="92" t="str">
        <x:v>COST-0672</x:v>
      </x:c>
      <x:c r="B673" s="94" t="str">
        <x:v>PROC-0672</x:v>
      </x:c>
      <x:c r="C673" s="93" t="n">
        <x:v>46144</x:v>
      </x:c>
      <x:c r="D673" s="94" t="str">
        <x:v>Google Ads</x:v>
      </x:c>
      <x:c r="E673" s="94" t="str">
        <x:v>数据与ETL</x:v>
      </x:c>
      <x:c r="F673" s="94" t="str">
        <x:v>按采购批次</x:v>
      </x:c>
      <x:c r="G673" s="97" t="n">
        <x:v>1.45</x:v>
      </x:c>
      <x:c r="H673" s="94" t="str">
        <x:v>变动</x:v>
      </x:c>
      <x:c r="I673" s="94" t="str">
        <x:v>数据团队</x:v>
      </x:c>
      <x:c r="J673" s="94" t="str">
        <x:v>模拟项目运营成本；统一折算USD</x:v>
      </x:c>
    </x:row>
    <x:row r="674">
      <x:c r="A674" s="92" t="str">
        <x:v>COST-0673</x:v>
      </x:c>
      <x:c r="B674" s="94" t="str">
        <x:v>PROC-0673</x:v>
      </x:c>
      <x:c r="C674" s="93" t="n">
        <x:v>46144</x:v>
      </x:c>
      <x:c r="D674" s="94" t="str">
        <x:v>Google Ads</x:v>
      </x:c>
      <x:c r="E674" s="94" t="str">
        <x:v>云主机/CDN</x:v>
      </x:c>
      <x:c r="F674" s="94" t="str">
        <x:v>按访问量</x:v>
      </x:c>
      <x:c r="G674" s="97" t="n">
        <x:v>0.31</x:v>
      </x:c>
      <x:c r="H674" s="94" t="str">
        <x:v>变动</x:v>
      </x:c>
      <x:c r="I674" s="94" t="str">
        <x:v>技术团队</x:v>
      </x:c>
      <x:c r="J674" s="94" t="str">
        <x:v>模拟项目运营成本；统一折算USD</x:v>
      </x:c>
    </x:row>
    <x:row r="675">
      <x:c r="A675" s="92" t="str">
        <x:v>COST-0674</x:v>
      </x:c>
      <x:c r="B675" s="94" t="str">
        <x:v>PROC-0674</x:v>
      </x:c>
      <x:c r="C675" s="93" t="n">
        <x:v>46144</x:v>
      </x:c>
      <x:c r="D675" s="94" t="str">
        <x:v>Google Ads</x:v>
      </x:c>
      <x:c r="E675" s="94" t="str">
        <x:v>人工运营分摊</x:v>
      </x:c>
      <x:c r="F675" s="94" t="str">
        <x:v>按工时</x:v>
      </x:c>
      <x:c r="G675" s="97" t="n">
        <x:v>1.55</x:v>
      </x:c>
      <x:c r="H675" s="94" t="str">
        <x:v>部分固定</x:v>
      </x:c>
      <x:c r="I675" s="94" t="str">
        <x:v>运营团队</x:v>
      </x:c>
      <x:c r="J675" s="94" t="str">
        <x:v>模拟项目运营成本；统一折算USD</x:v>
      </x:c>
    </x:row>
    <x:row r="676">
      <x:c r="A676" s="92" t="str">
        <x:v>COST-0675</x:v>
      </x:c>
      <x:c r="B676" s="94" t="str">
        <x:v>PROC-0675</x:v>
      </x:c>
      <x:c r="C676" s="93" t="n">
        <x:v>46144</x:v>
      </x:c>
      <x:c r="D676" s="94" t="str">
        <x:v>Google Ads</x:v>
      </x:c>
      <x:c r="E676" s="94" t="str">
        <x:v>数据与ETL</x:v>
      </x:c>
      <x:c r="F676" s="94" t="str">
        <x:v>按采购批次</x:v>
      </x:c>
      <x:c r="G676" s="97" t="n">
        <x:v>0.58</x:v>
      </x:c>
      <x:c r="H676" s="94" t="str">
        <x:v>变动</x:v>
      </x:c>
      <x:c r="I676" s="94" t="str">
        <x:v>数据团队</x:v>
      </x:c>
      <x:c r="J676" s="94" t="str">
        <x:v>模拟项目运营成本；统一折算USD</x:v>
      </x:c>
    </x:row>
    <x:row r="677">
      <x:c r="A677" s="92" t="str">
        <x:v>COST-0676</x:v>
      </x:c>
      <x:c r="B677" s="94" t="str">
        <x:v>PROC-0676</x:v>
      </x:c>
      <x:c r="C677" s="93" t="n">
        <x:v>46145</x:v>
      </x:c>
      <x:c r="D677" s="94" t="str">
        <x:v>Microsoft Ads</x:v>
      </x:c>
      <x:c r="E677" s="94" t="str">
        <x:v>人工运营分摊</x:v>
      </x:c>
      <x:c r="F677" s="94" t="str">
        <x:v>按工时</x:v>
      </x:c>
      <x:c r="G677" s="97" t="n">
        <x:v>1.63</x:v>
      </x:c>
      <x:c r="H677" s="94" t="str">
        <x:v>部分固定</x:v>
      </x:c>
      <x:c r="I677" s="94" t="str">
        <x:v>运营团队</x:v>
      </x:c>
      <x:c r="J677" s="94" t="str">
        <x:v>模拟项目运营成本；统一折算USD</x:v>
      </x:c>
    </x:row>
    <x:row r="678">
      <x:c r="A678" s="92" t="str">
        <x:v>COST-0677</x:v>
      </x:c>
      <x:c r="B678" s="94" t="str">
        <x:v>PROC-0677</x:v>
      </x:c>
      <x:c r="C678" s="93" t="n">
        <x:v>46145</x:v>
      </x:c>
      <x:c r="D678" s="94" t="str">
        <x:v>Microsoft Ads</x:v>
      </x:c>
      <x:c r="E678" s="94" t="str">
        <x:v>数据与ETL</x:v>
      </x:c>
      <x:c r="F678" s="94" t="str">
        <x:v>按采购批次</x:v>
      </x:c>
      <x:c r="G678" s="97" t="n">
        <x:v>0.7</x:v>
      </x:c>
      <x:c r="H678" s="94" t="str">
        <x:v>变动</x:v>
      </x:c>
      <x:c r="I678" s="94" t="str">
        <x:v>数据团队</x:v>
      </x:c>
      <x:c r="J678" s="94" t="str">
        <x:v>模拟项目运营成本；统一折算USD</x:v>
      </x:c>
    </x:row>
    <x:row r="679">
      <x:c r="A679" s="92" t="str">
        <x:v>COST-0678</x:v>
      </x:c>
      <x:c r="B679" s="94" t="str">
        <x:v>PROC-0678</x:v>
      </x:c>
      <x:c r="C679" s="93" t="n">
        <x:v>46145</x:v>
      </x:c>
      <x:c r="D679" s="94" t="str">
        <x:v>Microsoft Ads</x:v>
      </x:c>
      <x:c r="E679" s="94" t="str">
        <x:v>人工运营分摊</x:v>
      </x:c>
      <x:c r="F679" s="94" t="str">
        <x:v>按工时</x:v>
      </x:c>
      <x:c r="G679" s="97" t="n">
        <x:v>4.58</x:v>
      </x:c>
      <x:c r="H679" s="94" t="str">
        <x:v>部分固定</x:v>
      </x:c>
      <x:c r="I679" s="94" t="str">
        <x:v>运营团队</x:v>
      </x:c>
      <x:c r="J679" s="94" t="str">
        <x:v>模拟项目运营成本；统一折算USD</x:v>
      </x:c>
    </x:row>
    <x:row r="680">
      <x:c r="A680" s="92" t="str">
        <x:v>COST-0679</x:v>
      </x:c>
      <x:c r="B680" s="94" t="str">
        <x:v>PROC-0679</x:v>
      </x:c>
      <x:c r="C680" s="93" t="n">
        <x:v>46145</x:v>
      </x:c>
      <x:c r="D680" s="94" t="str">
        <x:v>Google Ads</x:v>
      </x:c>
      <x:c r="E680" s="94" t="str">
        <x:v>创意素材</x:v>
      </x:c>
      <x:c r="F680" s="94" t="str">
        <x:v>按活动</x:v>
      </x:c>
      <x:c r="G680" s="97" t="n">
        <x:v>1.18</x:v>
      </x:c>
      <x:c r="H680" s="94" t="str">
        <x:v>部分固定</x:v>
      </x:c>
      <x:c r="I680" s="94" t="str">
        <x:v>增长团队</x:v>
      </x:c>
      <x:c r="J680" s="94" t="str">
        <x:v>模拟项目运营成本；统一折算USD</x:v>
      </x:c>
    </x:row>
    <x:row r="681">
      <x:c r="A681" s="92" t="str">
        <x:v>COST-0680</x:v>
      </x:c>
      <x:c r="B681" s="94" t="str">
        <x:v>PROC-0680</x:v>
      </x:c>
      <x:c r="C681" s="93" t="n">
        <x:v>46145</x:v>
      </x:c>
      <x:c r="D681" s="94" t="str">
        <x:v>Google Ads</x:v>
      </x:c>
      <x:c r="E681" s="94" t="str">
        <x:v>归因与监测工具</x:v>
      </x:c>
      <x:c r="F681" s="94" t="str">
        <x:v>按点击量</x:v>
      </x:c>
      <x:c r="G681" s="97" t="n">
        <x:v>0.54</x:v>
      </x:c>
      <x:c r="H681" s="94" t="str">
        <x:v>变动</x:v>
      </x:c>
      <x:c r="I681" s="94" t="str">
        <x:v>分析团队</x:v>
      </x:c>
      <x:c r="J681" s="94" t="str">
        <x:v>模拟项目运营成本；统一折算USD</x:v>
      </x:c>
    </x:row>
    <x:row r="682">
      <x:c r="A682" s="92" t="str">
        <x:v>COST-0681</x:v>
      </x:c>
      <x:c r="B682" s="94" t="str">
        <x:v>PROC-0681</x:v>
      </x:c>
      <x:c r="C682" s="93" t="n">
        <x:v>46146</x:v>
      </x:c>
      <x:c r="D682" s="94" t="str">
        <x:v>Microsoft Ads</x:v>
      </x:c>
      <x:c r="E682" s="94" t="str">
        <x:v>归因与监测工具</x:v>
      </x:c>
      <x:c r="F682" s="94" t="str">
        <x:v>按点击量</x:v>
      </x:c>
      <x:c r="G682" s="97" t="n">
        <x:v>1.43</x:v>
      </x:c>
      <x:c r="H682" s="94" t="str">
        <x:v>变动</x:v>
      </x:c>
      <x:c r="I682" s="94" t="str">
        <x:v>分析团队</x:v>
      </x:c>
      <x:c r="J682" s="94" t="str">
        <x:v>模拟项目运营成本；统一折算USD</x:v>
      </x:c>
    </x:row>
    <x:row r="683">
      <x:c r="A683" s="92" t="str">
        <x:v>COST-0682</x:v>
      </x:c>
      <x:c r="B683" s="94" t="str">
        <x:v>PROC-0682</x:v>
      </x:c>
      <x:c r="C683" s="93" t="n">
        <x:v>46146</x:v>
      </x:c>
      <x:c r="D683" s="94" t="str">
        <x:v>Google Ads</x:v>
      </x:c>
      <x:c r="E683" s="94" t="str">
        <x:v>创意素材</x:v>
      </x:c>
      <x:c r="F683" s="94" t="str">
        <x:v>按活动</x:v>
      </x:c>
      <x:c r="G683" s="97" t="n">
        <x:v>2.88</x:v>
      </x:c>
      <x:c r="H683" s="94" t="str">
        <x:v>部分固定</x:v>
      </x:c>
      <x:c r="I683" s="94" t="str">
        <x:v>增长团队</x:v>
      </x:c>
      <x:c r="J683" s="94" t="str">
        <x:v>模拟项目运营成本；统一折算USD</x:v>
      </x:c>
    </x:row>
    <x:row r="684">
      <x:c r="A684" s="92" t="str">
        <x:v>COST-0683</x:v>
      </x:c>
      <x:c r="B684" s="94" t="str">
        <x:v>PROC-0683</x:v>
      </x:c>
      <x:c r="C684" s="93" t="n">
        <x:v>46146</x:v>
      </x:c>
      <x:c r="D684" s="94" t="str">
        <x:v>Microsoft Ads</x:v>
      </x:c>
      <x:c r="E684" s="94" t="str">
        <x:v>人工运营分摊</x:v>
      </x:c>
      <x:c r="F684" s="94" t="str">
        <x:v>按工时</x:v>
      </x:c>
      <x:c r="G684" s="97" t="n">
        <x:v>4.37</x:v>
      </x:c>
      <x:c r="H684" s="94" t="str">
        <x:v>部分固定</x:v>
      </x:c>
      <x:c r="I684" s="94" t="str">
        <x:v>运营团队</x:v>
      </x:c>
      <x:c r="J684" s="94" t="str">
        <x:v>模拟项目运营成本；统一折算USD</x:v>
      </x:c>
    </x:row>
    <x:row r="685">
      <x:c r="A685" s="92" t="str">
        <x:v>COST-0684</x:v>
      </x:c>
      <x:c r="B685" s="94" t="str">
        <x:v>PROC-0684</x:v>
      </x:c>
      <x:c r="C685" s="93" t="n">
        <x:v>46146</x:v>
      </x:c>
      <x:c r="D685" s="94" t="str">
        <x:v>Google Ads</x:v>
      </x:c>
      <x:c r="E685" s="94" t="str">
        <x:v>数据与ETL</x:v>
      </x:c>
      <x:c r="F685" s="94" t="str">
        <x:v>按采购批次</x:v>
      </x:c>
      <x:c r="G685" s="97" t="n">
        <x:v>0.86</x:v>
      </x:c>
      <x:c r="H685" s="94" t="str">
        <x:v>变动</x:v>
      </x:c>
      <x:c r="I685" s="94" t="str">
        <x:v>数据团队</x:v>
      </x:c>
      <x:c r="J685" s="94" t="str">
        <x:v>模拟项目运营成本；统一折算USD</x:v>
      </x:c>
    </x:row>
    <x:row r="686">
      <x:c r="A686" s="92" t="str">
        <x:v>COST-0685</x:v>
      </x:c>
      <x:c r="B686" s="94" t="str">
        <x:v>PROC-0685</x:v>
      </x:c>
      <x:c r="C686" s="93" t="n">
        <x:v>46146</x:v>
      </x:c>
      <x:c r="D686" s="94" t="str">
        <x:v>Google Ads</x:v>
      </x:c>
      <x:c r="E686" s="94" t="str">
        <x:v>云主机/CDN</x:v>
      </x:c>
      <x:c r="F686" s="94" t="str">
        <x:v>按访问量</x:v>
      </x:c>
      <x:c r="G686" s="97" t="n">
        <x:v>0.7</x:v>
      </x:c>
      <x:c r="H686" s="94" t="str">
        <x:v>变动</x:v>
      </x:c>
      <x:c r="I686" s="94" t="str">
        <x:v>技术团队</x:v>
      </x:c>
      <x:c r="J686" s="94" t="str">
        <x:v>模拟项目运营成本；统一折算USD</x:v>
      </x:c>
    </x:row>
    <x:row r="687">
      <x:c r="A687" s="92" t="str">
        <x:v>COST-0686</x:v>
      </x:c>
      <x:c r="B687" s="94" t="str">
        <x:v>PROC-0686</x:v>
      </x:c>
      <x:c r="C687" s="93" t="n">
        <x:v>46146</x:v>
      </x:c>
      <x:c r="D687" s="94" t="str">
        <x:v>Google Ads</x:v>
      </x:c>
      <x:c r="E687" s="94" t="str">
        <x:v>云主机/CDN</x:v>
      </x:c>
      <x:c r="F687" s="94" t="str">
        <x:v>按访问量</x:v>
      </x:c>
      <x:c r="G687" s="97" t="n">
        <x:v>1.05</x:v>
      </x:c>
      <x:c r="H687" s="94" t="str">
        <x:v>变动</x:v>
      </x:c>
      <x:c r="I687" s="94" t="str">
        <x:v>技术团队</x:v>
      </x:c>
      <x:c r="J687" s="94" t="str">
        <x:v>模拟项目运营成本；统一折算USD</x:v>
      </x:c>
    </x:row>
    <x:row r="688">
      <x:c r="A688" s="92" t="str">
        <x:v>COST-0687</x:v>
      </x:c>
      <x:c r="B688" s="94" t="str">
        <x:v>PROC-0687</x:v>
      </x:c>
      <x:c r="C688" s="93" t="n">
        <x:v>46147</x:v>
      </x:c>
      <x:c r="D688" s="94" t="str">
        <x:v>Google Ads</x:v>
      </x:c>
      <x:c r="E688" s="94" t="str">
        <x:v>人工运营分摊</x:v>
      </x:c>
      <x:c r="F688" s="94" t="str">
        <x:v>按工时</x:v>
      </x:c>
      <x:c r="G688" s="97" t="n">
        <x:v>3.89</x:v>
      </x:c>
      <x:c r="H688" s="94" t="str">
        <x:v>部分固定</x:v>
      </x:c>
      <x:c r="I688" s="94" t="str">
        <x:v>运营团队</x:v>
      </x:c>
      <x:c r="J688" s="94" t="str">
        <x:v>模拟项目运营成本；统一折算USD</x:v>
      </x:c>
    </x:row>
    <x:row r="689">
      <x:c r="A689" s="92" t="str">
        <x:v>COST-0688</x:v>
      </x:c>
      <x:c r="B689" s="94" t="str">
        <x:v>PROC-0688</x:v>
      </x:c>
      <x:c r="C689" s="93" t="n">
        <x:v>46147</x:v>
      </x:c>
      <x:c r="D689" s="94" t="str">
        <x:v>Google Ads</x:v>
      </x:c>
      <x:c r="E689" s="94" t="str">
        <x:v>数据与ETL</x:v>
      </x:c>
      <x:c r="F689" s="94" t="str">
        <x:v>按采购批次</x:v>
      </x:c>
      <x:c r="G689" s="97" t="n">
        <x:v>1.08</x:v>
      </x:c>
      <x:c r="H689" s="94" t="str">
        <x:v>变动</x:v>
      </x:c>
      <x:c r="I689" s="94" t="str">
        <x:v>数据团队</x:v>
      </x:c>
      <x:c r="J689" s="94" t="str">
        <x:v>模拟项目运营成本；统一折算USD</x:v>
      </x:c>
    </x:row>
    <x:row r="690">
      <x:c r="A690" s="92" t="str">
        <x:v>COST-0689</x:v>
      </x:c>
      <x:c r="B690" s="94" t="str">
        <x:v>PROC-0689</x:v>
      </x:c>
      <x:c r="C690" s="93" t="n">
        <x:v>46147</x:v>
      </x:c>
      <x:c r="D690" s="94" t="str">
        <x:v>Google Ads</x:v>
      </x:c>
      <x:c r="E690" s="94" t="str">
        <x:v>创意素材</x:v>
      </x:c>
      <x:c r="F690" s="94" t="str">
        <x:v>按活动</x:v>
      </x:c>
      <x:c r="G690" s="97" t="n">
        <x:v>2.06</x:v>
      </x:c>
      <x:c r="H690" s="94" t="str">
        <x:v>部分固定</x:v>
      </x:c>
      <x:c r="I690" s="94" t="str">
        <x:v>增长团队</x:v>
      </x:c>
      <x:c r="J690" s="94" t="str">
        <x:v>模拟项目运营成本；统一折算USD</x:v>
      </x:c>
    </x:row>
    <x:row r="691">
      <x:c r="A691" s="92" t="str">
        <x:v>COST-0690</x:v>
      </x:c>
      <x:c r="B691" s="94" t="str">
        <x:v>PROC-0690</x:v>
      </x:c>
      <x:c r="C691" s="93" t="n">
        <x:v>46147</x:v>
      </x:c>
      <x:c r="D691" s="94" t="str">
        <x:v>Microsoft Ads</x:v>
      </x:c>
      <x:c r="E691" s="94" t="str">
        <x:v>归因与监测工具</x:v>
      </x:c>
      <x:c r="F691" s="94" t="str">
        <x:v>按点击量</x:v>
      </x:c>
      <x:c r="G691" s="97" t="n">
        <x:v>0.59</x:v>
      </x:c>
      <x:c r="H691" s="94" t="str">
        <x:v>变动</x:v>
      </x:c>
      <x:c r="I691" s="94" t="str">
        <x:v>分析团队</x:v>
      </x:c>
      <x:c r="J691" s="94" t="str">
        <x:v>模拟项目运营成本；统一折算USD</x:v>
      </x:c>
    </x:row>
    <x:row r="692">
      <x:c r="A692" s="92" t="str">
        <x:v>COST-0691</x:v>
      </x:c>
      <x:c r="B692" s="94" t="str">
        <x:v>PROC-0691</x:v>
      </x:c>
      <x:c r="C692" s="93" t="n">
        <x:v>46147</x:v>
      </x:c>
      <x:c r="D692" s="94" t="str">
        <x:v>Microsoft Ads</x:v>
      </x:c>
      <x:c r="E692" s="94" t="str">
        <x:v>数据与ETL</x:v>
      </x:c>
      <x:c r="F692" s="94" t="str">
        <x:v>按采购批次</x:v>
      </x:c>
      <x:c r="G692" s="97" t="n">
        <x:v>0.95</x:v>
      </x:c>
      <x:c r="H692" s="94" t="str">
        <x:v>变动</x:v>
      </x:c>
      <x:c r="I692" s="94" t="str">
        <x:v>数据团队</x:v>
      </x:c>
      <x:c r="J692" s="94" t="str">
        <x:v>模拟项目运营成本；统一折算USD</x:v>
      </x:c>
    </x:row>
    <x:row r="693">
      <x:c r="A693" s="92" t="str">
        <x:v>COST-0692</x:v>
      </x:c>
      <x:c r="B693" s="94" t="str">
        <x:v>PROC-0692</x:v>
      </x:c>
      <x:c r="C693" s="93" t="n">
        <x:v>46148</x:v>
      </x:c>
      <x:c r="D693" s="94" t="str">
        <x:v>Google Ads</x:v>
      </x:c>
      <x:c r="E693" s="94" t="str">
        <x:v>归因与监测工具</x:v>
      </x:c>
      <x:c r="F693" s="94" t="str">
        <x:v>按点击量</x:v>
      </x:c>
      <x:c r="G693" s="97" t="n">
        <x:v>0.56</x:v>
      </x:c>
      <x:c r="H693" s="94" t="str">
        <x:v>变动</x:v>
      </x:c>
      <x:c r="I693" s="94" t="str">
        <x:v>分析团队</x:v>
      </x:c>
      <x:c r="J693" s="94" t="str">
        <x:v>模拟项目运营成本；统一折算USD</x:v>
      </x:c>
    </x:row>
    <x:row r="694">
      <x:c r="A694" s="92" t="str">
        <x:v>COST-0693</x:v>
      </x:c>
      <x:c r="B694" s="94" t="str">
        <x:v>PROC-0693</x:v>
      </x:c>
      <x:c r="C694" s="93" t="n">
        <x:v>46148</x:v>
      </x:c>
      <x:c r="D694" s="94" t="str">
        <x:v>Microsoft Ads</x:v>
      </x:c>
      <x:c r="E694" s="94" t="str">
        <x:v>人工运营分摊</x:v>
      </x:c>
      <x:c r="F694" s="94" t="str">
        <x:v>按工时</x:v>
      </x:c>
      <x:c r="G694" s="97" t="n">
        <x:v>3.13</x:v>
      </x:c>
      <x:c r="H694" s="94" t="str">
        <x:v>部分固定</x:v>
      </x:c>
      <x:c r="I694" s="94" t="str">
        <x:v>运营团队</x:v>
      </x:c>
      <x:c r="J694" s="94" t="str">
        <x:v>模拟项目运营成本；统一折算USD</x:v>
      </x:c>
    </x:row>
    <x:row r="695">
      <x:c r="A695" s="92" t="str">
        <x:v>COST-0694</x:v>
      </x:c>
      <x:c r="B695" s="94" t="str">
        <x:v>PROC-0694</x:v>
      </x:c>
      <x:c r="C695" s="93" t="n">
        <x:v>46148</x:v>
      </x:c>
      <x:c r="D695" s="94" t="str">
        <x:v>Microsoft Ads</x:v>
      </x:c>
      <x:c r="E695" s="94" t="str">
        <x:v>云主机/CDN</x:v>
      </x:c>
      <x:c r="F695" s="94" t="str">
        <x:v>按访问量</x:v>
      </x:c>
      <x:c r="G695" s="97" t="n">
        <x:v>1.06</x:v>
      </x:c>
      <x:c r="H695" s="94" t="str">
        <x:v>变动</x:v>
      </x:c>
      <x:c r="I695" s="94" t="str">
        <x:v>技术团队</x:v>
      </x:c>
      <x:c r="J695" s="94" t="str">
        <x:v>模拟项目运营成本；统一折算USD</x:v>
      </x:c>
    </x:row>
    <x:row r="696">
      <x:c r="A696" s="92" t="str">
        <x:v>COST-0695</x:v>
      </x:c>
      <x:c r="B696" s="94" t="str">
        <x:v>PROC-0695</x:v>
      </x:c>
      <x:c r="C696" s="93" t="n">
        <x:v>46148</x:v>
      </x:c>
      <x:c r="D696" s="94" t="str">
        <x:v>Google Ads</x:v>
      </x:c>
      <x:c r="E696" s="94" t="str">
        <x:v>云主机/CDN</x:v>
      </x:c>
      <x:c r="F696" s="94" t="str">
        <x:v>按访问量</x:v>
      </x:c>
      <x:c r="G696" s="97" t="n">
        <x:v>0.26</x:v>
      </x:c>
      <x:c r="H696" s="94" t="str">
        <x:v>变动</x:v>
      </x:c>
      <x:c r="I696" s="94" t="str">
        <x:v>技术团队</x:v>
      </x:c>
      <x:c r="J696" s="94" t="str">
        <x:v>模拟项目运营成本；统一折算USD</x:v>
      </x:c>
    </x:row>
    <x:row r="697">
      <x:c r="A697" s="92" t="str">
        <x:v>COST-0696</x:v>
      </x:c>
      <x:c r="B697" s="94" t="str">
        <x:v>PROC-0696</x:v>
      </x:c>
      <x:c r="C697" s="93" t="n">
        <x:v>46148</x:v>
      </x:c>
      <x:c r="D697" s="94" t="str">
        <x:v>Google Ads</x:v>
      </x:c>
      <x:c r="E697" s="94" t="str">
        <x:v>人工运营分摊</x:v>
      </x:c>
      <x:c r="F697" s="94" t="str">
        <x:v>按工时</x:v>
      </x:c>
      <x:c r="G697" s="97" t="n">
        <x:v>1.9</x:v>
      </x:c>
      <x:c r="H697" s="94" t="str">
        <x:v>部分固定</x:v>
      </x:c>
      <x:c r="I697" s="94" t="str">
        <x:v>运营团队</x:v>
      </x:c>
      <x:c r="J697" s="94" t="str">
        <x:v>模拟项目运营成本；统一折算USD</x:v>
      </x:c>
    </x:row>
    <x:row r="698">
      <x:c r="A698" s="92" t="str">
        <x:v>COST-0697</x:v>
      </x:c>
      <x:c r="B698" s="94" t="str">
        <x:v>PROC-0697</x:v>
      </x:c>
      <x:c r="C698" s="93" t="n">
        <x:v>46148</x:v>
      </x:c>
      <x:c r="D698" s="94" t="str">
        <x:v>Google Ads</x:v>
      </x:c>
      <x:c r="E698" s="94" t="str">
        <x:v>云主机/CDN</x:v>
      </x:c>
      <x:c r="F698" s="94" t="str">
        <x:v>按访问量</x:v>
      </x:c>
      <x:c r="G698" s="97" t="n">
        <x:v>0.61</x:v>
      </x:c>
      <x:c r="H698" s="94" t="str">
        <x:v>变动</x:v>
      </x:c>
      <x:c r="I698" s="94" t="str">
        <x:v>技术团队</x:v>
      </x:c>
      <x:c r="J698" s="94" t="str">
        <x:v>模拟项目运营成本；统一折算USD</x:v>
      </x:c>
    </x:row>
    <x:row r="699">
      <x:c r="A699" s="92" t="str">
        <x:v>COST-0698</x:v>
      </x:c>
      <x:c r="B699" s="94" t="str">
        <x:v>PROC-0698</x:v>
      </x:c>
      <x:c r="C699" s="93" t="n">
        <x:v>46149</x:v>
      </x:c>
      <x:c r="D699" s="94" t="str">
        <x:v>Google Ads</x:v>
      </x:c>
      <x:c r="E699" s="94" t="str">
        <x:v>归因与监测工具</x:v>
      </x:c>
      <x:c r="F699" s="94" t="str">
        <x:v>按点击量</x:v>
      </x:c>
      <x:c r="G699" s="97" t="n">
        <x:v>0.56</x:v>
      </x:c>
      <x:c r="H699" s="94" t="str">
        <x:v>变动</x:v>
      </x:c>
      <x:c r="I699" s="94" t="str">
        <x:v>分析团队</x:v>
      </x:c>
      <x:c r="J699" s="94" t="str">
        <x:v>模拟项目运营成本；统一折算USD</x:v>
      </x:c>
    </x:row>
    <x:row r="700">
      <x:c r="A700" s="92" t="str">
        <x:v>COST-0699</x:v>
      </x:c>
      <x:c r="B700" s="94" t="str">
        <x:v>PROC-0699</x:v>
      </x:c>
      <x:c r="C700" s="93" t="n">
        <x:v>46149</x:v>
      </x:c>
      <x:c r="D700" s="94" t="str">
        <x:v>Google Ads</x:v>
      </x:c>
      <x:c r="E700" s="94" t="str">
        <x:v>归因与监测工具</x:v>
      </x:c>
      <x:c r="F700" s="94" t="str">
        <x:v>按点击量</x:v>
      </x:c>
      <x:c r="G700" s="97" t="n">
        <x:v>1.68</x:v>
      </x:c>
      <x:c r="H700" s="94" t="str">
        <x:v>变动</x:v>
      </x:c>
      <x:c r="I700" s="94" t="str">
        <x:v>分析团队</x:v>
      </x:c>
      <x:c r="J700" s="94" t="str">
        <x:v>模拟项目运营成本；统一折算USD</x:v>
      </x:c>
    </x:row>
    <x:row r="701">
      <x:c r="A701" s="92" t="str">
        <x:v>COST-0700</x:v>
      </x:c>
      <x:c r="B701" s="94" t="str">
        <x:v>PROC-0700</x:v>
      </x:c>
      <x:c r="C701" s="93" t="n">
        <x:v>46149</x:v>
      </x:c>
      <x:c r="D701" s="94" t="str">
        <x:v>Google Ads</x:v>
      </x:c>
      <x:c r="E701" s="94" t="str">
        <x:v>数据与ETL</x:v>
      </x:c>
      <x:c r="F701" s="94" t="str">
        <x:v>按采购批次</x:v>
      </x:c>
      <x:c r="G701" s="97" t="n">
        <x:v>0.59</x:v>
      </x:c>
      <x:c r="H701" s="94" t="str">
        <x:v>变动</x:v>
      </x:c>
      <x:c r="I701" s="94" t="str">
        <x:v>数据团队</x:v>
      </x:c>
      <x:c r="J701" s="94" t="str">
        <x:v>模拟项目运营成本；统一折算USD</x:v>
      </x:c>
    </x:row>
    <x:row r="702">
      <x:c r="A702" s="92" t="str">
        <x:v>COST-0701</x:v>
      </x:c>
      <x:c r="B702" s="94" t="str">
        <x:v>PROC-0701</x:v>
      </x:c>
      <x:c r="C702" s="93" t="n">
        <x:v>46149</x:v>
      </x:c>
      <x:c r="D702" s="94" t="str">
        <x:v>Google Ads</x:v>
      </x:c>
      <x:c r="E702" s="94" t="str">
        <x:v>人工运营分摊</x:v>
      </x:c>
      <x:c r="F702" s="94" t="str">
        <x:v>按工时</x:v>
      </x:c>
      <x:c r="G702" s="97" t="n">
        <x:v>5.08</x:v>
      </x:c>
      <x:c r="H702" s="94" t="str">
        <x:v>部分固定</x:v>
      </x:c>
      <x:c r="I702" s="94" t="str">
        <x:v>运营团队</x:v>
      </x:c>
      <x:c r="J702" s="94" t="str">
        <x:v>模拟项目运营成本；统一折算USD</x:v>
      </x:c>
    </x:row>
    <x:row r="703">
      <x:c r="A703" s="92" t="str">
        <x:v>COST-0702</x:v>
      </x:c>
      <x:c r="B703" s="94" t="str">
        <x:v>PROC-0702</x:v>
      </x:c>
      <x:c r="C703" s="93" t="n">
        <x:v>46149</x:v>
      </x:c>
      <x:c r="D703" s="94" t="str">
        <x:v>Google Ads</x:v>
      </x:c>
      <x:c r="E703" s="94" t="str">
        <x:v>数据与ETL</x:v>
      </x:c>
      <x:c r="F703" s="94" t="str">
        <x:v>按采购批次</x:v>
      </x:c>
      <x:c r="G703" s="97" t="n">
        <x:v>0.52</x:v>
      </x:c>
      <x:c r="H703" s="94" t="str">
        <x:v>变动</x:v>
      </x:c>
      <x:c r="I703" s="94" t="str">
        <x:v>数据团队</x:v>
      </x:c>
      <x:c r="J703" s="94" t="str">
        <x:v>模拟项目运营成本；统一折算USD</x:v>
      </x:c>
    </x:row>
    <x:row r="704">
      <x:c r="A704" s="92" t="str">
        <x:v>COST-0703</x:v>
      </x:c>
      <x:c r="B704" s="94" t="str">
        <x:v>PROC-0703</x:v>
      </x:c>
      <x:c r="C704" s="93" t="n">
        <x:v>46150</x:v>
      </x:c>
      <x:c r="D704" s="94" t="str">
        <x:v>Google Ads</x:v>
      </x:c>
      <x:c r="E704" s="94" t="str">
        <x:v>云主机/CDN</x:v>
      </x:c>
      <x:c r="F704" s="94" t="str">
        <x:v>按访问量</x:v>
      </x:c>
      <x:c r="G704" s="97" t="n">
        <x:v>0.43</x:v>
      </x:c>
      <x:c r="H704" s="94" t="str">
        <x:v>变动</x:v>
      </x:c>
      <x:c r="I704" s="94" t="str">
        <x:v>技术团队</x:v>
      </x:c>
      <x:c r="J704" s="94" t="str">
        <x:v>模拟项目运营成本；统一折算USD</x:v>
      </x:c>
    </x:row>
    <x:row r="705">
      <x:c r="A705" s="92" t="str">
        <x:v>COST-0704</x:v>
      </x:c>
      <x:c r="B705" s="94" t="str">
        <x:v>PROC-0704</x:v>
      </x:c>
      <x:c r="C705" s="93" t="n">
        <x:v>46150</x:v>
      </x:c>
      <x:c r="D705" s="94" t="str">
        <x:v>Google Ads</x:v>
      </x:c>
      <x:c r="E705" s="94" t="str">
        <x:v>数据与ETL</x:v>
      </x:c>
      <x:c r="F705" s="94" t="str">
        <x:v>按采购批次</x:v>
      </x:c>
      <x:c r="G705" s="97" t="n">
        <x:v>1.33</x:v>
      </x:c>
      <x:c r="H705" s="94" t="str">
        <x:v>变动</x:v>
      </x:c>
      <x:c r="I705" s="94" t="str">
        <x:v>数据团队</x:v>
      </x:c>
      <x:c r="J705" s="94" t="str">
        <x:v>模拟项目运营成本；统一折算USD</x:v>
      </x:c>
    </x:row>
    <x:row r="706">
      <x:c r="A706" s="92" t="str">
        <x:v>COST-0705</x:v>
      </x:c>
      <x:c r="B706" s="94" t="str">
        <x:v>PROC-0705</x:v>
      </x:c>
      <x:c r="C706" s="93" t="n">
        <x:v>46150</x:v>
      </x:c>
      <x:c r="D706" s="94" t="str">
        <x:v>Google Ads</x:v>
      </x:c>
      <x:c r="E706" s="94" t="str">
        <x:v>云主机/CDN</x:v>
      </x:c>
      <x:c r="F706" s="94" t="str">
        <x:v>按访问量</x:v>
      </x:c>
      <x:c r="G706" s="97" t="n">
        <x:v>0.75</x:v>
      </x:c>
      <x:c r="H706" s="94" t="str">
        <x:v>变动</x:v>
      </x:c>
      <x:c r="I706" s="94" t="str">
        <x:v>技术团队</x:v>
      </x:c>
      <x:c r="J706" s="94" t="str">
        <x:v>模拟项目运营成本；统一折算USD</x:v>
      </x:c>
    </x:row>
    <x:row r="707">
      <x:c r="A707" s="92" t="str">
        <x:v>COST-0706</x:v>
      </x:c>
      <x:c r="B707" s="94" t="str">
        <x:v>PROC-0706</x:v>
      </x:c>
      <x:c r="C707" s="93" t="n">
        <x:v>46150</x:v>
      </x:c>
      <x:c r="D707" s="94" t="str">
        <x:v>Microsoft Ads</x:v>
      </x:c>
      <x:c r="E707" s="94" t="str">
        <x:v>创意素材</x:v>
      </x:c>
      <x:c r="F707" s="94" t="str">
        <x:v>按活动</x:v>
      </x:c>
      <x:c r="G707" s="97" t="n">
        <x:v>1.93</x:v>
      </x:c>
      <x:c r="H707" s="94" t="str">
        <x:v>部分固定</x:v>
      </x:c>
      <x:c r="I707" s="94" t="str">
        <x:v>增长团队</x:v>
      </x:c>
      <x:c r="J707" s="94" t="str">
        <x:v>模拟项目运营成本；统一折算USD</x:v>
      </x:c>
    </x:row>
    <x:row r="708">
      <x:c r="A708" s="92" t="str">
        <x:v>COST-0707</x:v>
      </x:c>
      <x:c r="B708" s="94" t="str">
        <x:v>PROC-0707</x:v>
      </x:c>
      <x:c r="C708" s="93" t="n">
        <x:v>46150</x:v>
      </x:c>
      <x:c r="D708" s="94" t="str">
        <x:v>Google Ads</x:v>
      </x:c>
      <x:c r="E708" s="94" t="str">
        <x:v>云主机/CDN</x:v>
      </x:c>
      <x:c r="F708" s="94" t="str">
        <x:v>按访问量</x:v>
      </x:c>
      <x:c r="G708" s="97" t="n">
        <x:v>0.62</x:v>
      </x:c>
      <x:c r="H708" s="94" t="str">
        <x:v>变动</x:v>
      </x:c>
      <x:c r="I708" s="94" t="str">
        <x:v>技术团队</x:v>
      </x:c>
      <x:c r="J708" s="94" t="str">
        <x:v>模拟项目运营成本；统一折算USD</x:v>
      </x:c>
    </x:row>
    <x:row r="709">
      <x:c r="A709" s="92" t="str">
        <x:v>COST-0708</x:v>
      </x:c>
      <x:c r="B709" s="94" t="str">
        <x:v>PROC-0708</x:v>
      </x:c>
      <x:c r="C709" s="93" t="n">
        <x:v>46150</x:v>
      </x:c>
      <x:c r="D709" s="94" t="str">
        <x:v>Google Ads</x:v>
      </x:c>
      <x:c r="E709" s="94" t="str">
        <x:v>创意素材</x:v>
      </x:c>
      <x:c r="F709" s="94" t="str">
        <x:v>按活动</x:v>
      </x:c>
      <x:c r="G709" s="97" t="n">
        <x:v>2.14</x:v>
      </x:c>
      <x:c r="H709" s="94" t="str">
        <x:v>部分固定</x:v>
      </x:c>
      <x:c r="I709" s="94" t="str">
        <x:v>增长团队</x:v>
      </x:c>
      <x:c r="J709" s="94" t="str">
        <x:v>模拟项目运营成本；统一折算USD</x:v>
      </x:c>
    </x:row>
    <x:row r="710">
      <x:c r="A710" s="92" t="str">
        <x:v>COST-0709</x:v>
      </x:c>
      <x:c r="B710" s="94" t="str">
        <x:v>PROC-0709</x:v>
      </x:c>
      <x:c r="C710" s="93" t="n">
        <x:v>46151</x:v>
      </x:c>
      <x:c r="D710" s="94" t="str">
        <x:v>Microsoft Ads</x:v>
      </x:c>
      <x:c r="E710" s="94" t="str">
        <x:v>人工运营分摊</x:v>
      </x:c>
      <x:c r="F710" s="94" t="str">
        <x:v>按工时</x:v>
      </x:c>
      <x:c r="G710" s="97" t="n">
        <x:v>3.46</x:v>
      </x:c>
      <x:c r="H710" s="94" t="str">
        <x:v>部分固定</x:v>
      </x:c>
      <x:c r="I710" s="94" t="str">
        <x:v>运营团队</x:v>
      </x:c>
      <x:c r="J710" s="94" t="str">
        <x:v>模拟项目运营成本；统一折算USD</x:v>
      </x:c>
    </x:row>
    <x:row r="711">
      <x:c r="A711" s="92" t="str">
        <x:v>COST-0710</x:v>
      </x:c>
      <x:c r="B711" s="94" t="str">
        <x:v>PROC-0710</x:v>
      </x:c>
      <x:c r="C711" s="93" t="n">
        <x:v>46151</x:v>
      </x:c>
      <x:c r="D711" s="94" t="str">
        <x:v>Google Ads</x:v>
      </x:c>
      <x:c r="E711" s="94" t="str">
        <x:v>人工运营分摊</x:v>
      </x:c>
      <x:c r="F711" s="94" t="str">
        <x:v>按工时</x:v>
      </x:c>
      <x:c r="G711" s="97" t="n">
        <x:v>4.68</x:v>
      </x:c>
      <x:c r="H711" s="94" t="str">
        <x:v>部分固定</x:v>
      </x:c>
      <x:c r="I711" s="94" t="str">
        <x:v>运营团队</x:v>
      </x:c>
      <x:c r="J711" s="94" t="str">
        <x:v>模拟项目运营成本；统一折算USD</x:v>
      </x:c>
    </x:row>
    <x:row r="712">
      <x:c r="A712" s="92" t="str">
        <x:v>COST-0711</x:v>
      </x:c>
      <x:c r="B712" s="94" t="str">
        <x:v>PROC-0711</x:v>
      </x:c>
      <x:c r="C712" s="93" t="n">
        <x:v>46151</x:v>
      </x:c>
      <x:c r="D712" s="94" t="str">
        <x:v>Google Ads</x:v>
      </x:c>
      <x:c r="E712" s="94" t="str">
        <x:v>归因与监测工具</x:v>
      </x:c>
      <x:c r="F712" s="94" t="str">
        <x:v>按点击量</x:v>
      </x:c>
      <x:c r="G712" s="97" t="n">
        <x:v>1.53</x:v>
      </x:c>
      <x:c r="H712" s="94" t="str">
        <x:v>变动</x:v>
      </x:c>
      <x:c r="I712" s="94" t="str">
        <x:v>分析团队</x:v>
      </x:c>
      <x:c r="J712" s="94" t="str">
        <x:v>模拟项目运营成本；统一折算USD</x:v>
      </x:c>
    </x:row>
    <x:row r="713">
      <x:c r="A713" s="92" t="str">
        <x:v>COST-0712</x:v>
      </x:c>
      <x:c r="B713" s="94" t="str">
        <x:v>PROC-0712</x:v>
      </x:c>
      <x:c r="C713" s="93" t="n">
        <x:v>46151</x:v>
      </x:c>
      <x:c r="D713" s="94" t="str">
        <x:v>Microsoft Ads</x:v>
      </x:c>
      <x:c r="E713" s="94" t="str">
        <x:v>数据与ETL</x:v>
      </x:c>
      <x:c r="F713" s="94" t="str">
        <x:v>按采购批次</x:v>
      </x:c>
      <x:c r="G713" s="97" t="n">
        <x:v>1.55</x:v>
      </x:c>
      <x:c r="H713" s="94" t="str">
        <x:v>变动</x:v>
      </x:c>
      <x:c r="I713" s="94" t="str">
        <x:v>数据团队</x:v>
      </x:c>
      <x:c r="J713" s="94" t="str">
        <x:v>模拟项目运营成本；统一折算USD</x:v>
      </x:c>
    </x:row>
    <x:row r="714">
      <x:c r="A714" s="92" t="str">
        <x:v>COST-0713</x:v>
      </x:c>
      <x:c r="B714" s="94" t="str">
        <x:v>PROC-0713</x:v>
      </x:c>
      <x:c r="C714" s="93" t="n">
        <x:v>46151</x:v>
      </x:c>
      <x:c r="D714" s="94" t="str">
        <x:v>Microsoft Ads</x:v>
      </x:c>
      <x:c r="E714" s="94" t="str">
        <x:v>云主机/CDN</x:v>
      </x:c>
      <x:c r="F714" s="94" t="str">
        <x:v>按访问量</x:v>
      </x:c>
      <x:c r="G714" s="97" t="n">
        <x:v>0.92</x:v>
      </x:c>
      <x:c r="H714" s="94" t="str">
        <x:v>变动</x:v>
      </x:c>
      <x:c r="I714" s="94" t="str">
        <x:v>技术团队</x:v>
      </x:c>
      <x:c r="J714" s="94" t="str">
        <x:v>模拟项目运营成本；统一折算USD</x:v>
      </x:c>
    </x:row>
    <x:row r="715">
      <x:c r="A715" s="92" t="str">
        <x:v>COST-0714</x:v>
      </x:c>
      <x:c r="B715" s="94" t="str">
        <x:v>PROC-0714</x:v>
      </x:c>
      <x:c r="C715" s="93" t="n">
        <x:v>46152</x:v>
      </x:c>
      <x:c r="D715" s="94" t="str">
        <x:v>Microsoft Ads</x:v>
      </x:c>
      <x:c r="E715" s="94" t="str">
        <x:v>归因与监测工具</x:v>
      </x:c>
      <x:c r="F715" s="94" t="str">
        <x:v>按点击量</x:v>
      </x:c>
      <x:c r="G715" s="97" t="n">
        <x:v>0.97</x:v>
      </x:c>
      <x:c r="H715" s="94" t="str">
        <x:v>变动</x:v>
      </x:c>
      <x:c r="I715" s="94" t="str">
        <x:v>分析团队</x:v>
      </x:c>
      <x:c r="J715" s="94" t="str">
        <x:v>模拟项目运营成本；统一折算USD</x:v>
      </x:c>
    </x:row>
    <x:row r="716">
      <x:c r="A716" s="92" t="str">
        <x:v>COST-0715</x:v>
      </x:c>
      <x:c r="B716" s="94" t="str">
        <x:v>PROC-0715</x:v>
      </x:c>
      <x:c r="C716" s="93" t="n">
        <x:v>46152</x:v>
      </x:c>
      <x:c r="D716" s="94" t="str">
        <x:v>Microsoft Ads</x:v>
      </x:c>
      <x:c r="E716" s="94" t="str">
        <x:v>人工运营分摊</x:v>
      </x:c>
      <x:c r="F716" s="94" t="str">
        <x:v>按工时</x:v>
      </x:c>
      <x:c r="G716" s="97" t="n">
        <x:v>1.99</x:v>
      </x:c>
      <x:c r="H716" s="94" t="str">
        <x:v>部分固定</x:v>
      </x:c>
      <x:c r="I716" s="94" t="str">
        <x:v>运营团队</x:v>
      </x:c>
      <x:c r="J716" s="94" t="str">
        <x:v>模拟项目运营成本；统一折算USD</x:v>
      </x:c>
    </x:row>
    <x:row r="717">
      <x:c r="A717" s="92" t="str">
        <x:v>COST-0716</x:v>
      </x:c>
      <x:c r="B717" s="94" t="str">
        <x:v>PROC-0716</x:v>
      </x:c>
      <x:c r="C717" s="93" t="n">
        <x:v>46152</x:v>
      </x:c>
      <x:c r="D717" s="94" t="str">
        <x:v>Google Ads</x:v>
      </x:c>
      <x:c r="E717" s="94" t="str">
        <x:v>人工运营分摊</x:v>
      </x:c>
      <x:c r="F717" s="94" t="str">
        <x:v>按工时</x:v>
      </x:c>
      <x:c r="G717" s="97" t="n">
        <x:v>4.93</x:v>
      </x:c>
      <x:c r="H717" s="94" t="str">
        <x:v>部分固定</x:v>
      </x:c>
      <x:c r="I717" s="94" t="str">
        <x:v>运营团队</x:v>
      </x:c>
      <x:c r="J717" s="94" t="str">
        <x:v>模拟项目运营成本；统一折算USD</x:v>
      </x:c>
    </x:row>
    <x:row r="718">
      <x:c r="A718" s="92" t="str">
        <x:v>COST-0717</x:v>
      </x:c>
      <x:c r="B718" s="94" t="str">
        <x:v>PROC-0717</x:v>
      </x:c>
      <x:c r="C718" s="93" t="n">
        <x:v>46152</x:v>
      </x:c>
      <x:c r="D718" s="94" t="str">
        <x:v>Microsoft Ads</x:v>
      </x:c>
      <x:c r="E718" s="94" t="str">
        <x:v>人工运营分摊</x:v>
      </x:c>
      <x:c r="F718" s="94" t="str">
        <x:v>按工时</x:v>
      </x:c>
      <x:c r="G718" s="97" t="n">
        <x:v>1.84</x:v>
      </x:c>
      <x:c r="H718" s="94" t="str">
        <x:v>部分固定</x:v>
      </x:c>
      <x:c r="I718" s="94" t="str">
        <x:v>运营团队</x:v>
      </x:c>
      <x:c r="J718" s="94" t="str">
        <x:v>模拟项目运营成本；统一折算USD</x:v>
      </x:c>
    </x:row>
    <x:row r="719">
      <x:c r="A719" s="92" t="str">
        <x:v>COST-0718</x:v>
      </x:c>
      <x:c r="B719" s="94" t="str">
        <x:v>PROC-0718</x:v>
      </x:c>
      <x:c r="C719" s="93" t="n">
        <x:v>46152</x:v>
      </x:c>
      <x:c r="D719" s="94" t="str">
        <x:v>Google Ads</x:v>
      </x:c>
      <x:c r="E719" s="94" t="str">
        <x:v>数据与ETL</x:v>
      </x:c>
      <x:c r="F719" s="94" t="str">
        <x:v>按采购批次</x:v>
      </x:c>
      <x:c r="G719" s="97" t="n">
        <x:v>1.07</x:v>
      </x:c>
      <x:c r="H719" s="94" t="str">
        <x:v>变动</x:v>
      </x:c>
      <x:c r="I719" s="94" t="str">
        <x:v>数据团队</x:v>
      </x:c>
      <x:c r="J719" s="94" t="str">
        <x:v>模拟项目运营成本；统一折算USD</x:v>
      </x:c>
    </x:row>
    <x:row r="720">
      <x:c r="A720" s="92" t="str">
        <x:v>COST-0719</x:v>
      </x:c>
      <x:c r="B720" s="94" t="str">
        <x:v>PROC-0719</x:v>
      </x:c>
      <x:c r="C720" s="93" t="n">
        <x:v>46152</x:v>
      </x:c>
      <x:c r="D720" s="94" t="str">
        <x:v>Google Ads</x:v>
      </x:c>
      <x:c r="E720" s="94" t="str">
        <x:v>归因与监测工具</x:v>
      </x:c>
      <x:c r="F720" s="94" t="str">
        <x:v>按点击量</x:v>
      </x:c>
      <x:c r="G720" s="97" t="n">
        <x:v>1.16</x:v>
      </x:c>
      <x:c r="H720" s="94" t="str">
        <x:v>变动</x:v>
      </x:c>
      <x:c r="I720" s="94" t="str">
        <x:v>分析团队</x:v>
      </x:c>
      <x:c r="J720" s="94" t="str">
        <x:v>模拟项目运营成本；统一折算USD</x:v>
      </x:c>
    </x:row>
    <x:row r="721">
      <x:c r="A721" s="92" t="str">
        <x:v>COST-0720</x:v>
      </x:c>
      <x:c r="B721" s="94" t="str">
        <x:v>PROC-0720</x:v>
      </x:c>
      <x:c r="C721" s="93" t="n">
        <x:v>46153</x:v>
      </x:c>
      <x:c r="D721" s="94" t="str">
        <x:v>Microsoft Ads</x:v>
      </x:c>
      <x:c r="E721" s="94" t="str">
        <x:v>归因与监测工具</x:v>
      </x:c>
      <x:c r="F721" s="94" t="str">
        <x:v>按点击量</x:v>
      </x:c>
      <x:c r="G721" s="97" t="n">
        <x:v>1.01</x:v>
      </x:c>
      <x:c r="H721" s="94" t="str">
        <x:v>变动</x:v>
      </x:c>
      <x:c r="I721" s="94" t="str">
        <x:v>分析团队</x:v>
      </x:c>
      <x:c r="J721" s="94" t="str">
        <x:v>模拟项目运营成本；统一折算USD</x:v>
      </x:c>
    </x:row>
    <x:row r="722">
      <x:c r="A722" s="92" t="str">
        <x:v>COST-0721</x:v>
      </x:c>
      <x:c r="B722" s="94" t="str">
        <x:v>PROC-0721</x:v>
      </x:c>
      <x:c r="C722" s="93" t="n">
        <x:v>46153</x:v>
      </x:c>
      <x:c r="D722" s="94" t="str">
        <x:v>Google Ads</x:v>
      </x:c>
      <x:c r="E722" s="94" t="str">
        <x:v>云主机/CDN</x:v>
      </x:c>
      <x:c r="F722" s="94" t="str">
        <x:v>按访问量</x:v>
      </x:c>
      <x:c r="G722" s="97" t="n">
        <x:v>0.55</x:v>
      </x:c>
      <x:c r="H722" s="94" t="str">
        <x:v>变动</x:v>
      </x:c>
      <x:c r="I722" s="94" t="str">
        <x:v>技术团队</x:v>
      </x:c>
      <x:c r="J722" s="94" t="str">
        <x:v>模拟项目运营成本；统一折算USD</x:v>
      </x:c>
    </x:row>
    <x:row r="723">
      <x:c r="A723" s="92" t="str">
        <x:v>COST-0722</x:v>
      </x:c>
      <x:c r="B723" s="94" t="str">
        <x:v>PROC-0722</x:v>
      </x:c>
      <x:c r="C723" s="93" t="n">
        <x:v>46153</x:v>
      </x:c>
      <x:c r="D723" s="94" t="str">
        <x:v>Microsoft Ads</x:v>
      </x:c>
      <x:c r="E723" s="94" t="str">
        <x:v>创意素材</x:v>
      </x:c>
      <x:c r="F723" s="94" t="str">
        <x:v>按活动</x:v>
      </x:c>
      <x:c r="G723" s="97" t="n">
        <x:v>2.86</x:v>
      </x:c>
      <x:c r="H723" s="94" t="str">
        <x:v>部分固定</x:v>
      </x:c>
      <x:c r="I723" s="94" t="str">
        <x:v>增长团队</x:v>
      </x:c>
      <x:c r="J723" s="94" t="str">
        <x:v>模拟项目运营成本；统一折算USD</x:v>
      </x:c>
    </x:row>
    <x:row r="724">
      <x:c r="A724" s="92" t="str">
        <x:v>COST-0723</x:v>
      </x:c>
      <x:c r="B724" s="94" t="str">
        <x:v>PROC-0723</x:v>
      </x:c>
      <x:c r="C724" s="93" t="n">
        <x:v>46153</x:v>
      </x:c>
      <x:c r="D724" s="94" t="str">
        <x:v>Microsoft Ads</x:v>
      </x:c>
      <x:c r="E724" s="94" t="str">
        <x:v>归因与监测工具</x:v>
      </x:c>
      <x:c r="F724" s="94" t="str">
        <x:v>按点击量</x:v>
      </x:c>
      <x:c r="G724" s="97" t="n">
        <x:v>0.61</x:v>
      </x:c>
      <x:c r="H724" s="94" t="str">
        <x:v>变动</x:v>
      </x:c>
      <x:c r="I724" s="94" t="str">
        <x:v>分析团队</x:v>
      </x:c>
      <x:c r="J724" s="94" t="str">
        <x:v>模拟项目运营成本；统一折算USD</x:v>
      </x:c>
    </x:row>
    <x:row r="725">
      <x:c r="A725" s="92" t="str">
        <x:v>COST-0724</x:v>
      </x:c>
      <x:c r="B725" s="94" t="str">
        <x:v>PROC-0724</x:v>
      </x:c>
      <x:c r="C725" s="93" t="n">
        <x:v>46153</x:v>
      </x:c>
      <x:c r="D725" s="94" t="str">
        <x:v>Google Ads</x:v>
      </x:c>
      <x:c r="E725" s="94" t="str">
        <x:v>归因与监测工具</x:v>
      </x:c>
      <x:c r="F725" s="94" t="str">
        <x:v>按点击量</x:v>
      </x:c>
      <x:c r="G725" s="97" t="n">
        <x:v>0.76</x:v>
      </x:c>
      <x:c r="H725" s="94" t="str">
        <x:v>变动</x:v>
      </x:c>
      <x:c r="I725" s="94" t="str">
        <x:v>分析团队</x:v>
      </x:c>
      <x:c r="J725" s="94" t="str">
        <x:v>模拟项目运营成本；统一折算USD</x:v>
      </x:c>
    </x:row>
    <x:row r="726">
      <x:c r="A726" s="92" t="str">
        <x:v>COST-0725</x:v>
      </x:c>
      <x:c r="B726" s="94" t="str">
        <x:v>PROC-0725</x:v>
      </x:c>
      <x:c r="C726" s="93" t="n">
        <x:v>46154</x:v>
      </x:c>
      <x:c r="D726" s="94" t="str">
        <x:v>Google Ads</x:v>
      </x:c>
      <x:c r="E726" s="94" t="str">
        <x:v>归因与监测工具</x:v>
      </x:c>
      <x:c r="F726" s="94" t="str">
        <x:v>按点击量</x:v>
      </x:c>
      <x:c r="G726" s="97" t="n">
        <x:v>1.67</x:v>
      </x:c>
      <x:c r="H726" s="94" t="str">
        <x:v>变动</x:v>
      </x:c>
      <x:c r="I726" s="94" t="str">
        <x:v>分析团队</x:v>
      </x:c>
      <x:c r="J726" s="94" t="str">
        <x:v>模拟项目运营成本；统一折算USD</x:v>
      </x:c>
    </x:row>
    <x:row r="727">
      <x:c r="A727" s="92" t="str">
        <x:v>COST-0726</x:v>
      </x:c>
      <x:c r="B727" s="94" t="str">
        <x:v>PROC-0726</x:v>
      </x:c>
      <x:c r="C727" s="93" t="n">
        <x:v>46154</x:v>
      </x:c>
      <x:c r="D727" s="94" t="str">
        <x:v>Google Ads</x:v>
      </x:c>
      <x:c r="E727" s="94" t="str">
        <x:v>人工运营分摊</x:v>
      </x:c>
      <x:c r="F727" s="94" t="str">
        <x:v>按工时</x:v>
      </x:c>
      <x:c r="G727" s="97" t="n">
        <x:v>3.87</x:v>
      </x:c>
      <x:c r="H727" s="94" t="str">
        <x:v>部分固定</x:v>
      </x:c>
      <x:c r="I727" s="94" t="str">
        <x:v>运营团队</x:v>
      </x:c>
      <x:c r="J727" s="94" t="str">
        <x:v>模拟项目运营成本；统一折算USD</x:v>
      </x:c>
    </x:row>
    <x:row r="728">
      <x:c r="A728" s="92" t="str">
        <x:v>COST-0727</x:v>
      </x:c>
      <x:c r="B728" s="94" t="str">
        <x:v>PROC-0727</x:v>
      </x:c>
      <x:c r="C728" s="93" t="n">
        <x:v>46154</x:v>
      </x:c>
      <x:c r="D728" s="94" t="str">
        <x:v>Google Ads</x:v>
      </x:c>
      <x:c r="E728" s="94" t="str">
        <x:v>云主机/CDN</x:v>
      </x:c>
      <x:c r="F728" s="94" t="str">
        <x:v>按访问量</x:v>
      </x:c>
      <x:c r="G728" s="97" t="n">
        <x:v>0.35</x:v>
      </x:c>
      <x:c r="H728" s="94" t="str">
        <x:v>变动</x:v>
      </x:c>
      <x:c r="I728" s="94" t="str">
        <x:v>技术团队</x:v>
      </x:c>
      <x:c r="J728" s="94" t="str">
        <x:v>模拟项目运营成本；统一折算USD</x:v>
      </x:c>
    </x:row>
    <x:row r="729">
      <x:c r="A729" s="92" t="str">
        <x:v>COST-0728</x:v>
      </x:c>
      <x:c r="B729" s="94" t="str">
        <x:v>PROC-0728</x:v>
      </x:c>
      <x:c r="C729" s="93" t="n">
        <x:v>46154</x:v>
      </x:c>
      <x:c r="D729" s="94" t="str">
        <x:v>Microsoft Ads</x:v>
      </x:c>
      <x:c r="E729" s="94" t="str">
        <x:v>数据与ETL</x:v>
      </x:c>
      <x:c r="F729" s="94" t="str">
        <x:v>按采购批次</x:v>
      </x:c>
      <x:c r="G729" s="97" t="n">
        <x:v>0.62</x:v>
      </x:c>
      <x:c r="H729" s="94" t="str">
        <x:v>变动</x:v>
      </x:c>
      <x:c r="I729" s="94" t="str">
        <x:v>数据团队</x:v>
      </x:c>
      <x:c r="J729" s="94" t="str">
        <x:v>模拟项目运营成本；统一折算USD</x:v>
      </x:c>
    </x:row>
    <x:row r="730">
      <x:c r="A730" s="92" t="str">
        <x:v>COST-0729</x:v>
      </x:c>
      <x:c r="B730" s="94" t="str">
        <x:v>PROC-0729</x:v>
      </x:c>
      <x:c r="C730" s="93" t="n">
        <x:v>46154</x:v>
      </x:c>
      <x:c r="D730" s="94" t="str">
        <x:v>Microsoft Ads</x:v>
      </x:c>
      <x:c r="E730" s="94" t="str">
        <x:v>云主机/CDN</x:v>
      </x:c>
      <x:c r="F730" s="94" t="str">
        <x:v>按访问量</x:v>
      </x:c>
      <x:c r="G730" s="97" t="n">
        <x:v>0.7</x:v>
      </x:c>
      <x:c r="H730" s="94" t="str">
        <x:v>变动</x:v>
      </x:c>
      <x:c r="I730" s="94" t="str">
        <x:v>技术团队</x:v>
      </x:c>
      <x:c r="J730" s="94" t="str">
        <x:v>模拟项目运营成本；统一折算USD</x:v>
      </x:c>
    </x:row>
    <x:row r="731">
      <x:c r="A731" s="92" t="str">
        <x:v>COST-0730</x:v>
      </x:c>
      <x:c r="B731" s="94" t="str">
        <x:v>PROC-0730</x:v>
      </x:c>
      <x:c r="C731" s="93" t="n">
        <x:v>46154</x:v>
      </x:c>
      <x:c r="D731" s="94" t="str">
        <x:v>Google Ads</x:v>
      </x:c>
      <x:c r="E731" s="94" t="str">
        <x:v>归因与监测工具</x:v>
      </x:c>
      <x:c r="F731" s="94" t="str">
        <x:v>按点击量</x:v>
      </x:c>
      <x:c r="G731" s="97" t="n">
        <x:v>0.69</x:v>
      </x:c>
      <x:c r="H731" s="94" t="str">
        <x:v>变动</x:v>
      </x:c>
      <x:c r="I731" s="94" t="str">
        <x:v>分析团队</x:v>
      </x:c>
      <x:c r="J731" s="94" t="str">
        <x:v>模拟项目运营成本；统一折算USD</x:v>
      </x:c>
    </x:row>
    <x:row r="732">
      <x:c r="A732" s="92" t="str">
        <x:v>COST-0731</x:v>
      </x:c>
      <x:c r="B732" s="94" t="str">
        <x:v>PROC-0731</x:v>
      </x:c>
      <x:c r="C732" s="93" t="n">
        <x:v>46155</x:v>
      </x:c>
      <x:c r="D732" s="94" t="str">
        <x:v>Google Ads</x:v>
      </x:c>
      <x:c r="E732" s="94" t="str">
        <x:v>人工运营分摊</x:v>
      </x:c>
      <x:c r="F732" s="94" t="str">
        <x:v>按工时</x:v>
      </x:c>
      <x:c r="G732" s="97" t="n">
        <x:v>3.24</x:v>
      </x:c>
      <x:c r="H732" s="94" t="str">
        <x:v>部分固定</x:v>
      </x:c>
      <x:c r="I732" s="94" t="str">
        <x:v>运营团队</x:v>
      </x:c>
      <x:c r="J732" s="94" t="str">
        <x:v>模拟项目运营成本；统一折算USD</x:v>
      </x:c>
    </x:row>
    <x:row r="733">
      <x:c r="A733" s="92" t="str">
        <x:v>COST-0732</x:v>
      </x:c>
      <x:c r="B733" s="94" t="str">
        <x:v>PROC-0732</x:v>
      </x:c>
      <x:c r="C733" s="93" t="n">
        <x:v>46155</x:v>
      </x:c>
      <x:c r="D733" s="94" t="str">
        <x:v>Google Ads</x:v>
      </x:c>
      <x:c r="E733" s="94" t="str">
        <x:v>归因与监测工具</x:v>
      </x:c>
      <x:c r="F733" s="94" t="str">
        <x:v>按点击量</x:v>
      </x:c>
      <x:c r="G733" s="97" t="n">
        <x:v>0.61</x:v>
      </x:c>
      <x:c r="H733" s="94" t="str">
        <x:v>变动</x:v>
      </x:c>
      <x:c r="I733" s="94" t="str">
        <x:v>分析团队</x:v>
      </x:c>
      <x:c r="J733" s="94" t="str">
        <x:v>模拟项目运营成本；统一折算USD</x:v>
      </x:c>
    </x:row>
    <x:row r="734">
      <x:c r="A734" s="92" t="str">
        <x:v>COST-0733</x:v>
      </x:c>
      <x:c r="B734" s="94" t="str">
        <x:v>PROC-0733</x:v>
      </x:c>
      <x:c r="C734" s="93" t="n">
        <x:v>46155</x:v>
      </x:c>
      <x:c r="D734" s="94" t="str">
        <x:v>Google Ads</x:v>
      </x:c>
      <x:c r="E734" s="94" t="str">
        <x:v>数据与ETL</x:v>
      </x:c>
      <x:c r="F734" s="94" t="str">
        <x:v>按采购批次</x:v>
      </x:c>
      <x:c r="G734" s="97" t="n">
        <x:v>1.53</x:v>
      </x:c>
      <x:c r="H734" s="94" t="str">
        <x:v>变动</x:v>
      </x:c>
      <x:c r="I734" s="94" t="str">
        <x:v>数据团队</x:v>
      </x:c>
      <x:c r="J734" s="94" t="str">
        <x:v>模拟项目运营成本；统一折算USD</x:v>
      </x:c>
    </x:row>
    <x:row r="735">
      <x:c r="A735" s="92" t="str">
        <x:v>COST-0734</x:v>
      </x:c>
      <x:c r="B735" s="94" t="str">
        <x:v>PROC-0734</x:v>
      </x:c>
      <x:c r="C735" s="93" t="n">
        <x:v>46155</x:v>
      </x:c>
      <x:c r="D735" s="94" t="str">
        <x:v>Google Ads</x:v>
      </x:c>
      <x:c r="E735" s="94" t="str">
        <x:v>数据与ETL</x:v>
      </x:c>
      <x:c r="F735" s="94" t="str">
        <x:v>按采购批次</x:v>
      </x:c>
      <x:c r="G735" s="97" t="n">
        <x:v>0.77</x:v>
      </x:c>
      <x:c r="H735" s="94" t="str">
        <x:v>变动</x:v>
      </x:c>
      <x:c r="I735" s="94" t="str">
        <x:v>数据团队</x:v>
      </x:c>
      <x:c r="J735" s="94" t="str">
        <x:v>模拟项目运营成本；统一折算USD</x:v>
      </x:c>
    </x:row>
    <x:row r="736">
      <x:c r="A736" s="92" t="str">
        <x:v>COST-0735</x:v>
      </x:c>
      <x:c r="B736" s="94" t="str">
        <x:v>PROC-0735</x:v>
      </x:c>
      <x:c r="C736" s="93" t="n">
        <x:v>46155</x:v>
      </x:c>
      <x:c r="D736" s="94" t="str">
        <x:v>Google Ads</x:v>
      </x:c>
      <x:c r="E736" s="94" t="str">
        <x:v>归因与监测工具</x:v>
      </x:c>
      <x:c r="F736" s="94" t="str">
        <x:v>按点击量</x:v>
      </x:c>
      <x:c r="G736" s="97" t="n">
        <x:v>0.72</x:v>
      </x:c>
      <x:c r="H736" s="94" t="str">
        <x:v>变动</x:v>
      </x:c>
      <x:c r="I736" s="94" t="str">
        <x:v>分析团队</x:v>
      </x:c>
      <x:c r="J736" s="94" t="str">
        <x:v>模拟项目运营成本；统一折算USD</x:v>
      </x:c>
    </x:row>
    <x:row r="737">
      <x:c r="A737" s="92" t="str">
        <x:v>COST-0736</x:v>
      </x:c>
      <x:c r="B737" s="94" t="str">
        <x:v>PROC-0736</x:v>
      </x:c>
      <x:c r="C737" s="93" t="n">
        <x:v>46156</x:v>
      </x:c>
      <x:c r="D737" s="94" t="str">
        <x:v>Google Ads</x:v>
      </x:c>
      <x:c r="E737" s="94" t="str">
        <x:v>数据与ETL</x:v>
      </x:c>
      <x:c r="F737" s="94" t="str">
        <x:v>按采购批次</x:v>
      </x:c>
      <x:c r="G737" s="97" t="n">
        <x:v>1.08</x:v>
      </x:c>
      <x:c r="H737" s="94" t="str">
        <x:v>变动</x:v>
      </x:c>
      <x:c r="I737" s="94" t="str">
        <x:v>数据团队</x:v>
      </x:c>
      <x:c r="J737" s="94" t="str">
        <x:v>模拟项目运营成本；统一折算USD</x:v>
      </x:c>
    </x:row>
    <x:row r="738">
      <x:c r="A738" s="92" t="str">
        <x:v>COST-0737</x:v>
      </x:c>
      <x:c r="B738" s="94" t="str">
        <x:v>PROC-0737</x:v>
      </x:c>
      <x:c r="C738" s="93" t="n">
        <x:v>46156</x:v>
      </x:c>
      <x:c r="D738" s="94" t="str">
        <x:v>Google Ads</x:v>
      </x:c>
      <x:c r="E738" s="94" t="str">
        <x:v>数据与ETL</x:v>
      </x:c>
      <x:c r="F738" s="94" t="str">
        <x:v>按采购批次</x:v>
      </x:c>
      <x:c r="G738" s="97" t="n">
        <x:v>1.68</x:v>
      </x:c>
      <x:c r="H738" s="94" t="str">
        <x:v>变动</x:v>
      </x:c>
      <x:c r="I738" s="94" t="str">
        <x:v>数据团队</x:v>
      </x:c>
      <x:c r="J738" s="94" t="str">
        <x:v>模拟项目运营成本；统一折算USD</x:v>
      </x:c>
    </x:row>
    <x:row r="739">
      <x:c r="A739" s="92" t="str">
        <x:v>COST-0738</x:v>
      </x:c>
      <x:c r="B739" s="94" t="str">
        <x:v>PROC-0738</x:v>
      </x:c>
      <x:c r="C739" s="93" t="n">
        <x:v>46156</x:v>
      </x:c>
      <x:c r="D739" s="94" t="str">
        <x:v>Microsoft Ads</x:v>
      </x:c>
      <x:c r="E739" s="94" t="str">
        <x:v>人工运营分摊</x:v>
      </x:c>
      <x:c r="F739" s="94" t="str">
        <x:v>按工时</x:v>
      </x:c>
      <x:c r="G739" s="97" t="n">
        <x:v>4.6</x:v>
      </x:c>
      <x:c r="H739" s="94" t="str">
        <x:v>部分固定</x:v>
      </x:c>
      <x:c r="I739" s="94" t="str">
        <x:v>运营团队</x:v>
      </x:c>
      <x:c r="J739" s="94" t="str">
        <x:v>模拟项目运营成本；统一折算USD</x:v>
      </x:c>
    </x:row>
    <x:row r="740">
      <x:c r="A740" s="92" t="str">
        <x:v>COST-0739</x:v>
      </x:c>
      <x:c r="B740" s="94" t="str">
        <x:v>PROC-0739</x:v>
      </x:c>
      <x:c r="C740" s="93" t="n">
        <x:v>46156</x:v>
      </x:c>
      <x:c r="D740" s="94" t="str">
        <x:v>Google Ads</x:v>
      </x:c>
      <x:c r="E740" s="94" t="str">
        <x:v>归因与监测工具</x:v>
      </x:c>
      <x:c r="F740" s="94" t="str">
        <x:v>按点击量</x:v>
      </x:c>
      <x:c r="G740" s="97" t="n">
        <x:v>0.83</x:v>
      </x:c>
      <x:c r="H740" s="94" t="str">
        <x:v>变动</x:v>
      </x:c>
      <x:c r="I740" s="94" t="str">
        <x:v>分析团队</x:v>
      </x:c>
      <x:c r="J740" s="94" t="str">
        <x:v>模拟项目运营成本；统一折算USD</x:v>
      </x:c>
    </x:row>
    <x:row r="741">
      <x:c r="A741" s="92" t="str">
        <x:v>COST-0740</x:v>
      </x:c>
      <x:c r="B741" s="94" t="str">
        <x:v>PROC-0740</x:v>
      </x:c>
      <x:c r="C741" s="93" t="n">
        <x:v>46156</x:v>
      </x:c>
      <x:c r="D741" s="94" t="str">
        <x:v>Google Ads</x:v>
      </x:c>
      <x:c r="E741" s="94" t="str">
        <x:v>云主机/CDN</x:v>
      </x:c>
      <x:c r="F741" s="94" t="str">
        <x:v>按访问量</x:v>
      </x:c>
      <x:c r="G741" s="97" t="n">
        <x:v>0.43</x:v>
      </x:c>
      <x:c r="H741" s="94" t="str">
        <x:v>变动</x:v>
      </x:c>
      <x:c r="I741" s="94" t="str">
        <x:v>技术团队</x:v>
      </x:c>
      <x:c r="J741" s="94" t="str">
        <x:v>模拟项目运营成本；统一折算USD</x:v>
      </x:c>
    </x:row>
    <x:row r="742">
      <x:c r="A742" s="92" t="str">
        <x:v>COST-0741</x:v>
      </x:c>
      <x:c r="B742" s="94" t="str">
        <x:v>PROC-0741</x:v>
      </x:c>
      <x:c r="C742" s="93" t="n">
        <x:v>46156</x:v>
      </x:c>
      <x:c r="D742" s="94" t="str">
        <x:v>Google Ads</x:v>
      </x:c>
      <x:c r="E742" s="94" t="str">
        <x:v>云主机/CDN</x:v>
      </x:c>
      <x:c r="F742" s="94" t="str">
        <x:v>按访问量</x:v>
      </x:c>
      <x:c r="G742" s="97" t="n">
        <x:v>0.49</x:v>
      </x:c>
      <x:c r="H742" s="94" t="str">
        <x:v>变动</x:v>
      </x:c>
      <x:c r="I742" s="94" t="str">
        <x:v>技术团队</x:v>
      </x:c>
      <x:c r="J742" s="94" t="str">
        <x:v>模拟项目运营成本；统一折算USD</x:v>
      </x:c>
    </x:row>
    <x:row r="743">
      <x:c r="A743" s="92" t="str">
        <x:v>COST-0742</x:v>
      </x:c>
      <x:c r="B743" s="94" t="str">
        <x:v>PROC-0742</x:v>
      </x:c>
      <x:c r="C743" s="93" t="n">
        <x:v>46157</x:v>
      </x:c>
      <x:c r="D743" s="94" t="str">
        <x:v>Microsoft Ads</x:v>
      </x:c>
      <x:c r="E743" s="94" t="str">
        <x:v>归因与监测工具</x:v>
      </x:c>
      <x:c r="F743" s="94" t="str">
        <x:v>按点击量</x:v>
      </x:c>
      <x:c r="G743" s="97" t="n">
        <x:v>1.47</x:v>
      </x:c>
      <x:c r="H743" s="94" t="str">
        <x:v>变动</x:v>
      </x:c>
      <x:c r="I743" s="94" t="str">
        <x:v>分析团队</x:v>
      </x:c>
      <x:c r="J743" s="94" t="str">
        <x:v>模拟项目运营成本；统一折算USD</x:v>
      </x:c>
    </x:row>
    <x:row r="744">
      <x:c r="A744" s="92" t="str">
        <x:v>COST-0743</x:v>
      </x:c>
      <x:c r="B744" s="94" t="str">
        <x:v>PROC-0743</x:v>
      </x:c>
      <x:c r="C744" s="93" t="n">
        <x:v>46157</x:v>
      </x:c>
      <x:c r="D744" s="94" t="str">
        <x:v>Google Ads</x:v>
      </x:c>
      <x:c r="E744" s="94" t="str">
        <x:v>创意素材</x:v>
      </x:c>
      <x:c r="F744" s="94" t="str">
        <x:v>按活动</x:v>
      </x:c>
      <x:c r="G744" s="97" t="n">
        <x:v>2.96</x:v>
      </x:c>
      <x:c r="H744" s="94" t="str">
        <x:v>部分固定</x:v>
      </x:c>
      <x:c r="I744" s="94" t="str">
        <x:v>增长团队</x:v>
      </x:c>
      <x:c r="J744" s="94" t="str">
        <x:v>模拟项目运营成本；统一折算USD</x:v>
      </x:c>
    </x:row>
    <x:row r="745">
      <x:c r="A745" s="92" t="str">
        <x:v>COST-0744</x:v>
      </x:c>
      <x:c r="B745" s="94" t="str">
        <x:v>PROC-0744</x:v>
      </x:c>
      <x:c r="C745" s="93" t="n">
        <x:v>46157</x:v>
      </x:c>
      <x:c r="D745" s="94" t="str">
        <x:v>Google Ads</x:v>
      </x:c>
      <x:c r="E745" s="94" t="str">
        <x:v>云主机/CDN</x:v>
      </x:c>
      <x:c r="F745" s="94" t="str">
        <x:v>按访问量</x:v>
      </x:c>
      <x:c r="G745" s="97" t="n">
        <x:v>0.51</x:v>
      </x:c>
      <x:c r="H745" s="94" t="str">
        <x:v>变动</x:v>
      </x:c>
      <x:c r="I745" s="94" t="str">
        <x:v>技术团队</x:v>
      </x:c>
      <x:c r="J745" s="94" t="str">
        <x:v>模拟项目运营成本；统一折算USD</x:v>
      </x:c>
    </x:row>
    <x:row r="746">
      <x:c r="A746" s="92" t="str">
        <x:v>COST-0745</x:v>
      </x:c>
      <x:c r="B746" s="94" t="str">
        <x:v>PROC-0745</x:v>
      </x:c>
      <x:c r="C746" s="93" t="n">
        <x:v>46157</x:v>
      </x:c>
      <x:c r="D746" s="94" t="str">
        <x:v>Google Ads</x:v>
      </x:c>
      <x:c r="E746" s="94" t="str">
        <x:v>数据与ETL</x:v>
      </x:c>
      <x:c r="F746" s="94" t="str">
        <x:v>按采购批次</x:v>
      </x:c>
      <x:c r="G746" s="97" t="n">
        <x:v>0.66</x:v>
      </x:c>
      <x:c r="H746" s="94" t="str">
        <x:v>变动</x:v>
      </x:c>
      <x:c r="I746" s="94" t="str">
        <x:v>数据团队</x:v>
      </x:c>
      <x:c r="J746" s="94" t="str">
        <x:v>模拟项目运营成本；统一折算USD</x:v>
      </x:c>
    </x:row>
    <x:row r="747">
      <x:c r="A747" s="92" t="str">
        <x:v>COST-0746</x:v>
      </x:c>
      <x:c r="B747" s="94" t="str">
        <x:v>PROC-0746</x:v>
      </x:c>
      <x:c r="C747" s="93" t="n">
        <x:v>46157</x:v>
      </x:c>
      <x:c r="D747" s="94" t="str">
        <x:v>Google Ads</x:v>
      </x:c>
      <x:c r="E747" s="94" t="str">
        <x:v>云主机/CDN</x:v>
      </x:c>
      <x:c r="F747" s="94" t="str">
        <x:v>按访问量</x:v>
      </x:c>
      <x:c r="G747" s="97" t="n">
        <x:v>1</x:v>
      </x:c>
      <x:c r="H747" s="94" t="str">
        <x:v>变动</x:v>
      </x:c>
      <x:c r="I747" s="94" t="str">
        <x:v>技术团队</x:v>
      </x:c>
      <x:c r="J747" s="94" t="str">
        <x:v>模拟项目运营成本；统一折算USD</x:v>
      </x:c>
    </x:row>
    <x:row r="748">
      <x:c r="A748" s="92" t="str">
        <x:v>COST-0747</x:v>
      </x:c>
      <x:c r="B748" s="94" t="str">
        <x:v>PROC-0747</x:v>
      </x:c>
      <x:c r="C748" s="93" t="n">
        <x:v>46158</x:v>
      </x:c>
      <x:c r="D748" s="94" t="str">
        <x:v>Google Ads</x:v>
      </x:c>
      <x:c r="E748" s="94" t="str">
        <x:v>人工运营分摊</x:v>
      </x:c>
      <x:c r="F748" s="94" t="str">
        <x:v>按工时</x:v>
      </x:c>
      <x:c r="G748" s="97" t="n">
        <x:v>1.87</x:v>
      </x:c>
      <x:c r="H748" s="94" t="str">
        <x:v>部分固定</x:v>
      </x:c>
      <x:c r="I748" s="94" t="str">
        <x:v>运营团队</x:v>
      </x:c>
      <x:c r="J748" s="94" t="str">
        <x:v>模拟项目运营成本；统一折算USD</x:v>
      </x:c>
    </x:row>
    <x:row r="749">
      <x:c r="A749" s="92" t="str">
        <x:v>COST-0748</x:v>
      </x:c>
      <x:c r="B749" s="94" t="str">
        <x:v>PROC-0748</x:v>
      </x:c>
      <x:c r="C749" s="93" t="n">
        <x:v>46158</x:v>
      </x:c>
      <x:c r="D749" s="94" t="str">
        <x:v>Google Ads</x:v>
      </x:c>
      <x:c r="E749" s="94" t="str">
        <x:v>人工运营分摊</x:v>
      </x:c>
      <x:c r="F749" s="94" t="str">
        <x:v>按工时</x:v>
      </x:c>
      <x:c r="G749" s="97" t="n">
        <x:v>2.69</x:v>
      </x:c>
      <x:c r="H749" s="94" t="str">
        <x:v>部分固定</x:v>
      </x:c>
      <x:c r="I749" s="94" t="str">
        <x:v>运营团队</x:v>
      </x:c>
      <x:c r="J749" s="94" t="str">
        <x:v>模拟项目运营成本；统一折算USD</x:v>
      </x:c>
    </x:row>
    <x:row r="750">
      <x:c r="A750" s="92" t="str">
        <x:v>COST-0749</x:v>
      </x:c>
      <x:c r="B750" s="94" t="str">
        <x:v>PROC-0749</x:v>
      </x:c>
      <x:c r="C750" s="93" t="n">
        <x:v>46158</x:v>
      </x:c>
      <x:c r="D750" s="94" t="str">
        <x:v>Google Ads</x:v>
      </x:c>
      <x:c r="E750" s="94" t="str">
        <x:v>数据与ETL</x:v>
      </x:c>
      <x:c r="F750" s="94" t="str">
        <x:v>按采购批次</x:v>
      </x:c>
      <x:c r="G750" s="97" t="n">
        <x:v>1.33</x:v>
      </x:c>
      <x:c r="H750" s="94" t="str">
        <x:v>变动</x:v>
      </x:c>
      <x:c r="I750" s="94" t="str">
        <x:v>数据团队</x:v>
      </x:c>
      <x:c r="J750" s="94" t="str">
        <x:v>模拟项目运营成本；统一折算USD</x:v>
      </x:c>
    </x:row>
    <x:row r="751">
      <x:c r="A751" s="92" t="str">
        <x:v>COST-0750</x:v>
      </x:c>
      <x:c r="B751" s="94" t="str">
        <x:v>PROC-0750</x:v>
      </x:c>
      <x:c r="C751" s="93" t="n">
        <x:v>46158</x:v>
      </x:c>
      <x:c r="D751" s="94" t="str">
        <x:v>Microsoft Ads</x:v>
      </x:c>
      <x:c r="E751" s="94" t="str">
        <x:v>数据与ETL</x:v>
      </x:c>
      <x:c r="F751" s="94" t="str">
        <x:v>按采购批次</x:v>
      </x:c>
      <x:c r="G751" s="97" t="n">
        <x:v>0.96</x:v>
      </x:c>
      <x:c r="H751" s="94" t="str">
        <x:v>变动</x:v>
      </x:c>
      <x:c r="I751" s="94" t="str">
        <x:v>数据团队</x:v>
      </x:c>
      <x:c r="J751" s="94" t="str">
        <x:v>模拟项目运营成本；统一折算USD</x:v>
      </x:c>
    </x:row>
    <x:row r="752">
      <x:c r="A752" s="92" t="str">
        <x:v>COST-0751</x:v>
      </x:c>
      <x:c r="B752" s="94" t="str">
        <x:v>PROC-0751</x:v>
      </x:c>
      <x:c r="C752" s="93" t="n">
        <x:v>46158</x:v>
      </x:c>
      <x:c r="D752" s="94" t="str">
        <x:v>Google Ads</x:v>
      </x:c>
      <x:c r="E752" s="94" t="str">
        <x:v>云主机/CDN</x:v>
      </x:c>
      <x:c r="F752" s="94" t="str">
        <x:v>按访问量</x:v>
      </x:c>
      <x:c r="G752" s="97" t="n">
        <x:v>0.95</x:v>
      </x:c>
      <x:c r="H752" s="94" t="str">
        <x:v>变动</x:v>
      </x:c>
      <x:c r="I752" s="94" t="str">
        <x:v>技术团队</x:v>
      </x:c>
      <x:c r="J752" s="94" t="str">
        <x:v>模拟项目运营成本；统一折算USD</x:v>
      </x:c>
    </x:row>
    <x:row r="753">
      <x:c r="A753" s="92" t="str">
        <x:v>COST-0752</x:v>
      </x:c>
      <x:c r="B753" s="94" t="str">
        <x:v>PROC-0752</x:v>
      </x:c>
      <x:c r="C753" s="93" t="n">
        <x:v>46158</x:v>
      </x:c>
      <x:c r="D753" s="94" t="str">
        <x:v>Microsoft Ads</x:v>
      </x:c>
      <x:c r="E753" s="94" t="str">
        <x:v>数据与ETL</x:v>
      </x:c>
      <x:c r="F753" s="94" t="str">
        <x:v>按采购批次</x:v>
      </x:c>
      <x:c r="G753" s="97" t="n">
        <x:v>0.94</x:v>
      </x:c>
      <x:c r="H753" s="94" t="str">
        <x:v>变动</x:v>
      </x:c>
      <x:c r="I753" s="94" t="str">
        <x:v>数据团队</x:v>
      </x:c>
      <x:c r="J753" s="94" t="str">
        <x:v>模拟项目运营成本；统一折算USD</x:v>
      </x:c>
    </x:row>
    <x:row r="754">
      <x:c r="A754" s="92" t="str">
        <x:v>COST-0753</x:v>
      </x:c>
      <x:c r="B754" s="94" t="str">
        <x:v>PROC-0753</x:v>
      </x:c>
      <x:c r="C754" s="93" t="n">
        <x:v>46159</x:v>
      </x:c>
      <x:c r="D754" s="94" t="str">
        <x:v>Microsoft Ads</x:v>
      </x:c>
      <x:c r="E754" s="94" t="str">
        <x:v>人工运营分摊</x:v>
      </x:c>
      <x:c r="F754" s="94" t="str">
        <x:v>按工时</x:v>
      </x:c>
      <x:c r="G754" s="97" t="n">
        <x:v>3.9</x:v>
      </x:c>
      <x:c r="H754" s="94" t="str">
        <x:v>部分固定</x:v>
      </x:c>
      <x:c r="I754" s="94" t="str">
        <x:v>运营团队</x:v>
      </x:c>
      <x:c r="J754" s="94" t="str">
        <x:v>模拟项目运营成本；统一折算USD</x:v>
      </x:c>
    </x:row>
    <x:row r="755">
      <x:c r="A755" s="92" t="str">
        <x:v>COST-0754</x:v>
      </x:c>
      <x:c r="B755" s="94" t="str">
        <x:v>PROC-0754</x:v>
      </x:c>
      <x:c r="C755" s="93" t="n">
        <x:v>46159</x:v>
      </x:c>
      <x:c r="D755" s="94" t="str">
        <x:v>Microsoft Ads</x:v>
      </x:c>
      <x:c r="E755" s="94" t="str">
        <x:v>归因与监测工具</x:v>
      </x:c>
      <x:c r="F755" s="94" t="str">
        <x:v>按点击量</x:v>
      </x:c>
      <x:c r="G755" s="97" t="n">
        <x:v>0.79</x:v>
      </x:c>
      <x:c r="H755" s="94" t="str">
        <x:v>变动</x:v>
      </x:c>
      <x:c r="I755" s="94" t="str">
        <x:v>分析团队</x:v>
      </x:c>
      <x:c r="J755" s="94" t="str">
        <x:v>模拟项目运营成本；统一折算USD</x:v>
      </x:c>
    </x:row>
    <x:row r="756">
      <x:c r="A756" s="92" t="str">
        <x:v>COST-0755</x:v>
      </x:c>
      <x:c r="B756" s="94" t="str">
        <x:v>PROC-0755</x:v>
      </x:c>
      <x:c r="C756" s="93" t="n">
        <x:v>46159</x:v>
      </x:c>
      <x:c r="D756" s="94" t="str">
        <x:v>Google Ads</x:v>
      </x:c>
      <x:c r="E756" s="94" t="str">
        <x:v>创意素材</x:v>
      </x:c>
      <x:c r="F756" s="94" t="str">
        <x:v>按活动</x:v>
      </x:c>
      <x:c r="G756" s="97" t="n">
        <x:v>2.7</x:v>
      </x:c>
      <x:c r="H756" s="94" t="str">
        <x:v>部分固定</x:v>
      </x:c>
      <x:c r="I756" s="94" t="str">
        <x:v>增长团队</x:v>
      </x:c>
      <x:c r="J756" s="94" t="str">
        <x:v>模拟项目运营成本；统一折算USD</x:v>
      </x:c>
    </x:row>
    <x:row r="757">
      <x:c r="A757" s="92" t="str">
        <x:v>COST-0756</x:v>
      </x:c>
      <x:c r="B757" s="94" t="str">
        <x:v>PROC-0756</x:v>
      </x:c>
      <x:c r="C757" s="93" t="n">
        <x:v>46159</x:v>
      </x:c>
      <x:c r="D757" s="94" t="str">
        <x:v>Google Ads</x:v>
      </x:c>
      <x:c r="E757" s="94" t="str">
        <x:v>创意素材</x:v>
      </x:c>
      <x:c r="F757" s="94" t="str">
        <x:v>按活动</x:v>
      </x:c>
      <x:c r="G757" s="97" t="n">
        <x:v>2.9</x:v>
      </x:c>
      <x:c r="H757" s="94" t="str">
        <x:v>部分固定</x:v>
      </x:c>
      <x:c r="I757" s="94" t="str">
        <x:v>增长团队</x:v>
      </x:c>
      <x:c r="J757" s="94" t="str">
        <x:v>模拟项目运营成本；统一折算USD</x:v>
      </x:c>
    </x:row>
    <x:row r="758">
      <x:c r="A758" s="92" t="str">
        <x:v>COST-0757</x:v>
      </x:c>
      <x:c r="B758" s="94" t="str">
        <x:v>PROC-0757</x:v>
      </x:c>
      <x:c r="C758" s="93" t="n">
        <x:v>46159</x:v>
      </x:c>
      <x:c r="D758" s="94" t="str">
        <x:v>Microsoft Ads</x:v>
      </x:c>
      <x:c r="E758" s="94" t="str">
        <x:v>人工运营分摊</x:v>
      </x:c>
      <x:c r="F758" s="94" t="str">
        <x:v>按工时</x:v>
      </x:c>
      <x:c r="G758" s="97" t="n">
        <x:v>4.39</x:v>
      </x:c>
      <x:c r="H758" s="94" t="str">
        <x:v>部分固定</x:v>
      </x:c>
      <x:c r="I758" s="94" t="str">
        <x:v>运营团队</x:v>
      </x:c>
      <x:c r="J758" s="94" t="str">
        <x:v>模拟项目运营成本；统一折算USD</x:v>
      </x:c>
    </x:row>
    <x:row r="759">
      <x:c r="A759" s="92" t="str">
        <x:v>COST-0758</x:v>
      </x:c>
      <x:c r="B759" s="94" t="str">
        <x:v>PROC-0758</x:v>
      </x:c>
      <x:c r="C759" s="93" t="n">
        <x:v>46160</x:v>
      </x:c>
      <x:c r="D759" s="94" t="str">
        <x:v>Google Ads</x:v>
      </x:c>
      <x:c r="E759" s="94" t="str">
        <x:v>人工运营分摊</x:v>
      </x:c>
      <x:c r="F759" s="94" t="str">
        <x:v>按工时</x:v>
      </x:c>
      <x:c r="G759" s="97" t="n">
        <x:v>1.46</x:v>
      </x:c>
      <x:c r="H759" s="94" t="str">
        <x:v>部分固定</x:v>
      </x:c>
      <x:c r="I759" s="94" t="str">
        <x:v>运营团队</x:v>
      </x:c>
      <x:c r="J759" s="94" t="str">
        <x:v>模拟项目运营成本；统一折算USD</x:v>
      </x:c>
    </x:row>
    <x:row r="760">
      <x:c r="A760" s="92" t="str">
        <x:v>COST-0759</x:v>
      </x:c>
      <x:c r="B760" s="94" t="str">
        <x:v>PROC-0759</x:v>
      </x:c>
      <x:c r="C760" s="93" t="n">
        <x:v>46160</x:v>
      </x:c>
      <x:c r="D760" s="94" t="str">
        <x:v>Microsoft Ads</x:v>
      </x:c>
      <x:c r="E760" s="94" t="str">
        <x:v>人工运营分摊</x:v>
      </x:c>
      <x:c r="F760" s="94" t="str">
        <x:v>按工时</x:v>
      </x:c>
      <x:c r="G760" s="97" t="n">
        <x:v>3.49</x:v>
      </x:c>
      <x:c r="H760" s="94" t="str">
        <x:v>部分固定</x:v>
      </x:c>
      <x:c r="I760" s="94" t="str">
        <x:v>运营团队</x:v>
      </x:c>
      <x:c r="J760" s="94" t="str">
        <x:v>模拟项目运营成本；统一折算USD</x:v>
      </x:c>
    </x:row>
    <x:row r="761">
      <x:c r="A761" s="92" t="str">
        <x:v>COST-0760</x:v>
      </x:c>
      <x:c r="B761" s="94" t="str">
        <x:v>PROC-0760</x:v>
      </x:c>
      <x:c r="C761" s="93" t="n">
        <x:v>46160</x:v>
      </x:c>
      <x:c r="D761" s="94" t="str">
        <x:v>Google Ads</x:v>
      </x:c>
      <x:c r="E761" s="94" t="str">
        <x:v>创意素材</x:v>
      </x:c>
      <x:c r="F761" s="94" t="str">
        <x:v>按活动</x:v>
      </x:c>
      <x:c r="G761" s="97" t="n">
        <x:v>1.62</x:v>
      </x:c>
      <x:c r="H761" s="94" t="str">
        <x:v>部分固定</x:v>
      </x:c>
      <x:c r="I761" s="94" t="str">
        <x:v>增长团队</x:v>
      </x:c>
      <x:c r="J761" s="94" t="str">
        <x:v>模拟项目运营成本；统一折算USD</x:v>
      </x:c>
    </x:row>
    <x:row r="762">
      <x:c r="A762" s="92" t="str">
        <x:v>COST-0761</x:v>
      </x:c>
      <x:c r="B762" s="94" t="str">
        <x:v>PROC-0761</x:v>
      </x:c>
      <x:c r="C762" s="93" t="n">
        <x:v>46160</x:v>
      </x:c>
      <x:c r="D762" s="94" t="str">
        <x:v>Microsoft Ads</x:v>
      </x:c>
      <x:c r="E762" s="94" t="str">
        <x:v>数据与ETL</x:v>
      </x:c>
      <x:c r="F762" s="94" t="str">
        <x:v>按采购批次</x:v>
      </x:c>
      <x:c r="G762" s="97" t="n">
        <x:v>1.16</x:v>
      </x:c>
      <x:c r="H762" s="94" t="str">
        <x:v>变动</x:v>
      </x:c>
      <x:c r="I762" s="94" t="str">
        <x:v>数据团队</x:v>
      </x:c>
      <x:c r="J762" s="94" t="str">
        <x:v>模拟项目运营成本；统一折算USD</x:v>
      </x:c>
    </x:row>
    <x:row r="763">
      <x:c r="A763" s="92" t="str">
        <x:v>COST-0762</x:v>
      </x:c>
      <x:c r="B763" s="94" t="str">
        <x:v>PROC-0762</x:v>
      </x:c>
      <x:c r="C763" s="93" t="n">
        <x:v>46160</x:v>
      </x:c>
      <x:c r="D763" s="94" t="str">
        <x:v>Google Ads</x:v>
      </x:c>
      <x:c r="E763" s="94" t="str">
        <x:v>归因与监测工具</x:v>
      </x:c>
      <x:c r="F763" s="94" t="str">
        <x:v>按点击量</x:v>
      </x:c>
      <x:c r="G763" s="97" t="n">
        <x:v>0.66</x:v>
      </x:c>
      <x:c r="H763" s="94" t="str">
        <x:v>变动</x:v>
      </x:c>
      <x:c r="I763" s="94" t="str">
        <x:v>分析团队</x:v>
      </x:c>
      <x:c r="J763" s="94" t="str">
        <x:v>模拟项目运营成本；统一折算USD</x:v>
      </x:c>
    </x:row>
    <x:row r="764">
      <x:c r="A764" s="92" t="str">
        <x:v>COST-0763</x:v>
      </x:c>
      <x:c r="B764" s="94" t="str">
        <x:v>PROC-0763</x:v>
      </x:c>
      <x:c r="C764" s="93" t="n">
        <x:v>46160</x:v>
      </x:c>
      <x:c r="D764" s="94" t="str">
        <x:v>Google Ads</x:v>
      </x:c>
      <x:c r="E764" s="94" t="str">
        <x:v>创意素材</x:v>
      </x:c>
      <x:c r="F764" s="94" t="str">
        <x:v>按活动</x:v>
      </x:c>
      <x:c r="G764" s="97" t="n">
        <x:v>2.74</x:v>
      </x:c>
      <x:c r="H764" s="94" t="str">
        <x:v>部分固定</x:v>
      </x:c>
      <x:c r="I764" s="94" t="str">
        <x:v>增长团队</x:v>
      </x:c>
      <x:c r="J764" s="94" t="str">
        <x:v>模拟项目运营成本；统一折算USD</x:v>
      </x:c>
    </x:row>
    <x:row r="765">
      <x:c r="A765" s="92" t="str">
        <x:v>COST-0764</x:v>
      </x:c>
      <x:c r="B765" s="94" t="str">
        <x:v>PROC-0764</x:v>
      </x:c>
      <x:c r="C765" s="93" t="n">
        <x:v>46161</x:v>
      </x:c>
      <x:c r="D765" s="94" t="str">
        <x:v>Google Ads</x:v>
      </x:c>
      <x:c r="E765" s="94" t="str">
        <x:v>创意素材</x:v>
      </x:c>
      <x:c r="F765" s="94" t="str">
        <x:v>按活动</x:v>
      </x:c>
      <x:c r="G765" s="97" t="n">
        <x:v>1.46</x:v>
      </x:c>
      <x:c r="H765" s="94" t="str">
        <x:v>部分固定</x:v>
      </x:c>
      <x:c r="I765" s="94" t="str">
        <x:v>增长团队</x:v>
      </x:c>
      <x:c r="J765" s="94" t="str">
        <x:v>模拟项目运营成本；统一折算USD</x:v>
      </x:c>
    </x:row>
    <x:row r="766">
      <x:c r="A766" s="92" t="str">
        <x:v>COST-0765</x:v>
      </x:c>
      <x:c r="B766" s="94" t="str">
        <x:v>PROC-0765</x:v>
      </x:c>
      <x:c r="C766" s="93" t="n">
        <x:v>46161</x:v>
      </x:c>
      <x:c r="D766" s="94" t="str">
        <x:v>Google Ads</x:v>
      </x:c>
      <x:c r="E766" s="94" t="str">
        <x:v>云主机/CDN</x:v>
      </x:c>
      <x:c r="F766" s="94" t="str">
        <x:v>按访问量</x:v>
      </x:c>
      <x:c r="G766" s="97" t="n">
        <x:v>0.73</x:v>
      </x:c>
      <x:c r="H766" s="94" t="str">
        <x:v>变动</x:v>
      </x:c>
      <x:c r="I766" s="94" t="str">
        <x:v>技术团队</x:v>
      </x:c>
      <x:c r="J766" s="94" t="str">
        <x:v>模拟项目运营成本；统一折算USD</x:v>
      </x:c>
    </x:row>
    <x:row r="767">
      <x:c r="A767" s="92" t="str">
        <x:v>COST-0766</x:v>
      </x:c>
      <x:c r="B767" s="94" t="str">
        <x:v>PROC-0766</x:v>
      </x:c>
      <x:c r="C767" s="93" t="n">
        <x:v>46161</x:v>
      </x:c>
      <x:c r="D767" s="94" t="str">
        <x:v>Microsoft Ads</x:v>
      </x:c>
      <x:c r="E767" s="94" t="str">
        <x:v>创意素材</x:v>
      </x:c>
      <x:c r="F767" s="94" t="str">
        <x:v>按活动</x:v>
      </x:c>
      <x:c r="G767" s="97" t="n">
        <x:v>3.33</x:v>
      </x:c>
      <x:c r="H767" s="94" t="str">
        <x:v>部分固定</x:v>
      </x:c>
      <x:c r="I767" s="94" t="str">
        <x:v>增长团队</x:v>
      </x:c>
      <x:c r="J767" s="94" t="str">
        <x:v>模拟项目运营成本；统一折算USD</x:v>
      </x:c>
    </x:row>
    <x:row r="768">
      <x:c r="A768" s="92" t="str">
        <x:v>COST-0767</x:v>
      </x:c>
      <x:c r="B768" s="94" t="str">
        <x:v>PROC-0767</x:v>
      </x:c>
      <x:c r="C768" s="93" t="n">
        <x:v>46161</x:v>
      </x:c>
      <x:c r="D768" s="94" t="str">
        <x:v>Microsoft Ads</x:v>
      </x:c>
      <x:c r="E768" s="94" t="str">
        <x:v>数据与ETL</x:v>
      </x:c>
      <x:c r="F768" s="94" t="str">
        <x:v>按采购批次</x:v>
      </x:c>
      <x:c r="G768" s="97" t="n">
        <x:v>1</x:v>
      </x:c>
      <x:c r="H768" s="94" t="str">
        <x:v>变动</x:v>
      </x:c>
      <x:c r="I768" s="94" t="str">
        <x:v>数据团队</x:v>
      </x:c>
      <x:c r="J768" s="94" t="str">
        <x:v>模拟项目运营成本；统一折算USD</x:v>
      </x:c>
    </x:row>
    <x:row r="769">
      <x:c r="A769" s="92" t="str">
        <x:v>COST-0768</x:v>
      </x:c>
      <x:c r="B769" s="94" t="str">
        <x:v>PROC-0768</x:v>
      </x:c>
      <x:c r="C769" s="93" t="n">
        <x:v>46161</x:v>
      </x:c>
      <x:c r="D769" s="94" t="str">
        <x:v>Microsoft Ads</x:v>
      </x:c>
      <x:c r="E769" s="94" t="str">
        <x:v>创意素材</x:v>
      </x:c>
      <x:c r="F769" s="94" t="str">
        <x:v>按活动</x:v>
      </x:c>
      <x:c r="G769" s="97" t="n">
        <x:v>2.37</x:v>
      </x:c>
      <x:c r="H769" s="94" t="str">
        <x:v>部分固定</x:v>
      </x:c>
      <x:c r="I769" s="94" t="str">
        <x:v>增长团队</x:v>
      </x:c>
      <x:c r="J769" s="94" t="str">
        <x:v>模拟项目运营成本；统一折算USD</x:v>
      </x:c>
    </x:row>
    <x:row r="770">
      <x:c r="A770" s="92" t="str">
        <x:v>COST-0769</x:v>
      </x:c>
      <x:c r="B770" s="94" t="str">
        <x:v>PROC-0769</x:v>
      </x:c>
      <x:c r="C770" s="93" t="n">
        <x:v>46162</x:v>
      </x:c>
      <x:c r="D770" s="94" t="str">
        <x:v>Microsoft Ads</x:v>
      </x:c>
      <x:c r="E770" s="94" t="str">
        <x:v>人工运营分摊</x:v>
      </x:c>
      <x:c r="F770" s="94" t="str">
        <x:v>按工时</x:v>
      </x:c>
      <x:c r="G770" s="97" t="n">
        <x:v>2.74</x:v>
      </x:c>
      <x:c r="H770" s="94" t="str">
        <x:v>部分固定</x:v>
      </x:c>
      <x:c r="I770" s="94" t="str">
        <x:v>运营团队</x:v>
      </x:c>
      <x:c r="J770" s="94" t="str">
        <x:v>模拟项目运营成本；统一折算USD</x:v>
      </x:c>
    </x:row>
    <x:row r="771">
      <x:c r="A771" s="92" t="str">
        <x:v>COST-0770</x:v>
      </x:c>
      <x:c r="B771" s="94" t="str">
        <x:v>PROC-0770</x:v>
      </x:c>
      <x:c r="C771" s="93" t="n">
        <x:v>46162</x:v>
      </x:c>
      <x:c r="D771" s="94" t="str">
        <x:v>Microsoft Ads</x:v>
      </x:c>
      <x:c r="E771" s="94" t="str">
        <x:v>创意素材</x:v>
      </x:c>
      <x:c r="F771" s="94" t="str">
        <x:v>按活动</x:v>
      </x:c>
      <x:c r="G771" s="97" t="n">
        <x:v>3.13</x:v>
      </x:c>
      <x:c r="H771" s="94" t="str">
        <x:v>部分固定</x:v>
      </x:c>
      <x:c r="I771" s="94" t="str">
        <x:v>增长团队</x:v>
      </x:c>
      <x:c r="J771" s="94" t="str">
        <x:v>模拟项目运营成本；统一折算USD</x:v>
      </x:c>
    </x:row>
    <x:row r="772">
      <x:c r="A772" s="92" t="str">
        <x:v>COST-0771</x:v>
      </x:c>
      <x:c r="B772" s="94" t="str">
        <x:v>PROC-0771</x:v>
      </x:c>
      <x:c r="C772" s="93" t="n">
        <x:v>46162</x:v>
      </x:c>
      <x:c r="D772" s="94" t="str">
        <x:v>Google Ads</x:v>
      </x:c>
      <x:c r="E772" s="94" t="str">
        <x:v>云主机/CDN</x:v>
      </x:c>
      <x:c r="F772" s="94" t="str">
        <x:v>按访问量</x:v>
      </x:c>
      <x:c r="G772" s="97" t="n">
        <x:v>0.61</x:v>
      </x:c>
      <x:c r="H772" s="94" t="str">
        <x:v>变动</x:v>
      </x:c>
      <x:c r="I772" s="94" t="str">
        <x:v>技术团队</x:v>
      </x:c>
      <x:c r="J772" s="94" t="str">
        <x:v>模拟项目运营成本；统一折算USD</x:v>
      </x:c>
    </x:row>
    <x:row r="773">
      <x:c r="A773" s="92" t="str">
        <x:v>COST-0772</x:v>
      </x:c>
      <x:c r="B773" s="94" t="str">
        <x:v>PROC-0772</x:v>
      </x:c>
      <x:c r="C773" s="93" t="n">
        <x:v>46162</x:v>
      </x:c>
      <x:c r="D773" s="94" t="str">
        <x:v>Microsoft Ads</x:v>
      </x:c>
      <x:c r="E773" s="94" t="str">
        <x:v>创意素材</x:v>
      </x:c>
      <x:c r="F773" s="94" t="str">
        <x:v>按活动</x:v>
      </x:c>
      <x:c r="G773" s="97" t="n">
        <x:v>1.21</x:v>
      </x:c>
      <x:c r="H773" s="94" t="str">
        <x:v>部分固定</x:v>
      </x:c>
      <x:c r="I773" s="94" t="str">
        <x:v>增长团队</x:v>
      </x:c>
      <x:c r="J773" s="94" t="str">
        <x:v>模拟项目运营成本；统一折算USD</x:v>
      </x:c>
    </x:row>
    <x:row r="774">
      <x:c r="A774" s="92" t="str">
        <x:v>COST-0773</x:v>
      </x:c>
      <x:c r="B774" s="94" t="str">
        <x:v>PROC-0773</x:v>
      </x:c>
      <x:c r="C774" s="93" t="n">
        <x:v>46162</x:v>
      </x:c>
      <x:c r="D774" s="94" t="str">
        <x:v>Microsoft Ads</x:v>
      </x:c>
      <x:c r="E774" s="94" t="str">
        <x:v>创意素材</x:v>
      </x:c>
      <x:c r="F774" s="94" t="str">
        <x:v>按活动</x:v>
      </x:c>
      <x:c r="G774" s="97" t="n">
        <x:v>4.15</x:v>
      </x:c>
      <x:c r="H774" s="94" t="str">
        <x:v>部分固定</x:v>
      </x:c>
      <x:c r="I774" s="94" t="str">
        <x:v>增长团队</x:v>
      </x:c>
      <x:c r="J774" s="94" t="str">
        <x:v>模拟项目运营成本；统一折算USD</x:v>
      </x:c>
    </x:row>
    <x:row r="775">
      <x:c r="A775" s="92" t="str">
        <x:v>COST-0774</x:v>
      </x:c>
      <x:c r="B775" s="94" t="str">
        <x:v>PROC-0774</x:v>
      </x:c>
      <x:c r="C775" s="93" t="n">
        <x:v>46162</x:v>
      </x:c>
      <x:c r="D775" s="94" t="str">
        <x:v>Google Ads</x:v>
      </x:c>
      <x:c r="E775" s="94" t="str">
        <x:v>人工运营分摊</x:v>
      </x:c>
      <x:c r="F775" s="94" t="str">
        <x:v>按工时</x:v>
      </x:c>
      <x:c r="G775" s="97" t="n">
        <x:v>1.78</x:v>
      </x:c>
      <x:c r="H775" s="94" t="str">
        <x:v>部分固定</x:v>
      </x:c>
      <x:c r="I775" s="94" t="str">
        <x:v>运营团队</x:v>
      </x:c>
      <x:c r="J775" s="94" t="str">
        <x:v>模拟项目运营成本；统一折算USD</x:v>
      </x:c>
    </x:row>
    <x:row r="776">
      <x:c r="A776" s="92" t="str">
        <x:v>COST-0775</x:v>
      </x:c>
      <x:c r="B776" s="94" t="str">
        <x:v>PROC-0775</x:v>
      </x:c>
      <x:c r="C776" s="93" t="n">
        <x:v>46163</x:v>
      </x:c>
      <x:c r="D776" s="94" t="str">
        <x:v>Google Ads</x:v>
      </x:c>
      <x:c r="E776" s="94" t="str">
        <x:v>云主机/CDN</x:v>
      </x:c>
      <x:c r="F776" s="94" t="str">
        <x:v>按访问量</x:v>
      </x:c>
      <x:c r="G776" s="97" t="n">
        <x:v>0.59</x:v>
      </x:c>
      <x:c r="H776" s="94" t="str">
        <x:v>变动</x:v>
      </x:c>
      <x:c r="I776" s="94" t="str">
        <x:v>技术团队</x:v>
      </x:c>
      <x:c r="J776" s="94" t="str">
        <x:v>模拟项目运营成本；统一折算USD</x:v>
      </x:c>
    </x:row>
    <x:row r="777">
      <x:c r="A777" s="92" t="str">
        <x:v>COST-0776</x:v>
      </x:c>
      <x:c r="B777" s="94" t="str">
        <x:v>PROC-0776</x:v>
      </x:c>
      <x:c r="C777" s="93" t="n">
        <x:v>46163</x:v>
      </x:c>
      <x:c r="D777" s="94" t="str">
        <x:v>Google Ads</x:v>
      </x:c>
      <x:c r="E777" s="94" t="str">
        <x:v>归因与监测工具</x:v>
      </x:c>
      <x:c r="F777" s="94" t="str">
        <x:v>按点击量</x:v>
      </x:c>
      <x:c r="G777" s="97" t="n">
        <x:v>1.18</x:v>
      </x:c>
      <x:c r="H777" s="94" t="str">
        <x:v>变动</x:v>
      </x:c>
      <x:c r="I777" s="94" t="str">
        <x:v>分析团队</x:v>
      </x:c>
      <x:c r="J777" s="94" t="str">
        <x:v>模拟项目运营成本；统一折算USD</x:v>
      </x:c>
    </x:row>
    <x:row r="778">
      <x:c r="A778" s="92" t="str">
        <x:v>COST-0777</x:v>
      </x:c>
      <x:c r="B778" s="94" t="str">
        <x:v>PROC-0777</x:v>
      </x:c>
      <x:c r="C778" s="93" t="n">
        <x:v>46163</x:v>
      </x:c>
      <x:c r="D778" s="94" t="str">
        <x:v>Google Ads</x:v>
      </x:c>
      <x:c r="E778" s="94" t="str">
        <x:v>创意素材</x:v>
      </x:c>
      <x:c r="F778" s="94" t="str">
        <x:v>按活动</x:v>
      </x:c>
      <x:c r="G778" s="97" t="n">
        <x:v>1.53</x:v>
      </x:c>
      <x:c r="H778" s="94" t="str">
        <x:v>部分固定</x:v>
      </x:c>
      <x:c r="I778" s="94" t="str">
        <x:v>增长团队</x:v>
      </x:c>
      <x:c r="J778" s="94" t="str">
        <x:v>模拟项目运营成本；统一折算USD</x:v>
      </x:c>
    </x:row>
    <x:row r="779">
      <x:c r="A779" s="92" t="str">
        <x:v>COST-0778</x:v>
      </x:c>
      <x:c r="B779" s="94" t="str">
        <x:v>PROC-0778</x:v>
      </x:c>
      <x:c r="C779" s="93" t="n">
        <x:v>46163</x:v>
      </x:c>
      <x:c r="D779" s="94" t="str">
        <x:v>Google Ads</x:v>
      </x:c>
      <x:c r="E779" s="94" t="str">
        <x:v>归因与监测工具</x:v>
      </x:c>
      <x:c r="F779" s="94" t="str">
        <x:v>按点击量</x:v>
      </x:c>
      <x:c r="G779" s="97" t="n">
        <x:v>1.32</x:v>
      </x:c>
      <x:c r="H779" s="94" t="str">
        <x:v>变动</x:v>
      </x:c>
      <x:c r="I779" s="94" t="str">
        <x:v>分析团队</x:v>
      </x:c>
      <x:c r="J779" s="94" t="str">
        <x:v>模拟项目运营成本；统一折算USD</x:v>
      </x:c>
    </x:row>
    <x:row r="780">
      <x:c r="A780" s="92" t="str">
        <x:v>COST-0779</x:v>
      </x:c>
      <x:c r="B780" s="94" t="str">
        <x:v>PROC-0779</x:v>
      </x:c>
      <x:c r="C780" s="93" t="n">
        <x:v>46163</x:v>
      </x:c>
      <x:c r="D780" s="94" t="str">
        <x:v>Google Ads</x:v>
      </x:c>
      <x:c r="E780" s="94" t="str">
        <x:v>数据与ETL</x:v>
      </x:c>
      <x:c r="F780" s="94" t="str">
        <x:v>按采购批次</x:v>
      </x:c>
      <x:c r="G780" s="97" t="n">
        <x:v>1.04</x:v>
      </x:c>
      <x:c r="H780" s="94" t="str">
        <x:v>变动</x:v>
      </x:c>
      <x:c r="I780" s="94" t="str">
        <x:v>数据团队</x:v>
      </x:c>
      <x:c r="J780" s="94" t="str">
        <x:v>模拟项目运营成本；统一折算USD</x:v>
      </x:c>
    </x:row>
    <x:row r="781">
      <x:c r="A781" s="92" t="str">
        <x:v>COST-0780</x:v>
      </x:c>
      <x:c r="B781" s="94" t="str">
        <x:v>PROC-0780</x:v>
      </x:c>
      <x:c r="C781" s="93" t="n">
        <x:v>46163</x:v>
      </x:c>
      <x:c r="D781" s="94" t="str">
        <x:v>Google Ads</x:v>
      </x:c>
      <x:c r="E781" s="94" t="str">
        <x:v>数据与ETL</x:v>
      </x:c>
      <x:c r="F781" s="94" t="str">
        <x:v>按采购批次</x:v>
      </x:c>
      <x:c r="G781" s="97" t="n">
        <x:v>0.85</x:v>
      </x:c>
      <x:c r="H781" s="94" t="str">
        <x:v>变动</x:v>
      </x:c>
      <x:c r="I781" s="94" t="str">
        <x:v>数据团队</x:v>
      </x:c>
      <x:c r="J781" s="94" t="str">
        <x:v>模拟项目运营成本；统一折算USD</x:v>
      </x:c>
    </x:row>
    <x:row r="782">
      <x:c r="A782" s="92" t="str">
        <x:v>COST-0781</x:v>
      </x:c>
      <x:c r="B782" s="94" t="str">
        <x:v>PROC-0781</x:v>
      </x:c>
      <x:c r="C782" s="93" t="n">
        <x:v>46164</x:v>
      </x:c>
      <x:c r="D782" s="94" t="str">
        <x:v>Google Ads</x:v>
      </x:c>
      <x:c r="E782" s="94" t="str">
        <x:v>创意素材</x:v>
      </x:c>
      <x:c r="F782" s="94" t="str">
        <x:v>按活动</x:v>
      </x:c>
      <x:c r="G782" s="97" t="n">
        <x:v>2.22</x:v>
      </x:c>
      <x:c r="H782" s="94" t="str">
        <x:v>部分固定</x:v>
      </x:c>
      <x:c r="I782" s="94" t="str">
        <x:v>增长团队</x:v>
      </x:c>
      <x:c r="J782" s="94" t="str">
        <x:v>模拟项目运营成本；统一折算USD</x:v>
      </x:c>
    </x:row>
    <x:row r="783">
      <x:c r="A783" s="92" t="str">
        <x:v>COST-0782</x:v>
      </x:c>
      <x:c r="B783" s="94" t="str">
        <x:v>PROC-0782</x:v>
      </x:c>
      <x:c r="C783" s="93" t="n">
        <x:v>46164</x:v>
      </x:c>
      <x:c r="D783" s="94" t="str">
        <x:v>Google Ads</x:v>
      </x:c>
      <x:c r="E783" s="94" t="str">
        <x:v>数据与ETL</x:v>
      </x:c>
      <x:c r="F783" s="94" t="str">
        <x:v>按采购批次</x:v>
      </x:c>
      <x:c r="G783" s="97" t="n">
        <x:v>1.02</x:v>
      </x:c>
      <x:c r="H783" s="94" t="str">
        <x:v>变动</x:v>
      </x:c>
      <x:c r="I783" s="94" t="str">
        <x:v>数据团队</x:v>
      </x:c>
      <x:c r="J783" s="94" t="str">
        <x:v>模拟项目运营成本；统一折算USD</x:v>
      </x:c>
    </x:row>
    <x:row r="784">
      <x:c r="A784" s="92" t="str">
        <x:v>COST-0783</x:v>
      </x:c>
      <x:c r="B784" s="94" t="str">
        <x:v>PROC-0783</x:v>
      </x:c>
      <x:c r="C784" s="93" t="n">
        <x:v>46164</x:v>
      </x:c>
      <x:c r="D784" s="94" t="str">
        <x:v>Google Ads</x:v>
      </x:c>
      <x:c r="E784" s="94" t="str">
        <x:v>云主机/CDN</x:v>
      </x:c>
      <x:c r="F784" s="94" t="str">
        <x:v>按访问量</x:v>
      </x:c>
      <x:c r="G784" s="97" t="n">
        <x:v>0.7</x:v>
      </x:c>
      <x:c r="H784" s="94" t="str">
        <x:v>变动</x:v>
      </x:c>
      <x:c r="I784" s="94" t="str">
        <x:v>技术团队</x:v>
      </x:c>
      <x:c r="J784" s="94" t="str">
        <x:v>模拟项目运营成本；统一折算USD</x:v>
      </x:c>
    </x:row>
    <x:row r="785">
      <x:c r="A785" s="92" t="str">
        <x:v>COST-0784</x:v>
      </x:c>
      <x:c r="B785" s="94" t="str">
        <x:v>PROC-0784</x:v>
      </x:c>
      <x:c r="C785" s="93" t="n">
        <x:v>46164</x:v>
      </x:c>
      <x:c r="D785" s="94" t="str">
        <x:v>Google Ads</x:v>
      </x:c>
      <x:c r="E785" s="94" t="str">
        <x:v>人工运营分摊</x:v>
      </x:c>
      <x:c r="F785" s="94" t="str">
        <x:v>按工时</x:v>
      </x:c>
      <x:c r="G785" s="97" t="n">
        <x:v>1.91</x:v>
      </x:c>
      <x:c r="H785" s="94" t="str">
        <x:v>部分固定</x:v>
      </x:c>
      <x:c r="I785" s="94" t="str">
        <x:v>运营团队</x:v>
      </x:c>
      <x:c r="J785" s="94" t="str">
        <x:v>模拟项目运营成本；统一折算USD</x:v>
      </x:c>
    </x:row>
    <x:row r="786">
      <x:c r="A786" s="92" t="str">
        <x:v>COST-0785</x:v>
      </x:c>
      <x:c r="B786" s="94" t="str">
        <x:v>PROC-0785</x:v>
      </x:c>
      <x:c r="C786" s="93" t="n">
        <x:v>46164</x:v>
      </x:c>
      <x:c r="D786" s="94" t="str">
        <x:v>Google Ads</x:v>
      </x:c>
      <x:c r="E786" s="94" t="str">
        <x:v>数据与ETL</x:v>
      </x:c>
      <x:c r="F786" s="94" t="str">
        <x:v>按采购批次</x:v>
      </x:c>
      <x:c r="G786" s="97" t="n">
        <x:v>0.75</x:v>
      </x:c>
      <x:c r="H786" s="94" t="str">
        <x:v>变动</x:v>
      </x:c>
      <x:c r="I786" s="94" t="str">
        <x:v>数据团队</x:v>
      </x:c>
      <x:c r="J786" s="94" t="str">
        <x:v>模拟项目运营成本；统一折算USD</x:v>
      </x:c>
    </x:row>
    <x:row r="787">
      <x:c r="A787" s="92" t="str">
        <x:v>COST-0786</x:v>
      </x:c>
      <x:c r="B787" s="94" t="str">
        <x:v>PROC-0786</x:v>
      </x:c>
      <x:c r="C787" s="93" t="n">
        <x:v>46165</x:v>
      </x:c>
      <x:c r="D787" s="94" t="str">
        <x:v>Google Ads</x:v>
      </x:c>
      <x:c r="E787" s="94" t="str">
        <x:v>数据与ETL</x:v>
      </x:c>
      <x:c r="F787" s="94" t="str">
        <x:v>按采购批次</x:v>
      </x:c>
      <x:c r="G787" s="97" t="n">
        <x:v>1.39</x:v>
      </x:c>
      <x:c r="H787" s="94" t="str">
        <x:v>变动</x:v>
      </x:c>
      <x:c r="I787" s="94" t="str">
        <x:v>数据团队</x:v>
      </x:c>
      <x:c r="J787" s="94" t="str">
        <x:v>模拟项目运营成本；统一折算USD</x:v>
      </x:c>
    </x:row>
    <x:row r="788">
      <x:c r="A788" s="92" t="str">
        <x:v>COST-0787</x:v>
      </x:c>
      <x:c r="B788" s="94" t="str">
        <x:v>PROC-0787</x:v>
      </x:c>
      <x:c r="C788" s="93" t="n">
        <x:v>46165</x:v>
      </x:c>
      <x:c r="D788" s="94" t="str">
        <x:v>Google Ads</x:v>
      </x:c>
      <x:c r="E788" s="94" t="str">
        <x:v>人工运营分摊</x:v>
      </x:c>
      <x:c r="F788" s="94" t="str">
        <x:v>按工时</x:v>
      </x:c>
      <x:c r="G788" s="97" t="n">
        <x:v>3.7</x:v>
      </x:c>
      <x:c r="H788" s="94" t="str">
        <x:v>部分固定</x:v>
      </x:c>
      <x:c r="I788" s="94" t="str">
        <x:v>运营团队</x:v>
      </x:c>
      <x:c r="J788" s="94" t="str">
        <x:v>模拟项目运营成本；统一折算USD</x:v>
      </x:c>
    </x:row>
    <x:row r="789">
      <x:c r="A789" s="92" t="str">
        <x:v>COST-0788</x:v>
      </x:c>
      <x:c r="B789" s="94" t="str">
        <x:v>PROC-0788</x:v>
      </x:c>
      <x:c r="C789" s="93" t="n">
        <x:v>46165</x:v>
      </x:c>
      <x:c r="D789" s="94" t="str">
        <x:v>Microsoft Ads</x:v>
      </x:c>
      <x:c r="E789" s="94" t="str">
        <x:v>数据与ETL</x:v>
      </x:c>
      <x:c r="F789" s="94" t="str">
        <x:v>按采购批次</x:v>
      </x:c>
      <x:c r="G789" s="97" t="n">
        <x:v>0.79</x:v>
      </x:c>
      <x:c r="H789" s="94" t="str">
        <x:v>变动</x:v>
      </x:c>
      <x:c r="I789" s="94" t="str">
        <x:v>数据团队</x:v>
      </x:c>
      <x:c r="J789" s="94" t="str">
        <x:v>模拟项目运营成本；统一折算USD</x:v>
      </x:c>
    </x:row>
    <x:row r="790">
      <x:c r="A790" s="92" t="str">
        <x:v>COST-0789</x:v>
      </x:c>
      <x:c r="B790" s="94" t="str">
        <x:v>PROC-0789</x:v>
      </x:c>
      <x:c r="C790" s="93" t="n">
        <x:v>46165</x:v>
      </x:c>
      <x:c r="D790" s="94" t="str">
        <x:v>Google Ads</x:v>
      </x:c>
      <x:c r="E790" s="94" t="str">
        <x:v>云主机/CDN</x:v>
      </x:c>
      <x:c r="F790" s="94" t="str">
        <x:v>按访问量</x:v>
      </x:c>
      <x:c r="G790" s="97" t="n">
        <x:v>0.8</x:v>
      </x:c>
      <x:c r="H790" s="94" t="str">
        <x:v>变动</x:v>
      </x:c>
      <x:c r="I790" s="94" t="str">
        <x:v>技术团队</x:v>
      </x:c>
      <x:c r="J790" s="94" t="str">
        <x:v>模拟项目运营成本；统一折算USD</x:v>
      </x:c>
    </x:row>
    <x:row r="791">
      <x:c r="A791" s="92" t="str">
        <x:v>COST-0790</x:v>
      </x:c>
      <x:c r="B791" s="94" t="str">
        <x:v>PROC-0790</x:v>
      </x:c>
      <x:c r="C791" s="93" t="n">
        <x:v>46165</x:v>
      </x:c>
      <x:c r="D791" s="94" t="str">
        <x:v>Google Ads</x:v>
      </x:c>
      <x:c r="E791" s="94" t="str">
        <x:v>创意素材</x:v>
      </x:c>
      <x:c r="F791" s="94" t="str">
        <x:v>按活动</x:v>
      </x:c>
      <x:c r="G791" s="97" t="n">
        <x:v>3.81</x:v>
      </x:c>
      <x:c r="H791" s="94" t="str">
        <x:v>部分固定</x:v>
      </x:c>
      <x:c r="I791" s="94" t="str">
        <x:v>增长团队</x:v>
      </x:c>
      <x:c r="J791" s="94" t="str">
        <x:v>模拟项目运营成本；统一折算USD</x:v>
      </x:c>
    </x:row>
    <x:row r="792">
      <x:c r="A792" s="92" t="str">
        <x:v>COST-0791</x:v>
      </x:c>
      <x:c r="B792" s="94" t="str">
        <x:v>PROC-0791</x:v>
      </x:c>
      <x:c r="C792" s="93" t="n">
        <x:v>46165</x:v>
      </x:c>
      <x:c r="D792" s="94" t="str">
        <x:v>Google Ads</x:v>
      </x:c>
      <x:c r="E792" s="94" t="str">
        <x:v>归因与监测工具</x:v>
      </x:c>
      <x:c r="F792" s="94" t="str">
        <x:v>按点击量</x:v>
      </x:c>
      <x:c r="G792" s="97" t="n">
        <x:v>0.46</x:v>
      </x:c>
      <x:c r="H792" s="94" t="str">
        <x:v>变动</x:v>
      </x:c>
      <x:c r="I792" s="94" t="str">
        <x:v>分析团队</x:v>
      </x:c>
      <x:c r="J792" s="94" t="str">
        <x:v>模拟项目运营成本；统一折算USD</x:v>
      </x:c>
    </x:row>
    <x:row r="793">
      <x:c r="A793" s="92" t="str">
        <x:v>COST-0792</x:v>
      </x:c>
      <x:c r="B793" s="94" t="str">
        <x:v>PROC-0792</x:v>
      </x:c>
      <x:c r="C793" s="93" t="n">
        <x:v>46166</x:v>
      </x:c>
      <x:c r="D793" s="94" t="str">
        <x:v>Google Ads</x:v>
      </x:c>
      <x:c r="E793" s="94" t="str">
        <x:v>人工运营分摊</x:v>
      </x:c>
      <x:c r="F793" s="94" t="str">
        <x:v>按工时</x:v>
      </x:c>
      <x:c r="G793" s="97" t="n">
        <x:v>2</x:v>
      </x:c>
      <x:c r="H793" s="94" t="str">
        <x:v>部分固定</x:v>
      </x:c>
      <x:c r="I793" s="94" t="str">
        <x:v>运营团队</x:v>
      </x:c>
      <x:c r="J793" s="94" t="str">
        <x:v>模拟项目运营成本；统一折算USD</x:v>
      </x:c>
    </x:row>
    <x:row r="794">
      <x:c r="A794" s="92" t="str">
        <x:v>COST-0793</x:v>
      </x:c>
      <x:c r="B794" s="94" t="str">
        <x:v>PROC-0793</x:v>
      </x:c>
      <x:c r="C794" s="93" t="n">
        <x:v>46166</x:v>
      </x:c>
      <x:c r="D794" s="94" t="str">
        <x:v>Microsoft Ads</x:v>
      </x:c>
      <x:c r="E794" s="94" t="str">
        <x:v>数据与ETL</x:v>
      </x:c>
      <x:c r="F794" s="94" t="str">
        <x:v>按采购批次</x:v>
      </x:c>
      <x:c r="G794" s="97" t="n">
        <x:v>1.57</x:v>
      </x:c>
      <x:c r="H794" s="94" t="str">
        <x:v>变动</x:v>
      </x:c>
      <x:c r="I794" s="94" t="str">
        <x:v>数据团队</x:v>
      </x:c>
      <x:c r="J794" s="94" t="str">
        <x:v>模拟项目运营成本；统一折算USD</x:v>
      </x:c>
    </x:row>
    <x:row r="795">
      <x:c r="A795" s="92" t="str">
        <x:v>COST-0794</x:v>
      </x:c>
      <x:c r="B795" s="94" t="str">
        <x:v>PROC-0794</x:v>
      </x:c>
      <x:c r="C795" s="93" t="n">
        <x:v>46166</x:v>
      </x:c>
      <x:c r="D795" s="94" t="str">
        <x:v>Google Ads</x:v>
      </x:c>
      <x:c r="E795" s="94" t="str">
        <x:v>人工运营分摊</x:v>
      </x:c>
      <x:c r="F795" s="94" t="str">
        <x:v>按工时</x:v>
      </x:c>
      <x:c r="G795" s="97" t="n">
        <x:v>4.4</x:v>
      </x:c>
      <x:c r="H795" s="94" t="str">
        <x:v>部分固定</x:v>
      </x:c>
      <x:c r="I795" s="94" t="str">
        <x:v>运营团队</x:v>
      </x:c>
      <x:c r="J795" s="94" t="str">
        <x:v>模拟项目运营成本；统一折算USD</x:v>
      </x:c>
    </x:row>
    <x:row r="796">
      <x:c r="A796" s="92" t="str">
        <x:v>COST-0795</x:v>
      </x:c>
      <x:c r="B796" s="94" t="str">
        <x:v>PROC-0795</x:v>
      </x:c>
      <x:c r="C796" s="93" t="n">
        <x:v>46166</x:v>
      </x:c>
      <x:c r="D796" s="94" t="str">
        <x:v>Microsoft Ads</x:v>
      </x:c>
      <x:c r="E796" s="94" t="str">
        <x:v>云主机/CDN</x:v>
      </x:c>
      <x:c r="F796" s="94" t="str">
        <x:v>按访问量</x:v>
      </x:c>
      <x:c r="G796" s="97" t="n">
        <x:v>0.72</x:v>
      </x:c>
      <x:c r="H796" s="94" t="str">
        <x:v>变动</x:v>
      </x:c>
      <x:c r="I796" s="94" t="str">
        <x:v>技术团队</x:v>
      </x:c>
      <x:c r="J796" s="94" t="str">
        <x:v>模拟项目运营成本；统一折算USD</x:v>
      </x:c>
    </x:row>
    <x:row r="797">
      <x:c r="A797" s="92" t="str">
        <x:v>COST-0796</x:v>
      </x:c>
      <x:c r="B797" s="94" t="str">
        <x:v>PROC-0796</x:v>
      </x:c>
      <x:c r="C797" s="93" t="n">
        <x:v>46166</x:v>
      </x:c>
      <x:c r="D797" s="94" t="str">
        <x:v>Google Ads</x:v>
      </x:c>
      <x:c r="E797" s="94" t="str">
        <x:v>人工运营分摊</x:v>
      </x:c>
      <x:c r="F797" s="94" t="str">
        <x:v>按工时</x:v>
      </x:c>
      <x:c r="G797" s="97" t="n">
        <x:v>2.48</x:v>
      </x:c>
      <x:c r="H797" s="94" t="str">
        <x:v>部分固定</x:v>
      </x:c>
      <x:c r="I797" s="94" t="str">
        <x:v>运营团队</x:v>
      </x:c>
      <x:c r="J797" s="94" t="str">
        <x:v>模拟项目运营成本；统一折算USD</x:v>
      </x:c>
    </x:row>
    <x:row r="798">
      <x:c r="A798" s="92" t="str">
        <x:v>COST-0797</x:v>
      </x:c>
      <x:c r="B798" s="94" t="str">
        <x:v>PROC-0797</x:v>
      </x:c>
      <x:c r="C798" s="93" t="n">
        <x:v>46167</x:v>
      </x:c>
      <x:c r="D798" s="94" t="str">
        <x:v>Google Ads</x:v>
      </x:c>
      <x:c r="E798" s="94" t="str">
        <x:v>归因与监测工具</x:v>
      </x:c>
      <x:c r="F798" s="94" t="str">
        <x:v>按点击量</x:v>
      </x:c>
      <x:c r="G798" s="97" t="n">
        <x:v>1.1</x:v>
      </x:c>
      <x:c r="H798" s="94" t="str">
        <x:v>变动</x:v>
      </x:c>
      <x:c r="I798" s="94" t="str">
        <x:v>分析团队</x:v>
      </x:c>
      <x:c r="J798" s="94" t="str">
        <x:v>模拟项目运营成本；统一折算USD</x:v>
      </x:c>
    </x:row>
    <x:row r="799">
      <x:c r="A799" s="92" t="str">
        <x:v>COST-0798</x:v>
      </x:c>
      <x:c r="B799" s="94" t="str">
        <x:v>PROC-0798</x:v>
      </x:c>
      <x:c r="C799" s="93" t="n">
        <x:v>46167</x:v>
      </x:c>
      <x:c r="D799" s="94" t="str">
        <x:v>Microsoft Ads</x:v>
      </x:c>
      <x:c r="E799" s="94" t="str">
        <x:v>数据与ETL</x:v>
      </x:c>
      <x:c r="F799" s="94" t="str">
        <x:v>按采购批次</x:v>
      </x:c>
      <x:c r="G799" s="97" t="n">
        <x:v>0.8</x:v>
      </x:c>
      <x:c r="H799" s="94" t="str">
        <x:v>变动</x:v>
      </x:c>
      <x:c r="I799" s="94" t="str">
        <x:v>数据团队</x:v>
      </x:c>
      <x:c r="J799" s="94" t="str">
        <x:v>模拟项目运营成本；统一折算USD</x:v>
      </x:c>
    </x:row>
    <x:row r="800">
      <x:c r="A800" s="92" t="str">
        <x:v>COST-0799</x:v>
      </x:c>
      <x:c r="B800" s="94" t="str">
        <x:v>PROC-0799</x:v>
      </x:c>
      <x:c r="C800" s="93" t="n">
        <x:v>46167</x:v>
      </x:c>
      <x:c r="D800" s="94" t="str">
        <x:v>Google Ads</x:v>
      </x:c>
      <x:c r="E800" s="94" t="str">
        <x:v>创意素材</x:v>
      </x:c>
      <x:c r="F800" s="94" t="str">
        <x:v>按活动</x:v>
      </x:c>
      <x:c r="G800" s="97" t="n">
        <x:v>1.98</x:v>
      </x:c>
      <x:c r="H800" s="94" t="str">
        <x:v>部分固定</x:v>
      </x:c>
      <x:c r="I800" s="94" t="str">
        <x:v>增长团队</x:v>
      </x:c>
      <x:c r="J800" s="94" t="str">
        <x:v>模拟项目运营成本；统一折算USD</x:v>
      </x:c>
    </x:row>
    <x:row r="801">
      <x:c r="A801" s="92" t="str">
        <x:v>COST-0800</x:v>
      </x:c>
      <x:c r="B801" s="94" t="str">
        <x:v>PROC-0800</x:v>
      </x:c>
      <x:c r="C801" s="93" t="n">
        <x:v>46167</x:v>
      </x:c>
      <x:c r="D801" s="94" t="str">
        <x:v>Google Ads</x:v>
      </x:c>
      <x:c r="E801" s="94" t="str">
        <x:v>归因与监测工具</x:v>
      </x:c>
      <x:c r="F801" s="94" t="str">
        <x:v>按点击量</x:v>
      </x:c>
      <x:c r="G801" s="97" t="n">
        <x:v>1.33</x:v>
      </x:c>
      <x:c r="H801" s="94" t="str">
        <x:v>变动</x:v>
      </x:c>
      <x:c r="I801" s="94" t="str">
        <x:v>分析团队</x:v>
      </x:c>
      <x:c r="J801" s="94" t="str">
        <x:v>模拟项目运营成本；统一折算USD</x:v>
      </x:c>
    </x:row>
    <x:row r="802">
      <x:c r="A802" s="92" t="str">
        <x:v>COST-0801</x:v>
      </x:c>
      <x:c r="B802" s="94" t="str">
        <x:v>PROC-0801</x:v>
      </x:c>
      <x:c r="C802" s="93" t="n">
        <x:v>46167</x:v>
      </x:c>
      <x:c r="D802" s="94" t="str">
        <x:v>Google Ads</x:v>
      </x:c>
      <x:c r="E802" s="94" t="str">
        <x:v>云主机/CDN</x:v>
      </x:c>
      <x:c r="F802" s="94" t="str">
        <x:v>按访问量</x:v>
      </x:c>
      <x:c r="G802" s="97" t="n">
        <x:v>0.54</x:v>
      </x:c>
      <x:c r="H802" s="94" t="str">
        <x:v>变动</x:v>
      </x:c>
      <x:c r="I802" s="94" t="str">
        <x:v>技术团队</x:v>
      </x:c>
      <x:c r="J802" s="94" t="str">
        <x:v>模拟项目运营成本；统一折算USD</x:v>
      </x:c>
    </x:row>
    <x:row r="803">
      <x:c r="A803" s="92" t="str">
        <x:v>COST-0802</x:v>
      </x:c>
      <x:c r="B803" s="94" t="str">
        <x:v>PROC-0802</x:v>
      </x:c>
      <x:c r="C803" s="93" t="n">
        <x:v>46167</x:v>
      </x:c>
      <x:c r="D803" s="94" t="str">
        <x:v>Google Ads</x:v>
      </x:c>
      <x:c r="E803" s="94" t="str">
        <x:v>人工运营分摊</x:v>
      </x:c>
      <x:c r="F803" s="94" t="str">
        <x:v>按工时</x:v>
      </x:c>
      <x:c r="G803" s="97" t="n">
        <x:v>2.65</x:v>
      </x:c>
      <x:c r="H803" s="94" t="str">
        <x:v>部分固定</x:v>
      </x:c>
      <x:c r="I803" s="94" t="str">
        <x:v>运营团队</x:v>
      </x:c>
      <x:c r="J803" s="94" t="str">
        <x:v>模拟项目运营成本；统一折算USD</x:v>
      </x:c>
    </x:row>
    <x:row r="804">
      <x:c r="A804" s="92" t="str">
        <x:v>COST-0803</x:v>
      </x:c>
      <x:c r="B804" s="94" t="str">
        <x:v>PROC-0803</x:v>
      </x:c>
      <x:c r="C804" s="93" t="n">
        <x:v>46168</x:v>
      </x:c>
      <x:c r="D804" s="94" t="str">
        <x:v>Microsoft Ads</x:v>
      </x:c>
      <x:c r="E804" s="94" t="str">
        <x:v>数据与ETL</x:v>
      </x:c>
      <x:c r="F804" s="94" t="str">
        <x:v>按采购批次</x:v>
      </x:c>
      <x:c r="G804" s="97" t="n">
        <x:v>0.91</x:v>
      </x:c>
      <x:c r="H804" s="94" t="str">
        <x:v>变动</x:v>
      </x:c>
      <x:c r="I804" s="94" t="str">
        <x:v>数据团队</x:v>
      </x:c>
      <x:c r="J804" s="94" t="str">
        <x:v>模拟项目运营成本；统一折算USD</x:v>
      </x:c>
    </x:row>
    <x:row r="805">
      <x:c r="A805" s="92" t="str">
        <x:v>COST-0804</x:v>
      </x:c>
      <x:c r="B805" s="94" t="str">
        <x:v>PROC-0804</x:v>
      </x:c>
      <x:c r="C805" s="93" t="n">
        <x:v>46168</x:v>
      </x:c>
      <x:c r="D805" s="94" t="str">
        <x:v>Google Ads</x:v>
      </x:c>
      <x:c r="E805" s="94" t="str">
        <x:v>数据与ETL</x:v>
      </x:c>
      <x:c r="F805" s="94" t="str">
        <x:v>按采购批次</x:v>
      </x:c>
      <x:c r="G805" s="97" t="n">
        <x:v>1.25</x:v>
      </x:c>
      <x:c r="H805" s="94" t="str">
        <x:v>变动</x:v>
      </x:c>
      <x:c r="I805" s="94" t="str">
        <x:v>数据团队</x:v>
      </x:c>
      <x:c r="J805" s="94" t="str">
        <x:v>模拟项目运营成本；统一折算USD</x:v>
      </x:c>
    </x:row>
    <x:row r="806">
      <x:c r="A806" s="92" t="str">
        <x:v>COST-0805</x:v>
      </x:c>
      <x:c r="B806" s="94" t="str">
        <x:v>PROC-0805</x:v>
      </x:c>
      <x:c r="C806" s="93" t="n">
        <x:v>46168</x:v>
      </x:c>
      <x:c r="D806" s="94" t="str">
        <x:v>Microsoft Ads</x:v>
      </x:c>
      <x:c r="E806" s="94" t="str">
        <x:v>数据与ETL</x:v>
      </x:c>
      <x:c r="F806" s="94" t="str">
        <x:v>按采购批次</x:v>
      </x:c>
      <x:c r="G806" s="97" t="n">
        <x:v>1.63</x:v>
      </x:c>
      <x:c r="H806" s="94" t="str">
        <x:v>变动</x:v>
      </x:c>
      <x:c r="I806" s="94" t="str">
        <x:v>数据团队</x:v>
      </x:c>
      <x:c r="J806" s="94" t="str">
        <x:v>模拟项目运营成本；统一折算USD</x:v>
      </x:c>
    </x:row>
    <x:row r="807">
      <x:c r="A807" s="92" t="str">
        <x:v>COST-0806</x:v>
      </x:c>
      <x:c r="B807" s="94" t="str">
        <x:v>PROC-0806</x:v>
      </x:c>
      <x:c r="C807" s="93" t="n">
        <x:v>46168</x:v>
      </x:c>
      <x:c r="D807" s="94" t="str">
        <x:v>Microsoft Ads</x:v>
      </x:c>
      <x:c r="E807" s="94" t="str">
        <x:v>人工运营分摊</x:v>
      </x:c>
      <x:c r="F807" s="94" t="str">
        <x:v>按工时</x:v>
      </x:c>
      <x:c r="G807" s="97" t="n">
        <x:v>3.83</x:v>
      </x:c>
      <x:c r="H807" s="94" t="str">
        <x:v>部分固定</x:v>
      </x:c>
      <x:c r="I807" s="94" t="str">
        <x:v>运营团队</x:v>
      </x:c>
      <x:c r="J807" s="94" t="str">
        <x:v>模拟项目运营成本；统一折算USD</x:v>
      </x:c>
    </x:row>
    <x:row r="808">
      <x:c r="A808" s="92" t="str">
        <x:v>COST-0807</x:v>
      </x:c>
      <x:c r="B808" s="94" t="str">
        <x:v>PROC-0807</x:v>
      </x:c>
      <x:c r="C808" s="93" t="n">
        <x:v>46168</x:v>
      </x:c>
      <x:c r="D808" s="94" t="str">
        <x:v>Microsoft Ads</x:v>
      </x:c>
      <x:c r="E808" s="94" t="str">
        <x:v>云主机/CDN</x:v>
      </x:c>
      <x:c r="F808" s="94" t="str">
        <x:v>按访问量</x:v>
      </x:c>
      <x:c r="G808" s="97" t="n">
        <x:v>0.46</x:v>
      </x:c>
      <x:c r="H808" s="94" t="str">
        <x:v>变动</x:v>
      </x:c>
      <x:c r="I808" s="94" t="str">
        <x:v>技术团队</x:v>
      </x:c>
      <x:c r="J808" s="94" t="str">
        <x:v>模拟项目运营成本；统一折算USD</x:v>
      </x:c>
    </x:row>
    <x:row r="809">
      <x:c r="A809" s="92" t="str">
        <x:v>COST-0808</x:v>
      </x:c>
      <x:c r="B809" s="94" t="str">
        <x:v>PROC-0808</x:v>
      </x:c>
      <x:c r="C809" s="93" t="n">
        <x:v>46169</x:v>
      </x:c>
      <x:c r="D809" s="94" t="str">
        <x:v>Google Ads</x:v>
      </x:c>
      <x:c r="E809" s="94" t="str">
        <x:v>云主机/CDN</x:v>
      </x:c>
      <x:c r="F809" s="94" t="str">
        <x:v>按访问量</x:v>
      </x:c>
      <x:c r="G809" s="97" t="n">
        <x:v>0.53</x:v>
      </x:c>
      <x:c r="H809" s="94" t="str">
        <x:v>变动</x:v>
      </x:c>
      <x:c r="I809" s="94" t="str">
        <x:v>技术团队</x:v>
      </x:c>
      <x:c r="J809" s="94" t="str">
        <x:v>模拟项目运营成本；统一折算USD</x:v>
      </x:c>
    </x:row>
    <x:row r="810">
      <x:c r="A810" s="92" t="str">
        <x:v>COST-0809</x:v>
      </x:c>
      <x:c r="B810" s="94" t="str">
        <x:v>PROC-0809</x:v>
      </x:c>
      <x:c r="C810" s="93" t="n">
        <x:v>46169</x:v>
      </x:c>
      <x:c r="D810" s="94" t="str">
        <x:v>Google Ads</x:v>
      </x:c>
      <x:c r="E810" s="94" t="str">
        <x:v>云主机/CDN</x:v>
      </x:c>
      <x:c r="F810" s="94" t="str">
        <x:v>按访问量</x:v>
      </x:c>
      <x:c r="G810" s="97" t="n">
        <x:v>0.81</x:v>
      </x:c>
      <x:c r="H810" s="94" t="str">
        <x:v>变动</x:v>
      </x:c>
      <x:c r="I810" s="94" t="str">
        <x:v>技术团队</x:v>
      </x:c>
      <x:c r="J810" s="94" t="str">
        <x:v>模拟项目运营成本；统一折算USD</x:v>
      </x:c>
    </x:row>
    <x:row r="811">
      <x:c r="A811" s="92" t="str">
        <x:v>COST-0810</x:v>
      </x:c>
      <x:c r="B811" s="94" t="str">
        <x:v>PROC-0810</x:v>
      </x:c>
      <x:c r="C811" s="93" t="n">
        <x:v>46169</x:v>
      </x:c>
      <x:c r="D811" s="94" t="str">
        <x:v>Microsoft Ads</x:v>
      </x:c>
      <x:c r="E811" s="94" t="str">
        <x:v>人工运营分摊</x:v>
      </x:c>
      <x:c r="F811" s="94" t="str">
        <x:v>按工时</x:v>
      </x:c>
      <x:c r="G811" s="97" t="n">
        <x:v>2.68</x:v>
      </x:c>
      <x:c r="H811" s="94" t="str">
        <x:v>部分固定</x:v>
      </x:c>
      <x:c r="I811" s="94" t="str">
        <x:v>运营团队</x:v>
      </x:c>
      <x:c r="J811" s="94" t="str">
        <x:v>模拟项目运营成本；统一折算USD</x:v>
      </x:c>
    </x:row>
    <x:row r="812">
      <x:c r="A812" s="92" t="str">
        <x:v>COST-0811</x:v>
      </x:c>
      <x:c r="B812" s="94" t="str">
        <x:v>PROC-0811</x:v>
      </x:c>
      <x:c r="C812" s="93" t="n">
        <x:v>46169</x:v>
      </x:c>
      <x:c r="D812" s="94" t="str">
        <x:v>Google Ads</x:v>
      </x:c>
      <x:c r="E812" s="94" t="str">
        <x:v>人工运营分摊</x:v>
      </x:c>
      <x:c r="F812" s="94" t="str">
        <x:v>按工时</x:v>
      </x:c>
      <x:c r="G812" s="97" t="n">
        <x:v>1.54</x:v>
      </x:c>
      <x:c r="H812" s="94" t="str">
        <x:v>部分固定</x:v>
      </x:c>
      <x:c r="I812" s="94" t="str">
        <x:v>运营团队</x:v>
      </x:c>
      <x:c r="J812" s="94" t="str">
        <x:v>模拟项目运营成本；统一折算USD</x:v>
      </x:c>
    </x:row>
    <x:row r="813">
      <x:c r="A813" s="92" t="str">
        <x:v>COST-0812</x:v>
      </x:c>
      <x:c r="B813" s="94" t="str">
        <x:v>PROC-0812</x:v>
      </x:c>
      <x:c r="C813" s="93" t="n">
        <x:v>46169</x:v>
      </x:c>
      <x:c r="D813" s="94" t="str">
        <x:v>Google Ads</x:v>
      </x:c>
      <x:c r="E813" s="94" t="str">
        <x:v>人工运营分摊</x:v>
      </x:c>
      <x:c r="F813" s="94" t="str">
        <x:v>按工时</x:v>
      </x:c>
      <x:c r="G813" s="97" t="n">
        <x:v>3.46</x:v>
      </x:c>
      <x:c r="H813" s="94" t="str">
        <x:v>部分固定</x:v>
      </x:c>
      <x:c r="I813" s="94" t="str">
        <x:v>运营团队</x:v>
      </x:c>
      <x:c r="J813" s="94" t="str">
        <x:v>模拟项目运营成本；统一折算USD</x:v>
      </x:c>
    </x:row>
    <x:row r="814">
      <x:c r="A814" s="92" t="str">
        <x:v>COST-0813</x:v>
      </x:c>
      <x:c r="B814" s="94" t="str">
        <x:v>PROC-0813</x:v>
      </x:c>
      <x:c r="C814" s="93" t="n">
        <x:v>46169</x:v>
      </x:c>
      <x:c r="D814" s="94" t="str">
        <x:v>Google Ads</x:v>
      </x:c>
      <x:c r="E814" s="94" t="str">
        <x:v>人工运营分摊</x:v>
      </x:c>
      <x:c r="F814" s="94" t="str">
        <x:v>按工时</x:v>
      </x:c>
      <x:c r="G814" s="97" t="n">
        <x:v>3.35</x:v>
      </x:c>
      <x:c r="H814" s="94" t="str">
        <x:v>部分固定</x:v>
      </x:c>
      <x:c r="I814" s="94" t="str">
        <x:v>运营团队</x:v>
      </x:c>
      <x:c r="J814" s="94" t="str">
        <x:v>模拟项目运营成本；统一折算USD</x:v>
      </x:c>
    </x:row>
    <x:row r="815">
      <x:c r="A815" s="92" t="str">
        <x:v>COST-0814</x:v>
      </x:c>
      <x:c r="B815" s="94" t="str">
        <x:v>PROC-0814</x:v>
      </x:c>
      <x:c r="C815" s="93" t="n">
        <x:v>46170</x:v>
      </x:c>
      <x:c r="D815" s="94" t="str">
        <x:v>Google Ads</x:v>
      </x:c>
      <x:c r="E815" s="94" t="str">
        <x:v>数据与ETL</x:v>
      </x:c>
      <x:c r="F815" s="94" t="str">
        <x:v>按采购批次</x:v>
      </x:c>
      <x:c r="G815" s="97" t="n">
        <x:v>1.24</x:v>
      </x:c>
      <x:c r="H815" s="94" t="str">
        <x:v>变动</x:v>
      </x:c>
      <x:c r="I815" s="94" t="str">
        <x:v>数据团队</x:v>
      </x:c>
      <x:c r="J815" s="94" t="str">
        <x:v>模拟项目运营成本；统一折算USD</x:v>
      </x:c>
    </x:row>
    <x:row r="816">
      <x:c r="A816" s="92" t="str">
        <x:v>COST-0815</x:v>
      </x:c>
      <x:c r="B816" s="94" t="str">
        <x:v>PROC-0815</x:v>
      </x:c>
      <x:c r="C816" s="93" t="n">
        <x:v>46170</x:v>
      </x:c>
      <x:c r="D816" s="94" t="str">
        <x:v>Google Ads</x:v>
      </x:c>
      <x:c r="E816" s="94" t="str">
        <x:v>创意素材</x:v>
      </x:c>
      <x:c r="F816" s="94" t="str">
        <x:v>按活动</x:v>
      </x:c>
      <x:c r="G816" s="97" t="n">
        <x:v>1.73</x:v>
      </x:c>
      <x:c r="H816" s="94" t="str">
        <x:v>部分固定</x:v>
      </x:c>
      <x:c r="I816" s="94" t="str">
        <x:v>增长团队</x:v>
      </x:c>
      <x:c r="J816" s="94" t="str">
        <x:v>模拟项目运营成本；统一折算USD</x:v>
      </x:c>
    </x:row>
    <x:row r="817">
      <x:c r="A817" s="92" t="str">
        <x:v>COST-0816</x:v>
      </x:c>
      <x:c r="B817" s="94" t="str">
        <x:v>PROC-0816</x:v>
      </x:c>
      <x:c r="C817" s="93" t="n">
        <x:v>46170</x:v>
      </x:c>
      <x:c r="D817" s="94" t="str">
        <x:v>Google Ads</x:v>
      </x:c>
      <x:c r="E817" s="94" t="str">
        <x:v>人工运营分摊</x:v>
      </x:c>
      <x:c r="F817" s="94" t="str">
        <x:v>按工时</x:v>
      </x:c>
      <x:c r="G817" s="97" t="n">
        <x:v>4.11</x:v>
      </x:c>
      <x:c r="H817" s="94" t="str">
        <x:v>部分固定</x:v>
      </x:c>
      <x:c r="I817" s="94" t="str">
        <x:v>运营团队</x:v>
      </x:c>
      <x:c r="J817" s="94" t="str">
        <x:v>模拟项目运营成本；统一折算USD</x:v>
      </x:c>
    </x:row>
    <x:row r="818">
      <x:c r="A818" s="92" t="str">
        <x:v>COST-0817</x:v>
      </x:c>
      <x:c r="B818" s="94" t="str">
        <x:v>PROC-0817</x:v>
      </x:c>
      <x:c r="C818" s="93" t="n">
        <x:v>46170</x:v>
      </x:c>
      <x:c r="D818" s="94" t="str">
        <x:v>Google Ads</x:v>
      </x:c>
      <x:c r="E818" s="94" t="str">
        <x:v>人工运营分摊</x:v>
      </x:c>
      <x:c r="F818" s="94" t="str">
        <x:v>按工时</x:v>
      </x:c>
      <x:c r="G818" s="97" t="n">
        <x:v>4.04</x:v>
      </x:c>
      <x:c r="H818" s="94" t="str">
        <x:v>部分固定</x:v>
      </x:c>
      <x:c r="I818" s="94" t="str">
        <x:v>运营团队</x:v>
      </x:c>
      <x:c r="J818" s="94" t="str">
        <x:v>模拟项目运营成本；统一折算USD</x:v>
      </x:c>
    </x:row>
    <x:row r="819">
      <x:c r="A819" s="92" t="str">
        <x:v>COST-0818</x:v>
      </x:c>
      <x:c r="B819" s="94" t="str">
        <x:v>PROC-0818</x:v>
      </x:c>
      <x:c r="C819" s="93" t="n">
        <x:v>46170</x:v>
      </x:c>
      <x:c r="D819" s="94" t="str">
        <x:v>Google Ads</x:v>
      </x:c>
      <x:c r="E819" s="94" t="str">
        <x:v>创意素材</x:v>
      </x:c>
      <x:c r="F819" s="94" t="str">
        <x:v>按活动</x:v>
      </x:c>
      <x:c r="G819" s="97" t="n">
        <x:v>3.4</x:v>
      </x:c>
      <x:c r="H819" s="94" t="str">
        <x:v>部分固定</x:v>
      </x:c>
      <x:c r="I819" s="94" t="str">
        <x:v>增长团队</x:v>
      </x:c>
      <x:c r="J819" s="94" t="str">
        <x:v>模拟项目运营成本；统一折算USD</x:v>
      </x:c>
    </x:row>
    <x:row r="820">
      <x:c r="A820" s="92" t="str">
        <x:v>COST-0819</x:v>
      </x:c>
      <x:c r="B820" s="94" t="str">
        <x:v>PROC-0819</x:v>
      </x:c>
      <x:c r="C820" s="93" t="n">
        <x:v>46171</x:v>
      </x:c>
      <x:c r="D820" s="94" t="str">
        <x:v>Microsoft Ads</x:v>
      </x:c>
      <x:c r="E820" s="94" t="str">
        <x:v>数据与ETL</x:v>
      </x:c>
      <x:c r="F820" s="94" t="str">
        <x:v>按采购批次</x:v>
      </x:c>
      <x:c r="G820" s="97" t="n">
        <x:v>1.82</x:v>
      </x:c>
      <x:c r="H820" s="94" t="str">
        <x:v>变动</x:v>
      </x:c>
      <x:c r="I820" s="94" t="str">
        <x:v>数据团队</x:v>
      </x:c>
      <x:c r="J820" s="94" t="str">
        <x:v>模拟项目运营成本；统一折算USD</x:v>
      </x:c>
    </x:row>
    <x:row r="821">
      <x:c r="A821" s="92" t="str">
        <x:v>COST-0820</x:v>
      </x:c>
      <x:c r="B821" s="94" t="str">
        <x:v>PROC-0820</x:v>
      </x:c>
      <x:c r="C821" s="93" t="n">
        <x:v>46171</x:v>
      </x:c>
      <x:c r="D821" s="94" t="str">
        <x:v>Google Ads</x:v>
      </x:c>
      <x:c r="E821" s="94" t="str">
        <x:v>数据与ETL</x:v>
      </x:c>
      <x:c r="F821" s="94" t="str">
        <x:v>按采购批次</x:v>
      </x:c>
      <x:c r="G821" s="97" t="n">
        <x:v>0.43</x:v>
      </x:c>
      <x:c r="H821" s="94" t="str">
        <x:v>变动</x:v>
      </x:c>
      <x:c r="I821" s="94" t="str">
        <x:v>数据团队</x:v>
      </x:c>
      <x:c r="J821" s="94" t="str">
        <x:v>模拟项目运营成本；统一折算USD</x:v>
      </x:c>
    </x:row>
    <x:row r="822">
      <x:c r="A822" s="92" t="str">
        <x:v>COST-0821</x:v>
      </x:c>
      <x:c r="B822" s="94" t="str">
        <x:v>PROC-0821</x:v>
      </x:c>
      <x:c r="C822" s="93" t="n">
        <x:v>46171</x:v>
      </x:c>
      <x:c r="D822" s="94" t="str">
        <x:v>Google Ads</x:v>
      </x:c>
      <x:c r="E822" s="94" t="str">
        <x:v>数据与ETL</x:v>
      </x:c>
      <x:c r="F822" s="94" t="str">
        <x:v>按采购批次</x:v>
      </x:c>
      <x:c r="G822" s="97" t="n">
        <x:v>0.76</x:v>
      </x:c>
      <x:c r="H822" s="94" t="str">
        <x:v>变动</x:v>
      </x:c>
      <x:c r="I822" s="94" t="str">
        <x:v>数据团队</x:v>
      </x:c>
      <x:c r="J822" s="94" t="str">
        <x:v>模拟项目运营成本；统一折算USD</x:v>
      </x:c>
    </x:row>
    <x:row r="823">
      <x:c r="A823" s="92" t="str">
        <x:v>COST-0822</x:v>
      </x:c>
      <x:c r="B823" s="94" t="str">
        <x:v>PROC-0822</x:v>
      </x:c>
      <x:c r="C823" s="93" t="n">
        <x:v>46171</x:v>
      </x:c>
      <x:c r="D823" s="94" t="str">
        <x:v>Google Ads</x:v>
      </x:c>
      <x:c r="E823" s="94" t="str">
        <x:v>创意素材</x:v>
      </x:c>
      <x:c r="F823" s="94" t="str">
        <x:v>按活动</x:v>
      </x:c>
      <x:c r="G823" s="97" t="n">
        <x:v>1.87</x:v>
      </x:c>
      <x:c r="H823" s="94" t="str">
        <x:v>部分固定</x:v>
      </x:c>
      <x:c r="I823" s="94" t="str">
        <x:v>增长团队</x:v>
      </x:c>
      <x:c r="J823" s="94" t="str">
        <x:v>模拟项目运营成本；统一折算USD</x:v>
      </x:c>
    </x:row>
    <x:row r="824">
      <x:c r="A824" s="92" t="str">
        <x:v>COST-0823</x:v>
      </x:c>
      <x:c r="B824" s="94" t="str">
        <x:v>PROC-0823</x:v>
      </x:c>
      <x:c r="C824" s="93" t="n">
        <x:v>46171</x:v>
      </x:c>
      <x:c r="D824" s="94" t="str">
        <x:v>Microsoft Ads</x:v>
      </x:c>
      <x:c r="E824" s="94" t="str">
        <x:v>创意素材</x:v>
      </x:c>
      <x:c r="F824" s="94" t="str">
        <x:v>按活动</x:v>
      </x:c>
      <x:c r="G824" s="97" t="n">
        <x:v>2.87</x:v>
      </x:c>
      <x:c r="H824" s="94" t="str">
        <x:v>部分固定</x:v>
      </x:c>
      <x:c r="I824" s="94" t="str">
        <x:v>增长团队</x:v>
      </x:c>
      <x:c r="J824" s="94" t="str">
        <x:v>模拟项目运营成本；统一折算USD</x:v>
      </x:c>
    </x:row>
    <x:row r="825">
      <x:c r="A825" s="92" t="str">
        <x:v>COST-0824</x:v>
      </x:c>
      <x:c r="B825" s="94" t="str">
        <x:v>PROC-0824</x:v>
      </x:c>
      <x:c r="C825" s="93" t="n">
        <x:v>46171</x:v>
      </x:c>
      <x:c r="D825" s="94" t="str">
        <x:v>Google Ads</x:v>
      </x:c>
      <x:c r="E825" s="94" t="str">
        <x:v>数据与ETL</x:v>
      </x:c>
      <x:c r="F825" s="94" t="str">
        <x:v>按采购批次</x:v>
      </x:c>
      <x:c r="G825" s="97" t="n">
        <x:v>1.47</x:v>
      </x:c>
      <x:c r="H825" s="94" t="str">
        <x:v>变动</x:v>
      </x:c>
      <x:c r="I825" s="94" t="str">
        <x:v>数据团队</x:v>
      </x:c>
      <x:c r="J825" s="94" t="str">
        <x:v>模拟项目运营成本；统一折算USD</x:v>
      </x:c>
    </x:row>
    <x:row r="826">
      <x:c r="A826" s="92" t="str">
        <x:v>COST-0825</x:v>
      </x:c>
      <x:c r="B826" s="94" t="str">
        <x:v>PROC-0825</x:v>
      </x:c>
      <x:c r="C826" s="93" t="n">
        <x:v>46172</x:v>
      </x:c>
      <x:c r="D826" s="94" t="str">
        <x:v>Microsoft Ads</x:v>
      </x:c>
      <x:c r="E826" s="94" t="str">
        <x:v>归因与监测工具</x:v>
      </x:c>
      <x:c r="F826" s="94" t="str">
        <x:v>按点击量</x:v>
      </x:c>
      <x:c r="G826" s="97" t="n">
        <x:v>1.46</x:v>
      </x:c>
      <x:c r="H826" s="94" t="str">
        <x:v>变动</x:v>
      </x:c>
      <x:c r="I826" s="94" t="str">
        <x:v>分析团队</x:v>
      </x:c>
      <x:c r="J826" s="94" t="str">
        <x:v>模拟项目运营成本；统一折算USD</x:v>
      </x:c>
    </x:row>
    <x:row r="827">
      <x:c r="A827" s="92" t="str">
        <x:v>COST-0826</x:v>
      </x:c>
      <x:c r="B827" s="94" t="str">
        <x:v>PROC-0826</x:v>
      </x:c>
      <x:c r="C827" s="93" t="n">
        <x:v>46172</x:v>
      </x:c>
      <x:c r="D827" s="94" t="str">
        <x:v>Microsoft Ads</x:v>
      </x:c>
      <x:c r="E827" s="94" t="str">
        <x:v>云主机/CDN</x:v>
      </x:c>
      <x:c r="F827" s="94" t="str">
        <x:v>按访问量</x:v>
      </x:c>
      <x:c r="G827" s="97" t="n">
        <x:v>1</x:v>
      </x:c>
      <x:c r="H827" s="94" t="str">
        <x:v>变动</x:v>
      </x:c>
      <x:c r="I827" s="94" t="str">
        <x:v>技术团队</x:v>
      </x:c>
      <x:c r="J827" s="94" t="str">
        <x:v>模拟项目运营成本；统一折算USD</x:v>
      </x:c>
    </x:row>
    <x:row r="828">
      <x:c r="A828" s="92" t="str">
        <x:v>COST-0827</x:v>
      </x:c>
      <x:c r="B828" s="94" t="str">
        <x:v>PROC-0827</x:v>
      </x:c>
      <x:c r="C828" s="93" t="n">
        <x:v>46172</x:v>
      </x:c>
      <x:c r="D828" s="94" t="str">
        <x:v>Microsoft Ads</x:v>
      </x:c>
      <x:c r="E828" s="94" t="str">
        <x:v>人工运营分摊</x:v>
      </x:c>
      <x:c r="F828" s="94" t="str">
        <x:v>按工时</x:v>
      </x:c>
      <x:c r="G828" s="97" t="n">
        <x:v>1.76</x:v>
      </x:c>
      <x:c r="H828" s="94" t="str">
        <x:v>部分固定</x:v>
      </x:c>
      <x:c r="I828" s="94" t="str">
        <x:v>运营团队</x:v>
      </x:c>
      <x:c r="J828" s="94" t="str">
        <x:v>模拟项目运营成本；统一折算USD</x:v>
      </x:c>
    </x:row>
    <x:row r="829">
      <x:c r="A829" s="92" t="str">
        <x:v>COST-0828</x:v>
      </x:c>
      <x:c r="B829" s="94" t="str">
        <x:v>PROC-0828</x:v>
      </x:c>
      <x:c r="C829" s="93" t="n">
        <x:v>46172</x:v>
      </x:c>
      <x:c r="D829" s="94" t="str">
        <x:v>Microsoft Ads</x:v>
      </x:c>
      <x:c r="E829" s="94" t="str">
        <x:v>归因与监测工具</x:v>
      </x:c>
      <x:c r="F829" s="94" t="str">
        <x:v>按点击量</x:v>
      </x:c>
      <x:c r="G829" s="97" t="n">
        <x:v>0.57</x:v>
      </x:c>
      <x:c r="H829" s="94" t="str">
        <x:v>变动</x:v>
      </x:c>
      <x:c r="I829" s="94" t="str">
        <x:v>分析团队</x:v>
      </x:c>
      <x:c r="J829" s="94" t="str">
        <x:v>模拟项目运营成本；统一折算USD</x:v>
      </x:c>
    </x:row>
    <x:row r="830">
      <x:c r="A830" s="92" t="str">
        <x:v>COST-0829</x:v>
      </x:c>
      <x:c r="B830" s="94" t="str">
        <x:v>PROC-0829</x:v>
      </x:c>
      <x:c r="C830" s="93" t="n">
        <x:v>46172</x:v>
      </x:c>
      <x:c r="D830" s="94" t="str">
        <x:v>Google Ads</x:v>
      </x:c>
      <x:c r="E830" s="94" t="str">
        <x:v>人工运营分摊</x:v>
      </x:c>
      <x:c r="F830" s="94" t="str">
        <x:v>按工时</x:v>
      </x:c>
      <x:c r="G830" s="97" t="n">
        <x:v>4.21</x:v>
      </x:c>
      <x:c r="H830" s="94" t="str">
        <x:v>部分固定</x:v>
      </x:c>
      <x:c r="I830" s="94" t="str">
        <x:v>运营团队</x:v>
      </x:c>
      <x:c r="J830" s="94" t="str">
        <x:v>模拟项目运营成本；统一折算USD</x:v>
      </x:c>
    </x:row>
    <x:row r="831">
      <x:c r="A831" s="92" t="str">
        <x:v>COST-0830</x:v>
      </x:c>
      <x:c r="B831" s="94" t="str">
        <x:v>PROC-0830</x:v>
      </x:c>
      <x:c r="C831" s="93" t="n">
        <x:v>46173</x:v>
      </x:c>
      <x:c r="D831" s="94" t="str">
        <x:v>Google Ads</x:v>
      </x:c>
      <x:c r="E831" s="94" t="str">
        <x:v>创意素材</x:v>
      </x:c>
      <x:c r="F831" s="94" t="str">
        <x:v>按活动</x:v>
      </x:c>
      <x:c r="G831" s="97" t="n">
        <x:v>3.26</x:v>
      </x:c>
      <x:c r="H831" s="94" t="str">
        <x:v>部分固定</x:v>
      </x:c>
      <x:c r="I831" s="94" t="str">
        <x:v>增长团队</x:v>
      </x:c>
      <x:c r="J831" s="94" t="str">
        <x:v>模拟项目运营成本；统一折算USD</x:v>
      </x:c>
    </x:row>
    <x:row r="832">
      <x:c r="A832" s="92" t="str">
        <x:v>COST-0831</x:v>
      </x:c>
      <x:c r="B832" s="94" t="str">
        <x:v>PROC-0831</x:v>
      </x:c>
      <x:c r="C832" s="93" t="n">
        <x:v>46173</x:v>
      </x:c>
      <x:c r="D832" s="94" t="str">
        <x:v>Google Ads</x:v>
      </x:c>
      <x:c r="E832" s="94" t="str">
        <x:v>数据与ETL</x:v>
      </x:c>
      <x:c r="F832" s="94" t="str">
        <x:v>按采购批次</x:v>
      </x:c>
      <x:c r="G832" s="97" t="n">
        <x:v>0.99</x:v>
      </x:c>
      <x:c r="H832" s="94" t="str">
        <x:v>变动</x:v>
      </x:c>
      <x:c r="I832" s="94" t="str">
        <x:v>数据团队</x:v>
      </x:c>
      <x:c r="J832" s="94" t="str">
        <x:v>模拟项目运营成本；统一折算USD</x:v>
      </x:c>
    </x:row>
    <x:row r="833">
      <x:c r="A833" s="92" t="str">
        <x:v>COST-0832</x:v>
      </x:c>
      <x:c r="B833" s="94" t="str">
        <x:v>PROC-0832</x:v>
      </x:c>
      <x:c r="C833" s="93" t="n">
        <x:v>46173</x:v>
      </x:c>
      <x:c r="D833" s="94" t="str">
        <x:v>Google Ads</x:v>
      </x:c>
      <x:c r="E833" s="94" t="str">
        <x:v>创意素材</x:v>
      </x:c>
      <x:c r="F833" s="94" t="str">
        <x:v>按活动</x:v>
      </x:c>
      <x:c r="G833" s="97" t="n">
        <x:v>2.95</x:v>
      </x:c>
      <x:c r="H833" s="94" t="str">
        <x:v>部分固定</x:v>
      </x:c>
      <x:c r="I833" s="94" t="str">
        <x:v>增长团队</x:v>
      </x:c>
      <x:c r="J833" s="94" t="str">
        <x:v>模拟项目运营成本；统一折算USD</x:v>
      </x:c>
    </x:row>
    <x:row r="834">
      <x:c r="A834" s="92" t="str">
        <x:v>COST-0833</x:v>
      </x:c>
      <x:c r="B834" s="94" t="str">
        <x:v>PROC-0833</x:v>
      </x:c>
      <x:c r="C834" s="93" t="n">
        <x:v>46173</x:v>
      </x:c>
      <x:c r="D834" s="94" t="str">
        <x:v>Google Ads</x:v>
      </x:c>
      <x:c r="E834" s="94" t="str">
        <x:v>归因与监测工具</x:v>
      </x:c>
      <x:c r="F834" s="94" t="str">
        <x:v>按点击量</x:v>
      </x:c>
      <x:c r="G834" s="97" t="n">
        <x:v>1.27</x:v>
      </x:c>
      <x:c r="H834" s="94" t="str">
        <x:v>变动</x:v>
      </x:c>
      <x:c r="I834" s="94" t="str">
        <x:v>分析团队</x:v>
      </x:c>
      <x:c r="J834" s="94" t="str">
        <x:v>模拟项目运营成本；统一折算USD</x:v>
      </x:c>
    </x:row>
    <x:row r="835">
      <x:c r="A835" s="92" t="str">
        <x:v>COST-0834</x:v>
      </x:c>
      <x:c r="B835" s="94" t="str">
        <x:v>PROC-0834</x:v>
      </x:c>
      <x:c r="C835" s="93" t="n">
        <x:v>46173</x:v>
      </x:c>
      <x:c r="D835" s="94" t="str">
        <x:v>Google Ads</x:v>
      </x:c>
      <x:c r="E835" s="94" t="str">
        <x:v>创意素材</x:v>
      </x:c>
      <x:c r="F835" s="94" t="str">
        <x:v>按活动</x:v>
      </x:c>
      <x:c r="G835" s="97" t="n">
        <x:v>2.14</x:v>
      </x:c>
      <x:c r="H835" s="94" t="str">
        <x:v>部分固定</x:v>
      </x:c>
      <x:c r="I835" s="94" t="str">
        <x:v>增长团队</x:v>
      </x:c>
      <x:c r="J835" s="94" t="str">
        <x:v>模拟项目运营成本；统一折算USD</x:v>
      </x:c>
    </x:row>
    <x:row r="836">
      <x:c r="A836" s="92" t="str">
        <x:v>COST-0835</x:v>
      </x:c>
      <x:c r="B836" s="94" t="str">
        <x:v>PROC-0835</x:v>
      </x:c>
      <x:c r="C836" s="93" t="n">
        <x:v>46173</x:v>
      </x:c>
      <x:c r="D836" s="94" t="str">
        <x:v>Google Ads</x:v>
      </x:c>
      <x:c r="E836" s="94" t="str">
        <x:v>人工运营分摊</x:v>
      </x:c>
      <x:c r="F836" s="94" t="str">
        <x:v>按工时</x:v>
      </x:c>
      <x:c r="G836" s="97" t="n">
        <x:v>1.66</x:v>
      </x:c>
      <x:c r="H836" s="94" t="str">
        <x:v>部分固定</x:v>
      </x:c>
      <x:c r="I836" s="94" t="str">
        <x:v>运营团队</x:v>
      </x:c>
      <x:c r="J836" s="94" t="str">
        <x:v>模拟项目运营成本；统一折算USD</x:v>
      </x:c>
    </x:row>
    <x:row r="837">
      <x:c r="A837" s="92" t="str">
        <x:v>COST-0836</x:v>
      </x:c>
      <x:c r="B837" s="94" t="str">
        <x:v>PROC-0836</x:v>
      </x:c>
      <x:c r="C837" s="93" t="n">
        <x:v>46174</x:v>
      </x:c>
      <x:c r="D837" s="94" t="str">
        <x:v>Google Ads</x:v>
      </x:c>
      <x:c r="E837" s="94" t="str">
        <x:v>数据与ETL</x:v>
      </x:c>
      <x:c r="F837" s="94" t="str">
        <x:v>按采购批次</x:v>
      </x:c>
      <x:c r="G837" s="97" t="n">
        <x:v>1.14</x:v>
      </x:c>
      <x:c r="H837" s="94" t="str">
        <x:v>变动</x:v>
      </x:c>
      <x:c r="I837" s="94" t="str">
        <x:v>数据团队</x:v>
      </x:c>
      <x:c r="J837" s="94" t="str">
        <x:v>模拟项目运营成本；统一折算USD</x:v>
      </x:c>
    </x:row>
    <x:row r="838">
      <x:c r="A838" s="92" t="str">
        <x:v>COST-0837</x:v>
      </x:c>
      <x:c r="B838" s="94" t="str">
        <x:v>PROC-0837</x:v>
      </x:c>
      <x:c r="C838" s="93" t="n">
        <x:v>46174</x:v>
      </x:c>
      <x:c r="D838" s="94" t="str">
        <x:v>Google Ads</x:v>
      </x:c>
      <x:c r="E838" s="94" t="str">
        <x:v>创意素材</x:v>
      </x:c>
      <x:c r="F838" s="94" t="str">
        <x:v>按活动</x:v>
      </x:c>
      <x:c r="G838" s="97" t="n">
        <x:v>3.9</x:v>
      </x:c>
      <x:c r="H838" s="94" t="str">
        <x:v>部分固定</x:v>
      </x:c>
      <x:c r="I838" s="94" t="str">
        <x:v>增长团队</x:v>
      </x:c>
      <x:c r="J838" s="94" t="str">
        <x:v>模拟项目运营成本；统一折算USD</x:v>
      </x:c>
    </x:row>
    <x:row r="839">
      <x:c r="A839" s="92" t="str">
        <x:v>COST-0838</x:v>
      </x:c>
      <x:c r="B839" s="94" t="str">
        <x:v>PROC-0838</x:v>
      </x:c>
      <x:c r="C839" s="93" t="n">
        <x:v>46174</x:v>
      </x:c>
      <x:c r="D839" s="94" t="str">
        <x:v>Google Ads</x:v>
      </x:c>
      <x:c r="E839" s="94" t="str">
        <x:v>数据与ETL</x:v>
      </x:c>
      <x:c r="F839" s="94" t="str">
        <x:v>按采购批次</x:v>
      </x:c>
      <x:c r="G839" s="97" t="n">
        <x:v>1.27</x:v>
      </x:c>
      <x:c r="H839" s="94" t="str">
        <x:v>变动</x:v>
      </x:c>
      <x:c r="I839" s="94" t="str">
        <x:v>数据团队</x:v>
      </x:c>
      <x:c r="J839" s="94" t="str">
        <x:v>模拟项目运营成本；统一折算USD</x:v>
      </x:c>
    </x:row>
    <x:row r="840">
      <x:c r="A840" s="92" t="str">
        <x:v>COST-0839</x:v>
      </x:c>
      <x:c r="B840" s="94" t="str">
        <x:v>PROC-0839</x:v>
      </x:c>
      <x:c r="C840" s="93" t="n">
        <x:v>46174</x:v>
      </x:c>
      <x:c r="D840" s="94" t="str">
        <x:v>Google Ads</x:v>
      </x:c>
      <x:c r="E840" s="94" t="str">
        <x:v>创意素材</x:v>
      </x:c>
      <x:c r="F840" s="94" t="str">
        <x:v>按活动</x:v>
      </x:c>
      <x:c r="G840" s="97" t="n">
        <x:v>3.24</x:v>
      </x:c>
      <x:c r="H840" s="94" t="str">
        <x:v>部分固定</x:v>
      </x:c>
      <x:c r="I840" s="94" t="str">
        <x:v>增长团队</x:v>
      </x:c>
      <x:c r="J840" s="94" t="str">
        <x:v>模拟项目运营成本；统一折算USD</x:v>
      </x:c>
    </x:row>
    <x:row r="841">
      <x:c r="A841" s="92" t="str">
        <x:v>COST-0840</x:v>
      </x:c>
      <x:c r="B841" s="94" t="str">
        <x:v>PROC-0840</x:v>
      </x:c>
      <x:c r="C841" s="93" t="n">
        <x:v>46174</x:v>
      </x:c>
      <x:c r="D841" s="94" t="str">
        <x:v>Google Ads</x:v>
      </x:c>
      <x:c r="E841" s="94" t="str">
        <x:v>归因与监测工具</x:v>
      </x:c>
      <x:c r="F841" s="94" t="str">
        <x:v>按点击量</x:v>
      </x:c>
      <x:c r="G841" s="97" t="n">
        <x:v>1.79</x:v>
      </x:c>
      <x:c r="H841" s="94" t="str">
        <x:v>变动</x:v>
      </x:c>
      <x:c r="I841" s="94" t="str">
        <x:v>分析团队</x:v>
      </x:c>
      <x:c r="J841" s="94" t="str">
        <x:v>模拟项目运营成本；统一折算USD</x:v>
      </x:c>
    </x:row>
    <x:row r="842">
      <x:c r="A842" s="92" t="str">
        <x:v>COST-0841</x:v>
      </x:c>
      <x:c r="B842" s="94" t="str">
        <x:v>PROC-0841</x:v>
      </x:c>
      <x:c r="C842" s="93" t="n">
        <x:v>46175</x:v>
      </x:c>
      <x:c r="D842" s="94" t="str">
        <x:v>Microsoft Ads</x:v>
      </x:c>
      <x:c r="E842" s="94" t="str">
        <x:v>创意素材</x:v>
      </x:c>
      <x:c r="F842" s="94" t="str">
        <x:v>按活动</x:v>
      </x:c>
      <x:c r="G842" s="97" t="n">
        <x:v>1.32</x:v>
      </x:c>
      <x:c r="H842" s="94" t="str">
        <x:v>部分固定</x:v>
      </x:c>
      <x:c r="I842" s="94" t="str">
        <x:v>增长团队</x:v>
      </x:c>
      <x:c r="J842" s="94" t="str">
        <x:v>模拟项目运营成本；统一折算USD</x:v>
      </x:c>
    </x:row>
    <x:row r="843">
      <x:c r="A843" s="92" t="str">
        <x:v>COST-0842</x:v>
      </x:c>
      <x:c r="B843" s="94" t="str">
        <x:v>PROC-0842</x:v>
      </x:c>
      <x:c r="C843" s="93" t="n">
        <x:v>46175</x:v>
      </x:c>
      <x:c r="D843" s="94" t="str">
        <x:v>Google Ads</x:v>
      </x:c>
      <x:c r="E843" s="94" t="str">
        <x:v>数据与ETL</x:v>
      </x:c>
      <x:c r="F843" s="94" t="str">
        <x:v>按采购批次</x:v>
      </x:c>
      <x:c r="G843" s="97" t="n">
        <x:v>1.48</x:v>
      </x:c>
      <x:c r="H843" s="94" t="str">
        <x:v>变动</x:v>
      </x:c>
      <x:c r="I843" s="94" t="str">
        <x:v>数据团队</x:v>
      </x:c>
      <x:c r="J843" s="94" t="str">
        <x:v>模拟项目运营成本；统一折算USD</x:v>
      </x:c>
    </x:row>
    <x:row r="844">
      <x:c r="A844" s="92" t="str">
        <x:v>COST-0843</x:v>
      </x:c>
      <x:c r="B844" s="94" t="str">
        <x:v>PROC-0843</x:v>
      </x:c>
      <x:c r="C844" s="93" t="n">
        <x:v>46175</x:v>
      </x:c>
      <x:c r="D844" s="94" t="str">
        <x:v>Google Ads</x:v>
      </x:c>
      <x:c r="E844" s="94" t="str">
        <x:v>数据与ETL</x:v>
      </x:c>
      <x:c r="F844" s="94" t="str">
        <x:v>按采购批次</x:v>
      </x:c>
      <x:c r="G844" s="97" t="n">
        <x:v>0.86</x:v>
      </x:c>
      <x:c r="H844" s="94" t="str">
        <x:v>变动</x:v>
      </x:c>
      <x:c r="I844" s="94" t="str">
        <x:v>数据团队</x:v>
      </x:c>
      <x:c r="J844" s="94" t="str">
        <x:v>模拟项目运营成本；统一折算USD</x:v>
      </x:c>
    </x:row>
    <x:row r="845">
      <x:c r="A845" s="92" t="str">
        <x:v>COST-0844</x:v>
      </x:c>
      <x:c r="B845" s="94" t="str">
        <x:v>PROC-0844</x:v>
      </x:c>
      <x:c r="C845" s="93" t="n">
        <x:v>46175</x:v>
      </x:c>
      <x:c r="D845" s="94" t="str">
        <x:v>Google Ads</x:v>
      </x:c>
      <x:c r="E845" s="94" t="str">
        <x:v>归因与监测工具</x:v>
      </x:c>
      <x:c r="F845" s="94" t="str">
        <x:v>按点击量</x:v>
      </x:c>
      <x:c r="G845" s="97" t="n">
        <x:v>1.07</x:v>
      </x:c>
      <x:c r="H845" s="94" t="str">
        <x:v>变动</x:v>
      </x:c>
      <x:c r="I845" s="94" t="str">
        <x:v>分析团队</x:v>
      </x:c>
      <x:c r="J845" s="94" t="str">
        <x:v>模拟项目运营成本；统一折算USD</x:v>
      </x:c>
    </x:row>
    <x:row r="846">
      <x:c r="A846" s="92" t="str">
        <x:v>COST-0845</x:v>
      </x:c>
      <x:c r="B846" s="94" t="str">
        <x:v>PROC-0845</x:v>
      </x:c>
      <x:c r="C846" s="93" t="n">
        <x:v>46175</x:v>
      </x:c>
      <x:c r="D846" s="94" t="str">
        <x:v>Google Ads</x:v>
      </x:c>
      <x:c r="E846" s="94" t="str">
        <x:v>人工运营分摊</x:v>
      </x:c>
      <x:c r="F846" s="94" t="str">
        <x:v>按工时</x:v>
      </x:c>
      <x:c r="G846" s="97" t="n">
        <x:v>1.65</x:v>
      </x:c>
      <x:c r="H846" s="94" t="str">
        <x:v>部分固定</x:v>
      </x:c>
      <x:c r="I846" s="94" t="str">
        <x:v>运营团队</x:v>
      </x:c>
      <x:c r="J846" s="94" t="str">
        <x:v>模拟项目运营成本；统一折算USD</x:v>
      </x:c>
    </x:row>
    <x:row r="847">
      <x:c r="A847" s="92" t="str">
        <x:v>COST-0846</x:v>
      </x:c>
      <x:c r="B847" s="94" t="str">
        <x:v>PROC-0846</x:v>
      </x:c>
      <x:c r="C847" s="93" t="n">
        <x:v>46175</x:v>
      </x:c>
      <x:c r="D847" s="94" t="str">
        <x:v>Google Ads</x:v>
      </x:c>
      <x:c r="E847" s="94" t="str">
        <x:v>创意素材</x:v>
      </x:c>
      <x:c r="F847" s="94" t="str">
        <x:v>按活动</x:v>
      </x:c>
      <x:c r="G847" s="97" t="n">
        <x:v>2.41</x:v>
      </x:c>
      <x:c r="H847" s="94" t="str">
        <x:v>部分固定</x:v>
      </x:c>
      <x:c r="I847" s="94" t="str">
        <x:v>增长团队</x:v>
      </x:c>
      <x:c r="J847" s="94" t="str">
        <x:v>模拟项目运营成本；统一折算USD</x:v>
      </x:c>
    </x:row>
    <x:row r="848">
      <x:c r="A848" s="92" t="str">
        <x:v>COST-0847</x:v>
      </x:c>
      <x:c r="B848" s="94" t="str">
        <x:v>PROC-0847</x:v>
      </x:c>
      <x:c r="C848" s="93" t="n">
        <x:v>46176</x:v>
      </x:c>
      <x:c r="D848" s="94" t="str">
        <x:v>Google Ads</x:v>
      </x:c>
      <x:c r="E848" s="94" t="str">
        <x:v>归因与监测工具</x:v>
      </x:c>
      <x:c r="F848" s="94" t="str">
        <x:v>按点击量</x:v>
      </x:c>
      <x:c r="G848" s="97" t="n">
        <x:v>1.59</x:v>
      </x:c>
      <x:c r="H848" s="94" t="str">
        <x:v>变动</x:v>
      </x:c>
      <x:c r="I848" s="94" t="str">
        <x:v>分析团队</x:v>
      </x:c>
      <x:c r="J848" s="94" t="str">
        <x:v>模拟项目运营成本；统一折算USD</x:v>
      </x:c>
    </x:row>
    <x:row r="849">
      <x:c r="A849" s="92" t="str">
        <x:v>COST-0848</x:v>
      </x:c>
      <x:c r="B849" s="94" t="str">
        <x:v>PROC-0848</x:v>
      </x:c>
      <x:c r="C849" s="93" t="n">
        <x:v>46176</x:v>
      </x:c>
      <x:c r="D849" s="94" t="str">
        <x:v>Microsoft Ads</x:v>
      </x:c>
      <x:c r="E849" s="94" t="str">
        <x:v>云主机/CDN</x:v>
      </x:c>
      <x:c r="F849" s="94" t="str">
        <x:v>按访问量</x:v>
      </x:c>
      <x:c r="G849" s="97" t="n">
        <x:v>0.83</x:v>
      </x:c>
      <x:c r="H849" s="94" t="str">
        <x:v>变动</x:v>
      </x:c>
      <x:c r="I849" s="94" t="str">
        <x:v>技术团队</x:v>
      </x:c>
      <x:c r="J849" s="94" t="str">
        <x:v>模拟项目运营成本；统一折算USD</x:v>
      </x:c>
    </x:row>
    <x:row r="850">
      <x:c r="A850" s="92" t="str">
        <x:v>COST-0849</x:v>
      </x:c>
      <x:c r="B850" s="94" t="str">
        <x:v>PROC-0849</x:v>
      </x:c>
      <x:c r="C850" s="93" t="n">
        <x:v>46176</x:v>
      </x:c>
      <x:c r="D850" s="94" t="str">
        <x:v>Google Ads</x:v>
      </x:c>
      <x:c r="E850" s="94" t="str">
        <x:v>数据与ETL</x:v>
      </x:c>
      <x:c r="F850" s="94" t="str">
        <x:v>按采购批次</x:v>
      </x:c>
      <x:c r="G850" s="97" t="n">
        <x:v>0.44</x:v>
      </x:c>
      <x:c r="H850" s="94" t="str">
        <x:v>变动</x:v>
      </x:c>
      <x:c r="I850" s="94" t="str">
        <x:v>数据团队</x:v>
      </x:c>
      <x:c r="J850" s="94" t="str">
        <x:v>模拟项目运营成本；统一折算USD</x:v>
      </x:c>
    </x:row>
    <x:row r="851">
      <x:c r="A851" s="92" t="str">
        <x:v>COST-0850</x:v>
      </x:c>
      <x:c r="B851" s="94" t="str">
        <x:v>PROC-0850</x:v>
      </x:c>
      <x:c r="C851" s="93" t="n">
        <x:v>46176</x:v>
      </x:c>
      <x:c r="D851" s="94" t="str">
        <x:v>Microsoft Ads</x:v>
      </x:c>
      <x:c r="E851" s="94" t="str">
        <x:v>数据与ETL</x:v>
      </x:c>
      <x:c r="F851" s="94" t="str">
        <x:v>按采购批次</x:v>
      </x:c>
      <x:c r="G851" s="97" t="n">
        <x:v>1.39</x:v>
      </x:c>
      <x:c r="H851" s="94" t="str">
        <x:v>变动</x:v>
      </x:c>
      <x:c r="I851" s="94" t="str">
        <x:v>数据团队</x:v>
      </x:c>
      <x:c r="J851" s="94" t="str">
        <x:v>模拟项目运营成本；统一折算USD</x:v>
      </x:c>
    </x:row>
    <x:row r="852">
      <x:c r="A852" s="92" t="str">
        <x:v>COST-0851</x:v>
      </x:c>
      <x:c r="B852" s="94" t="str">
        <x:v>PROC-0851</x:v>
      </x:c>
      <x:c r="C852" s="93" t="n">
        <x:v>46176</x:v>
      </x:c>
      <x:c r="D852" s="94" t="str">
        <x:v>Microsoft Ads</x:v>
      </x:c>
      <x:c r="E852" s="94" t="str">
        <x:v>数据与ETL</x:v>
      </x:c>
      <x:c r="F852" s="94" t="str">
        <x:v>按采购批次</x:v>
      </x:c>
      <x:c r="G852" s="97" t="n">
        <x:v>0.43</x:v>
      </x:c>
      <x:c r="H852" s="94" t="str">
        <x:v>变动</x:v>
      </x:c>
      <x:c r="I852" s="94" t="str">
        <x:v>数据团队</x:v>
      </x:c>
      <x:c r="J852" s="94" t="str">
        <x:v>模拟项目运营成本；统一折算USD</x:v>
      </x:c>
    </x:row>
    <x:row r="853">
      <x:c r="A853" s="92" t="str">
        <x:v>COST-0852</x:v>
      </x:c>
      <x:c r="B853" s="94" t="str">
        <x:v>PROC-0852</x:v>
      </x:c>
      <x:c r="C853" s="93" t="n">
        <x:v>46177</x:v>
      </x:c>
      <x:c r="D853" s="94" t="str">
        <x:v>Google Ads</x:v>
      </x:c>
      <x:c r="E853" s="94" t="str">
        <x:v>数据与ETL</x:v>
      </x:c>
      <x:c r="F853" s="94" t="str">
        <x:v>按采购批次</x:v>
      </x:c>
      <x:c r="G853" s="97" t="n">
        <x:v>1.49</x:v>
      </x:c>
      <x:c r="H853" s="94" t="str">
        <x:v>变动</x:v>
      </x:c>
      <x:c r="I853" s="94" t="str">
        <x:v>数据团队</x:v>
      </x:c>
      <x:c r="J853" s="94" t="str">
        <x:v>模拟项目运营成本；统一折算USD</x:v>
      </x:c>
    </x:row>
    <x:row r="854">
      <x:c r="A854" s="92" t="str">
        <x:v>COST-0853</x:v>
      </x:c>
      <x:c r="B854" s="94" t="str">
        <x:v>PROC-0853</x:v>
      </x:c>
      <x:c r="C854" s="93" t="n">
        <x:v>46177</x:v>
      </x:c>
      <x:c r="D854" s="94" t="str">
        <x:v>Microsoft Ads</x:v>
      </x:c>
      <x:c r="E854" s="94" t="str">
        <x:v>归因与监测工具</x:v>
      </x:c>
      <x:c r="F854" s="94" t="str">
        <x:v>按点击量</x:v>
      </x:c>
      <x:c r="G854" s="97" t="n">
        <x:v>0.64</x:v>
      </x:c>
      <x:c r="H854" s="94" t="str">
        <x:v>变动</x:v>
      </x:c>
      <x:c r="I854" s="94" t="str">
        <x:v>分析团队</x:v>
      </x:c>
      <x:c r="J854" s="94" t="str">
        <x:v>模拟项目运营成本；统一折算USD</x:v>
      </x:c>
    </x:row>
    <x:row r="855">
      <x:c r="A855" s="92" t="str">
        <x:v>COST-0854</x:v>
      </x:c>
      <x:c r="B855" s="94" t="str">
        <x:v>PROC-0854</x:v>
      </x:c>
      <x:c r="C855" s="93" t="n">
        <x:v>46177</x:v>
      </x:c>
      <x:c r="D855" s="94" t="str">
        <x:v>Microsoft Ads</x:v>
      </x:c>
      <x:c r="E855" s="94" t="str">
        <x:v>云主机/CDN</x:v>
      </x:c>
      <x:c r="F855" s="94" t="str">
        <x:v>按访问量</x:v>
      </x:c>
      <x:c r="G855" s="97" t="n">
        <x:v>0.89</x:v>
      </x:c>
      <x:c r="H855" s="94" t="str">
        <x:v>变动</x:v>
      </x:c>
      <x:c r="I855" s="94" t="str">
        <x:v>技术团队</x:v>
      </x:c>
      <x:c r="J855" s="94" t="str">
        <x:v>模拟项目运营成本；统一折算USD</x:v>
      </x:c>
    </x:row>
    <x:row r="856">
      <x:c r="A856" s="92" t="str">
        <x:v>COST-0855</x:v>
      </x:c>
      <x:c r="B856" s="94" t="str">
        <x:v>PROC-0855</x:v>
      </x:c>
      <x:c r="C856" s="93" t="n">
        <x:v>46177</x:v>
      </x:c>
      <x:c r="D856" s="94" t="str">
        <x:v>Microsoft Ads</x:v>
      </x:c>
      <x:c r="E856" s="94" t="str">
        <x:v>归因与监测工具</x:v>
      </x:c>
      <x:c r="F856" s="94" t="str">
        <x:v>按点击量</x:v>
      </x:c>
      <x:c r="G856" s="97" t="n">
        <x:v>1.02</x:v>
      </x:c>
      <x:c r="H856" s="94" t="str">
        <x:v>变动</x:v>
      </x:c>
      <x:c r="I856" s="94" t="str">
        <x:v>分析团队</x:v>
      </x:c>
      <x:c r="J856" s="94" t="str">
        <x:v>模拟项目运营成本；统一折算USD</x:v>
      </x:c>
    </x:row>
    <x:row r="857">
      <x:c r="A857" s="92" t="str">
        <x:v>COST-0856</x:v>
      </x:c>
      <x:c r="B857" s="94" t="str">
        <x:v>PROC-0856</x:v>
      </x:c>
      <x:c r="C857" s="93" t="n">
        <x:v>46177</x:v>
      </x:c>
      <x:c r="D857" s="94" t="str">
        <x:v>Google Ads</x:v>
      </x:c>
      <x:c r="E857" s="94" t="str">
        <x:v>云主机/CDN</x:v>
      </x:c>
      <x:c r="F857" s="94" t="str">
        <x:v>按访问量</x:v>
      </x:c>
      <x:c r="G857" s="97" t="n">
        <x:v>0.44</x:v>
      </x:c>
      <x:c r="H857" s="94" t="str">
        <x:v>变动</x:v>
      </x:c>
      <x:c r="I857" s="94" t="str">
        <x:v>技术团队</x:v>
      </x:c>
      <x:c r="J857" s="94" t="str">
        <x:v>模拟项目运营成本；统一折算USD</x:v>
      </x:c>
    </x:row>
    <x:row r="858">
      <x:c r="A858" s="92" t="str">
        <x:v>COST-0857</x:v>
      </x:c>
      <x:c r="B858" s="94" t="str">
        <x:v>PROC-0857</x:v>
      </x:c>
      <x:c r="C858" s="93" t="n">
        <x:v>46177</x:v>
      </x:c>
      <x:c r="D858" s="94" t="str">
        <x:v>Microsoft Ads</x:v>
      </x:c>
      <x:c r="E858" s="94" t="str">
        <x:v>人工运营分摊</x:v>
      </x:c>
      <x:c r="F858" s="94" t="str">
        <x:v>按工时</x:v>
      </x:c>
      <x:c r="G858" s="97" t="n">
        <x:v>3.58</x:v>
      </x:c>
      <x:c r="H858" s="94" t="str">
        <x:v>部分固定</x:v>
      </x:c>
      <x:c r="I858" s="94" t="str">
        <x:v>运营团队</x:v>
      </x:c>
      <x:c r="J858" s="94" t="str">
        <x:v>模拟项目运营成本；统一折算USD</x:v>
      </x:c>
    </x:row>
    <x:row r="859">
      <x:c r="A859" s="92" t="str">
        <x:v>COST-0858</x:v>
      </x:c>
      <x:c r="B859" s="94" t="str">
        <x:v>PROC-0858</x:v>
      </x:c>
      <x:c r="C859" s="93" t="n">
        <x:v>46178</x:v>
      </x:c>
      <x:c r="D859" s="94" t="str">
        <x:v>Microsoft Ads</x:v>
      </x:c>
      <x:c r="E859" s="94" t="str">
        <x:v>数据与ETL</x:v>
      </x:c>
      <x:c r="F859" s="94" t="str">
        <x:v>按采购批次</x:v>
      </x:c>
      <x:c r="G859" s="97" t="n">
        <x:v>1.56</x:v>
      </x:c>
      <x:c r="H859" s="94" t="str">
        <x:v>变动</x:v>
      </x:c>
      <x:c r="I859" s="94" t="str">
        <x:v>数据团队</x:v>
      </x:c>
      <x:c r="J859" s="94" t="str">
        <x:v>模拟项目运营成本；统一折算USD</x:v>
      </x:c>
    </x:row>
    <x:row r="860">
      <x:c r="A860" s="92" t="str">
        <x:v>COST-0859</x:v>
      </x:c>
      <x:c r="B860" s="94" t="str">
        <x:v>PROC-0859</x:v>
      </x:c>
      <x:c r="C860" s="93" t="n">
        <x:v>46178</x:v>
      </x:c>
      <x:c r="D860" s="94" t="str">
        <x:v>Microsoft Ads</x:v>
      </x:c>
      <x:c r="E860" s="94" t="str">
        <x:v>云主机/CDN</x:v>
      </x:c>
      <x:c r="F860" s="94" t="str">
        <x:v>按访问量</x:v>
      </x:c>
      <x:c r="G860" s="97" t="n">
        <x:v>0.28</x:v>
      </x:c>
      <x:c r="H860" s="94" t="str">
        <x:v>变动</x:v>
      </x:c>
      <x:c r="I860" s="94" t="str">
        <x:v>技术团队</x:v>
      </x:c>
      <x:c r="J860" s="94" t="str">
        <x:v>模拟项目运营成本；统一折算USD</x:v>
      </x:c>
    </x:row>
    <x:row r="861">
      <x:c r="A861" s="92" t="str">
        <x:v>COST-0860</x:v>
      </x:c>
      <x:c r="B861" s="94" t="str">
        <x:v>PROC-0860</x:v>
      </x:c>
      <x:c r="C861" s="93" t="n">
        <x:v>46178</x:v>
      </x:c>
      <x:c r="D861" s="94" t="str">
        <x:v>Microsoft Ads</x:v>
      </x:c>
      <x:c r="E861" s="94" t="str">
        <x:v>人工运营分摊</x:v>
      </x:c>
      <x:c r="F861" s="94" t="str">
        <x:v>按工时</x:v>
      </x:c>
      <x:c r="G861" s="97" t="n">
        <x:v>3.73</x:v>
      </x:c>
      <x:c r="H861" s="94" t="str">
        <x:v>部分固定</x:v>
      </x:c>
      <x:c r="I861" s="94" t="str">
        <x:v>运营团队</x:v>
      </x:c>
      <x:c r="J861" s="94" t="str">
        <x:v>模拟项目运营成本；统一折算USD</x:v>
      </x:c>
    </x:row>
    <x:row r="862">
      <x:c r="A862" s="92" t="str">
        <x:v>COST-0861</x:v>
      </x:c>
      <x:c r="B862" s="94" t="str">
        <x:v>PROC-0861</x:v>
      </x:c>
      <x:c r="C862" s="93" t="n">
        <x:v>46178</x:v>
      </x:c>
      <x:c r="D862" s="94" t="str">
        <x:v>Google Ads</x:v>
      </x:c>
      <x:c r="E862" s="94" t="str">
        <x:v>数据与ETL</x:v>
      </x:c>
      <x:c r="F862" s="94" t="str">
        <x:v>按采购批次</x:v>
      </x:c>
      <x:c r="G862" s="97" t="n">
        <x:v>1.38</x:v>
      </x:c>
      <x:c r="H862" s="94" t="str">
        <x:v>变动</x:v>
      </x:c>
      <x:c r="I862" s="94" t="str">
        <x:v>数据团队</x:v>
      </x:c>
      <x:c r="J862" s="94" t="str">
        <x:v>模拟项目运营成本；统一折算USD</x:v>
      </x:c>
    </x:row>
    <x:row r="863">
      <x:c r="A863" s="92" t="str">
        <x:v>COST-0862</x:v>
      </x:c>
      <x:c r="B863" s="94" t="str">
        <x:v>PROC-0862</x:v>
      </x:c>
      <x:c r="C863" s="93" t="n">
        <x:v>46178</x:v>
      </x:c>
      <x:c r="D863" s="94" t="str">
        <x:v>Google Ads</x:v>
      </x:c>
      <x:c r="E863" s="94" t="str">
        <x:v>人工运营分摊</x:v>
      </x:c>
      <x:c r="F863" s="94" t="str">
        <x:v>按工时</x:v>
      </x:c>
      <x:c r="G863" s="97" t="n">
        <x:v>2.65</x:v>
      </x:c>
      <x:c r="H863" s="94" t="str">
        <x:v>部分固定</x:v>
      </x:c>
      <x:c r="I863" s="94" t="str">
        <x:v>运营团队</x:v>
      </x:c>
      <x:c r="J863" s="94" t="str">
        <x:v>模拟项目运营成本；统一折算USD</x:v>
      </x:c>
    </x:row>
    <x:row r="864">
      <x:c r="A864" s="92" t="str">
        <x:v>COST-0863</x:v>
      </x:c>
      <x:c r="B864" s="94" t="str">
        <x:v>PROC-0863</x:v>
      </x:c>
      <x:c r="C864" s="93" t="n">
        <x:v>46179</x:v>
      </x:c>
      <x:c r="D864" s="94" t="str">
        <x:v>Microsoft Ads</x:v>
      </x:c>
      <x:c r="E864" s="94" t="str">
        <x:v>归因与监测工具</x:v>
      </x:c>
      <x:c r="F864" s="94" t="str">
        <x:v>按点击量</x:v>
      </x:c>
      <x:c r="G864" s="97" t="n">
        <x:v>1.61</x:v>
      </x:c>
      <x:c r="H864" s="94" t="str">
        <x:v>变动</x:v>
      </x:c>
      <x:c r="I864" s="94" t="str">
        <x:v>分析团队</x:v>
      </x:c>
      <x:c r="J864" s="94" t="str">
        <x:v>模拟项目运营成本；统一折算USD</x:v>
      </x:c>
    </x:row>
    <x:row r="865">
      <x:c r="A865" s="92" t="str">
        <x:v>COST-0864</x:v>
      </x:c>
      <x:c r="B865" s="94" t="str">
        <x:v>PROC-0864</x:v>
      </x:c>
      <x:c r="C865" s="93" t="n">
        <x:v>46179</x:v>
      </x:c>
      <x:c r="D865" s="94" t="str">
        <x:v>Microsoft Ads</x:v>
      </x:c>
      <x:c r="E865" s="94" t="str">
        <x:v>数据与ETL</x:v>
      </x:c>
      <x:c r="F865" s="94" t="str">
        <x:v>按采购批次</x:v>
      </x:c>
      <x:c r="G865" s="97" t="n">
        <x:v>1.52</x:v>
      </x:c>
      <x:c r="H865" s="94" t="str">
        <x:v>变动</x:v>
      </x:c>
      <x:c r="I865" s="94" t="str">
        <x:v>数据团队</x:v>
      </x:c>
      <x:c r="J865" s="94" t="str">
        <x:v>模拟项目运营成本；统一折算USD</x:v>
      </x:c>
    </x:row>
    <x:row r="866">
      <x:c r="A866" s="92" t="str">
        <x:v>COST-0865</x:v>
      </x:c>
      <x:c r="B866" s="94" t="str">
        <x:v>PROC-0865</x:v>
      </x:c>
      <x:c r="C866" s="93" t="n">
        <x:v>46179</x:v>
      </x:c>
      <x:c r="D866" s="94" t="str">
        <x:v>Microsoft Ads</x:v>
      </x:c>
      <x:c r="E866" s="94" t="str">
        <x:v>数据与ETL</x:v>
      </x:c>
      <x:c r="F866" s="94" t="str">
        <x:v>按采购批次</x:v>
      </x:c>
      <x:c r="G866" s="97" t="n">
        <x:v>1.53</x:v>
      </x:c>
      <x:c r="H866" s="94" t="str">
        <x:v>变动</x:v>
      </x:c>
      <x:c r="I866" s="94" t="str">
        <x:v>数据团队</x:v>
      </x:c>
      <x:c r="J866" s="94" t="str">
        <x:v>模拟项目运营成本；统一折算USD</x:v>
      </x:c>
    </x:row>
    <x:row r="867">
      <x:c r="A867" s="92" t="str">
        <x:v>COST-0866</x:v>
      </x:c>
      <x:c r="B867" s="94" t="str">
        <x:v>PROC-0866</x:v>
      </x:c>
      <x:c r="C867" s="93" t="n">
        <x:v>46179</x:v>
      </x:c>
      <x:c r="D867" s="94" t="str">
        <x:v>Microsoft Ads</x:v>
      </x:c>
      <x:c r="E867" s="94" t="str">
        <x:v>云主机/CDN</x:v>
      </x:c>
      <x:c r="F867" s="94" t="str">
        <x:v>按访问量</x:v>
      </x:c>
      <x:c r="G867" s="97" t="n">
        <x:v>0.42</x:v>
      </x:c>
      <x:c r="H867" s="94" t="str">
        <x:v>变动</x:v>
      </x:c>
      <x:c r="I867" s="94" t="str">
        <x:v>技术团队</x:v>
      </x:c>
      <x:c r="J867" s="94" t="str">
        <x:v>模拟项目运营成本；统一折算USD</x:v>
      </x:c>
    </x:row>
    <x:row r="868">
      <x:c r="A868" s="92" t="str">
        <x:v>COST-0867</x:v>
      </x:c>
      <x:c r="B868" s="94" t="str">
        <x:v>PROC-0867</x:v>
      </x:c>
      <x:c r="C868" s="93" t="n">
        <x:v>46179</x:v>
      </x:c>
      <x:c r="D868" s="94" t="str">
        <x:v>Google Ads</x:v>
      </x:c>
      <x:c r="E868" s="94" t="str">
        <x:v>归因与监测工具</x:v>
      </x:c>
      <x:c r="F868" s="94" t="str">
        <x:v>按点击量</x:v>
      </x:c>
      <x:c r="G868" s="97" t="n">
        <x:v>1</x:v>
      </x:c>
      <x:c r="H868" s="94" t="str">
        <x:v>变动</x:v>
      </x:c>
      <x:c r="I868" s="94" t="str">
        <x:v>分析团队</x:v>
      </x:c>
      <x:c r="J868" s="94" t="str">
        <x:v>模拟项目运营成本；统一折算USD</x:v>
      </x:c>
    </x:row>
    <x:row r="869">
      <x:c r="A869" s="92" t="str">
        <x:v>COST-0868</x:v>
      </x:c>
      <x:c r="B869" s="94" t="str">
        <x:v>PROC-0868</x:v>
      </x:c>
      <x:c r="C869" s="93" t="n">
        <x:v>46179</x:v>
      </x:c>
      <x:c r="D869" s="94" t="str">
        <x:v>Microsoft Ads</x:v>
      </x:c>
      <x:c r="E869" s="94" t="str">
        <x:v>人工运营分摊</x:v>
      </x:c>
      <x:c r="F869" s="94" t="str">
        <x:v>按工时</x:v>
      </x:c>
      <x:c r="G869" s="97" t="n">
        <x:v>3.16</x:v>
      </x:c>
      <x:c r="H869" s="94" t="str">
        <x:v>部分固定</x:v>
      </x:c>
      <x:c r="I869" s="94" t="str">
        <x:v>运营团队</x:v>
      </x:c>
      <x:c r="J869" s="94" t="str">
        <x:v>模拟项目运营成本；统一折算USD</x:v>
      </x:c>
    </x:row>
    <x:row r="870">
      <x:c r="A870" s="92" t="str">
        <x:v>COST-0869</x:v>
      </x:c>
      <x:c r="B870" s="94" t="str">
        <x:v>PROC-0869</x:v>
      </x:c>
      <x:c r="C870" s="93" t="n">
        <x:v>46180</x:v>
      </x:c>
      <x:c r="D870" s="94" t="str">
        <x:v>Microsoft Ads</x:v>
      </x:c>
      <x:c r="E870" s="94" t="str">
        <x:v>云主机/CDN</x:v>
      </x:c>
      <x:c r="F870" s="94" t="str">
        <x:v>按访问量</x:v>
      </x:c>
      <x:c r="G870" s="97" t="n">
        <x:v>0.74</x:v>
      </x:c>
      <x:c r="H870" s="94" t="str">
        <x:v>变动</x:v>
      </x:c>
      <x:c r="I870" s="94" t="str">
        <x:v>技术团队</x:v>
      </x:c>
      <x:c r="J870" s="94" t="str">
        <x:v>模拟项目运营成本；统一折算USD</x:v>
      </x:c>
    </x:row>
    <x:row r="871">
      <x:c r="A871" s="92" t="str">
        <x:v>COST-0870</x:v>
      </x:c>
      <x:c r="B871" s="94" t="str">
        <x:v>PROC-0870</x:v>
      </x:c>
      <x:c r="C871" s="93" t="n">
        <x:v>46180</x:v>
      </x:c>
      <x:c r="D871" s="94" t="str">
        <x:v>Microsoft Ads</x:v>
      </x:c>
      <x:c r="E871" s="94" t="str">
        <x:v>创意素材</x:v>
      </x:c>
      <x:c r="F871" s="94" t="str">
        <x:v>按活动</x:v>
      </x:c>
      <x:c r="G871" s="97" t="n">
        <x:v>3.4</x:v>
      </x:c>
      <x:c r="H871" s="94" t="str">
        <x:v>部分固定</x:v>
      </x:c>
      <x:c r="I871" s="94" t="str">
        <x:v>增长团队</x:v>
      </x:c>
      <x:c r="J871" s="94" t="str">
        <x:v>模拟项目运营成本；统一折算USD</x:v>
      </x:c>
    </x:row>
    <x:row r="872">
      <x:c r="A872" s="92" t="str">
        <x:v>COST-0871</x:v>
      </x:c>
      <x:c r="B872" s="94" t="str">
        <x:v>PROC-0871</x:v>
      </x:c>
      <x:c r="C872" s="93" t="n">
        <x:v>46180</x:v>
      </x:c>
      <x:c r="D872" s="94" t="str">
        <x:v>Google Ads</x:v>
      </x:c>
      <x:c r="E872" s="94" t="str">
        <x:v>创意素材</x:v>
      </x:c>
      <x:c r="F872" s="94" t="str">
        <x:v>按活动</x:v>
      </x:c>
      <x:c r="G872" s="97" t="n">
        <x:v>1.82</x:v>
      </x:c>
      <x:c r="H872" s="94" t="str">
        <x:v>部分固定</x:v>
      </x:c>
      <x:c r="I872" s="94" t="str">
        <x:v>增长团队</x:v>
      </x:c>
      <x:c r="J872" s="94" t="str">
        <x:v>模拟项目运营成本；统一折算USD</x:v>
      </x:c>
    </x:row>
    <x:row r="873">
      <x:c r="A873" s="92" t="str">
        <x:v>COST-0872</x:v>
      </x:c>
      <x:c r="B873" s="94" t="str">
        <x:v>PROC-0872</x:v>
      </x:c>
      <x:c r="C873" s="93" t="n">
        <x:v>46180</x:v>
      </x:c>
      <x:c r="D873" s="94" t="str">
        <x:v>Microsoft Ads</x:v>
      </x:c>
      <x:c r="E873" s="94" t="str">
        <x:v>创意素材</x:v>
      </x:c>
      <x:c r="F873" s="94" t="str">
        <x:v>按活动</x:v>
      </x:c>
      <x:c r="G873" s="97" t="n">
        <x:v>2.07</x:v>
      </x:c>
      <x:c r="H873" s="94" t="str">
        <x:v>部分固定</x:v>
      </x:c>
      <x:c r="I873" s="94" t="str">
        <x:v>增长团队</x:v>
      </x:c>
      <x:c r="J873" s="94" t="str">
        <x:v>模拟项目运营成本；统一折算USD</x:v>
      </x:c>
    </x:row>
    <x:row r="874">
      <x:c r="A874" s="92" t="str">
        <x:v>COST-0873</x:v>
      </x:c>
      <x:c r="B874" s="94" t="str">
        <x:v>PROC-0873</x:v>
      </x:c>
      <x:c r="C874" s="93" t="n">
        <x:v>46180</x:v>
      </x:c>
      <x:c r="D874" s="94" t="str">
        <x:v>Google Ads</x:v>
      </x:c>
      <x:c r="E874" s="94" t="str">
        <x:v>人工运营分摊</x:v>
      </x:c>
      <x:c r="F874" s="94" t="str">
        <x:v>按工时</x:v>
      </x:c>
      <x:c r="G874" s="97" t="n">
        <x:v>3.04</x:v>
      </x:c>
      <x:c r="H874" s="94" t="str">
        <x:v>部分固定</x:v>
      </x:c>
      <x:c r="I874" s="94" t="str">
        <x:v>运营团队</x:v>
      </x:c>
      <x:c r="J874" s="94" t="str">
        <x:v>模拟项目运营成本；统一折算USD</x:v>
      </x:c>
    </x:row>
    <x:row r="875">
      <x:c r="A875" s="92" t="str">
        <x:v>COST-0874</x:v>
      </x:c>
      <x:c r="B875" s="94" t="str">
        <x:v>PROC-0874</x:v>
      </x:c>
      <x:c r="C875" s="93" t="n">
        <x:v>46181</x:v>
      </x:c>
      <x:c r="D875" s="94" t="str">
        <x:v>Google Ads</x:v>
      </x:c>
      <x:c r="E875" s="94" t="str">
        <x:v>归因与监测工具</x:v>
      </x:c>
      <x:c r="F875" s="94" t="str">
        <x:v>按点击量</x:v>
      </x:c>
      <x:c r="G875" s="97" t="n">
        <x:v>1.27</x:v>
      </x:c>
      <x:c r="H875" s="94" t="str">
        <x:v>变动</x:v>
      </x:c>
      <x:c r="I875" s="94" t="str">
        <x:v>分析团队</x:v>
      </x:c>
      <x:c r="J875" s="94" t="str">
        <x:v>模拟项目运营成本；统一折算USD</x:v>
      </x:c>
    </x:row>
    <x:row r="876">
      <x:c r="A876" s="92" t="str">
        <x:v>COST-0875</x:v>
      </x:c>
      <x:c r="B876" s="94" t="str">
        <x:v>PROC-0875</x:v>
      </x:c>
      <x:c r="C876" s="93" t="n">
        <x:v>46181</x:v>
      </x:c>
      <x:c r="D876" s="94" t="str">
        <x:v>Google Ads</x:v>
      </x:c>
      <x:c r="E876" s="94" t="str">
        <x:v>人工运营分摊</x:v>
      </x:c>
      <x:c r="F876" s="94" t="str">
        <x:v>按工时</x:v>
      </x:c>
      <x:c r="G876" s="97" t="n">
        <x:v>1.65</x:v>
      </x:c>
      <x:c r="H876" s="94" t="str">
        <x:v>部分固定</x:v>
      </x:c>
      <x:c r="I876" s="94" t="str">
        <x:v>运营团队</x:v>
      </x:c>
      <x:c r="J876" s="94" t="str">
        <x:v>模拟项目运营成本；统一折算USD</x:v>
      </x:c>
    </x:row>
    <x:row r="877">
      <x:c r="A877" s="92" t="str">
        <x:v>COST-0876</x:v>
      </x:c>
      <x:c r="B877" s="94" t="str">
        <x:v>PROC-0876</x:v>
      </x:c>
      <x:c r="C877" s="93" t="n">
        <x:v>46181</x:v>
      </x:c>
      <x:c r="D877" s="94" t="str">
        <x:v>Google Ads</x:v>
      </x:c>
      <x:c r="E877" s="94" t="str">
        <x:v>数据与ETL</x:v>
      </x:c>
      <x:c r="F877" s="94" t="str">
        <x:v>按采购批次</x:v>
      </x:c>
      <x:c r="G877" s="97" t="n">
        <x:v>1.21</x:v>
      </x:c>
      <x:c r="H877" s="94" t="str">
        <x:v>变动</x:v>
      </x:c>
      <x:c r="I877" s="94" t="str">
        <x:v>数据团队</x:v>
      </x:c>
      <x:c r="J877" s="94" t="str">
        <x:v>模拟项目运营成本；统一折算USD</x:v>
      </x:c>
    </x:row>
    <x:row r="878">
      <x:c r="A878" s="92" t="str">
        <x:v>COST-0877</x:v>
      </x:c>
      <x:c r="B878" s="94" t="str">
        <x:v>PROC-0877</x:v>
      </x:c>
      <x:c r="C878" s="93" t="n">
        <x:v>46181</x:v>
      </x:c>
      <x:c r="D878" s="94" t="str">
        <x:v>Google Ads</x:v>
      </x:c>
      <x:c r="E878" s="94" t="str">
        <x:v>数据与ETL</x:v>
      </x:c>
      <x:c r="F878" s="94" t="str">
        <x:v>按采购批次</x:v>
      </x:c>
      <x:c r="G878" s="97" t="n">
        <x:v>0.77</x:v>
      </x:c>
      <x:c r="H878" s="94" t="str">
        <x:v>变动</x:v>
      </x:c>
      <x:c r="I878" s="94" t="str">
        <x:v>数据团队</x:v>
      </x:c>
      <x:c r="J878" s="94" t="str">
        <x:v>模拟项目运营成本；统一折算USD</x:v>
      </x:c>
    </x:row>
    <x:row r="879">
      <x:c r="A879" s="92" t="str">
        <x:v>COST-0878</x:v>
      </x:c>
      <x:c r="B879" s="94" t="str">
        <x:v>PROC-0878</x:v>
      </x:c>
      <x:c r="C879" s="93" t="n">
        <x:v>46181</x:v>
      </x:c>
      <x:c r="D879" s="94" t="str">
        <x:v>Microsoft Ads</x:v>
      </x:c>
      <x:c r="E879" s="94" t="str">
        <x:v>云主机/CDN</x:v>
      </x:c>
      <x:c r="F879" s="94" t="str">
        <x:v>按访问量</x:v>
      </x:c>
      <x:c r="G879" s="97" t="n">
        <x:v>0.83</x:v>
      </x:c>
      <x:c r="H879" s="94" t="str">
        <x:v>变动</x:v>
      </x:c>
      <x:c r="I879" s="94" t="str">
        <x:v>技术团队</x:v>
      </x:c>
      <x:c r="J879" s="94" t="str">
        <x:v>模拟项目运营成本；统一折算USD</x:v>
      </x:c>
    </x:row>
    <x:row r="880">
      <x:c r="A880" s="92" t="str">
        <x:v>COST-0879</x:v>
      </x:c>
      <x:c r="B880" s="94" t="str">
        <x:v>PROC-0879</x:v>
      </x:c>
      <x:c r="C880" s="93" t="n">
        <x:v>46181</x:v>
      </x:c>
      <x:c r="D880" s="94" t="str">
        <x:v>Microsoft Ads</x:v>
      </x:c>
      <x:c r="E880" s="94" t="str">
        <x:v>人工运营分摊</x:v>
      </x:c>
      <x:c r="F880" s="94" t="str">
        <x:v>按工时</x:v>
      </x:c>
      <x:c r="G880" s="97" t="n">
        <x:v>2.47</x:v>
      </x:c>
      <x:c r="H880" s="94" t="str">
        <x:v>部分固定</x:v>
      </x:c>
      <x:c r="I880" s="94" t="str">
        <x:v>运营团队</x:v>
      </x:c>
      <x:c r="J880" s="94" t="str">
        <x:v>模拟项目运营成本；统一折算USD</x:v>
      </x:c>
    </x:row>
    <x:row r="881">
      <x:c r="A881" s="92" t="str">
        <x:v>COST-0880</x:v>
      </x:c>
      <x:c r="B881" s="94" t="str">
        <x:v>PROC-0880</x:v>
      </x:c>
      <x:c r="C881" s="93" t="n">
        <x:v>46182</x:v>
      </x:c>
      <x:c r="D881" s="94" t="str">
        <x:v>Google Ads</x:v>
      </x:c>
      <x:c r="E881" s="94" t="str">
        <x:v>数据与ETL</x:v>
      </x:c>
      <x:c r="F881" s="94" t="str">
        <x:v>按采购批次</x:v>
      </x:c>
      <x:c r="G881" s="97" t="n">
        <x:v>0.56</x:v>
      </x:c>
      <x:c r="H881" s="94" t="str">
        <x:v>变动</x:v>
      </x:c>
      <x:c r="I881" s="94" t="str">
        <x:v>数据团队</x:v>
      </x:c>
      <x:c r="J881" s="94" t="str">
        <x:v>模拟项目运营成本；统一折算USD</x:v>
      </x:c>
    </x:row>
    <x:row r="882">
      <x:c r="A882" s="92" t="str">
        <x:v>COST-0881</x:v>
      </x:c>
      <x:c r="B882" s="94" t="str">
        <x:v>PROC-0881</x:v>
      </x:c>
      <x:c r="C882" s="93" t="n">
        <x:v>46182</x:v>
      </x:c>
      <x:c r="D882" s="94" t="str">
        <x:v>Google Ads</x:v>
      </x:c>
      <x:c r="E882" s="94" t="str">
        <x:v>人工运营分摊</x:v>
      </x:c>
      <x:c r="F882" s="94" t="str">
        <x:v>按工时</x:v>
      </x:c>
      <x:c r="G882" s="97" t="n">
        <x:v>1.74</x:v>
      </x:c>
      <x:c r="H882" s="94" t="str">
        <x:v>部分固定</x:v>
      </x:c>
      <x:c r="I882" s="94" t="str">
        <x:v>运营团队</x:v>
      </x:c>
      <x:c r="J882" s="94" t="str">
        <x:v>模拟项目运营成本；统一折算USD</x:v>
      </x:c>
    </x:row>
    <x:row r="883">
      <x:c r="A883" s="92" t="str">
        <x:v>COST-0882</x:v>
      </x:c>
      <x:c r="B883" s="94" t="str">
        <x:v>PROC-0882</x:v>
      </x:c>
      <x:c r="C883" s="93" t="n">
        <x:v>46182</x:v>
      </x:c>
      <x:c r="D883" s="94" t="str">
        <x:v>Microsoft Ads</x:v>
      </x:c>
      <x:c r="E883" s="94" t="str">
        <x:v>创意素材</x:v>
      </x:c>
      <x:c r="F883" s="94" t="str">
        <x:v>按活动</x:v>
      </x:c>
      <x:c r="G883" s="97" t="n">
        <x:v>2.11</x:v>
      </x:c>
      <x:c r="H883" s="94" t="str">
        <x:v>部分固定</x:v>
      </x:c>
      <x:c r="I883" s="94" t="str">
        <x:v>增长团队</x:v>
      </x:c>
      <x:c r="J883" s="94" t="str">
        <x:v>模拟项目运营成本；统一折算USD</x:v>
      </x:c>
    </x:row>
    <x:row r="884">
      <x:c r="A884" s="92" t="str">
        <x:v>COST-0883</x:v>
      </x:c>
      <x:c r="B884" s="94" t="str">
        <x:v>PROC-0883</x:v>
      </x:c>
      <x:c r="C884" s="93" t="n">
        <x:v>46182</x:v>
      </x:c>
      <x:c r="D884" s="94" t="str">
        <x:v>Google Ads</x:v>
      </x:c>
      <x:c r="E884" s="94" t="str">
        <x:v>创意素材</x:v>
      </x:c>
      <x:c r="F884" s="94" t="str">
        <x:v>按活动</x:v>
      </x:c>
      <x:c r="G884" s="97" t="n">
        <x:v>2.76</x:v>
      </x:c>
      <x:c r="H884" s="94" t="str">
        <x:v>部分固定</x:v>
      </x:c>
      <x:c r="I884" s="94" t="str">
        <x:v>增长团队</x:v>
      </x:c>
      <x:c r="J884" s="94" t="str">
        <x:v>模拟项目运营成本；统一折算USD</x:v>
      </x:c>
    </x:row>
    <x:row r="885">
      <x:c r="A885" s="92" t="str">
        <x:v>COST-0884</x:v>
      </x:c>
      <x:c r="B885" s="94" t="str">
        <x:v>PROC-0884</x:v>
      </x:c>
      <x:c r="C885" s="93" t="n">
        <x:v>46182</x:v>
      </x:c>
      <x:c r="D885" s="94" t="str">
        <x:v>Google Ads</x:v>
      </x:c>
      <x:c r="E885" s="94" t="str">
        <x:v>人工运营分摊</x:v>
      </x:c>
      <x:c r="F885" s="94" t="str">
        <x:v>按工时</x:v>
      </x:c>
      <x:c r="G885" s="97" t="n">
        <x:v>4.44</x:v>
      </x:c>
      <x:c r="H885" s="94" t="str">
        <x:v>部分固定</x:v>
      </x:c>
      <x:c r="I885" s="94" t="str">
        <x:v>运营团队</x:v>
      </x:c>
      <x:c r="J885" s="94" t="str">
        <x:v>模拟项目运营成本；统一折算USD</x:v>
      </x:c>
    </x:row>
    <x:row r="886">
      <x:c r="A886" s="92" t="str">
        <x:v>COST-0885</x:v>
      </x:c>
      <x:c r="B886" s="94" t="str">
        <x:v>PROC-0885</x:v>
      </x:c>
      <x:c r="C886" s="93" t="n">
        <x:v>46183</x:v>
      </x:c>
      <x:c r="D886" s="94" t="str">
        <x:v>Microsoft Ads</x:v>
      </x:c>
      <x:c r="E886" s="94" t="str">
        <x:v>云主机/CDN</x:v>
      </x:c>
      <x:c r="F886" s="94" t="str">
        <x:v>按访问量</x:v>
      </x:c>
      <x:c r="G886" s="97" t="n">
        <x:v>0.7</x:v>
      </x:c>
      <x:c r="H886" s="94" t="str">
        <x:v>变动</x:v>
      </x:c>
      <x:c r="I886" s="94" t="str">
        <x:v>技术团队</x:v>
      </x:c>
      <x:c r="J886" s="94" t="str">
        <x:v>模拟项目运营成本；统一折算USD</x:v>
      </x:c>
    </x:row>
    <x:row r="887">
      <x:c r="A887" s="92" t="str">
        <x:v>COST-0886</x:v>
      </x:c>
      <x:c r="B887" s="94" t="str">
        <x:v>PROC-0886</x:v>
      </x:c>
      <x:c r="C887" s="93" t="n">
        <x:v>46183</x:v>
      </x:c>
      <x:c r="D887" s="94" t="str">
        <x:v>Google Ads</x:v>
      </x:c>
      <x:c r="E887" s="94" t="str">
        <x:v>云主机/CDN</x:v>
      </x:c>
      <x:c r="F887" s="94" t="str">
        <x:v>按访问量</x:v>
      </x:c>
      <x:c r="G887" s="97" t="n">
        <x:v>0.44</x:v>
      </x:c>
      <x:c r="H887" s="94" t="str">
        <x:v>变动</x:v>
      </x:c>
      <x:c r="I887" s="94" t="str">
        <x:v>技术团队</x:v>
      </x:c>
      <x:c r="J887" s="94" t="str">
        <x:v>模拟项目运营成本；统一折算USD</x:v>
      </x:c>
    </x:row>
    <x:row r="888">
      <x:c r="A888" s="92" t="str">
        <x:v>COST-0887</x:v>
      </x:c>
      <x:c r="B888" s="94" t="str">
        <x:v>PROC-0887</x:v>
      </x:c>
      <x:c r="C888" s="93" t="n">
        <x:v>46183</x:v>
      </x:c>
      <x:c r="D888" s="94" t="str">
        <x:v>Google Ads</x:v>
      </x:c>
      <x:c r="E888" s="94" t="str">
        <x:v>云主机/CDN</x:v>
      </x:c>
      <x:c r="F888" s="94" t="str">
        <x:v>按访问量</x:v>
      </x:c>
      <x:c r="G888" s="97" t="n">
        <x:v>0.7</x:v>
      </x:c>
      <x:c r="H888" s="94" t="str">
        <x:v>变动</x:v>
      </x:c>
      <x:c r="I888" s="94" t="str">
        <x:v>技术团队</x:v>
      </x:c>
      <x:c r="J888" s="94" t="str">
        <x:v>模拟项目运营成本；统一折算USD</x:v>
      </x:c>
    </x:row>
    <x:row r="889">
      <x:c r="A889" s="92" t="str">
        <x:v>COST-0888</x:v>
      </x:c>
      <x:c r="B889" s="94" t="str">
        <x:v>PROC-0888</x:v>
      </x:c>
      <x:c r="C889" s="93" t="n">
        <x:v>46183</x:v>
      </x:c>
      <x:c r="D889" s="94" t="str">
        <x:v>Microsoft Ads</x:v>
      </x:c>
      <x:c r="E889" s="94" t="str">
        <x:v>归因与监测工具</x:v>
      </x:c>
      <x:c r="F889" s="94" t="str">
        <x:v>按点击量</x:v>
      </x:c>
      <x:c r="G889" s="97" t="n">
        <x:v>1.4</x:v>
      </x:c>
      <x:c r="H889" s="94" t="str">
        <x:v>变动</x:v>
      </x:c>
      <x:c r="I889" s="94" t="str">
        <x:v>分析团队</x:v>
      </x:c>
      <x:c r="J889" s="94" t="str">
        <x:v>模拟项目运营成本；统一折算USD</x:v>
      </x:c>
    </x:row>
    <x:row r="890">
      <x:c r="A890" s="92" t="str">
        <x:v>COST-0889</x:v>
      </x:c>
      <x:c r="B890" s="94" t="str">
        <x:v>PROC-0889</x:v>
      </x:c>
      <x:c r="C890" s="93" t="n">
        <x:v>46183</x:v>
      </x:c>
      <x:c r="D890" s="94" t="str">
        <x:v>Google Ads</x:v>
      </x:c>
      <x:c r="E890" s="94" t="str">
        <x:v>云主机/CDN</x:v>
      </x:c>
      <x:c r="F890" s="94" t="str">
        <x:v>按访问量</x:v>
      </x:c>
      <x:c r="G890" s="97" t="n">
        <x:v>0.74</x:v>
      </x:c>
      <x:c r="H890" s="94" t="str">
        <x:v>变动</x:v>
      </x:c>
      <x:c r="I890" s="94" t="str">
        <x:v>技术团队</x:v>
      </x:c>
      <x:c r="J890" s="94" t="str">
        <x:v>模拟项目运营成本；统一折算USD</x:v>
      </x:c>
    </x:row>
    <x:row r="891">
      <x:c r="A891" s="92" t="str">
        <x:v>COST-0890</x:v>
      </x:c>
      <x:c r="B891" s="94" t="str">
        <x:v>PROC-0890</x:v>
      </x:c>
      <x:c r="C891" s="93" t="n">
        <x:v>46183</x:v>
      </x:c>
      <x:c r="D891" s="94" t="str">
        <x:v>Google Ads</x:v>
      </x:c>
      <x:c r="E891" s="94" t="str">
        <x:v>数据与ETL</x:v>
      </x:c>
      <x:c r="F891" s="94" t="str">
        <x:v>按采购批次</x:v>
      </x:c>
      <x:c r="G891" s="97" t="n">
        <x:v>0.54</x:v>
      </x:c>
      <x:c r="H891" s="94" t="str">
        <x:v>变动</x:v>
      </x:c>
      <x:c r="I891" s="94" t="str">
        <x:v>数据团队</x:v>
      </x:c>
      <x:c r="J891" s="94" t="str">
        <x:v>模拟项目运营成本；统一折算USD</x:v>
      </x:c>
    </x:row>
    <x:row r="892">
      <x:c r="A892" s="92" t="str">
        <x:v>COST-0891</x:v>
      </x:c>
      <x:c r="B892" s="94" t="str">
        <x:v>PROC-0891</x:v>
      </x:c>
      <x:c r="C892" s="93" t="n">
        <x:v>46184</x:v>
      </x:c>
      <x:c r="D892" s="94" t="str">
        <x:v>Microsoft Ads</x:v>
      </x:c>
      <x:c r="E892" s="94" t="str">
        <x:v>归因与监测工具</x:v>
      </x:c>
      <x:c r="F892" s="94" t="str">
        <x:v>按点击量</x:v>
      </x:c>
      <x:c r="G892" s="97" t="n">
        <x:v>1.57</x:v>
      </x:c>
      <x:c r="H892" s="94" t="str">
        <x:v>变动</x:v>
      </x:c>
      <x:c r="I892" s="94" t="str">
        <x:v>分析团队</x:v>
      </x:c>
      <x:c r="J892" s="94" t="str">
        <x:v>模拟项目运营成本；统一折算USD</x:v>
      </x:c>
    </x:row>
    <x:row r="893">
      <x:c r="A893" s="92" t="str">
        <x:v>COST-0892</x:v>
      </x:c>
      <x:c r="B893" s="94" t="str">
        <x:v>PROC-0892</x:v>
      </x:c>
      <x:c r="C893" s="93" t="n">
        <x:v>46184</x:v>
      </x:c>
      <x:c r="D893" s="94" t="str">
        <x:v>Google Ads</x:v>
      </x:c>
      <x:c r="E893" s="94" t="str">
        <x:v>云主机/CDN</x:v>
      </x:c>
      <x:c r="F893" s="94" t="str">
        <x:v>按访问量</x:v>
      </x:c>
      <x:c r="G893" s="97" t="n">
        <x:v>1.15</x:v>
      </x:c>
      <x:c r="H893" s="94" t="str">
        <x:v>变动</x:v>
      </x:c>
      <x:c r="I893" s="94" t="str">
        <x:v>技术团队</x:v>
      </x:c>
      <x:c r="J893" s="94" t="str">
        <x:v>模拟项目运营成本；统一折算USD</x:v>
      </x:c>
    </x:row>
    <x:row r="894">
      <x:c r="A894" s="92" t="str">
        <x:v>COST-0893</x:v>
      </x:c>
      <x:c r="B894" s="94" t="str">
        <x:v>PROC-0893</x:v>
      </x:c>
      <x:c r="C894" s="93" t="n">
        <x:v>46184</x:v>
      </x:c>
      <x:c r="D894" s="94" t="str">
        <x:v>Google Ads</x:v>
      </x:c>
      <x:c r="E894" s="94" t="str">
        <x:v>创意素材</x:v>
      </x:c>
      <x:c r="F894" s="94" t="str">
        <x:v>按活动</x:v>
      </x:c>
      <x:c r="G894" s="97" t="n">
        <x:v>3.45</x:v>
      </x:c>
      <x:c r="H894" s="94" t="str">
        <x:v>部分固定</x:v>
      </x:c>
      <x:c r="I894" s="94" t="str">
        <x:v>增长团队</x:v>
      </x:c>
      <x:c r="J894" s="94" t="str">
        <x:v>模拟项目运营成本；统一折算USD</x:v>
      </x:c>
    </x:row>
    <x:row r="895">
      <x:c r="A895" s="92" t="str">
        <x:v>COST-0894</x:v>
      </x:c>
      <x:c r="B895" s="94" t="str">
        <x:v>PROC-0894</x:v>
      </x:c>
      <x:c r="C895" s="93" t="n">
        <x:v>46184</x:v>
      </x:c>
      <x:c r="D895" s="94" t="str">
        <x:v>Google Ads</x:v>
      </x:c>
      <x:c r="E895" s="94" t="str">
        <x:v>创意素材</x:v>
      </x:c>
      <x:c r="F895" s="94" t="str">
        <x:v>按活动</x:v>
      </x:c>
      <x:c r="G895" s="97" t="n">
        <x:v>2.62</x:v>
      </x:c>
      <x:c r="H895" s="94" t="str">
        <x:v>部分固定</x:v>
      </x:c>
      <x:c r="I895" s="94" t="str">
        <x:v>增长团队</x:v>
      </x:c>
      <x:c r="J895" s="94" t="str">
        <x:v>模拟项目运营成本；统一折算USD</x:v>
      </x:c>
    </x:row>
    <x:row r="896">
      <x:c r="A896" s="92" t="str">
        <x:v>COST-0895</x:v>
      </x:c>
      <x:c r="B896" s="94" t="str">
        <x:v>PROC-0895</x:v>
      </x:c>
      <x:c r="C896" s="93" t="n">
        <x:v>46184</x:v>
      </x:c>
      <x:c r="D896" s="94" t="str">
        <x:v>Microsoft Ads</x:v>
      </x:c>
      <x:c r="E896" s="94" t="str">
        <x:v>云主机/CDN</x:v>
      </x:c>
      <x:c r="F896" s="94" t="str">
        <x:v>按访问量</x:v>
      </x:c>
      <x:c r="G896" s="97" t="n">
        <x:v>0.86</x:v>
      </x:c>
      <x:c r="H896" s="94" t="str">
        <x:v>变动</x:v>
      </x:c>
      <x:c r="I896" s="94" t="str">
        <x:v>技术团队</x:v>
      </x:c>
      <x:c r="J896" s="94" t="str">
        <x:v>模拟项目运营成本；统一折算USD</x:v>
      </x:c>
    </x:row>
    <x:row r="897">
      <x:c r="A897" s="92" t="str">
        <x:v>COST-0896</x:v>
      </x:c>
      <x:c r="B897" s="94" t="str">
        <x:v>PROC-0896</x:v>
      </x:c>
      <x:c r="C897" s="93" t="n">
        <x:v>46184</x:v>
      </x:c>
      <x:c r="D897" s="94" t="str">
        <x:v>Google Ads</x:v>
      </x:c>
      <x:c r="E897" s="94" t="str">
        <x:v>云主机/CDN</x:v>
      </x:c>
      <x:c r="F897" s="94" t="str">
        <x:v>按访问量</x:v>
      </x:c>
      <x:c r="G897" s="97" t="n">
        <x:v>0.89</x:v>
      </x:c>
      <x:c r="H897" s="94" t="str">
        <x:v>变动</x:v>
      </x:c>
      <x:c r="I897" s="94" t="str">
        <x:v>技术团队</x:v>
      </x:c>
      <x:c r="J897" s="94" t="str">
        <x:v>模拟项目运营成本；统一折算USD</x:v>
      </x:c>
    </x:row>
    <x:row r="898">
      <x:c r="A898" s="92" t="str">
        <x:v>COST-0897</x:v>
      </x:c>
      <x:c r="B898" s="94" t="str">
        <x:v>PROC-0897</x:v>
      </x:c>
      <x:c r="C898" s="93" t="n">
        <x:v>46185</x:v>
      </x:c>
      <x:c r="D898" s="94" t="str">
        <x:v>Google Ads</x:v>
      </x:c>
      <x:c r="E898" s="94" t="str">
        <x:v>创意素材</x:v>
      </x:c>
      <x:c r="F898" s="94" t="str">
        <x:v>按活动</x:v>
      </x:c>
      <x:c r="G898" s="97" t="n">
        <x:v>2.94</x:v>
      </x:c>
      <x:c r="H898" s="94" t="str">
        <x:v>部分固定</x:v>
      </x:c>
      <x:c r="I898" s="94" t="str">
        <x:v>增长团队</x:v>
      </x:c>
      <x:c r="J898" s="94" t="str">
        <x:v>模拟项目运营成本；统一折算USD</x:v>
      </x:c>
    </x:row>
    <x:row r="899">
      <x:c r="A899" s="92" t="str">
        <x:v>COST-0898</x:v>
      </x:c>
      <x:c r="B899" s="94" t="str">
        <x:v>PROC-0898</x:v>
      </x:c>
      <x:c r="C899" s="93" t="n">
        <x:v>46185</x:v>
      </x:c>
      <x:c r="D899" s="94" t="str">
        <x:v>Google Ads</x:v>
      </x:c>
      <x:c r="E899" s="94" t="str">
        <x:v>创意素材</x:v>
      </x:c>
      <x:c r="F899" s="94" t="str">
        <x:v>按活动</x:v>
      </x:c>
      <x:c r="G899" s="97" t="n">
        <x:v>3.35</x:v>
      </x:c>
      <x:c r="H899" s="94" t="str">
        <x:v>部分固定</x:v>
      </x:c>
      <x:c r="I899" s="94" t="str">
        <x:v>增长团队</x:v>
      </x:c>
      <x:c r="J899" s="94" t="str">
        <x:v>模拟项目运营成本；统一折算USD</x:v>
      </x:c>
    </x:row>
    <x:row r="900">
      <x:c r="A900" s="92" t="str">
        <x:v>COST-0899</x:v>
      </x:c>
      <x:c r="B900" s="94" t="str">
        <x:v>PROC-0899</x:v>
      </x:c>
      <x:c r="C900" s="93" t="n">
        <x:v>46185</x:v>
      </x:c>
      <x:c r="D900" s="94" t="str">
        <x:v>Google Ads</x:v>
      </x:c>
      <x:c r="E900" s="94" t="str">
        <x:v>数据与ETL</x:v>
      </x:c>
      <x:c r="F900" s="94" t="str">
        <x:v>按采购批次</x:v>
      </x:c>
      <x:c r="G900" s="97" t="n">
        <x:v>0.6</x:v>
      </x:c>
      <x:c r="H900" s="94" t="str">
        <x:v>变动</x:v>
      </x:c>
      <x:c r="I900" s="94" t="str">
        <x:v>数据团队</x:v>
      </x:c>
      <x:c r="J900" s="94" t="str">
        <x:v>模拟项目运营成本；统一折算USD</x:v>
      </x:c>
    </x:row>
    <x:row r="901">
      <x:c r="A901" s="92" t="str">
        <x:v>COST-0900</x:v>
      </x:c>
      <x:c r="B901" s="94" t="str">
        <x:v>PROC-0900</x:v>
      </x:c>
      <x:c r="C901" s="93" t="n">
        <x:v>46185</x:v>
      </x:c>
      <x:c r="D901" s="94" t="str">
        <x:v>Microsoft Ads</x:v>
      </x:c>
      <x:c r="E901" s="94" t="str">
        <x:v>云主机/CDN</x:v>
      </x:c>
      <x:c r="F901" s="94" t="str">
        <x:v>按访问量</x:v>
      </x:c>
      <x:c r="G901" s="97" t="n">
        <x:v>0.52</x:v>
      </x:c>
      <x:c r="H901" s="94" t="str">
        <x:v>变动</x:v>
      </x:c>
      <x:c r="I901" s="94" t="str">
        <x:v>技术团队</x:v>
      </x:c>
      <x:c r="J901" s="94" t="str">
        <x:v>模拟项目运营成本；统一折算USD</x:v>
      </x:c>
    </x:row>
    <x:row r="902">
      <x:c r="A902" s="92" t="str">
        <x:v>COST-0901</x:v>
      </x:c>
      <x:c r="B902" s="94" t="str">
        <x:v>PROC-0901</x:v>
      </x:c>
      <x:c r="C902" s="93" t="n">
        <x:v>46185</x:v>
      </x:c>
      <x:c r="D902" s="94" t="str">
        <x:v>Microsoft Ads</x:v>
      </x:c>
      <x:c r="E902" s="94" t="str">
        <x:v>人工运营分摊</x:v>
      </x:c>
      <x:c r="F902" s="94" t="str">
        <x:v>按工时</x:v>
      </x:c>
      <x:c r="G902" s="97" t="n">
        <x:v>2.35</x:v>
      </x:c>
      <x:c r="H902" s="94" t="str">
        <x:v>部分固定</x:v>
      </x:c>
      <x:c r="I902" s="94" t="str">
        <x:v>运营团队</x:v>
      </x:c>
      <x:c r="J902" s="94" t="str">
        <x:v>模拟项目运营成本；统一折算USD</x:v>
      </x:c>
    </x:row>
    <x:row r="903">
      <x:c r="A903" s="92" t="str">
        <x:v>COST-0902</x:v>
      </x:c>
      <x:c r="B903" s="94" t="str">
        <x:v>PROC-0902</x:v>
      </x:c>
      <x:c r="C903" s="93" t="n">
        <x:v>46186</x:v>
      </x:c>
      <x:c r="D903" s="94" t="str">
        <x:v>Microsoft Ads</x:v>
      </x:c>
      <x:c r="E903" s="94" t="str">
        <x:v>创意素材</x:v>
      </x:c>
      <x:c r="F903" s="94" t="str">
        <x:v>按活动</x:v>
      </x:c>
      <x:c r="G903" s="97" t="n">
        <x:v>3.28</x:v>
      </x:c>
      <x:c r="H903" s="94" t="str">
        <x:v>部分固定</x:v>
      </x:c>
      <x:c r="I903" s="94" t="str">
        <x:v>增长团队</x:v>
      </x:c>
      <x:c r="J903" s="94" t="str">
        <x:v>模拟项目运营成本；统一折算USD</x:v>
      </x:c>
    </x:row>
    <x:row r="904">
      <x:c r="A904" s="92" t="str">
        <x:v>COST-0903</x:v>
      </x:c>
      <x:c r="B904" s="94" t="str">
        <x:v>PROC-0903</x:v>
      </x:c>
      <x:c r="C904" s="93" t="n">
        <x:v>46186</x:v>
      </x:c>
      <x:c r="D904" s="94" t="str">
        <x:v>Google Ads</x:v>
      </x:c>
      <x:c r="E904" s="94" t="str">
        <x:v>人工运营分摊</x:v>
      </x:c>
      <x:c r="F904" s="94" t="str">
        <x:v>按工时</x:v>
      </x:c>
      <x:c r="G904" s="97" t="n">
        <x:v>1.85</x:v>
      </x:c>
      <x:c r="H904" s="94" t="str">
        <x:v>部分固定</x:v>
      </x:c>
      <x:c r="I904" s="94" t="str">
        <x:v>运营团队</x:v>
      </x:c>
      <x:c r="J904" s="94" t="str">
        <x:v>模拟项目运营成本；统一折算USD</x:v>
      </x:c>
    </x:row>
    <x:row r="905">
      <x:c r="A905" s="92" t="str">
        <x:v>COST-0904</x:v>
      </x:c>
      <x:c r="B905" s="94" t="str">
        <x:v>PROC-0904</x:v>
      </x:c>
      <x:c r="C905" s="93" t="n">
        <x:v>46186</x:v>
      </x:c>
      <x:c r="D905" s="94" t="str">
        <x:v>Google Ads</x:v>
      </x:c>
      <x:c r="E905" s="94" t="str">
        <x:v>创意素材</x:v>
      </x:c>
      <x:c r="F905" s="94" t="str">
        <x:v>按活动</x:v>
      </x:c>
      <x:c r="G905" s="97" t="n">
        <x:v>2.22</x:v>
      </x:c>
      <x:c r="H905" s="94" t="str">
        <x:v>部分固定</x:v>
      </x:c>
      <x:c r="I905" s="94" t="str">
        <x:v>增长团队</x:v>
      </x:c>
      <x:c r="J905" s="94" t="str">
        <x:v>模拟项目运营成本；统一折算USD</x:v>
      </x:c>
    </x:row>
    <x:row r="906">
      <x:c r="A906" s="92" t="str">
        <x:v>COST-0905</x:v>
      </x:c>
      <x:c r="B906" s="94" t="str">
        <x:v>PROC-0905</x:v>
      </x:c>
      <x:c r="C906" s="93" t="n">
        <x:v>46186</x:v>
      </x:c>
      <x:c r="D906" s="94" t="str">
        <x:v>Microsoft Ads</x:v>
      </x:c>
      <x:c r="E906" s="94" t="str">
        <x:v>数据与ETL</x:v>
      </x:c>
      <x:c r="F906" s="94" t="str">
        <x:v>按采购批次</x:v>
      </x:c>
      <x:c r="G906" s="97" t="n">
        <x:v>0.85</x:v>
      </x:c>
      <x:c r="H906" s="94" t="str">
        <x:v>变动</x:v>
      </x:c>
      <x:c r="I906" s="94" t="str">
        <x:v>数据团队</x:v>
      </x:c>
      <x:c r="J906" s="94" t="str">
        <x:v>模拟项目运营成本；统一折算USD</x:v>
      </x:c>
    </x:row>
    <x:row r="907">
      <x:c r="A907" s="92" t="str">
        <x:v>COST-0906</x:v>
      </x:c>
      <x:c r="B907" s="94" t="str">
        <x:v>PROC-0906</x:v>
      </x:c>
      <x:c r="C907" s="93" t="n">
        <x:v>46186</x:v>
      </x:c>
      <x:c r="D907" s="94" t="str">
        <x:v>Google Ads</x:v>
      </x:c>
      <x:c r="E907" s="94" t="str">
        <x:v>数据与ETL</x:v>
      </x:c>
      <x:c r="F907" s="94" t="str">
        <x:v>按采购批次</x:v>
      </x:c>
      <x:c r="G907" s="97" t="n">
        <x:v>1.52</x:v>
      </x:c>
      <x:c r="H907" s="94" t="str">
        <x:v>变动</x:v>
      </x:c>
      <x:c r="I907" s="94" t="str">
        <x:v>数据团队</x:v>
      </x:c>
      <x:c r="J907" s="94" t="str">
        <x:v>模拟项目运营成本；统一折算USD</x:v>
      </x:c>
    </x:row>
    <x:row r="908">
      <x:c r="A908" s="92" t="str">
        <x:v>COST-0907</x:v>
      </x:c>
      <x:c r="B908" s="94" t="str">
        <x:v>PROC-0907</x:v>
      </x:c>
      <x:c r="C908" s="93" t="n">
        <x:v>46186</x:v>
      </x:c>
      <x:c r="D908" s="94" t="str">
        <x:v>Google Ads</x:v>
      </x:c>
      <x:c r="E908" s="94" t="str">
        <x:v>归因与监测工具</x:v>
      </x:c>
      <x:c r="F908" s="94" t="str">
        <x:v>按点击量</x:v>
      </x:c>
      <x:c r="G908" s="97" t="n">
        <x:v>0.95</x:v>
      </x:c>
      <x:c r="H908" s="94" t="str">
        <x:v>变动</x:v>
      </x:c>
      <x:c r="I908" s="94" t="str">
        <x:v>分析团队</x:v>
      </x:c>
      <x:c r="J908" s="94" t="str">
        <x:v>模拟项目运营成本；统一折算USD</x:v>
      </x:c>
    </x:row>
    <x:row r="909">
      <x:c r="A909" s="92" t="str">
        <x:v>COST-0908</x:v>
      </x:c>
      <x:c r="B909" s="94" t="str">
        <x:v>PROC-0908</x:v>
      </x:c>
      <x:c r="C909" s="93" t="n">
        <x:v>46187</x:v>
      </x:c>
      <x:c r="D909" s="94" t="str">
        <x:v>Microsoft Ads</x:v>
      </x:c>
      <x:c r="E909" s="94" t="str">
        <x:v>云主机/CDN</x:v>
      </x:c>
      <x:c r="F909" s="94" t="str">
        <x:v>按访问量</x:v>
      </x:c>
      <x:c r="G909" s="97" t="n">
        <x:v>0.61</x:v>
      </x:c>
      <x:c r="H909" s="94" t="str">
        <x:v>变动</x:v>
      </x:c>
      <x:c r="I909" s="94" t="str">
        <x:v>技术团队</x:v>
      </x:c>
      <x:c r="J909" s="94" t="str">
        <x:v>模拟项目运营成本；统一折算USD</x:v>
      </x:c>
    </x:row>
    <x:row r="910">
      <x:c r="A910" s="92" t="str">
        <x:v>COST-0909</x:v>
      </x:c>
      <x:c r="B910" s="94" t="str">
        <x:v>PROC-0909</x:v>
      </x:c>
      <x:c r="C910" s="93" t="n">
        <x:v>46187</x:v>
      </x:c>
      <x:c r="D910" s="94" t="str">
        <x:v>Microsoft Ads</x:v>
      </x:c>
      <x:c r="E910" s="94" t="str">
        <x:v>归因与监测工具</x:v>
      </x:c>
      <x:c r="F910" s="94" t="str">
        <x:v>按点击量</x:v>
      </x:c>
      <x:c r="G910" s="97" t="n">
        <x:v>0.79</x:v>
      </x:c>
      <x:c r="H910" s="94" t="str">
        <x:v>变动</x:v>
      </x:c>
      <x:c r="I910" s="94" t="str">
        <x:v>分析团队</x:v>
      </x:c>
      <x:c r="J910" s="94" t="str">
        <x:v>模拟项目运营成本；统一折算USD</x:v>
      </x:c>
    </x:row>
    <x:row r="911">
      <x:c r="A911" s="92" t="str">
        <x:v>COST-0910</x:v>
      </x:c>
      <x:c r="B911" s="94" t="str">
        <x:v>PROC-0910</x:v>
      </x:c>
      <x:c r="C911" s="93" t="n">
        <x:v>46187</x:v>
      </x:c>
      <x:c r="D911" s="94" t="str">
        <x:v>Google Ads</x:v>
      </x:c>
      <x:c r="E911" s="94" t="str">
        <x:v>数据与ETL</x:v>
      </x:c>
      <x:c r="F911" s="94" t="str">
        <x:v>按采购批次</x:v>
      </x:c>
      <x:c r="G911" s="97" t="n">
        <x:v>0.76</x:v>
      </x:c>
      <x:c r="H911" s="94" t="str">
        <x:v>变动</x:v>
      </x:c>
      <x:c r="I911" s="94" t="str">
        <x:v>数据团队</x:v>
      </x:c>
      <x:c r="J911" s="94" t="str">
        <x:v>模拟项目运营成本；统一折算USD</x:v>
      </x:c>
    </x:row>
    <x:row r="912">
      <x:c r="A912" s="92" t="str">
        <x:v>COST-0911</x:v>
      </x:c>
      <x:c r="B912" s="94" t="str">
        <x:v>PROC-0911</x:v>
      </x:c>
      <x:c r="C912" s="93" t="n">
        <x:v>46187</x:v>
      </x:c>
      <x:c r="D912" s="94" t="str">
        <x:v>Google Ads</x:v>
      </x:c>
      <x:c r="E912" s="94" t="str">
        <x:v>数据与ETL</x:v>
      </x:c>
      <x:c r="F912" s="94" t="str">
        <x:v>按采购批次</x:v>
      </x:c>
      <x:c r="G912" s="97" t="n">
        <x:v>1.67</x:v>
      </x:c>
      <x:c r="H912" s="94" t="str">
        <x:v>变动</x:v>
      </x:c>
      <x:c r="I912" s="94" t="str">
        <x:v>数据团队</x:v>
      </x:c>
      <x:c r="J912" s="94" t="str">
        <x:v>模拟项目运营成本；统一折算USD</x:v>
      </x:c>
    </x:row>
    <x:row r="913">
      <x:c r="A913" s="92" t="str">
        <x:v>COST-0912</x:v>
      </x:c>
      <x:c r="B913" s="94" t="str">
        <x:v>PROC-0912</x:v>
      </x:c>
      <x:c r="C913" s="93" t="n">
        <x:v>46187</x:v>
      </x:c>
      <x:c r="D913" s="94" t="str">
        <x:v>Google Ads</x:v>
      </x:c>
      <x:c r="E913" s="94" t="str">
        <x:v>云主机/CDN</x:v>
      </x:c>
      <x:c r="F913" s="94" t="str">
        <x:v>按访问量</x:v>
      </x:c>
      <x:c r="G913" s="97" t="n">
        <x:v>1.05</x:v>
      </x:c>
      <x:c r="H913" s="94" t="str">
        <x:v>变动</x:v>
      </x:c>
      <x:c r="I913" s="94" t="str">
        <x:v>技术团队</x:v>
      </x:c>
      <x:c r="J913" s="94" t="str">
        <x:v>模拟项目运营成本；统一折算USD</x:v>
      </x:c>
    </x:row>
    <x:row r="914">
      <x:c r="A914" s="92" t="str">
        <x:v>COST-0913</x:v>
      </x:c>
      <x:c r="B914" s="94" t="str">
        <x:v>PROC-0913</x:v>
      </x:c>
      <x:c r="C914" s="93" t="n">
        <x:v>46188</x:v>
      </x:c>
      <x:c r="D914" s="94" t="str">
        <x:v>Microsoft Ads</x:v>
      </x:c>
      <x:c r="E914" s="94" t="str">
        <x:v>数据与ETL</x:v>
      </x:c>
      <x:c r="F914" s="94" t="str">
        <x:v>按采购批次</x:v>
      </x:c>
      <x:c r="G914" s="97" t="n">
        <x:v>1.28</x:v>
      </x:c>
      <x:c r="H914" s="94" t="str">
        <x:v>变动</x:v>
      </x:c>
      <x:c r="I914" s="94" t="str">
        <x:v>数据团队</x:v>
      </x:c>
      <x:c r="J914" s="94" t="str">
        <x:v>模拟项目运营成本；统一折算USD</x:v>
      </x:c>
    </x:row>
    <x:row r="915">
      <x:c r="A915" s="92" t="str">
        <x:v>COST-0914</x:v>
      </x:c>
      <x:c r="B915" s="94" t="str">
        <x:v>PROC-0914</x:v>
      </x:c>
      <x:c r="C915" s="93" t="n">
        <x:v>46188</x:v>
      </x:c>
      <x:c r="D915" s="94" t="str">
        <x:v>Google Ads</x:v>
      </x:c>
      <x:c r="E915" s="94" t="str">
        <x:v>创意素材</x:v>
      </x:c>
      <x:c r="F915" s="94" t="str">
        <x:v>按活动</x:v>
      </x:c>
      <x:c r="G915" s="97" t="n">
        <x:v>1.35</x:v>
      </x:c>
      <x:c r="H915" s="94" t="str">
        <x:v>部分固定</x:v>
      </x:c>
      <x:c r="I915" s="94" t="str">
        <x:v>增长团队</x:v>
      </x:c>
      <x:c r="J915" s="94" t="str">
        <x:v>模拟项目运营成本；统一折算USD</x:v>
      </x:c>
    </x:row>
    <x:row r="916">
      <x:c r="A916" s="92" t="str">
        <x:v>COST-0915</x:v>
      </x:c>
      <x:c r="B916" s="94" t="str">
        <x:v>PROC-0915</x:v>
      </x:c>
      <x:c r="C916" s="93" t="n">
        <x:v>46188</x:v>
      </x:c>
      <x:c r="D916" s="94" t="str">
        <x:v>Microsoft Ads</x:v>
      </x:c>
      <x:c r="E916" s="94" t="str">
        <x:v>人工运营分摊</x:v>
      </x:c>
      <x:c r="F916" s="94" t="str">
        <x:v>按工时</x:v>
      </x:c>
      <x:c r="G916" s="97" t="n">
        <x:v>2.18</x:v>
      </x:c>
      <x:c r="H916" s="94" t="str">
        <x:v>部分固定</x:v>
      </x:c>
      <x:c r="I916" s="94" t="str">
        <x:v>运营团队</x:v>
      </x:c>
      <x:c r="J916" s="94" t="str">
        <x:v>模拟项目运营成本；统一折算USD</x:v>
      </x:c>
    </x:row>
    <x:row r="917">
      <x:c r="A917" s="92" t="str">
        <x:v>COST-0916</x:v>
      </x:c>
      <x:c r="B917" s="94" t="str">
        <x:v>PROC-0916</x:v>
      </x:c>
      <x:c r="C917" s="93" t="n">
        <x:v>46188</x:v>
      </x:c>
      <x:c r="D917" s="94" t="str">
        <x:v>Microsoft Ads</x:v>
      </x:c>
      <x:c r="E917" s="94" t="str">
        <x:v>云主机/CDN</x:v>
      </x:c>
      <x:c r="F917" s="94" t="str">
        <x:v>按访问量</x:v>
      </x:c>
      <x:c r="G917" s="97" t="n">
        <x:v>1.06</x:v>
      </x:c>
      <x:c r="H917" s="94" t="str">
        <x:v>变动</x:v>
      </x:c>
      <x:c r="I917" s="94" t="str">
        <x:v>技术团队</x:v>
      </x:c>
      <x:c r="J917" s="94" t="str">
        <x:v>模拟项目运营成本；统一折算USD</x:v>
      </x:c>
    </x:row>
    <x:row r="918">
      <x:c r="A918" s="92" t="str">
        <x:v>COST-0917</x:v>
      </x:c>
      <x:c r="B918" s="94" t="str">
        <x:v>PROC-0917</x:v>
      </x:c>
      <x:c r="C918" s="93" t="n">
        <x:v>46188</x:v>
      </x:c>
      <x:c r="D918" s="94" t="str">
        <x:v>Microsoft Ads</x:v>
      </x:c>
      <x:c r="E918" s="94" t="str">
        <x:v>数据与ETL</x:v>
      </x:c>
      <x:c r="F918" s="94" t="str">
        <x:v>按采购批次</x:v>
      </x:c>
      <x:c r="G918" s="97" t="n">
        <x:v>1.57</x:v>
      </x:c>
      <x:c r="H918" s="94" t="str">
        <x:v>变动</x:v>
      </x:c>
      <x:c r="I918" s="94" t="str">
        <x:v>数据团队</x:v>
      </x:c>
      <x:c r="J918" s="94" t="str">
        <x:v>模拟项目运营成本；统一折算USD</x:v>
      </x:c>
    </x:row>
    <x:row r="919">
      <x:c r="A919" s="92" t="str">
        <x:v>COST-0918</x:v>
      </x:c>
      <x:c r="B919" s="94" t="str">
        <x:v>PROC-0918</x:v>
      </x:c>
      <x:c r="C919" s="93" t="n">
        <x:v>46188</x:v>
      </x:c>
      <x:c r="D919" s="94" t="str">
        <x:v>Google Ads</x:v>
      </x:c>
      <x:c r="E919" s="94" t="str">
        <x:v>归因与监测工具</x:v>
      </x:c>
      <x:c r="F919" s="94" t="str">
        <x:v>按点击量</x:v>
      </x:c>
      <x:c r="G919" s="97" t="n">
        <x:v>1.01</x:v>
      </x:c>
      <x:c r="H919" s="94" t="str">
        <x:v>变动</x:v>
      </x:c>
      <x:c r="I919" s="94" t="str">
        <x:v>分析团队</x:v>
      </x:c>
      <x:c r="J919" s="94" t="str">
        <x:v>模拟项目运营成本；统一折算USD</x:v>
      </x:c>
    </x:row>
    <x:row r="920">
      <x:c r="A920" s="92" t="str">
        <x:v>COST-0919</x:v>
      </x:c>
      <x:c r="B920" s="94" t="str">
        <x:v>PROC-0919</x:v>
      </x:c>
      <x:c r="C920" s="93" t="n">
        <x:v>46189</x:v>
      </x:c>
      <x:c r="D920" s="94" t="str">
        <x:v>Google Ads</x:v>
      </x:c>
      <x:c r="E920" s="94" t="str">
        <x:v>创意素材</x:v>
      </x:c>
      <x:c r="F920" s="94" t="str">
        <x:v>按活动</x:v>
      </x:c>
      <x:c r="G920" s="97" t="n">
        <x:v>2.02</x:v>
      </x:c>
      <x:c r="H920" s="94" t="str">
        <x:v>部分固定</x:v>
      </x:c>
      <x:c r="I920" s="94" t="str">
        <x:v>增长团队</x:v>
      </x:c>
      <x:c r="J920" s="94" t="str">
        <x:v>模拟项目运营成本；统一折算USD</x:v>
      </x:c>
    </x:row>
    <x:row r="921">
      <x:c r="A921" s="92" t="str">
        <x:v>COST-0920</x:v>
      </x:c>
      <x:c r="B921" s="94" t="str">
        <x:v>PROC-0920</x:v>
      </x:c>
      <x:c r="C921" s="93" t="n">
        <x:v>46189</x:v>
      </x:c>
      <x:c r="D921" s="94" t="str">
        <x:v>Microsoft Ads</x:v>
      </x:c>
      <x:c r="E921" s="94" t="str">
        <x:v>创意素材</x:v>
      </x:c>
      <x:c r="F921" s="94" t="str">
        <x:v>按活动</x:v>
      </x:c>
      <x:c r="G921" s="97" t="n">
        <x:v>1.14</x:v>
      </x:c>
      <x:c r="H921" s="94" t="str">
        <x:v>部分固定</x:v>
      </x:c>
      <x:c r="I921" s="94" t="str">
        <x:v>增长团队</x:v>
      </x:c>
      <x:c r="J921" s="94" t="str">
        <x:v>模拟项目运营成本；统一折算USD</x:v>
      </x:c>
    </x:row>
    <x:row r="922">
      <x:c r="A922" s="92" t="str">
        <x:v>COST-0921</x:v>
      </x:c>
      <x:c r="B922" s="94" t="str">
        <x:v>PROC-0921</x:v>
      </x:c>
      <x:c r="C922" s="93" t="n">
        <x:v>46189</x:v>
      </x:c>
      <x:c r="D922" s="94" t="str">
        <x:v>Microsoft Ads</x:v>
      </x:c>
      <x:c r="E922" s="94" t="str">
        <x:v>归因与监测工具</x:v>
      </x:c>
      <x:c r="F922" s="94" t="str">
        <x:v>按点击量</x:v>
      </x:c>
      <x:c r="G922" s="97" t="n">
        <x:v>1.01</x:v>
      </x:c>
      <x:c r="H922" s="94" t="str">
        <x:v>变动</x:v>
      </x:c>
      <x:c r="I922" s="94" t="str">
        <x:v>分析团队</x:v>
      </x:c>
      <x:c r="J922" s="94" t="str">
        <x:v>模拟项目运营成本；统一折算USD</x:v>
      </x:c>
    </x:row>
    <x:row r="923">
      <x:c r="A923" s="92" t="str">
        <x:v>COST-0922</x:v>
      </x:c>
      <x:c r="B923" s="94" t="str">
        <x:v>PROC-0922</x:v>
      </x:c>
      <x:c r="C923" s="93" t="n">
        <x:v>46189</x:v>
      </x:c>
      <x:c r="D923" s="94" t="str">
        <x:v>Google Ads</x:v>
      </x:c>
      <x:c r="E923" s="94" t="str">
        <x:v>数据与ETL</x:v>
      </x:c>
      <x:c r="F923" s="94" t="str">
        <x:v>按采购批次</x:v>
      </x:c>
      <x:c r="G923" s="97" t="n">
        <x:v>0.93</x:v>
      </x:c>
      <x:c r="H923" s="94" t="str">
        <x:v>变动</x:v>
      </x:c>
      <x:c r="I923" s="94" t="str">
        <x:v>数据团队</x:v>
      </x:c>
      <x:c r="J923" s="94" t="str">
        <x:v>模拟项目运营成本；统一折算USD</x:v>
      </x:c>
    </x:row>
    <x:row r="924">
      <x:c r="A924" s="92" t="str">
        <x:v>COST-0923</x:v>
      </x:c>
      <x:c r="B924" s="94" t="str">
        <x:v>PROC-0923</x:v>
      </x:c>
      <x:c r="C924" s="93" t="n">
        <x:v>46189</x:v>
      </x:c>
      <x:c r="D924" s="94" t="str">
        <x:v>Microsoft Ads</x:v>
      </x:c>
      <x:c r="E924" s="94" t="str">
        <x:v>人工运营分摊</x:v>
      </x:c>
      <x:c r="F924" s="94" t="str">
        <x:v>按工时</x:v>
      </x:c>
      <x:c r="G924" s="97" t="n">
        <x:v>4.12</x:v>
      </x:c>
      <x:c r="H924" s="94" t="str">
        <x:v>部分固定</x:v>
      </x:c>
      <x:c r="I924" s="94" t="str">
        <x:v>运营团队</x:v>
      </x:c>
      <x:c r="J924" s="94" t="str">
        <x:v>模拟项目运营成本；统一折算USD</x:v>
      </x:c>
    </x:row>
    <x:row r="925">
      <x:c r="A925" s="92" t="str">
        <x:v>COST-0924</x:v>
      </x:c>
      <x:c r="B925" s="94" t="str">
        <x:v>PROC-0924</x:v>
      </x:c>
      <x:c r="C925" s="93" t="n">
        <x:v>46190</x:v>
      </x:c>
      <x:c r="D925" s="94" t="str">
        <x:v>Google Ads</x:v>
      </x:c>
      <x:c r="E925" s="94" t="str">
        <x:v>归因与监测工具</x:v>
      </x:c>
      <x:c r="F925" s="94" t="str">
        <x:v>按点击量</x:v>
      </x:c>
      <x:c r="G925" s="97" t="n">
        <x:v>0.79</x:v>
      </x:c>
      <x:c r="H925" s="94" t="str">
        <x:v>变动</x:v>
      </x:c>
      <x:c r="I925" s="94" t="str">
        <x:v>分析团队</x:v>
      </x:c>
      <x:c r="J925" s="94" t="str">
        <x:v>模拟项目运营成本；统一折算USD</x:v>
      </x:c>
    </x:row>
    <x:row r="926">
      <x:c r="A926" s="92" t="str">
        <x:v>COST-0925</x:v>
      </x:c>
      <x:c r="B926" s="94" t="str">
        <x:v>PROC-0925</x:v>
      </x:c>
      <x:c r="C926" s="93" t="n">
        <x:v>46190</x:v>
      </x:c>
      <x:c r="D926" s="94" t="str">
        <x:v>Google Ads</x:v>
      </x:c>
      <x:c r="E926" s="94" t="str">
        <x:v>云主机/CDN</x:v>
      </x:c>
      <x:c r="F926" s="94" t="str">
        <x:v>按访问量</x:v>
      </x:c>
      <x:c r="G926" s="97" t="n">
        <x:v>0.75</x:v>
      </x:c>
      <x:c r="H926" s="94" t="str">
        <x:v>变动</x:v>
      </x:c>
      <x:c r="I926" s="94" t="str">
        <x:v>技术团队</x:v>
      </x:c>
      <x:c r="J926" s="94" t="str">
        <x:v>模拟项目运营成本；统一折算USD</x:v>
      </x:c>
    </x:row>
    <x:row r="927">
      <x:c r="A927" s="92" t="str">
        <x:v>COST-0926</x:v>
      </x:c>
      <x:c r="B927" s="94" t="str">
        <x:v>PROC-0926</x:v>
      </x:c>
      <x:c r="C927" s="93" t="n">
        <x:v>46190</x:v>
      </x:c>
      <x:c r="D927" s="94" t="str">
        <x:v>Microsoft Ads</x:v>
      </x:c>
      <x:c r="E927" s="94" t="str">
        <x:v>云主机/CDN</x:v>
      </x:c>
      <x:c r="F927" s="94" t="str">
        <x:v>按访问量</x:v>
      </x:c>
      <x:c r="G927" s="97" t="n">
        <x:v>0.31</x:v>
      </x:c>
      <x:c r="H927" s="94" t="str">
        <x:v>变动</x:v>
      </x:c>
      <x:c r="I927" s="94" t="str">
        <x:v>技术团队</x:v>
      </x:c>
      <x:c r="J927" s="94" t="str">
        <x:v>模拟项目运营成本；统一折算USD</x:v>
      </x:c>
    </x:row>
    <x:row r="928">
      <x:c r="A928" s="92" t="str">
        <x:v>COST-0927</x:v>
      </x:c>
      <x:c r="B928" s="94" t="str">
        <x:v>PROC-0927</x:v>
      </x:c>
      <x:c r="C928" s="93" t="n">
        <x:v>46190</x:v>
      </x:c>
      <x:c r="D928" s="94" t="str">
        <x:v>Google Ads</x:v>
      </x:c>
      <x:c r="E928" s="94" t="str">
        <x:v>云主机/CDN</x:v>
      </x:c>
      <x:c r="F928" s="94" t="str">
        <x:v>按访问量</x:v>
      </x:c>
      <x:c r="G928" s="97" t="n">
        <x:v>0.72</x:v>
      </x:c>
      <x:c r="H928" s="94" t="str">
        <x:v>变动</x:v>
      </x:c>
      <x:c r="I928" s="94" t="str">
        <x:v>技术团队</x:v>
      </x:c>
      <x:c r="J928" s="94" t="str">
        <x:v>模拟项目运营成本；统一折算USD</x:v>
      </x:c>
    </x:row>
    <x:row r="929">
      <x:c r="A929" s="92" t="str">
        <x:v>COST-0928</x:v>
      </x:c>
      <x:c r="B929" s="94" t="str">
        <x:v>PROC-0928</x:v>
      </x:c>
      <x:c r="C929" s="93" t="n">
        <x:v>46190</x:v>
      </x:c>
      <x:c r="D929" s="94" t="str">
        <x:v>Google Ads</x:v>
      </x:c>
      <x:c r="E929" s="94" t="str">
        <x:v>人工运营分摊</x:v>
      </x:c>
      <x:c r="F929" s="94" t="str">
        <x:v>按工时</x:v>
      </x:c>
      <x:c r="G929" s="97" t="n">
        <x:v>2.62</x:v>
      </x:c>
      <x:c r="H929" s="94" t="str">
        <x:v>部分固定</x:v>
      </x:c>
      <x:c r="I929" s="94" t="str">
        <x:v>运营团队</x:v>
      </x:c>
      <x:c r="J929" s="94" t="str">
        <x:v>模拟项目运营成本；统一折算USD</x:v>
      </x:c>
    </x:row>
    <x:row r="930">
      <x:c r="A930" s="92" t="str">
        <x:v>COST-0929</x:v>
      </x:c>
      <x:c r="B930" s="94" t="str">
        <x:v>PROC-0929</x:v>
      </x:c>
      <x:c r="C930" s="93" t="n">
        <x:v>46190</x:v>
      </x:c>
      <x:c r="D930" s="94" t="str">
        <x:v>Google Ads</x:v>
      </x:c>
      <x:c r="E930" s="94" t="str">
        <x:v>归因与监测工具</x:v>
      </x:c>
      <x:c r="F930" s="94" t="str">
        <x:v>按点击量</x:v>
      </x:c>
      <x:c r="G930" s="97" t="n">
        <x:v>1.21</x:v>
      </x:c>
      <x:c r="H930" s="94" t="str">
        <x:v>变动</x:v>
      </x:c>
      <x:c r="I930" s="94" t="str">
        <x:v>分析团队</x:v>
      </x:c>
      <x:c r="J930" s="94" t="str">
        <x:v>模拟项目运营成本；统一折算USD</x:v>
      </x:c>
    </x:row>
    <x:row r="931">
      <x:c r="A931" s="92" t="str">
        <x:v>COST-0930</x:v>
      </x:c>
      <x:c r="B931" s="94" t="str">
        <x:v>PROC-0930</x:v>
      </x:c>
      <x:c r="C931" s="93" t="n">
        <x:v>46191</x:v>
      </x:c>
      <x:c r="D931" s="94" t="str">
        <x:v>Google Ads</x:v>
      </x:c>
      <x:c r="E931" s="94" t="str">
        <x:v>云主机/CDN</x:v>
      </x:c>
      <x:c r="F931" s="94" t="str">
        <x:v>按访问量</x:v>
      </x:c>
      <x:c r="G931" s="97" t="n">
        <x:v>0.91</x:v>
      </x:c>
      <x:c r="H931" s="94" t="str">
        <x:v>变动</x:v>
      </x:c>
      <x:c r="I931" s="94" t="str">
        <x:v>技术团队</x:v>
      </x:c>
      <x:c r="J931" s="94" t="str">
        <x:v>模拟项目运营成本；统一折算USD</x:v>
      </x:c>
    </x:row>
    <x:row r="932">
      <x:c r="A932" s="92" t="str">
        <x:v>COST-0931</x:v>
      </x:c>
      <x:c r="B932" s="94" t="str">
        <x:v>PROC-0931</x:v>
      </x:c>
      <x:c r="C932" s="93" t="n">
        <x:v>46191</x:v>
      </x:c>
      <x:c r="D932" s="94" t="str">
        <x:v>Google Ads</x:v>
      </x:c>
      <x:c r="E932" s="94" t="str">
        <x:v>云主机/CDN</x:v>
      </x:c>
      <x:c r="F932" s="94" t="str">
        <x:v>按访问量</x:v>
      </x:c>
      <x:c r="G932" s="97" t="n">
        <x:v>0.99</x:v>
      </x:c>
      <x:c r="H932" s="94" t="str">
        <x:v>变动</x:v>
      </x:c>
      <x:c r="I932" s="94" t="str">
        <x:v>技术团队</x:v>
      </x:c>
      <x:c r="J932" s="94" t="str">
        <x:v>模拟项目运营成本；统一折算USD</x:v>
      </x:c>
    </x:row>
    <x:row r="933">
      <x:c r="A933" s="92" t="str">
        <x:v>COST-0932</x:v>
      </x:c>
      <x:c r="B933" s="94" t="str">
        <x:v>PROC-0932</x:v>
      </x:c>
      <x:c r="C933" s="93" t="n">
        <x:v>46191</x:v>
      </x:c>
      <x:c r="D933" s="94" t="str">
        <x:v>Google Ads</x:v>
      </x:c>
      <x:c r="E933" s="94" t="str">
        <x:v>云主机/CDN</x:v>
      </x:c>
      <x:c r="F933" s="94" t="str">
        <x:v>按访问量</x:v>
      </x:c>
      <x:c r="G933" s="97" t="n">
        <x:v>0.89</x:v>
      </x:c>
      <x:c r="H933" s="94" t="str">
        <x:v>变动</x:v>
      </x:c>
      <x:c r="I933" s="94" t="str">
        <x:v>技术团队</x:v>
      </x:c>
      <x:c r="J933" s="94" t="str">
        <x:v>模拟项目运营成本；统一折算USD</x:v>
      </x:c>
    </x:row>
    <x:row r="934">
      <x:c r="A934" s="92" t="str">
        <x:v>COST-0933</x:v>
      </x:c>
      <x:c r="B934" s="94" t="str">
        <x:v>PROC-0933</x:v>
      </x:c>
      <x:c r="C934" s="93" t="n">
        <x:v>46191</x:v>
      </x:c>
      <x:c r="D934" s="94" t="str">
        <x:v>Google Ads</x:v>
      </x:c>
      <x:c r="E934" s="94" t="str">
        <x:v>数据与ETL</x:v>
      </x:c>
      <x:c r="F934" s="94" t="str">
        <x:v>按采购批次</x:v>
      </x:c>
      <x:c r="G934" s="97" t="n">
        <x:v>0.52</x:v>
      </x:c>
      <x:c r="H934" s="94" t="str">
        <x:v>变动</x:v>
      </x:c>
      <x:c r="I934" s="94" t="str">
        <x:v>数据团队</x:v>
      </x:c>
      <x:c r="J934" s="94" t="str">
        <x:v>模拟项目运营成本；统一折算USD</x:v>
      </x:c>
    </x:row>
    <x:row r="935">
      <x:c r="A935" s="92" t="str">
        <x:v>COST-0934</x:v>
      </x:c>
      <x:c r="B935" s="94" t="str">
        <x:v>PROC-0934</x:v>
      </x:c>
      <x:c r="C935" s="93" t="n">
        <x:v>46191</x:v>
      </x:c>
      <x:c r="D935" s="94" t="str">
        <x:v>Google Ads</x:v>
      </x:c>
      <x:c r="E935" s="94" t="str">
        <x:v>创意素材</x:v>
      </x:c>
      <x:c r="F935" s="94" t="str">
        <x:v>按活动</x:v>
      </x:c>
      <x:c r="G935" s="97" t="n">
        <x:v>2.67</x:v>
      </x:c>
      <x:c r="H935" s="94" t="str">
        <x:v>部分固定</x:v>
      </x:c>
      <x:c r="I935" s="94" t="str">
        <x:v>增长团队</x:v>
      </x:c>
      <x:c r="J935" s="94" t="str">
        <x:v>模拟项目运营成本；统一折算USD</x:v>
      </x:c>
    </x:row>
    <x:row r="936">
      <x:c r="A936" s="92" t="str">
        <x:v>COST-0935</x:v>
      </x:c>
      <x:c r="B936" s="94" t="str">
        <x:v>PROC-0935</x:v>
      </x:c>
      <x:c r="C936" s="93" t="n">
        <x:v>46192</x:v>
      </x:c>
      <x:c r="D936" s="94" t="str">
        <x:v>Google Ads</x:v>
      </x:c>
      <x:c r="E936" s="94" t="str">
        <x:v>数据与ETL</x:v>
      </x:c>
      <x:c r="F936" s="94" t="str">
        <x:v>按采购批次</x:v>
      </x:c>
      <x:c r="G936" s="97" t="n">
        <x:v>0.56</x:v>
      </x:c>
      <x:c r="H936" s="94" t="str">
        <x:v>变动</x:v>
      </x:c>
      <x:c r="I936" s="94" t="str">
        <x:v>数据团队</x:v>
      </x:c>
      <x:c r="J936" s="94" t="str">
        <x:v>模拟项目运营成本；统一折算USD</x:v>
      </x:c>
    </x:row>
    <x:row r="937">
      <x:c r="A937" s="92" t="str">
        <x:v>COST-0936</x:v>
      </x:c>
      <x:c r="B937" s="94" t="str">
        <x:v>PROC-0936</x:v>
      </x:c>
      <x:c r="C937" s="93" t="n">
        <x:v>46192</x:v>
      </x:c>
      <x:c r="D937" s="94" t="str">
        <x:v>Microsoft Ads</x:v>
      </x:c>
      <x:c r="E937" s="94" t="str">
        <x:v>人工运营分摊</x:v>
      </x:c>
      <x:c r="F937" s="94" t="str">
        <x:v>按工时</x:v>
      </x:c>
      <x:c r="G937" s="97" t="n">
        <x:v>4.76</x:v>
      </x:c>
      <x:c r="H937" s="94" t="str">
        <x:v>部分固定</x:v>
      </x:c>
      <x:c r="I937" s="94" t="str">
        <x:v>运营团队</x:v>
      </x:c>
      <x:c r="J937" s="94" t="str">
        <x:v>模拟项目运营成本；统一折算USD</x:v>
      </x:c>
    </x:row>
    <x:row r="938">
      <x:c r="A938" s="92" t="str">
        <x:v>COST-0937</x:v>
      </x:c>
      <x:c r="B938" s="94" t="str">
        <x:v>PROC-0937</x:v>
      </x:c>
      <x:c r="C938" s="93" t="n">
        <x:v>46192</x:v>
      </x:c>
      <x:c r="D938" s="94" t="str">
        <x:v>Microsoft Ads</x:v>
      </x:c>
      <x:c r="E938" s="94" t="str">
        <x:v>云主机/CDN</x:v>
      </x:c>
      <x:c r="F938" s="94" t="str">
        <x:v>按访问量</x:v>
      </x:c>
      <x:c r="G938" s="97" t="n">
        <x:v>0.94</x:v>
      </x:c>
      <x:c r="H938" s="94" t="str">
        <x:v>变动</x:v>
      </x:c>
      <x:c r="I938" s="94" t="str">
        <x:v>技术团队</x:v>
      </x:c>
      <x:c r="J938" s="94" t="str">
        <x:v>模拟项目运营成本；统一折算USD</x:v>
      </x:c>
    </x:row>
    <x:row r="939">
      <x:c r="A939" s="92" t="str">
        <x:v>COST-0938</x:v>
      </x:c>
      <x:c r="B939" s="94" t="str">
        <x:v>PROC-0938</x:v>
      </x:c>
      <x:c r="C939" s="93" t="n">
        <x:v>46192</x:v>
      </x:c>
      <x:c r="D939" s="94" t="str">
        <x:v>Google Ads</x:v>
      </x:c>
      <x:c r="E939" s="94" t="str">
        <x:v>数据与ETL</x:v>
      </x:c>
      <x:c r="F939" s="94" t="str">
        <x:v>按采购批次</x:v>
      </x:c>
      <x:c r="G939" s="97" t="n">
        <x:v>1.2</x:v>
      </x:c>
      <x:c r="H939" s="94" t="str">
        <x:v>变动</x:v>
      </x:c>
      <x:c r="I939" s="94" t="str">
        <x:v>数据团队</x:v>
      </x:c>
      <x:c r="J939" s="94" t="str">
        <x:v>模拟项目运营成本；统一折算USD</x:v>
      </x:c>
    </x:row>
    <x:row r="940">
      <x:c r="A940" s="92" t="str">
        <x:v>COST-0939</x:v>
      </x:c>
      <x:c r="B940" s="94" t="str">
        <x:v>PROC-0939</x:v>
      </x:c>
      <x:c r="C940" s="93" t="n">
        <x:v>46192</x:v>
      </x:c>
      <x:c r="D940" s="94" t="str">
        <x:v>Microsoft Ads</x:v>
      </x:c>
      <x:c r="E940" s="94" t="str">
        <x:v>云主机/CDN</x:v>
      </x:c>
      <x:c r="F940" s="94" t="str">
        <x:v>按访问量</x:v>
      </x:c>
      <x:c r="G940" s="97" t="n">
        <x:v>0.85</x:v>
      </x:c>
      <x:c r="H940" s="94" t="str">
        <x:v>变动</x:v>
      </x:c>
      <x:c r="I940" s="94" t="str">
        <x:v>技术团队</x:v>
      </x:c>
      <x:c r="J940" s="94" t="str">
        <x:v>模拟项目运营成本；统一折算USD</x:v>
      </x:c>
    </x:row>
    <x:row r="941">
      <x:c r="A941" s="92" t="str">
        <x:v>COST-0940</x:v>
      </x:c>
      <x:c r="B941" s="94" t="str">
        <x:v>PROC-0940</x:v>
      </x:c>
      <x:c r="C941" s="93" t="n">
        <x:v>46192</x:v>
      </x:c>
      <x:c r="D941" s="94" t="str">
        <x:v>Google Ads</x:v>
      </x:c>
      <x:c r="E941" s="94" t="str">
        <x:v>人工运营分摊</x:v>
      </x:c>
      <x:c r="F941" s="94" t="str">
        <x:v>按工时</x:v>
      </x:c>
      <x:c r="G941" s="97" t="n">
        <x:v>3.2</x:v>
      </x:c>
      <x:c r="H941" s="94" t="str">
        <x:v>部分固定</x:v>
      </x:c>
      <x:c r="I941" s="94" t="str">
        <x:v>运营团队</x:v>
      </x:c>
      <x:c r="J941" s="94" t="str">
        <x:v>模拟项目运营成本；统一折算USD</x:v>
      </x:c>
    </x:row>
    <x:row r="942">
      <x:c r="A942" s="92" t="str">
        <x:v>COST-0941</x:v>
      </x:c>
      <x:c r="B942" s="94" t="str">
        <x:v>PROC-0941</x:v>
      </x:c>
      <x:c r="C942" s="93" t="n">
        <x:v>46193</x:v>
      </x:c>
      <x:c r="D942" s="94" t="str">
        <x:v>Google Ads</x:v>
      </x:c>
      <x:c r="E942" s="94" t="str">
        <x:v>数据与ETL</x:v>
      </x:c>
      <x:c r="F942" s="94" t="str">
        <x:v>按采购批次</x:v>
      </x:c>
      <x:c r="G942" s="97" t="n">
        <x:v>1.12</x:v>
      </x:c>
      <x:c r="H942" s="94" t="str">
        <x:v>变动</x:v>
      </x:c>
      <x:c r="I942" s="94" t="str">
        <x:v>数据团队</x:v>
      </x:c>
      <x:c r="J942" s="94" t="str">
        <x:v>模拟项目运营成本；统一折算USD</x:v>
      </x:c>
    </x:row>
    <x:row r="943">
      <x:c r="A943" s="92" t="str">
        <x:v>COST-0942</x:v>
      </x:c>
      <x:c r="B943" s="94" t="str">
        <x:v>PROC-0942</x:v>
      </x:c>
      <x:c r="C943" s="93" t="n">
        <x:v>46193</x:v>
      </x:c>
      <x:c r="D943" s="94" t="str">
        <x:v>Google Ads</x:v>
      </x:c>
      <x:c r="E943" s="94" t="str">
        <x:v>数据与ETL</x:v>
      </x:c>
      <x:c r="F943" s="94" t="str">
        <x:v>按采购批次</x:v>
      </x:c>
      <x:c r="G943" s="97" t="n">
        <x:v>0.9</x:v>
      </x:c>
      <x:c r="H943" s="94" t="str">
        <x:v>变动</x:v>
      </x:c>
      <x:c r="I943" s="94" t="str">
        <x:v>数据团队</x:v>
      </x:c>
      <x:c r="J943" s="94" t="str">
        <x:v>模拟项目运营成本；统一折算USD</x:v>
      </x:c>
    </x:row>
    <x:row r="944">
      <x:c r="A944" s="92" t="str">
        <x:v>COST-0943</x:v>
      </x:c>
      <x:c r="B944" s="94" t="str">
        <x:v>PROC-0943</x:v>
      </x:c>
      <x:c r="C944" s="93" t="n">
        <x:v>46193</x:v>
      </x:c>
      <x:c r="D944" s="94" t="str">
        <x:v>Microsoft Ads</x:v>
      </x:c>
      <x:c r="E944" s="94" t="str">
        <x:v>人工运营分摊</x:v>
      </x:c>
      <x:c r="F944" s="94" t="str">
        <x:v>按工时</x:v>
      </x:c>
      <x:c r="G944" s="97" t="n">
        <x:v>2.85</x:v>
      </x:c>
      <x:c r="H944" s="94" t="str">
        <x:v>部分固定</x:v>
      </x:c>
      <x:c r="I944" s="94" t="str">
        <x:v>运营团队</x:v>
      </x:c>
      <x:c r="J944" s="94" t="str">
        <x:v>模拟项目运营成本；统一折算USD</x:v>
      </x:c>
    </x:row>
    <x:row r="945">
      <x:c r="A945" s="92" t="str">
        <x:v>COST-0944</x:v>
      </x:c>
      <x:c r="B945" s="94" t="str">
        <x:v>PROC-0944</x:v>
      </x:c>
      <x:c r="C945" s="93" t="n">
        <x:v>46193</x:v>
      </x:c>
      <x:c r="D945" s="94" t="str">
        <x:v>Google Ads</x:v>
      </x:c>
      <x:c r="E945" s="94" t="str">
        <x:v>数据与ETL</x:v>
      </x:c>
      <x:c r="F945" s="94" t="str">
        <x:v>按采购批次</x:v>
      </x:c>
      <x:c r="G945" s="97" t="n">
        <x:v>1.25</x:v>
      </x:c>
      <x:c r="H945" s="94" t="str">
        <x:v>变动</x:v>
      </x:c>
      <x:c r="I945" s="94" t="str">
        <x:v>数据团队</x:v>
      </x:c>
      <x:c r="J945" s="94" t="str">
        <x:v>模拟项目运营成本；统一折算USD</x:v>
      </x:c>
    </x:row>
    <x:row r="946">
      <x:c r="A946" s="92" t="str">
        <x:v>COST-0945</x:v>
      </x:c>
      <x:c r="B946" s="94" t="str">
        <x:v>PROC-0945</x:v>
      </x:c>
      <x:c r="C946" s="93" t="n">
        <x:v>46193</x:v>
      </x:c>
      <x:c r="D946" s="94" t="str">
        <x:v>Google Ads</x:v>
      </x:c>
      <x:c r="E946" s="94" t="str">
        <x:v>人工运营分摊</x:v>
      </x:c>
      <x:c r="F946" s="94" t="str">
        <x:v>按工时</x:v>
      </x:c>
      <x:c r="G946" s="97" t="n">
        <x:v>2.66</x:v>
      </x:c>
      <x:c r="H946" s="94" t="str">
        <x:v>部分固定</x:v>
      </x:c>
      <x:c r="I946" s="94" t="str">
        <x:v>运营团队</x:v>
      </x:c>
      <x:c r="J946" s="94" t="str">
        <x:v>模拟项目运营成本；统一折算USD</x:v>
      </x:c>
    </x:row>
    <x:row r="947">
      <x:c r="A947" s="92" t="str">
        <x:v>COST-0946</x:v>
      </x:c>
      <x:c r="B947" s="94" t="str">
        <x:v>PROC-0946</x:v>
      </x:c>
      <x:c r="C947" s="93" t="n">
        <x:v>46194</x:v>
      </x:c>
      <x:c r="D947" s="94" t="str">
        <x:v>Google Ads</x:v>
      </x:c>
      <x:c r="E947" s="94" t="str">
        <x:v>云主机/CDN</x:v>
      </x:c>
      <x:c r="F947" s="94" t="str">
        <x:v>按访问量</x:v>
      </x:c>
      <x:c r="G947" s="97" t="n">
        <x:v>1.03</x:v>
      </x:c>
      <x:c r="H947" s="94" t="str">
        <x:v>变动</x:v>
      </x:c>
      <x:c r="I947" s="94" t="str">
        <x:v>技术团队</x:v>
      </x:c>
      <x:c r="J947" s="94" t="str">
        <x:v>模拟项目运营成本；统一折算USD</x:v>
      </x:c>
    </x:row>
    <x:row r="948">
      <x:c r="A948" s="92" t="str">
        <x:v>COST-0947</x:v>
      </x:c>
      <x:c r="B948" s="94" t="str">
        <x:v>PROC-0947</x:v>
      </x:c>
      <x:c r="C948" s="93" t="n">
        <x:v>46194</x:v>
      </x:c>
      <x:c r="D948" s="94" t="str">
        <x:v>Google Ads</x:v>
      </x:c>
      <x:c r="E948" s="94" t="str">
        <x:v>数据与ETL</x:v>
      </x:c>
      <x:c r="F948" s="94" t="str">
        <x:v>按采购批次</x:v>
      </x:c>
      <x:c r="G948" s="97" t="n">
        <x:v>0.56</x:v>
      </x:c>
      <x:c r="H948" s="94" t="str">
        <x:v>变动</x:v>
      </x:c>
      <x:c r="I948" s="94" t="str">
        <x:v>数据团队</x:v>
      </x:c>
      <x:c r="J948" s="94" t="str">
        <x:v>模拟项目运营成本；统一折算USD</x:v>
      </x:c>
    </x:row>
    <x:row r="949">
      <x:c r="A949" s="92" t="str">
        <x:v>COST-0948</x:v>
      </x:c>
      <x:c r="B949" s="94" t="str">
        <x:v>PROC-0948</x:v>
      </x:c>
      <x:c r="C949" s="93" t="n">
        <x:v>46194</x:v>
      </x:c>
      <x:c r="D949" s="94" t="str">
        <x:v>Google Ads</x:v>
      </x:c>
      <x:c r="E949" s="94" t="str">
        <x:v>创意素材</x:v>
      </x:c>
      <x:c r="F949" s="94" t="str">
        <x:v>按活动</x:v>
      </x:c>
      <x:c r="G949" s="97" t="n">
        <x:v>2.6</x:v>
      </x:c>
      <x:c r="H949" s="94" t="str">
        <x:v>部分固定</x:v>
      </x:c>
      <x:c r="I949" s="94" t="str">
        <x:v>增长团队</x:v>
      </x:c>
      <x:c r="J949" s="94" t="str">
        <x:v>模拟项目运营成本；统一折算USD</x:v>
      </x:c>
    </x:row>
    <x:row r="950">
      <x:c r="A950" s="92" t="str">
        <x:v>COST-0949</x:v>
      </x:c>
      <x:c r="B950" s="94" t="str">
        <x:v>PROC-0949</x:v>
      </x:c>
      <x:c r="C950" s="93" t="n">
        <x:v>46194</x:v>
      </x:c>
      <x:c r="D950" s="94" t="str">
        <x:v>Google Ads</x:v>
      </x:c>
      <x:c r="E950" s="94" t="str">
        <x:v>人工运营分摊</x:v>
      </x:c>
      <x:c r="F950" s="94" t="str">
        <x:v>按工时</x:v>
      </x:c>
      <x:c r="G950" s="97" t="n">
        <x:v>3.47</x:v>
      </x:c>
      <x:c r="H950" s="94" t="str">
        <x:v>部分固定</x:v>
      </x:c>
      <x:c r="I950" s="94" t="str">
        <x:v>运营团队</x:v>
      </x:c>
      <x:c r="J950" s="94" t="str">
        <x:v>模拟项目运营成本；统一折算USD</x:v>
      </x:c>
    </x:row>
    <x:row r="951">
      <x:c r="A951" s="92" t="str">
        <x:v>COST-0950</x:v>
      </x:c>
      <x:c r="B951" s="94" t="str">
        <x:v>PROC-0950</x:v>
      </x:c>
      <x:c r="C951" s="93" t="n">
        <x:v>46194</x:v>
      </x:c>
      <x:c r="D951" s="94" t="str">
        <x:v>Google Ads</x:v>
      </x:c>
      <x:c r="E951" s="94" t="str">
        <x:v>云主机/CDN</x:v>
      </x:c>
      <x:c r="F951" s="94" t="str">
        <x:v>按访问量</x:v>
      </x:c>
      <x:c r="G951" s="97" t="n">
        <x:v>0.66</x:v>
      </x:c>
      <x:c r="H951" s="94" t="str">
        <x:v>变动</x:v>
      </x:c>
      <x:c r="I951" s="94" t="str">
        <x:v>技术团队</x:v>
      </x:c>
      <x:c r="J951" s="94" t="str">
        <x:v>模拟项目运营成本；统一折算USD</x:v>
      </x:c>
    </x:row>
    <x:row r="952">
      <x:c r="A952" s="92" t="str">
        <x:v>COST-0951</x:v>
      </x:c>
      <x:c r="B952" s="94" t="str">
        <x:v>PROC-0951</x:v>
      </x:c>
      <x:c r="C952" s="93" t="n">
        <x:v>46194</x:v>
      </x:c>
      <x:c r="D952" s="94" t="str">
        <x:v>Microsoft Ads</x:v>
      </x:c>
      <x:c r="E952" s="94" t="str">
        <x:v>创意素材</x:v>
      </x:c>
      <x:c r="F952" s="94" t="str">
        <x:v>按活动</x:v>
      </x:c>
      <x:c r="G952" s="97" t="n">
        <x:v>3.34</x:v>
      </x:c>
      <x:c r="H952" s="94" t="str">
        <x:v>部分固定</x:v>
      </x:c>
      <x:c r="I952" s="94" t="str">
        <x:v>增长团队</x:v>
      </x:c>
      <x:c r="J952" s="94" t="str">
        <x:v>模拟项目运营成本；统一折算USD</x:v>
      </x:c>
    </x:row>
    <x:row r="953">
      <x:c r="A953" s="92" t="str">
        <x:v>COST-0952</x:v>
      </x:c>
      <x:c r="B953" s="94" t="str">
        <x:v>PROC-0952</x:v>
      </x:c>
      <x:c r="C953" s="93" t="n">
        <x:v>46195</x:v>
      </x:c>
      <x:c r="D953" s="94" t="str">
        <x:v>Microsoft Ads</x:v>
      </x:c>
      <x:c r="E953" s="94" t="str">
        <x:v>数据与ETL</x:v>
      </x:c>
      <x:c r="F953" s="94" t="str">
        <x:v>按采购批次</x:v>
      </x:c>
      <x:c r="G953" s="97" t="n">
        <x:v>0.56</x:v>
      </x:c>
      <x:c r="H953" s="94" t="str">
        <x:v>变动</x:v>
      </x:c>
      <x:c r="I953" s="94" t="str">
        <x:v>数据团队</x:v>
      </x:c>
      <x:c r="J953" s="94" t="str">
        <x:v>模拟项目运营成本；统一折算USD</x:v>
      </x:c>
    </x:row>
    <x:row r="954">
      <x:c r="A954" s="92" t="str">
        <x:v>COST-0953</x:v>
      </x:c>
      <x:c r="B954" s="94" t="str">
        <x:v>PROC-0953</x:v>
      </x:c>
      <x:c r="C954" s="93" t="n">
        <x:v>46195</x:v>
      </x:c>
      <x:c r="D954" s="94" t="str">
        <x:v>Google Ads</x:v>
      </x:c>
      <x:c r="E954" s="94" t="str">
        <x:v>云主机/CDN</x:v>
      </x:c>
      <x:c r="F954" s="94" t="str">
        <x:v>按访问量</x:v>
      </x:c>
      <x:c r="G954" s="97" t="n">
        <x:v>0.98</x:v>
      </x:c>
      <x:c r="H954" s="94" t="str">
        <x:v>变动</x:v>
      </x:c>
      <x:c r="I954" s="94" t="str">
        <x:v>技术团队</x:v>
      </x:c>
      <x:c r="J954" s="94" t="str">
        <x:v>模拟项目运营成本；统一折算USD</x:v>
      </x:c>
    </x:row>
    <x:row r="955">
      <x:c r="A955" s="92" t="str">
        <x:v>COST-0954</x:v>
      </x:c>
      <x:c r="B955" s="94" t="str">
        <x:v>PROC-0954</x:v>
      </x:c>
      <x:c r="C955" s="93" t="n">
        <x:v>46195</x:v>
      </x:c>
      <x:c r="D955" s="94" t="str">
        <x:v>Google Ads</x:v>
      </x:c>
      <x:c r="E955" s="94" t="str">
        <x:v>创意素材</x:v>
      </x:c>
      <x:c r="F955" s="94" t="str">
        <x:v>按活动</x:v>
      </x:c>
      <x:c r="G955" s="97" t="n">
        <x:v>3.09</x:v>
      </x:c>
      <x:c r="H955" s="94" t="str">
        <x:v>部分固定</x:v>
      </x:c>
      <x:c r="I955" s="94" t="str">
        <x:v>增长团队</x:v>
      </x:c>
      <x:c r="J955" s="94" t="str">
        <x:v>模拟项目运营成本；统一折算USD</x:v>
      </x:c>
    </x:row>
    <x:row r="956">
      <x:c r="A956" s="92" t="str">
        <x:v>COST-0955</x:v>
      </x:c>
      <x:c r="B956" s="94" t="str">
        <x:v>PROC-0955</x:v>
      </x:c>
      <x:c r="C956" s="93" t="n">
        <x:v>46195</x:v>
      </x:c>
      <x:c r="D956" s="94" t="str">
        <x:v>Google Ads</x:v>
      </x:c>
      <x:c r="E956" s="94" t="str">
        <x:v>数据与ETL</x:v>
      </x:c>
      <x:c r="F956" s="94" t="str">
        <x:v>按采购批次</x:v>
      </x:c>
      <x:c r="G956" s="97" t="n">
        <x:v>0.84</x:v>
      </x:c>
      <x:c r="H956" s="94" t="str">
        <x:v>变动</x:v>
      </x:c>
      <x:c r="I956" s="94" t="str">
        <x:v>数据团队</x:v>
      </x:c>
      <x:c r="J956" s="94" t="str">
        <x:v>模拟项目运营成本；统一折算USD</x:v>
      </x:c>
    </x:row>
    <x:row r="957">
      <x:c r="A957" s="92" t="str">
        <x:v>COST-0956</x:v>
      </x:c>
      <x:c r="B957" s="94" t="str">
        <x:v>PROC-0956</x:v>
      </x:c>
      <x:c r="C957" s="93" t="n">
        <x:v>46195</x:v>
      </x:c>
      <x:c r="D957" s="94" t="str">
        <x:v>Google Ads</x:v>
      </x:c>
      <x:c r="E957" s="94" t="str">
        <x:v>创意素材</x:v>
      </x:c>
      <x:c r="F957" s="94" t="str">
        <x:v>按活动</x:v>
      </x:c>
      <x:c r="G957" s="97" t="n">
        <x:v>2.64</x:v>
      </x:c>
      <x:c r="H957" s="94" t="str">
        <x:v>部分固定</x:v>
      </x:c>
      <x:c r="I957" s="94" t="str">
        <x:v>增长团队</x:v>
      </x:c>
      <x:c r="J957" s="94" t="str">
        <x:v>模拟项目运营成本；统一折算USD</x:v>
      </x:c>
    </x:row>
    <x:row r="958">
      <x:c r="A958" s="92" t="str">
        <x:v>COST-0957</x:v>
      </x:c>
      <x:c r="B958" s="94" t="str">
        <x:v>PROC-0957</x:v>
      </x:c>
      <x:c r="C958" s="93" t="n">
        <x:v>46196</x:v>
      </x:c>
      <x:c r="D958" s="94" t="str">
        <x:v>Microsoft Ads</x:v>
      </x:c>
      <x:c r="E958" s="94" t="str">
        <x:v>归因与监测工具</x:v>
      </x:c>
      <x:c r="F958" s="94" t="str">
        <x:v>按点击量</x:v>
      </x:c>
      <x:c r="G958" s="97" t="n">
        <x:v>1.21</x:v>
      </x:c>
      <x:c r="H958" s="94" t="str">
        <x:v>变动</x:v>
      </x:c>
      <x:c r="I958" s="94" t="str">
        <x:v>分析团队</x:v>
      </x:c>
      <x:c r="J958" s="94" t="str">
        <x:v>模拟项目运营成本；统一折算USD</x:v>
      </x:c>
    </x:row>
    <x:row r="959">
      <x:c r="A959" s="92" t="str">
        <x:v>COST-0958</x:v>
      </x:c>
      <x:c r="B959" s="94" t="str">
        <x:v>PROC-0958</x:v>
      </x:c>
      <x:c r="C959" s="93" t="n">
        <x:v>46196</x:v>
      </x:c>
      <x:c r="D959" s="94" t="str">
        <x:v>Google Ads</x:v>
      </x:c>
      <x:c r="E959" s="94" t="str">
        <x:v>云主机/CDN</x:v>
      </x:c>
      <x:c r="F959" s="94" t="str">
        <x:v>按访问量</x:v>
      </x:c>
      <x:c r="G959" s="97" t="n">
        <x:v>0.82</x:v>
      </x:c>
      <x:c r="H959" s="94" t="str">
        <x:v>变动</x:v>
      </x:c>
      <x:c r="I959" s="94" t="str">
        <x:v>技术团队</x:v>
      </x:c>
      <x:c r="J959" s="94" t="str">
        <x:v>模拟项目运营成本；统一折算USD</x:v>
      </x:c>
    </x:row>
    <x:row r="960">
      <x:c r="A960" s="92" t="str">
        <x:v>COST-0959</x:v>
      </x:c>
      <x:c r="B960" s="94" t="str">
        <x:v>PROC-0959</x:v>
      </x:c>
      <x:c r="C960" s="93" t="n">
        <x:v>46196</x:v>
      </x:c>
      <x:c r="D960" s="94" t="str">
        <x:v>Microsoft Ads</x:v>
      </x:c>
      <x:c r="E960" s="94" t="str">
        <x:v>归因与监测工具</x:v>
      </x:c>
      <x:c r="F960" s="94" t="str">
        <x:v>按点击量</x:v>
      </x:c>
      <x:c r="G960" s="97" t="n">
        <x:v>0.75</x:v>
      </x:c>
      <x:c r="H960" s="94" t="str">
        <x:v>变动</x:v>
      </x:c>
      <x:c r="I960" s="94" t="str">
        <x:v>分析团队</x:v>
      </x:c>
      <x:c r="J960" s="94" t="str">
        <x:v>模拟项目运营成本；统一折算USD</x:v>
      </x:c>
    </x:row>
    <x:row r="961">
      <x:c r="A961" s="92" t="str">
        <x:v>COST-0960</x:v>
      </x:c>
      <x:c r="B961" s="94" t="str">
        <x:v>PROC-0960</x:v>
      </x:c>
      <x:c r="C961" s="93" t="n">
        <x:v>46196</x:v>
      </x:c>
      <x:c r="D961" s="94" t="str">
        <x:v>Google Ads</x:v>
      </x:c>
      <x:c r="E961" s="94" t="str">
        <x:v>数据与ETL</x:v>
      </x:c>
      <x:c r="F961" s="94" t="str">
        <x:v>按采购批次</x:v>
      </x:c>
      <x:c r="G961" s="97" t="n">
        <x:v>1.43</x:v>
      </x:c>
      <x:c r="H961" s="94" t="str">
        <x:v>变动</x:v>
      </x:c>
      <x:c r="I961" s="94" t="str">
        <x:v>数据团队</x:v>
      </x:c>
      <x:c r="J961" s="94" t="str">
        <x:v>模拟项目运营成本；统一折算USD</x:v>
      </x:c>
    </x:row>
    <x:row r="962">
      <x:c r="A962" s="92" t="str">
        <x:v>COST-0961</x:v>
      </x:c>
      <x:c r="B962" s="94" t="str">
        <x:v>PROC-0961</x:v>
      </x:c>
      <x:c r="C962" s="93" t="n">
        <x:v>46196</x:v>
      </x:c>
      <x:c r="D962" s="94" t="str">
        <x:v>Microsoft Ads</x:v>
      </x:c>
      <x:c r="E962" s="94" t="str">
        <x:v>数据与ETL</x:v>
      </x:c>
      <x:c r="F962" s="94" t="str">
        <x:v>按采购批次</x:v>
      </x:c>
      <x:c r="G962" s="97" t="n">
        <x:v>0.85</x:v>
      </x:c>
      <x:c r="H962" s="94" t="str">
        <x:v>变动</x:v>
      </x:c>
      <x:c r="I962" s="94" t="str">
        <x:v>数据团队</x:v>
      </x:c>
      <x:c r="J962" s="94" t="str">
        <x:v>模拟项目运营成本；统一折算USD</x:v>
      </x:c>
    </x:row>
    <x:row r="963">
      <x:c r="A963" s="92" t="str">
        <x:v>COST-0962</x:v>
      </x:c>
      <x:c r="B963" s="94" t="str">
        <x:v>PROC-0962</x:v>
      </x:c>
      <x:c r="C963" s="93" t="n">
        <x:v>46196</x:v>
      </x:c>
      <x:c r="D963" s="94" t="str">
        <x:v>Google Ads</x:v>
      </x:c>
      <x:c r="E963" s="94" t="str">
        <x:v>创意素材</x:v>
      </x:c>
      <x:c r="F963" s="94" t="str">
        <x:v>按活动</x:v>
      </x:c>
      <x:c r="G963" s="97" t="n">
        <x:v>2.71</x:v>
      </x:c>
      <x:c r="H963" s="94" t="str">
        <x:v>部分固定</x:v>
      </x:c>
      <x:c r="I963" s="94" t="str">
        <x:v>增长团队</x:v>
      </x:c>
      <x:c r="J963" s="94" t="str">
        <x:v>模拟项目运营成本；统一折算USD</x:v>
      </x:c>
    </x:row>
    <x:row r="964">
      <x:c r="A964" s="92" t="str">
        <x:v>COST-0963</x:v>
      </x:c>
      <x:c r="B964" s="94" t="str">
        <x:v>PROC-0963</x:v>
      </x:c>
      <x:c r="C964" s="93" t="n">
        <x:v>46197</x:v>
      </x:c>
      <x:c r="D964" s="94" t="str">
        <x:v>Google Ads</x:v>
      </x:c>
      <x:c r="E964" s="94" t="str">
        <x:v>云主机/CDN</x:v>
      </x:c>
      <x:c r="F964" s="94" t="str">
        <x:v>按访问量</x:v>
      </x:c>
      <x:c r="G964" s="97" t="n">
        <x:v>0.92</x:v>
      </x:c>
      <x:c r="H964" s="94" t="str">
        <x:v>变动</x:v>
      </x:c>
      <x:c r="I964" s="94" t="str">
        <x:v>技术团队</x:v>
      </x:c>
      <x:c r="J964" s="94" t="str">
        <x:v>模拟项目运营成本；统一折算USD</x:v>
      </x:c>
    </x:row>
    <x:row r="965">
      <x:c r="A965" s="92" t="str">
        <x:v>COST-0964</x:v>
      </x:c>
      <x:c r="B965" s="94" t="str">
        <x:v>PROC-0964</x:v>
      </x:c>
      <x:c r="C965" s="93" t="n">
        <x:v>46197</x:v>
      </x:c>
      <x:c r="D965" s="94" t="str">
        <x:v>Microsoft Ads</x:v>
      </x:c>
      <x:c r="E965" s="94" t="str">
        <x:v>云主机/CDN</x:v>
      </x:c>
      <x:c r="F965" s="94" t="str">
        <x:v>按访问量</x:v>
      </x:c>
      <x:c r="G965" s="97" t="n">
        <x:v>0.85</x:v>
      </x:c>
      <x:c r="H965" s="94" t="str">
        <x:v>变动</x:v>
      </x:c>
      <x:c r="I965" s="94" t="str">
        <x:v>技术团队</x:v>
      </x:c>
      <x:c r="J965" s="94" t="str">
        <x:v>模拟项目运营成本；统一折算USD</x:v>
      </x:c>
    </x:row>
    <x:row r="966">
      <x:c r="A966" s="92" t="str">
        <x:v>COST-0965</x:v>
      </x:c>
      <x:c r="B966" s="94" t="str">
        <x:v>PROC-0965</x:v>
      </x:c>
      <x:c r="C966" s="93" t="n">
        <x:v>46197</x:v>
      </x:c>
      <x:c r="D966" s="94" t="str">
        <x:v>Google Ads</x:v>
      </x:c>
      <x:c r="E966" s="94" t="str">
        <x:v>数据与ETL</x:v>
      </x:c>
      <x:c r="F966" s="94" t="str">
        <x:v>按采购批次</x:v>
      </x:c>
      <x:c r="G966" s="97" t="n">
        <x:v>1.07</x:v>
      </x:c>
      <x:c r="H966" s="94" t="str">
        <x:v>变动</x:v>
      </x:c>
      <x:c r="I966" s="94" t="str">
        <x:v>数据团队</x:v>
      </x:c>
      <x:c r="J966" s="94" t="str">
        <x:v>模拟项目运营成本；统一折算USD</x:v>
      </x:c>
    </x:row>
    <x:row r="967">
      <x:c r="A967" s="92" t="str">
        <x:v>COST-0966</x:v>
      </x:c>
      <x:c r="B967" s="94" t="str">
        <x:v>PROC-0966</x:v>
      </x:c>
      <x:c r="C967" s="93" t="n">
        <x:v>46197</x:v>
      </x:c>
      <x:c r="D967" s="94" t="str">
        <x:v>Google Ads</x:v>
      </x:c>
      <x:c r="E967" s="94" t="str">
        <x:v>归因与监测工具</x:v>
      </x:c>
      <x:c r="F967" s="94" t="str">
        <x:v>按点击量</x:v>
      </x:c>
      <x:c r="G967" s="97" t="n">
        <x:v>1.13</x:v>
      </x:c>
      <x:c r="H967" s="94" t="str">
        <x:v>变动</x:v>
      </x:c>
      <x:c r="I967" s="94" t="str">
        <x:v>分析团队</x:v>
      </x:c>
      <x:c r="J967" s="94" t="str">
        <x:v>模拟项目运营成本；统一折算USD</x:v>
      </x:c>
    </x:row>
    <x:row r="968">
      <x:c r="A968" s="92" t="str">
        <x:v>COST-0967</x:v>
      </x:c>
      <x:c r="B968" s="94" t="str">
        <x:v>PROC-0967</x:v>
      </x:c>
      <x:c r="C968" s="93" t="n">
        <x:v>46197</x:v>
      </x:c>
      <x:c r="D968" s="94" t="str">
        <x:v>Google Ads</x:v>
      </x:c>
      <x:c r="E968" s="94" t="str">
        <x:v>人工运营分摊</x:v>
      </x:c>
      <x:c r="F968" s="94" t="str">
        <x:v>按工时</x:v>
      </x:c>
      <x:c r="G968" s="97" t="n">
        <x:v>1.65</x:v>
      </x:c>
      <x:c r="H968" s="94" t="str">
        <x:v>部分固定</x:v>
      </x:c>
      <x:c r="I968" s="94" t="str">
        <x:v>运营团队</x:v>
      </x:c>
      <x:c r="J968" s="94" t="str">
        <x:v>模拟项目运营成本；统一折算USD</x:v>
      </x:c>
    </x:row>
    <x:row r="969">
      <x:c r="A969" s="92" t="str">
        <x:v>COST-0968</x:v>
      </x:c>
      <x:c r="B969" s="94" t="str">
        <x:v>PROC-0968</x:v>
      </x:c>
      <x:c r="C969" s="93" t="n">
        <x:v>46198</x:v>
      </x:c>
      <x:c r="D969" s="94" t="str">
        <x:v>Google Ads</x:v>
      </x:c>
      <x:c r="E969" s="94" t="str">
        <x:v>人工运营分摊</x:v>
      </x:c>
      <x:c r="F969" s="94" t="str">
        <x:v>按工时</x:v>
      </x:c>
      <x:c r="G969" s="97" t="n">
        <x:v>3.04</x:v>
      </x:c>
      <x:c r="H969" s="94" t="str">
        <x:v>部分固定</x:v>
      </x:c>
      <x:c r="I969" s="94" t="str">
        <x:v>运营团队</x:v>
      </x:c>
      <x:c r="J969" s="94" t="str">
        <x:v>模拟项目运营成本；统一折算USD</x:v>
      </x:c>
    </x:row>
    <x:row r="970">
      <x:c r="A970" s="92" t="str">
        <x:v>COST-0969</x:v>
      </x:c>
      <x:c r="B970" s="94" t="str">
        <x:v>PROC-0969</x:v>
      </x:c>
      <x:c r="C970" s="93" t="n">
        <x:v>46198</x:v>
      </x:c>
      <x:c r="D970" s="94" t="str">
        <x:v>Google Ads</x:v>
      </x:c>
      <x:c r="E970" s="94" t="str">
        <x:v>创意素材</x:v>
      </x:c>
      <x:c r="F970" s="94" t="str">
        <x:v>按活动</x:v>
      </x:c>
      <x:c r="G970" s="97" t="n">
        <x:v>2.09</x:v>
      </x:c>
      <x:c r="H970" s="94" t="str">
        <x:v>部分固定</x:v>
      </x:c>
      <x:c r="I970" s="94" t="str">
        <x:v>增长团队</x:v>
      </x:c>
      <x:c r="J970" s="94" t="str">
        <x:v>模拟项目运营成本；统一折算USD</x:v>
      </x:c>
    </x:row>
    <x:row r="971">
      <x:c r="A971" s="92" t="str">
        <x:v>COST-0970</x:v>
      </x:c>
      <x:c r="B971" s="94" t="str">
        <x:v>PROC-0970</x:v>
      </x:c>
      <x:c r="C971" s="93" t="n">
        <x:v>46198</x:v>
      </x:c>
      <x:c r="D971" s="94" t="str">
        <x:v>Microsoft Ads</x:v>
      </x:c>
      <x:c r="E971" s="94" t="str">
        <x:v>创意素材</x:v>
      </x:c>
      <x:c r="F971" s="94" t="str">
        <x:v>按活动</x:v>
      </x:c>
      <x:c r="G971" s="97" t="n">
        <x:v>3.94</x:v>
      </x:c>
      <x:c r="H971" s="94" t="str">
        <x:v>部分固定</x:v>
      </x:c>
      <x:c r="I971" s="94" t="str">
        <x:v>增长团队</x:v>
      </x:c>
      <x:c r="J971" s="94" t="str">
        <x:v>模拟项目运营成本；统一折算USD</x:v>
      </x:c>
    </x:row>
    <x:row r="972">
      <x:c r="A972" s="92" t="str">
        <x:v>COST-0971</x:v>
      </x:c>
      <x:c r="B972" s="94" t="str">
        <x:v>PROC-0971</x:v>
      </x:c>
      <x:c r="C972" s="93" t="n">
        <x:v>46198</x:v>
      </x:c>
      <x:c r="D972" s="94" t="str">
        <x:v>Google Ads</x:v>
      </x:c>
      <x:c r="E972" s="94" t="str">
        <x:v>数据与ETL</x:v>
      </x:c>
      <x:c r="F972" s="94" t="str">
        <x:v>按采购批次</x:v>
      </x:c>
      <x:c r="G972" s="97" t="n">
        <x:v>1.64</x:v>
      </x:c>
      <x:c r="H972" s="94" t="str">
        <x:v>变动</x:v>
      </x:c>
      <x:c r="I972" s="94" t="str">
        <x:v>数据团队</x:v>
      </x:c>
      <x:c r="J972" s="94" t="str">
        <x:v>模拟项目运营成本；统一折算USD</x:v>
      </x:c>
    </x:row>
    <x:row r="973">
      <x:c r="A973" s="92" t="str">
        <x:v>COST-0972</x:v>
      </x:c>
      <x:c r="B973" s="94" t="str">
        <x:v>PROC-0972</x:v>
      </x:c>
      <x:c r="C973" s="93" t="n">
        <x:v>46198</x:v>
      </x:c>
      <x:c r="D973" s="94" t="str">
        <x:v>Google Ads</x:v>
      </x:c>
      <x:c r="E973" s="94" t="str">
        <x:v>云主机/CDN</x:v>
      </x:c>
      <x:c r="F973" s="94" t="str">
        <x:v>按访问量</x:v>
      </x:c>
      <x:c r="G973" s="97" t="n">
        <x:v>0.83</x:v>
      </x:c>
      <x:c r="H973" s="94" t="str">
        <x:v>变动</x:v>
      </x:c>
      <x:c r="I973" s="94" t="str">
        <x:v>技术团队</x:v>
      </x:c>
      <x:c r="J973" s="94" t="str">
        <x:v>模拟项目运营成本；统一折算USD</x:v>
      </x:c>
    </x:row>
    <x:row r="974">
      <x:c r="A974" s="92" t="str">
        <x:v>COST-0973</x:v>
      </x:c>
      <x:c r="B974" s="94" t="str">
        <x:v>PROC-0973</x:v>
      </x:c>
      <x:c r="C974" s="93" t="n">
        <x:v>46198</x:v>
      </x:c>
      <x:c r="D974" s="94" t="str">
        <x:v>Microsoft Ads</x:v>
      </x:c>
      <x:c r="E974" s="94" t="str">
        <x:v>云主机/CDN</x:v>
      </x:c>
      <x:c r="F974" s="94" t="str">
        <x:v>按访问量</x:v>
      </x:c>
      <x:c r="G974" s="97" t="n">
        <x:v>0.82</x:v>
      </x:c>
      <x:c r="H974" s="94" t="str">
        <x:v>变动</x:v>
      </x:c>
      <x:c r="I974" s="94" t="str">
        <x:v>技术团队</x:v>
      </x:c>
      <x:c r="J974" s="94" t="str">
        <x:v>模拟项目运营成本；统一折算USD</x:v>
      </x:c>
    </x:row>
    <x:row r="975">
      <x:c r="A975" s="92" t="str">
        <x:v>COST-0974</x:v>
      </x:c>
      <x:c r="B975" s="94" t="str">
        <x:v>PROC-0974</x:v>
      </x:c>
      <x:c r="C975" s="93" t="n">
        <x:v>46199</x:v>
      </x:c>
      <x:c r="D975" s="94" t="str">
        <x:v>Google Ads</x:v>
      </x:c>
      <x:c r="E975" s="94" t="str">
        <x:v>云主机/CDN</x:v>
      </x:c>
      <x:c r="F975" s="94" t="str">
        <x:v>按访问量</x:v>
      </x:c>
      <x:c r="G975" s="97" t="n">
        <x:v>0.79</x:v>
      </x:c>
      <x:c r="H975" s="94" t="str">
        <x:v>变动</x:v>
      </x:c>
      <x:c r="I975" s="94" t="str">
        <x:v>技术团队</x:v>
      </x:c>
      <x:c r="J975" s="94" t="str">
        <x:v>模拟项目运营成本；统一折算USD</x:v>
      </x:c>
    </x:row>
    <x:row r="976">
      <x:c r="A976" s="92" t="str">
        <x:v>COST-0975</x:v>
      </x:c>
      <x:c r="B976" s="94" t="str">
        <x:v>PROC-0975</x:v>
      </x:c>
      <x:c r="C976" s="93" t="n">
        <x:v>46199</x:v>
      </x:c>
      <x:c r="D976" s="94" t="str">
        <x:v>Google Ads</x:v>
      </x:c>
      <x:c r="E976" s="94" t="str">
        <x:v>云主机/CDN</x:v>
      </x:c>
      <x:c r="F976" s="94" t="str">
        <x:v>按访问量</x:v>
      </x:c>
      <x:c r="G976" s="97" t="n">
        <x:v>0.79</x:v>
      </x:c>
      <x:c r="H976" s="94" t="str">
        <x:v>变动</x:v>
      </x:c>
      <x:c r="I976" s="94" t="str">
        <x:v>技术团队</x:v>
      </x:c>
      <x:c r="J976" s="94" t="str">
        <x:v>模拟项目运营成本；统一折算USD</x:v>
      </x:c>
    </x:row>
    <x:row r="977">
      <x:c r="A977" s="92" t="str">
        <x:v>COST-0976</x:v>
      </x:c>
      <x:c r="B977" s="94" t="str">
        <x:v>PROC-0976</x:v>
      </x:c>
      <x:c r="C977" s="93" t="n">
        <x:v>46199</x:v>
      </x:c>
      <x:c r="D977" s="94" t="str">
        <x:v>Google Ads</x:v>
      </x:c>
      <x:c r="E977" s="94" t="str">
        <x:v>人工运营分摊</x:v>
      </x:c>
      <x:c r="F977" s="94" t="str">
        <x:v>按工时</x:v>
      </x:c>
      <x:c r="G977" s="97" t="n">
        <x:v>2.84</x:v>
      </x:c>
      <x:c r="H977" s="94" t="str">
        <x:v>部分固定</x:v>
      </x:c>
      <x:c r="I977" s="94" t="str">
        <x:v>运营团队</x:v>
      </x:c>
      <x:c r="J977" s="94" t="str">
        <x:v>模拟项目运营成本；统一折算USD</x:v>
      </x:c>
    </x:row>
    <x:row r="978">
      <x:c r="A978" s="92" t="str">
        <x:v>COST-0977</x:v>
      </x:c>
      <x:c r="B978" s="94" t="str">
        <x:v>PROC-0977</x:v>
      </x:c>
      <x:c r="C978" s="93" t="n">
        <x:v>46199</x:v>
      </x:c>
      <x:c r="D978" s="94" t="str">
        <x:v>Google Ads</x:v>
      </x:c>
      <x:c r="E978" s="94" t="str">
        <x:v>人工运营分摊</x:v>
      </x:c>
      <x:c r="F978" s="94" t="str">
        <x:v>按工时</x:v>
      </x:c>
      <x:c r="G978" s="97" t="n">
        <x:v>2.38</x:v>
      </x:c>
      <x:c r="H978" s="94" t="str">
        <x:v>部分固定</x:v>
      </x:c>
      <x:c r="I978" s="94" t="str">
        <x:v>运营团队</x:v>
      </x:c>
      <x:c r="J978" s="94" t="str">
        <x:v>模拟项目运营成本；统一折算USD</x:v>
      </x:c>
    </x:row>
    <x:row r="979">
      <x:c r="A979" s="92" t="str">
        <x:v>COST-0978</x:v>
      </x:c>
      <x:c r="B979" s="94" t="str">
        <x:v>PROC-0978</x:v>
      </x:c>
      <x:c r="C979" s="93" t="n">
        <x:v>46199</x:v>
      </x:c>
      <x:c r="D979" s="94" t="str">
        <x:v>Google Ads</x:v>
      </x:c>
      <x:c r="E979" s="94" t="str">
        <x:v>创意素材</x:v>
      </x:c>
      <x:c r="F979" s="94" t="str">
        <x:v>按活动</x:v>
      </x:c>
      <x:c r="G979" s="97" t="n">
        <x:v>3.71</x:v>
      </x:c>
      <x:c r="H979" s="94" t="str">
        <x:v>部分固定</x:v>
      </x:c>
      <x:c r="I979" s="94" t="str">
        <x:v>增长团队</x:v>
      </x:c>
      <x:c r="J979" s="94" t="str">
        <x:v>模拟项目运营成本；统一折算USD</x:v>
      </x:c>
    </x:row>
    <x:row r="980">
      <x:c r="A980" s="92" t="str">
        <x:v>COST-0979</x:v>
      </x:c>
      <x:c r="B980" s="94" t="str">
        <x:v>PROC-0979</x:v>
      </x:c>
      <x:c r="C980" s="93" t="n">
        <x:v>46200</x:v>
      </x:c>
      <x:c r="D980" s="94" t="str">
        <x:v>Google Ads</x:v>
      </x:c>
      <x:c r="E980" s="94" t="str">
        <x:v>数据与ETL</x:v>
      </x:c>
      <x:c r="F980" s="94" t="str">
        <x:v>按采购批次</x:v>
      </x:c>
      <x:c r="G980" s="97" t="n">
        <x:v>1.16</x:v>
      </x:c>
      <x:c r="H980" s="94" t="str">
        <x:v>变动</x:v>
      </x:c>
      <x:c r="I980" s="94" t="str">
        <x:v>数据团队</x:v>
      </x:c>
      <x:c r="J980" s="94" t="str">
        <x:v>模拟项目运营成本；统一折算USD</x:v>
      </x:c>
    </x:row>
    <x:row r="981">
      <x:c r="A981" s="92" t="str">
        <x:v>COST-0980</x:v>
      </x:c>
      <x:c r="B981" s="94" t="str">
        <x:v>PROC-0980</x:v>
      </x:c>
      <x:c r="C981" s="93" t="n">
        <x:v>46200</x:v>
      </x:c>
      <x:c r="D981" s="94" t="str">
        <x:v>Microsoft Ads</x:v>
      </x:c>
      <x:c r="E981" s="94" t="str">
        <x:v>人工运营分摊</x:v>
      </x:c>
      <x:c r="F981" s="94" t="str">
        <x:v>按工时</x:v>
      </x:c>
      <x:c r="G981" s="97" t="n">
        <x:v>1.74</x:v>
      </x:c>
      <x:c r="H981" s="94" t="str">
        <x:v>部分固定</x:v>
      </x:c>
      <x:c r="I981" s="94" t="str">
        <x:v>运营团队</x:v>
      </x:c>
      <x:c r="J981" s="94" t="str">
        <x:v>模拟项目运营成本；统一折算USD</x:v>
      </x:c>
    </x:row>
    <x:row r="982">
      <x:c r="A982" s="92" t="str">
        <x:v>COST-0981</x:v>
      </x:c>
      <x:c r="B982" s="94" t="str">
        <x:v>PROC-0981</x:v>
      </x:c>
      <x:c r="C982" s="93" t="n">
        <x:v>46200</x:v>
      </x:c>
      <x:c r="D982" s="94" t="str">
        <x:v>Google Ads</x:v>
      </x:c>
      <x:c r="E982" s="94" t="str">
        <x:v>云主机/CDN</x:v>
      </x:c>
      <x:c r="F982" s="94" t="str">
        <x:v>按访问量</x:v>
      </x:c>
      <x:c r="G982" s="97" t="n">
        <x:v>0.37</x:v>
      </x:c>
      <x:c r="H982" s="94" t="str">
        <x:v>变动</x:v>
      </x:c>
      <x:c r="I982" s="94" t="str">
        <x:v>技术团队</x:v>
      </x:c>
      <x:c r="J982" s="94" t="str">
        <x:v>模拟项目运营成本；统一折算USD</x:v>
      </x:c>
    </x:row>
    <x:row r="983">
      <x:c r="A983" s="92" t="str">
        <x:v>COST-0982</x:v>
      </x:c>
      <x:c r="B983" s="94" t="str">
        <x:v>PROC-0982</x:v>
      </x:c>
      <x:c r="C983" s="93" t="n">
        <x:v>46200</x:v>
      </x:c>
      <x:c r="D983" s="94" t="str">
        <x:v>Google Ads</x:v>
      </x:c>
      <x:c r="E983" s="94" t="str">
        <x:v>数据与ETL</x:v>
      </x:c>
      <x:c r="F983" s="94" t="str">
        <x:v>按采购批次</x:v>
      </x:c>
      <x:c r="G983" s="97" t="n">
        <x:v>0.98</x:v>
      </x:c>
      <x:c r="H983" s="94" t="str">
        <x:v>变动</x:v>
      </x:c>
      <x:c r="I983" s="94" t="str">
        <x:v>数据团队</x:v>
      </x:c>
      <x:c r="J983" s="94" t="str">
        <x:v>模拟项目运营成本；统一折算USD</x:v>
      </x:c>
    </x:row>
    <x:row r="984">
      <x:c r="A984" s="92" t="str">
        <x:v>COST-0983</x:v>
      </x:c>
      <x:c r="B984" s="94" t="str">
        <x:v>PROC-0983</x:v>
      </x:c>
      <x:c r="C984" s="93" t="n">
        <x:v>46200</x:v>
      </x:c>
      <x:c r="D984" s="94" t="str">
        <x:v>Google Ads</x:v>
      </x:c>
      <x:c r="E984" s="94" t="str">
        <x:v>数据与ETL</x:v>
      </x:c>
      <x:c r="F984" s="94" t="str">
        <x:v>按采购批次</x:v>
      </x:c>
      <x:c r="G984" s="97" t="n">
        <x:v>0.88</x:v>
      </x:c>
      <x:c r="H984" s="94" t="str">
        <x:v>变动</x:v>
      </x:c>
      <x:c r="I984" s="94" t="str">
        <x:v>数据团队</x:v>
      </x:c>
      <x:c r="J984" s="94" t="str">
        <x:v>模拟项目运营成本；统一折算USD</x:v>
      </x:c>
    </x:row>
    <x:row r="985">
      <x:c r="A985" s="92" t="str">
        <x:v>COST-0984</x:v>
      </x:c>
      <x:c r="B985" s="94" t="str">
        <x:v>PROC-0984</x:v>
      </x:c>
      <x:c r="C985" s="93" t="n">
        <x:v>46200</x:v>
      </x:c>
      <x:c r="D985" s="94" t="str">
        <x:v>Google Ads</x:v>
      </x:c>
      <x:c r="E985" s="94" t="str">
        <x:v>创意素材</x:v>
      </x:c>
      <x:c r="F985" s="94" t="str">
        <x:v>按活动</x:v>
      </x:c>
      <x:c r="G985" s="97" t="n">
        <x:v>2.69</x:v>
      </x:c>
      <x:c r="H985" s="94" t="str">
        <x:v>部分固定</x:v>
      </x:c>
      <x:c r="I985" s="94" t="str">
        <x:v>增长团队</x:v>
      </x:c>
      <x:c r="J985" s="94" t="str">
        <x:v>模拟项目运营成本；统一折算USD</x:v>
      </x:c>
    </x:row>
    <x:row r="986">
      <x:c r="A986" s="92" t="str">
        <x:v>COST-0985</x:v>
      </x:c>
      <x:c r="B986" s="94" t="str">
        <x:v>PROC-0985</x:v>
      </x:c>
      <x:c r="C986" s="93" t="n">
        <x:v>46201</x:v>
      </x:c>
      <x:c r="D986" s="94" t="str">
        <x:v>Microsoft Ads</x:v>
      </x:c>
      <x:c r="E986" s="94" t="str">
        <x:v>归因与监测工具</x:v>
      </x:c>
      <x:c r="F986" s="94" t="str">
        <x:v>按点击量</x:v>
      </x:c>
      <x:c r="G986" s="97" t="n">
        <x:v>0.79</x:v>
      </x:c>
      <x:c r="H986" s="94" t="str">
        <x:v>变动</x:v>
      </x:c>
      <x:c r="I986" s="94" t="str">
        <x:v>分析团队</x:v>
      </x:c>
      <x:c r="J986" s="94" t="str">
        <x:v>模拟项目运营成本；统一折算USD</x:v>
      </x:c>
    </x:row>
    <x:row r="987">
      <x:c r="A987" s="92" t="str">
        <x:v>COST-0986</x:v>
      </x:c>
      <x:c r="B987" s="94" t="str">
        <x:v>PROC-0986</x:v>
      </x:c>
      <x:c r="C987" s="93" t="n">
        <x:v>46201</x:v>
      </x:c>
      <x:c r="D987" s="94" t="str">
        <x:v>Google Ads</x:v>
      </x:c>
      <x:c r="E987" s="94" t="str">
        <x:v>云主机/CDN</x:v>
      </x:c>
      <x:c r="F987" s="94" t="str">
        <x:v>按访问量</x:v>
      </x:c>
      <x:c r="G987" s="97" t="n">
        <x:v>0.54</x:v>
      </x:c>
      <x:c r="H987" s="94" t="str">
        <x:v>变动</x:v>
      </x:c>
      <x:c r="I987" s="94" t="str">
        <x:v>技术团队</x:v>
      </x:c>
      <x:c r="J987" s="94" t="str">
        <x:v>模拟项目运营成本；统一折算USD</x:v>
      </x:c>
    </x:row>
    <x:row r="988">
      <x:c r="A988" s="92" t="str">
        <x:v>COST-0987</x:v>
      </x:c>
      <x:c r="B988" s="94" t="str">
        <x:v>PROC-0987</x:v>
      </x:c>
      <x:c r="C988" s="93" t="n">
        <x:v>46201</x:v>
      </x:c>
      <x:c r="D988" s="94" t="str">
        <x:v>Microsoft Ads</x:v>
      </x:c>
      <x:c r="E988" s="94" t="str">
        <x:v>云主机/CDN</x:v>
      </x:c>
      <x:c r="F988" s="94" t="str">
        <x:v>按访问量</x:v>
      </x:c>
      <x:c r="G988" s="97" t="n">
        <x:v>0.84</x:v>
      </x:c>
      <x:c r="H988" s="94" t="str">
        <x:v>变动</x:v>
      </x:c>
      <x:c r="I988" s="94" t="str">
        <x:v>技术团队</x:v>
      </x:c>
      <x:c r="J988" s="94" t="str">
        <x:v>模拟项目运营成本；统一折算USD</x:v>
      </x:c>
    </x:row>
    <x:row r="989">
      <x:c r="A989" s="92" t="str">
        <x:v>COST-0988</x:v>
      </x:c>
      <x:c r="B989" s="94" t="str">
        <x:v>PROC-0988</x:v>
      </x:c>
      <x:c r="C989" s="93" t="n">
        <x:v>46201</x:v>
      </x:c>
      <x:c r="D989" s="94" t="str">
        <x:v>Microsoft Ads</x:v>
      </x:c>
      <x:c r="E989" s="94" t="str">
        <x:v>人工运营分摊</x:v>
      </x:c>
      <x:c r="F989" s="94" t="str">
        <x:v>按工时</x:v>
      </x:c>
      <x:c r="G989" s="97" t="n">
        <x:v>4.3</x:v>
      </x:c>
      <x:c r="H989" s="94" t="str">
        <x:v>部分固定</x:v>
      </x:c>
      <x:c r="I989" s="94" t="str">
        <x:v>运营团队</x:v>
      </x:c>
      <x:c r="J989" s="94" t="str">
        <x:v>模拟项目运营成本；统一折算USD</x:v>
      </x:c>
    </x:row>
    <x:row r="990">
      <x:c r="A990" s="92" t="str">
        <x:v>COST-0989</x:v>
      </x:c>
      <x:c r="B990" s="94" t="str">
        <x:v>PROC-0989</x:v>
      </x:c>
      <x:c r="C990" s="93" t="n">
        <x:v>46201</x:v>
      </x:c>
      <x:c r="D990" s="94" t="str">
        <x:v>Microsoft Ads</x:v>
      </x:c>
      <x:c r="E990" s="94" t="str">
        <x:v>归因与监测工具</x:v>
      </x:c>
      <x:c r="F990" s="94" t="str">
        <x:v>按点击量</x:v>
      </x:c>
      <x:c r="G990" s="97" t="n">
        <x:v>0.65</x:v>
      </x:c>
      <x:c r="H990" s="94" t="str">
        <x:v>变动</x:v>
      </x:c>
      <x:c r="I990" s="94" t="str">
        <x:v>分析团队</x:v>
      </x:c>
      <x:c r="J990" s="94" t="str">
        <x:v>模拟项目运营成本；统一折算USD</x:v>
      </x:c>
    </x:row>
    <x:row r="991">
      <x:c r="A991" s="92" t="str">
        <x:v>COST-0990</x:v>
      </x:c>
      <x:c r="B991" s="94" t="str">
        <x:v>PROC-0990</x:v>
      </x:c>
      <x:c r="C991" s="93" t="n">
        <x:v>46202</x:v>
      </x:c>
      <x:c r="D991" s="94" t="str">
        <x:v>Google Ads</x:v>
      </x:c>
      <x:c r="E991" s="94" t="str">
        <x:v>创意素材</x:v>
      </x:c>
      <x:c r="F991" s="94" t="str">
        <x:v>按活动</x:v>
      </x:c>
      <x:c r="G991" s="97" t="n">
        <x:v>2.4</x:v>
      </x:c>
      <x:c r="H991" s="94" t="str">
        <x:v>部分固定</x:v>
      </x:c>
      <x:c r="I991" s="94" t="str">
        <x:v>增长团队</x:v>
      </x:c>
      <x:c r="J991" s="94" t="str">
        <x:v>模拟项目运营成本；统一折算USD</x:v>
      </x:c>
    </x:row>
    <x:row r="992">
      <x:c r="A992" s="92" t="str">
        <x:v>COST-0991</x:v>
      </x:c>
      <x:c r="B992" s="94" t="str">
        <x:v>PROC-0991</x:v>
      </x:c>
      <x:c r="C992" s="93" t="n">
        <x:v>46202</x:v>
      </x:c>
      <x:c r="D992" s="94" t="str">
        <x:v>Google Ads</x:v>
      </x:c>
      <x:c r="E992" s="94" t="str">
        <x:v>云主机/CDN</x:v>
      </x:c>
      <x:c r="F992" s="94" t="str">
        <x:v>按访问量</x:v>
      </x:c>
      <x:c r="G992" s="97" t="n">
        <x:v>0.84</x:v>
      </x:c>
      <x:c r="H992" s="94" t="str">
        <x:v>变动</x:v>
      </x:c>
      <x:c r="I992" s="94" t="str">
        <x:v>技术团队</x:v>
      </x:c>
      <x:c r="J992" s="94" t="str">
        <x:v>模拟项目运营成本；统一折算USD</x:v>
      </x:c>
    </x:row>
    <x:row r="993">
      <x:c r="A993" s="92" t="str">
        <x:v>COST-0992</x:v>
      </x:c>
      <x:c r="B993" s="94" t="str">
        <x:v>PROC-0992</x:v>
      </x:c>
      <x:c r="C993" s="93" t="n">
        <x:v>46202</x:v>
      </x:c>
      <x:c r="D993" s="94" t="str">
        <x:v>Microsoft Ads</x:v>
      </x:c>
      <x:c r="E993" s="94" t="str">
        <x:v>数据与ETL</x:v>
      </x:c>
      <x:c r="F993" s="94" t="str">
        <x:v>按采购批次</x:v>
      </x:c>
      <x:c r="G993" s="97" t="n">
        <x:v>1.24</x:v>
      </x:c>
      <x:c r="H993" s="94" t="str">
        <x:v>变动</x:v>
      </x:c>
      <x:c r="I993" s="94" t="str">
        <x:v>数据团队</x:v>
      </x:c>
      <x:c r="J993" s="94" t="str">
        <x:v>模拟项目运营成本；统一折算USD</x:v>
      </x:c>
    </x:row>
    <x:row r="994">
      <x:c r="A994" s="92" t="str">
        <x:v>COST-0993</x:v>
      </x:c>
      <x:c r="B994" s="94" t="str">
        <x:v>PROC-0993</x:v>
      </x:c>
      <x:c r="C994" s="93" t="n">
        <x:v>46202</x:v>
      </x:c>
      <x:c r="D994" s="94" t="str">
        <x:v>Microsoft Ads</x:v>
      </x:c>
      <x:c r="E994" s="94" t="str">
        <x:v>云主机/CDN</x:v>
      </x:c>
      <x:c r="F994" s="94" t="str">
        <x:v>按访问量</x:v>
      </x:c>
      <x:c r="G994" s="97" t="n">
        <x:v>0.99</x:v>
      </x:c>
      <x:c r="H994" s="94" t="str">
        <x:v>变动</x:v>
      </x:c>
      <x:c r="I994" s="94" t="str">
        <x:v>技术团队</x:v>
      </x:c>
      <x:c r="J994" s="94" t="str">
        <x:v>模拟项目运营成本；统一折算USD</x:v>
      </x:c>
    </x:row>
    <x:row r="995">
      <x:c r="A995" s="92" t="str">
        <x:v>COST-0994</x:v>
      </x:c>
      <x:c r="B995" s="94" t="str">
        <x:v>PROC-0994</x:v>
      </x:c>
      <x:c r="C995" s="93" t="n">
        <x:v>46202</x:v>
      </x:c>
      <x:c r="D995" s="94" t="str">
        <x:v>Google Ads</x:v>
      </x:c>
      <x:c r="E995" s="94" t="str">
        <x:v>创意素材</x:v>
      </x:c>
      <x:c r="F995" s="94" t="str">
        <x:v>按活动</x:v>
      </x:c>
      <x:c r="G995" s="97" t="n">
        <x:v>1.73</x:v>
      </x:c>
      <x:c r="H995" s="94" t="str">
        <x:v>部分固定</x:v>
      </x:c>
      <x:c r="I995" s="94" t="str">
        <x:v>增长团队</x:v>
      </x:c>
      <x:c r="J995" s="94" t="str">
        <x:v>模拟项目运营成本；统一折算USD</x:v>
      </x:c>
    </x:row>
    <x:row r="996">
      <x:c r="A996" s="92" t="str">
        <x:v>COST-0995</x:v>
      </x:c>
      <x:c r="B996" s="94" t="str">
        <x:v>PROC-0995</x:v>
      </x:c>
      <x:c r="C996" s="93" t="n">
        <x:v>46202</x:v>
      </x:c>
      <x:c r="D996" s="94" t="str">
        <x:v>Microsoft Ads</x:v>
      </x:c>
      <x:c r="E996" s="94" t="str">
        <x:v>人工运营分摊</x:v>
      </x:c>
      <x:c r="F996" s="94" t="str">
        <x:v>按工时</x:v>
      </x:c>
      <x:c r="G996" s="97" t="n">
        <x:v>4.52</x:v>
      </x:c>
      <x:c r="H996" s="94" t="str">
        <x:v>部分固定</x:v>
      </x:c>
      <x:c r="I996" s="94" t="str">
        <x:v>运营团队</x:v>
      </x:c>
      <x:c r="J996" s="94" t="str">
        <x:v>模拟项目运营成本；统一折算USD</x:v>
      </x:c>
    </x:row>
    <x:row r="997">
      <x:c r="A997" s="92" t="str">
        <x:v>COST-0996</x:v>
      </x:c>
      <x:c r="B997" s="94" t="str">
        <x:v>PROC-0996</x:v>
      </x:c>
      <x:c r="C997" s="93" t="n">
        <x:v>46203</x:v>
      </x:c>
      <x:c r="D997" s="94" t="str">
        <x:v>Google Ads</x:v>
      </x:c>
      <x:c r="E997" s="94" t="str">
        <x:v>数据与ETL</x:v>
      </x:c>
      <x:c r="F997" s="94" t="str">
        <x:v>按采购批次</x:v>
      </x:c>
      <x:c r="G997" s="97" t="n">
        <x:v>1.1</x:v>
      </x:c>
      <x:c r="H997" s="94" t="str">
        <x:v>变动</x:v>
      </x:c>
      <x:c r="I997" s="94" t="str">
        <x:v>数据团队</x:v>
      </x:c>
      <x:c r="J997" s="94" t="str">
        <x:v>模拟项目运营成本；统一折算USD</x:v>
      </x:c>
    </x:row>
    <x:row r="998">
      <x:c r="A998" s="92" t="str">
        <x:v>COST-0997</x:v>
      </x:c>
      <x:c r="B998" s="94" t="str">
        <x:v>PROC-0997</x:v>
      </x:c>
      <x:c r="C998" s="93" t="n">
        <x:v>46203</x:v>
      </x:c>
      <x:c r="D998" s="94" t="str">
        <x:v>Microsoft Ads</x:v>
      </x:c>
      <x:c r="E998" s="94" t="str">
        <x:v>创意素材</x:v>
      </x:c>
      <x:c r="F998" s="94" t="str">
        <x:v>按活动</x:v>
      </x:c>
      <x:c r="G998" s="97" t="n">
        <x:v>1.87</x:v>
      </x:c>
      <x:c r="H998" s="94" t="str">
        <x:v>部分固定</x:v>
      </x:c>
      <x:c r="I998" s="94" t="str">
        <x:v>增长团队</x:v>
      </x:c>
      <x:c r="J998" s="94" t="str">
        <x:v>模拟项目运营成本；统一折算USD</x:v>
      </x:c>
    </x:row>
    <x:row r="999">
      <x:c r="A999" s="92" t="str">
        <x:v>COST-0998</x:v>
      </x:c>
      <x:c r="B999" s="94" t="str">
        <x:v>PROC-0998</x:v>
      </x:c>
      <x:c r="C999" s="93" t="n">
        <x:v>46203</x:v>
      </x:c>
      <x:c r="D999" s="94" t="str">
        <x:v>Microsoft Ads</x:v>
      </x:c>
      <x:c r="E999" s="94" t="str">
        <x:v>数据与ETL</x:v>
      </x:c>
      <x:c r="F999" s="94" t="str">
        <x:v>按采购批次</x:v>
      </x:c>
      <x:c r="G999" s="97" t="n">
        <x:v>0.58</x:v>
      </x:c>
      <x:c r="H999" s="94" t="str">
        <x:v>变动</x:v>
      </x:c>
      <x:c r="I999" s="94" t="str">
        <x:v>数据团队</x:v>
      </x:c>
      <x:c r="J999" s="94" t="str">
        <x:v>模拟项目运营成本；统一折算USD</x:v>
      </x:c>
    </x:row>
    <x:row r="1000">
      <x:c r="A1000" s="92" t="str">
        <x:v>COST-0999</x:v>
      </x:c>
      <x:c r="B1000" s="94" t="str">
        <x:v>PROC-0999</x:v>
      </x:c>
      <x:c r="C1000" s="93" t="n">
        <x:v>46203</x:v>
      </x:c>
      <x:c r="D1000" s="94" t="str">
        <x:v>Google Ads</x:v>
      </x:c>
      <x:c r="E1000" s="94" t="str">
        <x:v>数据与ETL</x:v>
      </x:c>
      <x:c r="F1000" s="94" t="str">
        <x:v>按采购批次</x:v>
      </x:c>
      <x:c r="G1000" s="97" t="n">
        <x:v>1.15</x:v>
      </x:c>
      <x:c r="H1000" s="94" t="str">
        <x:v>变动</x:v>
      </x:c>
      <x:c r="I1000" s="94" t="str">
        <x:v>数据团队</x:v>
      </x:c>
      <x:c r="J1000" s="94" t="str">
        <x:v>模拟项目运营成本；统一折算USD</x:v>
      </x:c>
    </x:row>
    <x:row r="1001">
      <x:c r="A1001" s="98" t="str">
        <x:v>COST-1000</x:v>
      </x:c>
      <x:c r="B1001" s="100" t="str">
        <x:v>PROC-1000</x:v>
      </x:c>
      <x:c r="C1001" s="99" t="n">
        <x:v>46203</x:v>
      </x:c>
      <x:c r="D1001" s="100" t="str">
        <x:v>Google Ads</x:v>
      </x:c>
      <x:c r="E1001" s="100" t="str">
        <x:v>人工运营分摊</x:v>
      </x:c>
      <x:c r="F1001" s="100" t="str">
        <x:v>按工时</x:v>
      </x:c>
      <x:c r="G1001" s="103" t="n">
        <x:v>3.22</x:v>
      </x:c>
      <x:c r="H1001" s="100" t="str">
        <x:v>部分固定</x:v>
      </x:c>
      <x:c r="I1001" s="100" t="str">
        <x:v>运营团队</x:v>
      </x:c>
      <x:c r="J1001" s="100" t="str">
        <x:v>模拟项目运营成本；统一折算USD</x:v>
      </x:c>
    </x:row>
  </x:sheetData>
  <x:pageMargins left="0.7" right="0.7" top="0.75" bottom="0.75" header="0.3" footer="0.3"/>
  <x:tableParts count="1">
    <x:tablePart xmlns:r="http://schemas.openxmlformats.org/officeDocument/2006/relationships" r:id="R533876b16b4a41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  <x:col min="9" max="9" width="16" hidden="0" customWidth="1"/>
    <x:col min="10" max="10" width="14" hidden="0" customWidth="1"/>
    <x:col min="11" max="11" width="14" hidden="0" customWidth="1"/>
    <x:col min="12" max="12" width="13" hidden="0" customWidth="1"/>
    <x:col min="13" max="13" width="14" hidden="0" customWidth="1"/>
    <x:col min="14" max="14" width="13" hidden="0" customWidth="1"/>
    <x:col min="15" max="15" width="13" hidden="0" customWidth="1"/>
    <x:col min="16" max="16" width="13" hidden="0" customWidth="1"/>
    <x:col min="17" max="17" width="11" hidden="0" customWidth="1"/>
    <x:col min="18" max="18" width="12" hidden="0" customWidth="1"/>
    <x:col min="19" max="19" width="14" hidden="0" customWidth="1"/>
  </x:cols>
  <x:sheetData>
    <x:row r="1">
      <x:c r="A1" s="3" t="str">
        <x:v>月度经营分析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>
      <x:c r="A3" s="6" t="str">
        <x:v>收入按订单归因日期统计；成本按采购/成本发生日期统计｜单位：USD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</x:row>
    <x:row r="5" ht="30" customHeight="1">
      <x:c r="A5" s="15" t="str">
        <x:v>月份</x:v>
      </x:c>
      <x:c r="B5" s="55" t="str">
        <x:v>开始日</x:v>
      </x:c>
      <x:c r="C5" s="55" t="str">
        <x:v>结束日</x:v>
      </x:c>
      <x:c r="D5" s="55" t="str">
        <x:v>展现量</x:v>
      </x:c>
      <x:c r="E5" s="55" t="str">
        <x:v>广告点击</x:v>
      </x:c>
      <x:c r="F5" s="55" t="str">
        <x:v>落地访问</x:v>
      </x:c>
      <x:c r="G5" s="55" t="str">
        <x:v>Amazon点击</x:v>
      </x:c>
      <x:c r="H5" s="55" t="str">
        <x:v>完成购买</x:v>
      </x:c>
      <x:c r="I5" s="55" t="str">
        <x:v>广告采购成本</x:v>
      </x:c>
      <x:c r="J5" s="55" t="str">
        <x:v>运营成本</x:v>
      </x:c>
      <x:c r="K5" s="55" t="str">
        <x:v>成交额GMV</x:v>
      </x:c>
      <x:c r="L5" s="55" t="str">
        <x:v>毛佣金</x:v>
      </x:c>
      <x:c r="M5" s="55" t="str">
        <x:v>退款佣金</x:v>
      </x:c>
      <x:c r="N5" s="55" t="str">
        <x:v>净佣金</x:v>
      </x:c>
      <x:c r="O5" s="55" t="str">
        <x:v>总成本</x:v>
      </x:c>
      <x:c r="P5" s="55" t="str">
        <x:v>净利润</x:v>
      </x:c>
      <x:c r="Q5" s="55" t="str">
        <x:v>ROI</x:v>
      </x:c>
      <x:c r="R5" s="55" t="str">
        <x:v>CAC</x:v>
      </x:c>
      <x:c r="S5" s="16" t="str">
        <x:v>点击→购买</x:v>
      </x:c>
    </x:row>
    <x:row r="6">
      <x:c r="A6" t="str">
        <x:v>2026-01</x:v>
      </x:c>
      <x:c r="B6" s="78" t="n">
        <x:v>46023</x:v>
      </x:c>
      <x:c r="C6" s="78" t="n">
        <x:v>46053</x:v>
      </x:c>
      <x:c r="D6" s="79" t="n">
        <x:f>SUMIFS('流量采购明细'!$J$2:$J$1001,'流量采购明细'!$B$2:$B$1001,"&gt;="&amp;B6,'流量采购明细'!$B$2:$B$1001,"&lt;="&amp;C6)</x:f>
        <x:v>184790</x:v>
      </x:c>
      <x:c r="E6" s="79" t="n">
        <x:f>SUMIFS('流量采购明细'!$L$2:$L$1001,'流量采购明细'!$B$2:$B$1001,"&gt;="&amp;B6,'流量采购明细'!$B$2:$B$1001,"&lt;="&amp;C6)</x:f>
        <x:v>7757</x:v>
      </x:c>
      <x:c r="F6" s="79" t="n">
        <x:f>SUMIFS('漏斗绩效明细'!$G$2:$G$1001,'漏斗绩效明细'!$B$2:$B$1001,"&gt;="&amp;B6,'漏斗绩效明细'!$B$2:$B$1001,"&lt;="&amp;C6)</x:f>
        <x:v>7111</x:v>
      </x:c>
      <x:c r="G6" s="79" t="n">
        <x:f>SUMIFS('漏斗绩效明细'!$J$2:$J$1001,'漏斗绩效明细'!$B$2:$B$1001,"&gt;="&amp;B6,'漏斗绩效明细'!$B$2:$B$1001,"&lt;="&amp;C6)</x:f>
        <x:v>1882</x:v>
      </x:c>
      <x:c r="H6" s="79" t="n">
        <x:f>SUMIFS('漏斗绩效明细'!$L$2:$L$1001,'漏斗绩效明细'!$B$2:$B$1001,"&gt;="&amp;B6,'漏斗绩效明细'!$B$2:$B$1001,"&lt;="&amp;C6)</x:f>
        <x:v>171</x:v>
      </x:c>
      <x:c r="I6" s="112" t="n">
        <x:f>SUMIFS('流量采购明细'!$N$2:$N$1001,'流量采购明细'!$B$2:$B$1001,"&gt;="&amp;B6,'流量采购明细'!$B$2:$B$1001,"&lt;="&amp;C6)</x:f>
        <x:v>2100.82</x:v>
      </x:c>
      <x:c r="J6" s="112" t="n">
        <x:f>SUMIFS('运营成本明细'!$G$2:$G$1001,'运营成本明细'!$C$2:$C$1001,"&gt;="&amp;B6,'运营成本明细'!$C$2:$C$1001,"&lt;="&amp;C6)</x:f>
        <x:v>276.5500000000001</x:v>
      </x:c>
      <x:c r="K6" s="112" t="n">
        <x:f>SUMIFS('Amazon订单明细'!$M$2:$M$1001,'Amazon订单明细'!$D$2:$D$1001,"&gt;="&amp;B6,'Amazon订单明细'!$D$2:$D$1001,"&lt;="&amp;C6)</x:f>
        <x:v>54281.589999999975</x:v>
      </x:c>
      <x:c r="L6" s="112" t="n">
        <x:f>SUMIFS('Amazon订单明细'!$O$2:$O$1001,'Amazon订单明细'!$D$2:$D$1001,"&gt;="&amp;B6,'Amazon订单明细'!$D$2:$D$1001,"&lt;="&amp;C6)</x:f>
        <x:v>3448.670000000001</x:v>
      </x:c>
      <x:c r="M6" s="112" t="n">
        <x:f>SUMIFS('Amazon订单明细'!$R$2:$R$1001,'Amazon订单明细'!$D$2:$D$1001,"&gt;="&amp;B6,'Amazon订单明细'!$D$2:$D$1001,"&lt;="&amp;C6)</x:f>
        <x:v>41.72</x:v>
      </x:c>
      <x:c r="N6" s="112" t="n">
        <x:f>SUMIFS('Amazon订单明细'!$S$2:$S$1001,'Amazon订单明细'!$D$2:$D$1001,"&gt;="&amp;B6,'Amazon订单明细'!$D$2:$D$1001,"&lt;="&amp;C6)</x:f>
        <x:v>3406.9500000000007</x:v>
      </x:c>
      <x:c r="O6" s="112" t="n">
        <x:f>I6+J6</x:f>
        <x:v>2377.3700000000003</x:v>
      </x:c>
      <x:c r="P6" s="112" t="n">
        <x:f>N6-O6</x:f>
        <x:v>1029.5800000000004</x:v>
      </x:c>
      <x:c r="Q6" s="105" t="n">
        <x:f>IFERROR(P6/O6,0)</x:f>
        <x:v>0.4330752049533729</x:v>
      </x:c>
      <x:c r="R6" s="81" t="n">
        <x:f>IFERROR(O6/H6,0)</x:f>
        <x:v>13.902748538011698</x:v>
      </x:c>
      <x:c r="S6" s="80" t="n">
        <x:f>IFERROR(H6/E6,0)</x:f>
        <x:v>0.02204460487301792</x:v>
      </x:c>
    </x:row>
    <x:row r="7">
      <x:c r="A7" t="str">
        <x:v>2026-02</x:v>
      </x:c>
      <x:c r="B7" s="78" t="n">
        <x:v>46054</x:v>
      </x:c>
      <x:c r="C7" s="78" t="n">
        <x:v>46081</x:v>
      </x:c>
      <x:c r="D7" s="79" t="n">
        <x:f>SUMIFS('流量采购明细'!$J$2:$J$1001,'流量采购明细'!$B$2:$B$1001,"&gt;="&amp;B7,'流量采购明细'!$B$2:$B$1001,"&lt;="&amp;C7)</x:f>
        <x:v>167626</x:v>
      </x:c>
      <x:c r="E7" s="79" t="n">
        <x:f>SUMIFS('流量采购明细'!$L$2:$L$1001,'流量采购明细'!$B$2:$B$1001,"&gt;="&amp;B7,'流量采购明细'!$B$2:$B$1001,"&lt;="&amp;C7)</x:f>
        <x:v>7166</x:v>
      </x:c>
      <x:c r="F7" s="79" t="n">
        <x:f>SUMIFS('漏斗绩效明细'!$G$2:$G$1001,'漏斗绩效明细'!$B$2:$B$1001,"&gt;="&amp;B7,'漏斗绩效明细'!$B$2:$B$1001,"&lt;="&amp;C7)</x:f>
        <x:v>6549</x:v>
      </x:c>
      <x:c r="G7" s="79" t="n">
        <x:f>SUMIFS('漏斗绩效明细'!$J$2:$J$1001,'漏斗绩效明细'!$B$2:$B$1001,"&gt;="&amp;B7,'漏斗绩效明细'!$B$2:$B$1001,"&lt;="&amp;C7)</x:f>
        <x:v>1739</x:v>
      </x:c>
      <x:c r="H7" s="79" t="n">
        <x:f>SUMIFS('漏斗绩效明细'!$L$2:$L$1001,'漏斗绩效明细'!$B$2:$B$1001,"&gt;="&amp;B7,'漏斗绩效明细'!$B$2:$B$1001,"&lt;="&amp;C7)</x:f>
        <x:v>164</x:v>
      </x:c>
      <x:c r="I7" s="112" t="n">
        <x:f>SUMIFS('流量采购明细'!$N$2:$N$1001,'流量采购明细'!$B$2:$B$1001,"&gt;="&amp;B7,'流量采购明细'!$B$2:$B$1001,"&lt;="&amp;C7)</x:f>
        <x:v>2051.150000000001</x:v>
      </x:c>
      <x:c r="J7" s="112" t="n">
        <x:f>SUMIFS('运营成本明细'!$G$2:$G$1001,'运营成本明细'!$C$2:$C$1001,"&gt;="&amp;B7,'运营成本明细'!$C$2:$C$1001,"&lt;="&amp;C7)</x:f>
        <x:v>234.24000000000015</x:v>
      </x:c>
      <x:c r="K7" s="112" t="n">
        <x:f>SUMIFS('Amazon订单明细'!$M$2:$M$1001,'Amazon订单明细'!$D$2:$D$1001,"&gt;="&amp;B7,'Amazon订单明细'!$D$2:$D$1001,"&lt;="&amp;C7)</x:f>
        <x:v>48567.46999999998</x:v>
      </x:c>
      <x:c r="L7" s="112" t="n">
        <x:f>SUMIFS('Amazon订单明细'!$O$2:$O$1001,'Amazon订单明细'!$D$2:$D$1001,"&gt;="&amp;B7,'Amazon订单明细'!$D$2:$D$1001,"&lt;="&amp;C7)</x:f>
        <x:v>3120.6099999999988</x:v>
      </x:c>
      <x:c r="M7" s="112" t="n">
        <x:f>SUMIFS('Amazon订单明细'!$R$2:$R$1001,'Amazon订单明细'!$D$2:$D$1001,"&gt;="&amp;B7,'Amazon订单明细'!$D$2:$D$1001,"&lt;="&amp;C7)</x:f>
        <x:v>145.79999999999998</x:v>
      </x:c>
      <x:c r="N7" s="112" t="n">
        <x:f>SUMIFS('Amazon订单明细'!$S$2:$S$1001,'Amazon订单明细'!$D$2:$D$1001,"&gt;="&amp;B7,'Amazon订单明细'!$D$2:$D$1001,"&lt;="&amp;C7)</x:f>
        <x:v>2974.809999999998</x:v>
      </x:c>
      <x:c r="O7" s="112" t="n">
        <x:f>I7+J7</x:f>
        <x:v>2285.3900000000012</x:v>
      </x:c>
      <x:c r="P7" s="112" t="n">
        <x:f>N7-O7</x:f>
        <x:v>689.4199999999969</x:v>
      </x:c>
      <x:c r="Q7" s="105" t="n">
        <x:f>IFERROR(P7/O7,0)</x:f>
        <x:v>0.3016640485868917</x:v>
      </x:c>
      <x:c r="R7" s="81" t="n">
        <x:f>IFERROR(O7/H7,0)</x:f>
        <x:v>13.935304878048788</x:v>
      </x:c>
      <x:c r="S7" s="80" t="n">
        <x:f>IFERROR(H7/E7,0)</x:f>
        <x:v>0.022885849846497348</x:v>
      </x:c>
    </x:row>
    <x:row r="8">
      <x:c r="A8" t="str">
        <x:v>2026-03</x:v>
      </x:c>
      <x:c r="B8" s="78" t="n">
        <x:v>46082</x:v>
      </x:c>
      <x:c r="C8" s="78" t="n">
        <x:v>46112</x:v>
      </x:c>
      <x:c r="D8" s="79" t="n">
        <x:f>SUMIFS('流量采购明细'!$J$2:$J$1001,'流量采购明细'!$B$2:$B$1001,"&gt;="&amp;B8,'流量采购明细'!$B$2:$B$1001,"&lt;="&amp;C8)</x:f>
        <x:v>184085</x:v>
      </x:c>
      <x:c r="E8" s="79" t="n">
        <x:f>SUMIFS('流量采购明细'!$L$2:$L$1001,'流量采购明细'!$B$2:$B$1001,"&gt;="&amp;B8,'流量采购明细'!$B$2:$B$1001,"&lt;="&amp;C8)</x:f>
        <x:v>7738</x:v>
      </x:c>
      <x:c r="F8" s="79" t="n">
        <x:f>SUMIFS('漏斗绩效明细'!$G$2:$G$1001,'漏斗绩效明细'!$B$2:$B$1001,"&gt;="&amp;B8,'漏斗绩效明细'!$B$2:$B$1001,"&lt;="&amp;C8)</x:f>
        <x:v>7094</x:v>
      </x:c>
      <x:c r="G8" s="79" t="n">
        <x:f>SUMIFS('漏斗绩效明细'!$J$2:$J$1001,'漏斗绩效明细'!$B$2:$B$1001,"&gt;="&amp;B8,'漏斗绩效明细'!$B$2:$B$1001,"&lt;="&amp;C8)</x:f>
        <x:v>1836</x:v>
      </x:c>
      <x:c r="H8" s="79" t="n">
        <x:f>SUMIFS('漏斗绩效明细'!$L$2:$L$1001,'漏斗绩效明细'!$B$2:$B$1001,"&gt;="&amp;B8,'漏斗绩效明细'!$B$2:$B$1001,"&lt;="&amp;C8)</x:f>
        <x:v>171</x:v>
      </x:c>
      <x:c r="I8" s="112" t="n">
        <x:f>SUMIFS('流量采购明细'!$N$2:$N$1001,'流量采购明细'!$B$2:$B$1001,"&gt;="&amp;B8,'流量采购明细'!$B$2:$B$1001,"&lt;="&amp;C8)</x:f>
        <x:v>2131.21</x:v>
      </x:c>
      <x:c r="J8" s="112" t="n">
        <x:f>SUMIFS('运营成本明细'!$G$2:$G$1001,'运营成本明细'!$C$2:$C$1001,"&gt;="&amp;B8,'运营成本明细'!$C$2:$C$1001,"&lt;="&amp;C8)</x:f>
        <x:v>285.28999999999985</x:v>
      </x:c>
      <x:c r="K8" s="112" t="n">
        <x:f>SUMIFS('Amazon订单明细'!$M$2:$M$1001,'Amazon订单明细'!$D$2:$D$1001,"&gt;="&amp;B8,'Amazon订单明细'!$D$2:$D$1001,"&lt;="&amp;C8)</x:f>
        <x:v>55878.45000000004</x:v>
      </x:c>
      <x:c r="L8" s="112" t="n">
        <x:f>SUMIFS('Amazon订单明细'!$O$2:$O$1001,'Amazon订单明细'!$D$2:$D$1001,"&gt;="&amp;B8,'Amazon订单明细'!$D$2:$D$1001,"&lt;="&amp;C8)</x:f>
        <x:v>3490.570000000002</x:v>
      </x:c>
      <x:c r="M8" s="112" t="n">
        <x:f>SUMIFS('Amazon订单明细'!$R$2:$R$1001,'Amazon订单明细'!$D$2:$D$1001,"&gt;="&amp;B8,'Amazon订单明细'!$D$2:$D$1001,"&lt;="&amp;C8)</x:f>
        <x:v>207.68</x:v>
      </x:c>
      <x:c r="N8" s="112" t="n">
        <x:f>SUMIFS('Amazon订单明细'!$S$2:$S$1001,'Amazon订单明细'!$D$2:$D$1001,"&gt;="&amp;B8,'Amazon订单明细'!$D$2:$D$1001,"&lt;="&amp;C8)</x:f>
        <x:v>3282.8900000000012</x:v>
      </x:c>
      <x:c r="O8" s="112" t="n">
        <x:f>I8+J8</x:f>
        <x:v>2416.5</x:v>
      </x:c>
      <x:c r="P8" s="112" t="n">
        <x:f>N8-O8</x:f>
        <x:v>866.3900000000012</x:v>
      </x:c>
      <x:c r="Q8" s="105" t="n">
        <x:f>IFERROR(P8/O8,0)</x:f>
        <x:v>0.3585309331678052</x:v>
      </x:c>
      <x:c r="R8" s="81" t="n">
        <x:f>IFERROR(O8/H8,0)</x:f>
        <x:v>14.131578947368421</x:v>
      </x:c>
      <x:c r="S8" s="80" t="n">
        <x:f>IFERROR(H8/E8,0)</x:f>
        <x:v>0.02209873352287413</x:v>
      </x:c>
    </x:row>
    <x:row r="9">
      <x:c r="A9" t="str">
        <x:v>2026-04</x:v>
      </x:c>
      <x:c r="B9" s="78" t="n">
        <x:v>46113</x:v>
      </x:c>
      <x:c r="C9" s="78" t="n">
        <x:v>46142</x:v>
      </x:c>
      <x:c r="D9" s="79" t="n">
        <x:f>SUMIFS('流量采购明细'!$J$2:$J$1001,'流量采购明细'!$B$2:$B$1001,"&gt;="&amp;B9,'流量采购明细'!$B$2:$B$1001,"&lt;="&amp;C9)</x:f>
        <x:v>176970</x:v>
      </x:c>
      <x:c r="E9" s="79" t="n">
        <x:f>SUMIFS('流量采购明细'!$L$2:$L$1001,'流量采购明细'!$B$2:$B$1001,"&gt;="&amp;B9,'流量采购明细'!$B$2:$B$1001,"&lt;="&amp;C9)</x:f>
        <x:v>7451</x:v>
      </x:c>
      <x:c r="F9" s="79" t="n">
        <x:f>SUMIFS('漏斗绩效明细'!$G$2:$G$1001,'漏斗绩效明细'!$B$2:$B$1001,"&gt;="&amp;B9,'漏斗绩效明细'!$B$2:$B$1001,"&lt;="&amp;C9)</x:f>
        <x:v>6818</x:v>
      </x:c>
      <x:c r="G9" s="79" t="n">
        <x:f>SUMIFS('漏斗绩效明细'!$J$2:$J$1001,'漏斗绩效明细'!$B$2:$B$1001,"&gt;="&amp;B9,'漏斗绩效明细'!$B$2:$B$1001,"&lt;="&amp;C9)</x:f>
        <x:v>1839</x:v>
      </x:c>
      <x:c r="H9" s="79" t="n">
        <x:f>SUMIFS('漏斗绩效明细'!$L$2:$L$1001,'漏斗绩效明细'!$B$2:$B$1001,"&gt;="&amp;B9,'漏斗绩效明细'!$B$2:$B$1001,"&lt;="&amp;C9)</x:f>
        <x:v>157</x:v>
      </x:c>
      <x:c r="I9" s="112" t="n">
        <x:f>SUMIFS('流量采购明细'!$N$2:$N$1001,'流量采购明细'!$B$2:$B$1001,"&gt;="&amp;B9,'流量采购明细'!$B$2:$B$1001,"&lt;="&amp;C9)</x:f>
        <x:v>2157.5099999999998</x:v>
      </x:c>
      <x:c r="J9" s="112" t="n">
        <x:f>SUMIFS('运营成本明细'!$G$2:$G$1001,'运营成本明细'!$C$2:$C$1001,"&gt;="&amp;B9,'运营成本明细'!$C$2:$C$1001,"&lt;="&amp;C9)</x:f>
        <x:v>268.2300000000001</x:v>
      </x:c>
      <x:c r="K9" s="112" t="n">
        <x:f>SUMIFS('Amazon订单明细'!$M$2:$M$1001,'Amazon订单明细'!$D$2:$D$1001,"&gt;="&amp;B9,'Amazon订单明细'!$D$2:$D$1001,"&lt;="&amp;C9)</x:f>
        <x:v>45259.96999999997</x:v>
      </x:c>
      <x:c r="L9" s="112" t="n">
        <x:f>SUMIFS('Amazon订单明细'!$O$2:$O$1001,'Amazon订单明细'!$D$2:$D$1001,"&gt;="&amp;B9,'Amazon订单明细'!$D$2:$D$1001,"&lt;="&amp;C9)</x:f>
        <x:v>2935.4600000000005</x:v>
      </x:c>
      <x:c r="M9" s="112" t="n">
        <x:f>SUMIFS('Amazon订单明细'!$R$2:$R$1001,'Amazon订单明细'!$D$2:$D$1001,"&gt;="&amp;B9,'Amazon订单明细'!$D$2:$D$1001,"&lt;="&amp;C9)</x:f>
        <x:v>180.33</x:v>
      </x:c>
      <x:c r="N9" s="112" t="n">
        <x:f>SUMIFS('Amazon订单明细'!$S$2:$S$1001,'Amazon订单明细'!$D$2:$D$1001,"&gt;="&amp;B9,'Amazon订单明细'!$D$2:$D$1001,"&lt;="&amp;C9)</x:f>
        <x:v>2755.1300000000006</x:v>
      </x:c>
      <x:c r="O9" s="112" t="n">
        <x:f>I9+J9</x:f>
        <x:v>2425.74</x:v>
      </x:c>
      <x:c r="P9" s="112" t="n">
        <x:f>N9-O9</x:f>
        <x:v>329.3900000000008</x:v>
      </x:c>
      <x:c r="Q9" s="105" t="n">
        <x:f>IFERROR(P9/O9,0)</x:f>
        <x:v>0.13578949104190918</x:v>
      </x:c>
      <x:c r="R9" s="81" t="n">
        <x:f>IFERROR(O9/H9,0)</x:f>
        <x:v>15.450573248407641</x:v>
      </x:c>
      <x:c r="S9" s="80" t="n">
        <x:f>IFERROR(H9/E9,0)</x:f>
        <x:v>0.021070997181586365</x:v>
      </x:c>
    </x:row>
    <x:row r="10">
      <x:c r="A10" t="str">
        <x:v>2026-05</x:v>
      </x:c>
      <x:c r="B10" s="78" t="n">
        <x:v>46143</x:v>
      </x:c>
      <x:c r="C10" s="78" t="n">
        <x:v>46173</x:v>
      </x:c>
      <x:c r="D10" s="79" t="n">
        <x:f>SUMIFS('流量采购明细'!$J$2:$J$1001,'流量采购明细'!$B$2:$B$1001,"&gt;="&amp;B10,'流量采购明细'!$B$2:$B$1001,"&lt;="&amp;C10)</x:f>
        <x:v>188679</x:v>
      </x:c>
      <x:c r="E10" s="79" t="n">
        <x:f>SUMIFS('流量采购明细'!$L$2:$L$1001,'流量采购明细'!$B$2:$B$1001,"&gt;="&amp;B10,'流量采购明细'!$B$2:$B$1001,"&lt;="&amp;C10)</x:f>
        <x:v>7982</x:v>
      </x:c>
      <x:c r="F10" s="79" t="n">
        <x:f>SUMIFS('漏斗绩效明细'!$G$2:$G$1001,'漏斗绩效明细'!$B$2:$B$1001,"&gt;="&amp;B10,'漏斗绩效明细'!$B$2:$B$1001,"&lt;="&amp;C10)</x:f>
        <x:v>7282</x:v>
      </x:c>
      <x:c r="G10" s="79" t="n">
        <x:f>SUMIFS('漏斗绩效明细'!$J$2:$J$1001,'漏斗绩效明细'!$B$2:$B$1001,"&gt;="&amp;B10,'漏斗绩效明细'!$B$2:$B$1001,"&lt;="&amp;C10)</x:f>
        <x:v>1924</x:v>
      </x:c>
      <x:c r="H10" s="79" t="n">
        <x:f>SUMIFS('漏斗绩效明细'!$L$2:$L$1001,'漏斗绩效明细'!$B$2:$B$1001,"&gt;="&amp;B10,'漏斗绩效明细'!$B$2:$B$1001,"&lt;="&amp;C10)</x:f>
        <x:v>172</x:v>
      </x:c>
      <x:c r="I10" s="112" t="n">
        <x:f>SUMIFS('流量采购明细'!$N$2:$N$1001,'流量采购明细'!$B$2:$B$1001,"&gt;="&amp;B10,'流量采购明细'!$B$2:$B$1001,"&lt;="&amp;C10)</x:f>
        <x:v>2270.8800000000015</x:v>
      </x:c>
      <x:c r="J10" s="112" t="n">
        <x:f>SUMIFS('运营成本明细'!$G$2:$G$1001,'运营成本明细'!$C$2:$C$1001,"&gt;="&amp;B10,'运营成本明细'!$C$2:$C$1001,"&lt;="&amp;C10)</x:f>
        <x:v>290.5</x:v>
      </x:c>
      <x:c r="K10" s="112" t="n">
        <x:f>SUMIFS('Amazon订单明细'!$M$2:$M$1001,'Amazon订单明细'!$D$2:$D$1001,"&gt;="&amp;B10,'Amazon订单明细'!$D$2:$D$1001,"&lt;="&amp;C10)</x:f>
        <x:v>45493.56</x:v>
      </x:c>
      <x:c r="L10" s="112" t="n">
        <x:f>SUMIFS('Amazon订单明细'!$O$2:$O$1001,'Amazon订单明细'!$D$2:$D$1001,"&gt;="&amp;B10,'Amazon订单明细'!$D$2:$D$1001,"&lt;="&amp;C10)</x:f>
        <x:v>3059.1600000000008</x:v>
      </x:c>
      <x:c r="M10" s="112" t="n">
        <x:f>SUMIFS('Amazon订单明细'!$R$2:$R$1001,'Amazon订单明细'!$D$2:$D$1001,"&gt;="&amp;B10,'Amazon订单明细'!$D$2:$D$1001,"&lt;="&amp;C10)</x:f>
        <x:v>171.6</x:v>
      </x:c>
      <x:c r="N10" s="112" t="n">
        <x:f>SUMIFS('Amazon订单明细'!$S$2:$S$1001,'Amazon订单明细'!$D$2:$D$1001,"&gt;="&amp;B10,'Amazon订单明细'!$D$2:$D$1001,"&lt;="&amp;C10)</x:f>
        <x:v>2887.5600000000018</x:v>
      </x:c>
      <x:c r="O10" s="112" t="n">
        <x:f>I10+J10</x:f>
        <x:v>2561.3800000000015</x:v>
      </x:c>
      <x:c r="P10" s="112" t="n">
        <x:f>N10-O10</x:f>
        <x:v>326.1800000000003</x:v>
      </x:c>
      <x:c r="Q10" s="105" t="n">
        <x:f>IFERROR(P10/O10,0)</x:f>
        <x:v>0.12734541536203145</x:v>
      </x:c>
      <x:c r="R10" s="81" t="n">
        <x:f>IFERROR(O10/H10,0)</x:f>
        <x:v>14.89174418604652</x:v>
      </x:c>
      <x:c r="S10" s="80" t="n">
        <x:f>IFERROR(H10/E10,0)</x:f>
        <x:v>0.021548484089200702</x:v>
      </x:c>
    </x:row>
    <x:row r="11">
      <x:c r="A11" t="str">
        <x:v>2026-06</x:v>
      </x:c>
      <x:c r="B11" s="78" t="n">
        <x:v>46174</x:v>
      </x:c>
      <x:c r="C11" s="78" t="n">
        <x:v>46203</x:v>
      </x:c>
      <x:c r="D11" s="79" t="n">
        <x:f>SUMIFS('流量采购明细'!$J$2:$J$1001,'流量采购明细'!$B$2:$B$1001,"&gt;="&amp;B11,'流量采购明细'!$B$2:$B$1001,"&lt;="&amp;C11)</x:f>
        <x:v>175042</x:v>
      </x:c>
      <x:c r="E11" s="79" t="n">
        <x:f>SUMIFS('流量采购明细'!$L$2:$L$1001,'流量采购明细'!$B$2:$B$1001,"&gt;="&amp;B11,'流量采购明细'!$B$2:$B$1001,"&lt;="&amp;C11)</x:f>
        <x:v>7599</x:v>
      </x:c>
      <x:c r="F11" s="79" t="n">
        <x:f>SUMIFS('漏斗绩效明细'!$G$2:$G$1001,'漏斗绩效明细'!$B$2:$B$1001,"&gt;="&amp;B11,'漏斗绩效明细'!$B$2:$B$1001,"&lt;="&amp;C11)</x:f>
        <x:v>6959</x:v>
      </x:c>
      <x:c r="G11" s="79" t="n">
        <x:f>SUMIFS('漏斗绩效明细'!$J$2:$J$1001,'漏斗绩效明细'!$B$2:$B$1001,"&gt;="&amp;B11,'漏斗绩效明细'!$B$2:$B$1001,"&lt;="&amp;C11)</x:f>
        <x:v>1861</x:v>
      </x:c>
      <x:c r="H11" s="79" t="n">
        <x:f>SUMIFS('漏斗绩效明细'!$L$2:$L$1001,'漏斗绩效明细'!$B$2:$B$1001,"&gt;="&amp;B11,'漏斗绩效明细'!$B$2:$B$1001,"&lt;="&amp;C11)</x:f>
        <x:v>165</x:v>
      </x:c>
      <x:c r="I11" s="112" t="n">
        <x:f>SUMIFS('流量采购明细'!$N$2:$N$1001,'流量采购明细'!$B$2:$B$1001,"&gt;="&amp;B11,'流量采购明细'!$B$2:$B$1001,"&lt;="&amp;C11)</x:f>
        <x:v>2141.93</x:v>
      </x:c>
      <x:c r="J11" s="112" t="n">
        <x:f>SUMIFS('运营成本明细'!$G$2:$G$1001,'运营成本明细'!$C$2:$C$1001,"&gt;="&amp;B11,'运营成本明细'!$C$2:$C$1001,"&lt;="&amp;C11)</x:f>
        <x:v>263.9099999999999</x:v>
      </x:c>
      <x:c r="K11" s="112" t="n">
        <x:f>SUMIFS('Amazon订单明细'!$M$2:$M$1001,'Amazon订单明细'!$D$2:$D$1001,"&gt;="&amp;B11,'Amazon订单明细'!$D$2:$D$1001,"&lt;="&amp;C11)</x:f>
        <x:v>56850.52000000002</x:v>
      </x:c>
      <x:c r="L11" s="112" t="n">
        <x:f>SUMIFS('Amazon订单明细'!$O$2:$O$1001,'Amazon订单明细'!$D$2:$D$1001,"&gt;="&amp;B11,'Amazon订单明细'!$D$2:$D$1001,"&lt;="&amp;C11)</x:f>
        <x:v>3494.240000000001</x:v>
      </x:c>
      <x:c r="M11" s="112" t="n">
        <x:f>SUMIFS('Amazon订单明细'!$R$2:$R$1001,'Amazon订单明细'!$D$2:$D$1001,"&gt;="&amp;B11,'Amazon订单明细'!$D$2:$D$1001,"&lt;="&amp;C11)</x:f>
        <x:v>341.40000000000003</x:v>
      </x:c>
      <x:c r="N11" s="112" t="n">
        <x:f>SUMIFS('Amazon订单明细'!$S$2:$S$1001,'Amazon订单明细'!$D$2:$D$1001,"&gt;="&amp;B11,'Amazon订单明细'!$D$2:$D$1001,"&lt;="&amp;C11)</x:f>
        <x:v>3152.8400000000006</x:v>
      </x:c>
      <x:c r="O11" s="112" t="n">
        <x:f>I11+J11</x:f>
        <x:v>2405.8399999999997</x:v>
      </x:c>
      <x:c r="P11" s="112" t="n">
        <x:f>N11-O11</x:f>
        <x:v>747.0000000000009</x:v>
      </x:c>
      <x:c r="Q11" s="105" t="n">
        <x:f>IFERROR(P11/O11,0)</x:f>
        <x:v>0.31049446347221804</x:v>
      </x:c>
      <x:c r="R11" s="81" t="n">
        <x:f>IFERROR(O11/H11,0)</x:f>
        <x:v>14.580848484848483</x:v>
      </x:c>
      <x:c r="S11" s="80" t="n">
        <x:f>IFERROR(H11/E11,0)</x:f>
        <x:v>0.021713383339913146</x:v>
      </x:c>
    </x:row>
  </x:sheetData>
  <x:mergeCells>
    <x:mergeCell ref="A1:S2"/>
    <x:mergeCell ref="A3:S3"/>
  </x:mergeCells>
  <x:conditionalFormatting sqref="P6:P11">
    <x:cfRule type="cellIs" dxfId="2" priority="1" operator="lessThan">
      <x:formula>0</x:formula>
    </x:cfRule>
    <x:cfRule type="cellIs" dxfId="3" priority="2" operator="greaterThanOrEqual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6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11" hidden="0" customWidth="1"/>
    <x:col min="14" max="14" width="12" hidden="0" customWidth="1"/>
    <x:col min="15" max="15" width="13" hidden="0" customWidth="1"/>
  </x:cols>
  <x:sheetData>
    <x:row r="1">
      <x:c r="A1" s="3" t="str">
        <x:v>渠道经营分析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6" t="str">
        <x:v>从曝光、点击、订单到净佣金与利润的同口径对比｜单位：USD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5" ht="30" customHeight="1">
      <x:c r="A5" s="15" t="str">
        <x:v>平台</x:v>
      </x:c>
      <x:c r="B5" s="55" t="str">
        <x:v>展现量</x:v>
      </x:c>
      <x:c r="C5" s="55" t="str">
        <x:v>广告点击</x:v>
      </x:c>
      <x:c r="D5" s="55" t="str">
        <x:v>落地访问</x:v>
      </x:c>
      <x:c r="E5" s="55" t="str">
        <x:v>Amazon点击</x:v>
      </x:c>
      <x:c r="F5" s="55" t="str">
        <x:v>完成购买</x:v>
      </x:c>
      <x:c r="G5" s="55" t="str">
        <x:v>广告采购成本</x:v>
      </x:c>
      <x:c r="H5" s="55" t="str">
        <x:v>运营成本</x:v>
      </x:c>
      <x:c r="I5" s="55" t="str">
        <x:v>成交额GMV</x:v>
      </x:c>
      <x:c r="J5" s="55" t="str">
        <x:v>净佣金</x:v>
      </x:c>
      <x:c r="K5" s="55" t="str">
        <x:v>总成本</x:v>
      </x:c>
      <x:c r="L5" s="55" t="str">
        <x:v>净利润</x:v>
      </x:c>
      <x:c r="M5" s="55" t="str">
        <x:v>ROI</x:v>
      </x:c>
      <x:c r="N5" s="55" t="str">
        <x:v>CAC</x:v>
      </x:c>
      <x:c r="O5" s="16" t="str">
        <x:v>净利润率</x:v>
      </x:c>
    </x:row>
    <x:row r="6">
      <x:c r="A6" t="str">
        <x:v>Google Ads</x:v>
      </x:c>
      <x:c r="B6" s="79" t="n">
        <x:f>SUMIFS('流量采购明细'!$J$2:$J$1001,'流量采购明细'!$C$2:$C$1001,$A6)</x:f>
        <x:v>689989</x:v>
      </x:c>
      <x:c r="C6" s="79" t="n">
        <x:f>SUMIFS('流量采购明细'!$L$2:$L$1001,'流量采购明细'!$C$2:$C$1001,$A6)</x:f>
        <x:v>29003</x:v>
      </x:c>
      <x:c r="D6" s="79" t="n">
        <x:f>SUMIFS('漏斗绩效明细'!$G$2:$G$1001,'漏斗绩效明细'!$C$2:$C$1001,$A6)</x:f>
        <x:v>26448</x:v>
      </x:c>
      <x:c r="E6" s="79" t="n">
        <x:f>SUMIFS('漏斗绩效明细'!$J$2:$J$1001,'漏斗绩效明细'!$C$2:$C$1001,$A6)</x:f>
        <x:v>7011</x:v>
      </x:c>
      <x:c r="F6" s="79" t="n">
        <x:f>SUMIFS('漏斗绩效明细'!$L$2:$L$1001,'漏斗绩效明细'!$C$2:$C$1001,$A6)</x:f>
        <x:v>616</x:v>
      </x:c>
      <x:c r="G6" s="112" t="n">
        <x:f>SUMIFS('流量采购明细'!$N$2:$N$1001,'流量采购明细'!$C$2:$C$1001,$A6)</x:f>
        <x:v>8936.790000000003</x:v>
      </x:c>
      <x:c r="H6" s="112" t="n">
        <x:f>SUMIFS('运营成本明细'!$G$2:$G$1001,'运营成本明细'!$D$2:$D$1001,$A6)</x:f>
        <x:v>1033.15</x:v>
      </x:c>
      <x:c r="I6" s="112" t="n">
        <x:f>SUMIFS('Amazon订单明细'!$M$2:$M$1001,'Amazon订单明细'!$E$2:$E$1001,$A6)</x:f>
        <x:v>189256.36999999994</x:v>
      </x:c>
      <x:c r="J6" s="112" t="n">
        <x:f>SUMIFS('Amazon订单明细'!$S$2:$S$1001,'Amazon订单明细'!$E$2:$E$1001,$A6)</x:f>
        <x:v>11284.989999999998</x:v>
      </x:c>
      <x:c r="K6" s="112" t="n">
        <x:f>G6+H6</x:f>
        <x:v>9969.940000000002</x:v>
      </x:c>
      <x:c r="L6" s="112" t="n">
        <x:f>J6-K6</x:f>
        <x:v>1315.0499999999956</x:v>
      </x:c>
      <x:c r="M6" s="105" t="n">
        <x:f>IFERROR(L6/K6,0)</x:f>
        <x:v>0.13190149589666492</x:v>
      </x:c>
      <x:c r="N6" s="81" t="n">
        <x:f>IFERROR(K6/F6,0)</x:f>
        <x:v>16.184967532467535</x:v>
      </x:c>
      <x:c r="O6" s="105" t="n">
        <x:f>IFERROR(L6/J6,0)</x:f>
        <x:v>0.11653089634992994</x:v>
      </x:c>
    </x:row>
    <x:row r="7">
      <x:c r="A7" t="str">
        <x:v>Microsoft Ads</x:v>
      </x:c>
      <x:c r="B7" s="79" t="n">
        <x:f>SUMIFS('流量采购明细'!$J$2:$J$1001,'流量采购明细'!$C$2:$C$1001,$A7)</x:f>
        <x:v>387203</x:v>
      </x:c>
      <x:c r="C7" s="79" t="n">
        <x:f>SUMIFS('流量采购明细'!$L$2:$L$1001,'流量采购明细'!$C$2:$C$1001,$A7)</x:f>
        <x:v>16690</x:v>
      </x:c>
      <x:c r="D7" s="79" t="n">
        <x:f>SUMIFS('漏斗绩效明细'!$G$2:$G$1001,'漏斗绩效明细'!$C$2:$C$1001,$A7)</x:f>
        <x:v>15365</x:v>
      </x:c>
      <x:c r="E7" s="79" t="n">
        <x:f>SUMIFS('漏斗绩效明细'!$J$2:$J$1001,'漏斗绩效明细'!$C$2:$C$1001,$A7)</x:f>
        <x:v>4070</x:v>
      </x:c>
      <x:c r="F7" s="79" t="n">
        <x:f>SUMIFS('漏斗绩效明细'!$L$2:$L$1001,'漏斗绩效明细'!$C$2:$C$1001,$A7)</x:f>
        <x:v>384</x:v>
      </x:c>
      <x:c r="G7" s="112" t="n">
        <x:f>SUMIFS('流量采购明细'!$N$2:$N$1001,'流量采购明细'!$C$2:$C$1001,$A7)</x:f>
        <x:v>3916.709999999999</x:v>
      </x:c>
      <x:c r="H7" s="112" t="n">
        <x:f>SUMIFS('运营成本明细'!$G$2:$G$1001,'运营成本明细'!$D$2:$D$1001,$A7)</x:f>
        <x:v>585.5700000000002</x:v>
      </x:c>
      <x:c r="I7" s="112" t="n">
        <x:f>SUMIFS('Amazon订单明细'!$M$2:$M$1001,'Amazon订单明细'!$E$2:$E$1001,$A7)</x:f>
        <x:v>117075.18999999994</x:v>
      </x:c>
      <x:c r="J7" s="112" t="n">
        <x:f>SUMIFS('Amazon订单明细'!$S$2:$S$1001,'Amazon订单明细'!$E$2:$E$1001,$A7)</x:f>
        <x:v>7175.189999999991</x:v>
      </x:c>
      <x:c r="K7" s="112" t="n">
        <x:f>G7+H7</x:f>
        <x:v>4502.279999999999</x:v>
      </x:c>
      <x:c r="L7" s="112" t="n">
        <x:f>J7-K7</x:f>
        <x:v>2672.9099999999926</x:v>
      </x:c>
      <x:c r="M7" s="105" t="n">
        <x:f>IFERROR(L7/K7,0)</x:f>
        <x:v>0.5936792025373796</x:v>
      </x:c>
      <x:c r="N7" s="81" t="n">
        <x:f>IFERROR(K7/F7,0)</x:f>
        <x:v>11.724687499999996</x:v>
      </x:c>
      <x:c r="O7" s="105" t="n">
        <x:f>IFERROR(L7/J7,0)</x:f>
        <x:v>0.37252114578150486</x:v>
      </x:c>
    </x:row>
  </x:sheetData>
  <x:mergeCells>
    <x:mergeCell ref="A1:O2"/>
    <x:mergeCell ref="A3:O3"/>
  </x:mergeCells>
  <x:conditionalFormatting sqref="L6:L7">
    <x:cfRule type="cellIs" dxfId="4" priority="1" operator="lessThan">
      <x:formula>0</x:formula>
    </x:cfRule>
    <x:cfRule type="cellIs" dxfId="5" priority="2" operator="greaterThanOrEqual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6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11" hidden="0" customWidth="1"/>
    <x:col min="14" max="14" width="12" hidden="0" customWidth="1"/>
    <x:col min="15" max="15" width="13" hidden="0" customWidth="1"/>
  </x:cols>
  <x:sheetData>
    <x:row r="1">
      <x:c r="A1" s="3" t="str">
        <x:v>活动类型经营分析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6" t="str">
        <x:v>从曝光、点击、订单到净佣金与利润的同口径对比｜单位：USD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5" ht="30" customHeight="1">
      <x:c r="A5" s="15" t="str">
        <x:v>活动类型</x:v>
      </x:c>
      <x:c r="B5" s="55" t="str">
        <x:v>展现量</x:v>
      </x:c>
      <x:c r="C5" s="55" t="str">
        <x:v>广告点击</x:v>
      </x:c>
      <x:c r="D5" s="55" t="str">
        <x:v>落地访问</x:v>
      </x:c>
      <x:c r="E5" s="55" t="str">
        <x:v>Amazon点击</x:v>
      </x:c>
      <x:c r="F5" s="55" t="str">
        <x:v>完成购买</x:v>
      </x:c>
      <x:c r="G5" s="55" t="str">
        <x:v>广告采购成本</x:v>
      </x:c>
      <x:c r="H5" s="55" t="str">
        <x:v>运营成本</x:v>
      </x:c>
      <x:c r="I5" s="55" t="str">
        <x:v>成交额GMV</x:v>
      </x:c>
      <x:c r="J5" s="55" t="str">
        <x:v>净佣金</x:v>
      </x:c>
      <x:c r="K5" s="55" t="str">
        <x:v>总成本</x:v>
      </x:c>
      <x:c r="L5" s="55" t="str">
        <x:v>净利润</x:v>
      </x:c>
      <x:c r="M5" s="55" t="str">
        <x:v>ROI</x:v>
      </x:c>
      <x:c r="N5" s="55" t="str">
        <x:v>CAC</x:v>
      </x:c>
      <x:c r="O5" s="16" t="str">
        <x:v>净利润率</x:v>
      </x:c>
    </x:row>
    <x:row r="6">
      <x:c r="A6" t="str">
        <x:v>品牌搜索</x:v>
      </x:c>
      <x:c r="B6" s="79" t="n">
        <x:f>SUMIFS('流量采购明细'!$J$2:$J$1001,'流量采购明细'!$F$2:$F$1001,$A6)</x:f>
        <x:v>213305</x:v>
      </x:c>
      <x:c r="C6" s="79" t="n">
        <x:f>SUMIFS('流量采购明细'!$L$2:$L$1001,'流量采购明细'!$F$2:$F$1001,$A6)</x:f>
        <x:v>12226</x:v>
      </x:c>
      <x:c r="D6" s="79" t="n">
        <x:f>SUMIFS('漏斗绩效明细'!$G$2:$G$1001,'漏斗绩效明细'!$E$2:$E$1001,$A6)</x:f>
        <x:v>11205</x:v>
      </x:c>
      <x:c r="E6" s="79" t="n">
        <x:f>SUMIFS('漏斗绩效明细'!$J$2:$J$1001,'漏斗绩效明细'!$E$2:$E$1001,$A6)</x:f>
        <x:v>3126</x:v>
      </x:c>
      <x:c r="F6" s="79" t="n">
        <x:f>SUMIFS('漏斗绩效明细'!$L$2:$L$1001,'漏斗绩效明细'!$E$2:$E$1001,$A6)</x:f>
        <x:v>307</x:v>
      </x:c>
      <x:c r="G6" s="112" t="n">
        <x:f>SUMIFS('流量采购明细'!$N$2:$N$1001,'流量采购明细'!$F$2:$F$1001,$A6)</x:f>
        <x:v>2594.1700000000005</x:v>
      </x:c>
      <x:c r="H6" s="112" t="n">
        <x:f>IFERROR(G6/SUM($G$6:$G$9)*SUM('运营成本明细'!$G$2:$G$1001),0)</x:f>
        <x:v>326.69972088536196</x:v>
      </x:c>
      <x:c r="I6" s="112" t="n">
        <x:f>SUMIFS('Amazon订单明细'!$M$2:$M$1001,'Amazon订单明细'!$G$2:$G$1001,$A6)</x:f>
        <x:v>101138.12999999987</x:v>
      </x:c>
      <x:c r="J6" s="112" t="n">
        <x:f>SUMIFS('Amazon订单明细'!$S$2:$S$1001,'Amazon订单明细'!$G$2:$G$1001,$A6)</x:f>
        <x:v>6158.48</x:v>
      </x:c>
      <x:c r="K6" s="112" t="n">
        <x:f>G6+H6</x:f>
        <x:v>2920.8697208853623</x:v>
      </x:c>
      <x:c r="L6" s="112" t="n">
        <x:f>J6-K6</x:f>
        <x:v>3237.6102791146373</x:v>
      </x:c>
      <x:c r="M6" s="105" t="n">
        <x:f>IFERROR(L6/K6,0)</x:f>
        <x:v>1.1084404949541076</x:v>
      </x:c>
      <x:c r="N6" s="81" t="n">
        <x:f>IFERROR(K6/F6,0)</x:f>
        <x:v>9.514233618519096</x:v>
      </x:c>
      <x:c r="O6" s="105" t="n">
        <x:f>IFERROR(L6/J6,0)</x:f>
        <x:v>0.5257158063539441</x:v>
      </x:c>
    </x:row>
    <x:row r="7">
      <x:c r="A7" t="str">
        <x:v>通用搜索</x:v>
      </x:c>
      <x:c r="B7" s="79" t="n">
        <x:f>SUMIFS('流量采购明细'!$J$2:$J$1001,'流量采购明细'!$F$2:$F$1001,$A7)</x:f>
        <x:v>349979</x:v>
      </x:c>
      <x:c r="C7" s="79" t="n">
        <x:f>SUMIFS('流量采购明细'!$L$2:$L$1001,'流量采购明细'!$F$2:$F$1001,$A7)</x:f>
        <x:v>12616</x:v>
      </x:c>
      <x:c r="D7" s="79" t="n">
        <x:f>SUMIFS('漏斗绩效明细'!$G$2:$G$1001,'漏斗绩效明细'!$E$2:$E$1001,$A7)</x:f>
        <x:v>11571</x:v>
      </x:c>
      <x:c r="E7" s="79" t="n">
        <x:f>SUMIFS('漏斗绩效明细'!$J$2:$J$1001,'漏斗绩效明细'!$E$2:$E$1001,$A7)</x:f>
        <x:v>2777</x:v>
      </x:c>
      <x:c r="F7" s="79" t="n">
        <x:f>SUMIFS('漏斗绩效明细'!$L$2:$L$1001,'漏斗绩效明细'!$E$2:$E$1001,$A7)</x:f>
        <x:v>273</x:v>
      </x:c>
      <x:c r="G7" s="112" t="n">
        <x:f>SUMIFS('流量采购明细'!$N$2:$N$1001,'流量采购明细'!$F$2:$F$1001,$A7)</x:f>
        <x:v>3538.0499999999984</x:v>
      </x:c>
      <x:c r="H7" s="112" t="n">
        <x:f>IFERROR(G7/SUM($G$6:$G$9)*SUM('运营成本明细'!$G$2:$G$1001),0)</x:f>
        <x:v>445.5683118216825</x:v>
      </x:c>
      <x:c r="I7" s="112" t="n">
        <x:f>SUMIFS('Amazon订单明细'!$M$2:$M$1001,'Amazon订单明细'!$G$2:$G$1001,$A7)</x:f>
        <x:v>77488.05</x:v>
      </x:c>
      <x:c r="J7" s="112" t="n">
        <x:f>SUMIFS('Amazon订单明细'!$S$2:$S$1001,'Amazon订单明细'!$G$2:$G$1001,$A7)</x:f>
        <x:v>4669.630000000004</x:v>
      </x:c>
      <x:c r="K7" s="112" t="n">
        <x:f>G7+H7</x:f>
        <x:v>3983.618311821681</x:v>
      </x:c>
      <x:c r="L7" s="112" t="n">
        <x:f>J7-K7</x:f>
        <x:v>686.0116881783229</x:v>
      </x:c>
      <x:c r="M7" s="105" t="n">
        <x:f>IFERROR(L7/K7,0)</x:f>
        <x:v>0.1722081872509052</x:v>
      </x:c>
      <x:c r="N7" s="81" t="n">
        <x:f>IFERROR(K7/F7,0)</x:f>
        <x:v>14.592008468211285</x:v>
      </x:c>
      <x:c r="O7" s="105" t="n">
        <x:f>IFERROR(L7/J7,0)</x:f>
        <x:v>0.1469092172566825</x:v>
      </x:c>
    </x:row>
    <x:row r="8">
      <x:c r="A8" t="str">
        <x:v>购物广告</x:v>
      </x:c>
      <x:c r="B8" s="79" t="n">
        <x:f>SUMIFS('流量采购明细'!$J$2:$J$1001,'流量采购明细'!$F$2:$F$1001,$A8)</x:f>
        <x:v>369978</x:v>
      </x:c>
      <x:c r="C8" s="79" t="n">
        <x:f>SUMIFS('流量采购明细'!$L$2:$L$1001,'流量采购明细'!$F$2:$F$1001,$A8)</x:f>
        <x:v>16186</x:v>
      </x:c>
      <x:c r="D8" s="79" t="n">
        <x:f>SUMIFS('漏斗绩效明细'!$G$2:$G$1001,'漏斗绩效明细'!$E$2:$E$1001,$A8)</x:f>
        <x:v>14776</x:v>
      </x:c>
      <x:c r="E8" s="79" t="n">
        <x:f>SUMIFS('漏斗绩效明细'!$J$2:$J$1001,'漏斗绩效明细'!$E$2:$E$1001,$A8)</x:f>
        <x:v>4169</x:v>
      </x:c>
      <x:c r="F8" s="79" t="n">
        <x:f>SUMIFS('漏斗绩效明细'!$L$2:$L$1001,'漏斗绩效明细'!$E$2:$E$1001,$A8)</x:f>
        <x:v>357</x:v>
      </x:c>
      <x:c r="G8" s="112" t="n">
        <x:f>SUMIFS('流量采购明细'!$N$2:$N$1001,'流量采购明细'!$F$2:$F$1001,$A8)</x:f>
        <x:v>4983.97</x:v>
      </x:c>
      <x:c r="H8" s="112" t="n">
        <x:f>IFERROR(G8/SUM($G$6:$G$9)*SUM('运营成本明细'!$G$2:$G$1001),0)</x:f>
        <x:v>627.661875629206</x:v>
      </x:c>
      <x:c r="I8" s="112" t="n">
        <x:f>SUMIFS('Amazon订单明细'!$M$2:$M$1001,'Amazon订单明细'!$G$2:$G$1001,$A8)</x:f>
        <x:v>109537.40000000002</x:v>
      </x:c>
      <x:c r="J8" s="112" t="n">
        <x:f>SUMIFS('Amazon订单明细'!$S$2:$S$1001,'Amazon订单明细'!$G$2:$G$1001,$A8)</x:f>
        <x:v>6493.659999999994</x:v>
      </x:c>
      <x:c r="K8" s="112" t="n">
        <x:f>G8+H8</x:f>
        <x:v>5611.631875629206</x:v>
      </x:c>
      <x:c r="L8" s="112" t="n">
        <x:f>J8-K8</x:f>
        <x:v>882.0281243707886</x:v>
      </x:c>
      <x:c r="M8" s="105" t="n">
        <x:f>IFERROR(L8/K8,0)</x:f>
        <x:v>0.15717854341111623</x:v>
      </x:c>
      <x:c r="N8" s="81" t="n">
        <x:f>IFERROR(K8/F8,0)</x:f>
        <x:v>15.718856794479567</x:v>
      </x:c>
      <x:c r="O8" s="105" t="n">
        <x:f>IFERROR(L8/J8,0)</x:f>
        <x:v>0.13582912015270115</x:v>
      </x:c>
    </x:row>
    <x:row r="9">
      <x:c r="A9" t="str">
        <x:v>竞品搜索</x:v>
      </x:c>
      <x:c r="B9" s="79" t="n">
        <x:f>SUMIFS('流量采购明细'!$J$2:$J$1001,'流量采购明细'!$F$2:$F$1001,$A9)</x:f>
        <x:v>143930</x:v>
      </x:c>
      <x:c r="C9" s="79" t="n">
        <x:f>SUMIFS('流量采购明细'!$L$2:$L$1001,'流量采购明细'!$F$2:$F$1001,$A9)</x:f>
        <x:v>4665</x:v>
      </x:c>
      <x:c r="D9" s="79" t="n">
        <x:f>SUMIFS('漏斗绩效明细'!$G$2:$G$1001,'漏斗绩效明细'!$E$2:$E$1001,$A9)</x:f>
        <x:v>4261</x:v>
      </x:c>
      <x:c r="E9" s="79" t="n">
        <x:f>SUMIFS('漏斗绩效明细'!$J$2:$J$1001,'漏斗绩效明细'!$E$2:$E$1001,$A9)</x:f>
        <x:v>1009</x:v>
      </x:c>
      <x:c r="F9" s="79" t="n">
        <x:f>SUMIFS('漏斗绩效明细'!$L$2:$L$1001,'漏斗绩效明细'!$E$2:$E$1001,$A9)</x:f>
        <x:v>63</x:v>
      </x:c>
      <x:c r="G9" s="112" t="n">
        <x:f>SUMIFS('流量采购明细'!$N$2:$N$1001,'流量采购明细'!$F$2:$F$1001,$A9)</x:f>
        <x:v>1737.31</x:v>
      </x:c>
      <x:c r="H9" s="112" t="n">
        <x:f>IFERROR(G9/SUM($G$6:$G$9)*SUM('运营成本明细'!$G$2:$G$1001),0)</x:f>
        <x:v>218.79009166374914</x:v>
      </x:c>
      <x:c r="I9" s="112" t="n">
        <x:f>SUMIFS('Amazon订单明细'!$M$2:$M$1001,'Amazon订单明细'!$G$2:$G$1001,$A9)</x:f>
        <x:v>18167.98</x:v>
      </x:c>
      <x:c r="J9" s="112" t="n">
        <x:f>SUMIFS('Amazon订单明细'!$S$2:$S$1001,'Amazon订单明细'!$G$2:$G$1001,$A9)</x:f>
        <x:v>1138.4099999999999</x:v>
      </x:c>
      <x:c r="K9" s="112" t="n">
        <x:f>G9+H9</x:f>
        <x:v>1956.100091663749</x:v>
      </x:c>
      <x:c r="L9" s="112" t="n">
        <x:f>J9-K9</x:f>
        <x:v>-817.6900916637492</x:v>
      </x:c>
      <x:c r="M9" s="105" t="n">
        <x:f>IFERROR(L9/K9,0)</x:f>
        <x:v>-0.4180205783683941</x:v>
      </x:c>
      <x:c r="N9" s="81" t="n">
        <x:f>IFERROR(K9/F9,0)</x:f>
        <x:v>31.04920780418649</x:v>
      </x:c>
      <x:c r="O9" s="105" t="n">
        <x:f>IFERROR(L9/J9,0)</x:f>
        <x:v>-0.7182738131813224</x:v>
      </x:c>
    </x:row>
  </x:sheetData>
  <x:mergeCells>
    <x:mergeCell ref="A1:O2"/>
    <x:mergeCell ref="A3:O3"/>
  </x:mergeCells>
  <x:conditionalFormatting sqref="L6:L9">
    <x:cfRule type="cellIs" dxfId="6" priority="1" operator="lessThan">
      <x:formula>0</x:formula>
    </x:cfRule>
    <x:cfRule type="cellIs" dxfId="7" priority="2" operator="greaterThanOrEqual">
      <x:formula>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4" hidden="0" customWidth="1"/>
    <x:col min="9" max="9" width="12" hidden="0" customWidth="1"/>
  </x:cols>
  <x:sheetData>
    <x:row r="1">
      <x:c r="A1" s="3" t="str">
        <x:v>Amazon品类与佣金分析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6" t="str">
        <x:v>品类佣金率、退款和净佣金对比；所有费率均为模拟假设｜单位：USD</x:v>
      </x:c>
      <x:c r="B3" s="6"/>
      <x:c r="C3" s="6"/>
      <x:c r="D3" s="6"/>
      <x:c r="E3" s="6"/>
      <x:c r="F3" s="6"/>
      <x:c r="G3" s="6"/>
      <x:c r="H3" s="6"/>
      <x:c r="I3" s="6"/>
    </x:row>
    <x:row r="5" ht="30" customHeight="1">
      <x:c r="A5" s="15" t="str">
        <x:v>品类</x:v>
      </x:c>
      <x:c r="B5" s="55" t="str">
        <x:v>订单数</x:v>
      </x:c>
      <x:c r="C5" s="55" t="str">
        <x:v>成交额GMV</x:v>
      </x:c>
      <x:c r="D5" s="55" t="str">
        <x:v>毛佣金</x:v>
      </x:c>
      <x:c r="E5" s="55" t="str">
        <x:v>退款佣金</x:v>
      </x:c>
      <x:c r="F5" s="55" t="str">
        <x:v>净佣金</x:v>
      </x:c>
      <x:c r="G5" s="55" t="str">
        <x:v>平均客单价</x:v>
      </x:c>
      <x:c r="H5" s="55" t="str">
        <x:v>平均佣金率</x:v>
      </x:c>
      <x:c r="I5" s="16" t="str">
        <x:v>退款率</x:v>
      </x:c>
    </x:row>
    <x:row r="6">
      <x:c r="A6" t="str">
        <x:v>电子产品</x:v>
      </x:c>
      <x:c r="B6" s="79" t="n">
        <x:f>COUNTIFS('Amazon订单明细'!$I$2:$I$1001,$A6)</x:f>
        <x:v>256</x:v>
      </x:c>
      <x:c r="C6" s="81" t="n">
        <x:f>SUMIFS('Amazon订单明细'!$M$2:$M$1001,'Amazon订单明细'!$I$2:$I$1001,$A6)</x:f>
        <x:v>150536.99000000005</x:v>
      </x:c>
      <x:c r="D6" s="81" t="n">
        <x:f>SUMIFS('Amazon订单明细'!$O$2:$O$1001,'Amazon订单明细'!$I$2:$I$1001,$A6)</x:f>
        <x:v>7527.009999999998</x:v>
      </x:c>
      <x:c r="E6" s="81" t="n">
        <x:f>SUMIFS('Amazon订单明细'!$R$2:$R$1001,'Amazon订单明细'!$I$2:$I$1001,$A6)</x:f>
        <x:v>403.81000000000006</x:v>
      </x:c>
      <x:c r="F6" s="81" t="n">
        <x:f>SUMIFS('Amazon订单明细'!$S$2:$S$1001,'Amazon订单明细'!$I$2:$I$1001,$A6)</x:f>
        <x:v>7123.199999999999</x:v>
      </x:c>
      <x:c r="G6" s="81" t="n">
        <x:f>IFERROR(C6/B6,0)</x:f>
        <x:v>588.0351171875002</x:v>
      </x:c>
      <x:c r="H6" s="105" t="n">
        <x:f>IFERROR(D6/C6,0)</x:f>
        <x:v>0.05000106618313543</x:v>
      </x:c>
      <x:c r="I6" s="105" t="n">
        <x:f>IFERROR(COUNTIFS('Amazon订单明细'!$I$2:$I$1001,$A6,'Amazon订单明细'!$P$2:$P$1001,"已退款")/B6,0)</x:f>
        <x:v>0.0390625</x:v>
      </x:c>
    </x:row>
    <x:row r="7">
      <x:c r="A7" t="str">
        <x:v>家居生活</x:v>
      </x:c>
      <x:c r="B7" s="79" t="n">
        <x:f>COUNTIFS('Amazon订单明细'!$I$2:$I$1001,$A7)</x:f>
        <x:v>216</x:v>
      </x:c>
      <x:c r="C7" s="81" t="n">
        <x:f>SUMIFS('Amazon订单明细'!$M$2:$M$1001,'Amazon订单明细'!$I$2:$I$1001,$A7)</x:f>
        <x:v>60178.74000000001</x:v>
      </x:c>
      <x:c r="D7" s="81" t="n">
        <x:f>SUMIFS('Amazon订单明细'!$O$2:$O$1001,'Amazon订单明细'!$I$2:$I$1001,$A7)</x:f>
        <x:v>4212.539999999999</x:v>
      </x:c>
      <x:c r="E7" s="81" t="n">
        <x:f>SUMIFS('Amazon订单明细'!$R$2:$R$1001,'Amazon订单明细'!$I$2:$I$1001,$A7)</x:f>
        <x:v>213.95999999999998</x:v>
      </x:c>
      <x:c r="F7" s="81" t="n">
        <x:f>SUMIFS('Amazon订单明细'!$S$2:$S$1001,'Amazon订单明细'!$I$2:$I$1001,$A7)</x:f>
        <x:v>3998.5799999999995</x:v>
      </x:c>
      <x:c r="G7" s="81" t="n">
        <x:f>IFERROR(C7/B7,0)</x:f>
        <x:v>278.6052777777778</x:v>
      </x:c>
      <x:c r="H7" s="105" t="n">
        <x:f>IFERROR(D7/C7,0)</x:f>
        <x:v>0.07000046860402857</x:v>
      </x:c>
      <x:c r="I7" s="105" t="n">
        <x:f>IFERROR(COUNTIFS('Amazon订单明细'!$I$2:$I$1001,$A7,'Amazon订单明细'!$P$2:$P$1001,"已退款")/B7,0)</x:f>
        <x:v>0.05092592592592592</x:v>
      </x:c>
    </x:row>
    <x:row r="8">
      <x:c r="A8" t="str">
        <x:v>运动健康</x:v>
      </x:c>
      <x:c r="B8" s="79" t="n">
        <x:f>COUNTIFS('Amazon订单明细'!$I$2:$I$1001,$A8)</x:f>
        <x:v>190</x:v>
      </x:c>
      <x:c r="C8" s="81" t="n">
        <x:f>SUMIFS('Amazon订单明细'!$M$2:$M$1001,'Amazon订单明细'!$I$2:$I$1001,$A8)</x:f>
        <x:v>40188.929999999986</x:v>
      </x:c>
      <x:c r="D8" s="81" t="n">
        <x:f>SUMIFS('Amazon订单明细'!$O$2:$O$1001,'Amazon订单明细'!$I$2:$I$1001,$A8)</x:f>
        <x:v>3215.12</x:v>
      </x:c>
      <x:c r="E8" s="81" t="n">
        <x:f>SUMIFS('Amazon订单明细'!$R$2:$R$1001,'Amazon订单明细'!$I$2:$I$1001,$A8)</x:f>
        <x:v>256.83</x:v>
      </x:c>
      <x:c r="F8" s="81" t="n">
        <x:f>SUMIFS('Amazon订单明细'!$S$2:$S$1001,'Amazon订单明细'!$I$2:$I$1001,$A8)</x:f>
        <x:v>2958.2900000000004</x:v>
      </x:c>
      <x:c r="G8" s="81" t="n">
        <x:f>IFERROR(C8/B8,0)</x:f>
        <x:v>211.52068421052624</x:v>
      </x:c>
      <x:c r="H8" s="105" t="n">
        <x:f>IFERROR(D8/C8,0)</x:f>
        <x:v>0.08000013934185361</x:v>
      </x:c>
      <x:c r="I8" s="105" t="n">
        <x:f>IFERROR(COUNTIFS('Amazon订单明细'!$I$2:$I$1001,$A8,'Amazon订单明细'!$P$2:$P$1001,"已退款")/B8,0)</x:f>
        <x:v>0.08947368421052632</x:v>
      </x:c>
    </x:row>
    <x:row r="9">
      <x:c r="A9" t="str">
        <x:v>美妆个护</x:v>
      </x:c>
      <x:c r="B9" s="79" t="n">
        <x:f>COUNTIFS('Amazon订单明细'!$I$2:$I$1001,$A9)</x:f>
        <x:v>182</x:v>
      </x:c>
      <x:c r="C9" s="81" t="n">
        <x:f>SUMIFS('Amazon订单明细'!$M$2:$M$1001,'Amazon订单明细'!$I$2:$I$1001,$A9)</x:f>
        <x:v>23803.139999999996</x:v>
      </x:c>
      <x:c r="D9" s="81" t="n">
        <x:f>SUMIFS('Amazon订单明细'!$O$2:$O$1001,'Amazon订单明细'!$I$2:$I$1001,$A9)</x:f>
        <x:v>2380.3299999999995</x:v>
      </x:c>
      <x:c r="E9" s="81" t="n">
        <x:f>SUMIFS('Amazon订单明细'!$R$2:$R$1001,'Amazon订单明细'!$I$2:$I$1001,$A9)</x:f>
        <x:v>99.58000000000001</x:v>
      </x:c>
      <x:c r="F9" s="81" t="n">
        <x:f>SUMIFS('Amazon订单明细'!$S$2:$S$1001,'Amazon订单明细'!$I$2:$I$1001,$A9)</x:f>
        <x:v>2280.7499999999995</x:v>
      </x:c>
      <x:c r="G9" s="81" t="n">
        <x:f>IFERROR(C9/B9,0)</x:f>
        <x:v>130.7864835164835</x:v>
      </x:c>
      <x:c r="H9" s="105" t="n">
        <x:f>IFERROR(D9/C9,0)</x:f>
        <x:v>0.10000067218022496</x:v>
      </x:c>
      <x:c r="I9" s="105" t="n">
        <x:f>IFERROR(COUNTIFS('Amazon订单明细'!$I$2:$I$1001,$A9,'Amazon订单明细'!$P$2:$P$1001,"已退款")/B9,0)</x:f>
        <x:v>0.027472527472527472</x:v>
      </x:c>
    </x:row>
    <x:row r="10">
      <x:c r="A10" t="str">
        <x:v>办公学习</x:v>
      </x:c>
      <x:c r="B10" s="79" t="n">
        <x:f>COUNTIFS('Amazon订单明细'!$I$2:$I$1001,$A10)</x:f>
        <x:v>156</x:v>
      </x:c>
      <x:c r="C10" s="81" t="n">
        <x:f>SUMIFS('Amazon订单明细'!$M$2:$M$1001,'Amazon订单明细'!$I$2:$I$1001,$A10)</x:f>
        <x:v>31623.760000000002</x:v>
      </x:c>
      <x:c r="D10" s="81" t="n">
        <x:f>SUMIFS('Amazon订单明细'!$O$2:$O$1001,'Amazon订单明细'!$I$2:$I$1001,$A10)</x:f>
        <x:v>2213.71</x:v>
      </x:c>
      <x:c r="E10" s="81" t="n">
        <x:f>SUMIFS('Amazon订单明细'!$R$2:$R$1001,'Amazon订单明细'!$I$2:$I$1001,$A10)</x:f>
        <x:v>114.35</x:v>
      </x:c>
      <x:c r="F10" s="81" t="n">
        <x:f>SUMIFS('Amazon订单明细'!$S$2:$S$1001,'Amazon订单明细'!$I$2:$I$1001,$A10)</x:f>
        <x:v>2099.36</x:v>
      </x:c>
      <x:c r="G10" s="81" t="n">
        <x:f>IFERROR(C10/B10,0)</x:f>
        <x:v>202.71641025641026</x:v>
      </x:c>
      <x:c r="H10" s="105" t="n">
        <x:f>IFERROR(D10/C10,0)</x:f>
        <x:v>0.07000147989992335</x:v>
      </x:c>
      <x:c r="I10" s="105" t="n">
        <x:f>IFERROR(COUNTIFS('Amazon订单明细'!$I$2:$I$1001,$A10,'Amazon订单明细'!$P$2:$P$1001,"已退款")/B10,0)</x:f>
        <x:v>0.038461538461538464</x:v>
      </x:c>
    </x:row>
  </x:sheetData>
  <x:mergeCells>
    <x:mergeCell ref="A1:I2"/>
    <x:mergeCell ref="A3:I3"/>
  </x:mergeCells>
  <x:conditionalFormatting sqref="F6:F10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{345867B6-2228-DC8D-2506-259E2BF72C7D}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5867B6-2228-DC8D-2506-259E2BF72C7D}">
            <x14:dataBar gradient="1">
              <x14:cfvo type="min"/>
              <x14:cfvo type="max"/>
              <x14:fillColor rgb="FF0F766E"/>
            </x14:dataBar>
          </x14:cfRule>
          <xm:sqref>F6:F10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28" hidden="0" customWidth="1"/>
    <x:col min="5" max="5" width="4" hidden="0" customWidth="1"/>
    <x:col min="6" max="6" width="4" hidden="0" customWidth="1"/>
  </x:cols>
  <x:sheetData>
    <x:row r="1">
      <x:c r="A1" s="3" t="str">
        <x:v>模型检查与控制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>
      <x:c r="A3" s="6" t="str">
        <x:f>"MODEL STATUS: "&amp;IF(SUM(B6:B11)=0,"PASS","FAIL")</x:f>
        <x:v>MODEL STATUS: PASS</x:v>
      </x:c>
      <x:c r="B3" s="6"/>
      <x:c r="C3" s="6"/>
      <x:c r="D3" s="6"/>
      <x:c r="E3" s="6"/>
      <x:c r="F3" s="6"/>
    </x:row>
    <x:row r="5" ht="30" customHeight="1">
      <x:c r="A5" s="15" t="str">
        <x:v>检查</x:v>
      </x:c>
      <x:c r="B5" s="55" t="str">
        <x:v>差异</x:v>
      </x:c>
      <x:c r="C5" s="55" t="str">
        <x:v>修复位置</x:v>
      </x:c>
      <x:c r="D5" s="16" t="str">
        <x:v>说明</x:v>
      </x:c>
    </x:row>
    <x:row r="6">
      <x:c r="A6" t="str">
        <x:v>漏斗购买数 = 订单明细行数</x:v>
      </x:c>
      <x:c r="B6" s="113" t="n">
        <x:f>ABS(SUM('漏斗绩效明细'!$L$2:$L$1001)-COUNTA('Amazon订单明细'!$A$2:$A$1001))</x:f>
        <x:v>0</x:v>
      </x:c>
      <x:c r="C6" t="str">
        <x:v>漏斗绩效明细 / Amazon订单明细</x:v>
      </x:c>
      <x:c r="D6" t="str">
        <x:v>应为0</x:v>
      </x:c>
    </x:row>
    <x:row r="7">
      <x:c r="A7" t="str">
        <x:v>采购广告点击 = 漏斗广告点击</x:v>
      </x:c>
      <x:c r="B7" s="113" t="n">
        <x:f>ABS(SUM('流量采购明细'!$L$2:$L$1001)-SUM('漏斗绩效明细'!$F$2:$F$1001))</x:f>
        <x:v>0</x:v>
      </x:c>
      <x:c r="C7" t="str">
        <x:v>流量采购明细 / 漏斗绩效明细</x:v>
      </x:c>
      <x:c r="D7" t="str">
        <x:v>应为0</x:v>
      </x:c>
    </x:row>
    <x:row r="8">
      <x:c r="A8" t="str">
        <x:v>订单净佣金 = 毛佣金 - 退款佣金</x:v>
      </x:c>
      <x:c r="B8" s="113" t="n">
        <x:f>ROUND(ABS(SUM('Amazon订单明细'!$S$2:$S$1001)-(SUM('Amazon订单明细'!$O$2:$O$1001)-SUM('Amazon订单明细'!$R$2:$R$1001))),2)</x:f>
        <x:v>0</x:v>
      </x:c>
      <x:c r="C8" t="str">
        <x:v>Amazon订单明细</x:v>
      </x:c>
      <x:c r="D8" t="str">
        <x:v>应为0</x:v>
      </x:c>
    </x:row>
    <x:row r="9">
      <x:c r="A9" t="str">
        <x:v>总成本 = 广告成本 + 运营成本</x:v>
      </x:c>
      <x:c r="B9" s="113" t="n">
        <x:f>ROUND(ABS('管理驾驶舱'!$D$10-('管理驾驶舱'!$A$6+'管理驾驶舱'!$A$10)),2)</x:f>
        <x:v>0</x:v>
      </x:c>
      <x:c r="C9" t="str">
        <x:v>管理驾驶舱</x:v>
      </x:c>
      <x:c r="D9" t="str">
        <x:v>应为0</x:v>
      </x:c>
    </x:row>
    <x:row r="10">
      <x:c r="A10" t="str">
        <x:v>订单数固定为1,000</x:v>
      </x:c>
      <x:c r="B10" s="113" t="n">
        <x:f>ABS(COUNTA('Amazon订单明细'!$A$2:$A$1001)-1000)</x:f>
        <x:v>0</x:v>
      </x:c>
      <x:c r="C10" t="str">
        <x:v>Amazon订单明细</x:v>
      </x:c>
      <x:c r="D10" t="str">
        <x:v>应为0</x:v>
      </x:c>
    </x:row>
    <x:row r="11">
      <x:c r="A11" t="str">
        <x:v>四张明细表均约1,000行</x:v>
      </x:c>
      <x:c r="B11" s="113" t="n">
        <x:f>ABS(COUNTA('流量采购明细'!$A$2:$A$1001)-1000)+ABS(COUNTA('漏斗绩效明细'!$A$2:$A$1001)-1000)+ABS(COUNTA('Amazon订单明细'!$A$2:$A$1001)-1000)+ABS(COUNTA('运营成本明细'!$A$2:$A$1001)-1000)</x:f>
        <x:v>0</x:v>
      </x:c>
      <x:c r="C11" t="str">
        <x:v>四张明细表</x:v>
      </x:c>
      <x:c r="D11" t="str">
        <x:v>应为0</x:v>
      </x:c>
    </x:row>
    <x:row r="13">
      <x:c r="A13" s="23" t="str">
        <x:v>说明</x:v>
      </x:c>
      <x:c r="B13" s="23"/>
      <x:c r="C13" s="23"/>
      <x:c r="D13" s="23"/>
      <x:c r="E13" s="23"/>
      <x:c r="F13" s="23"/>
    </x:row>
    <x:row r="14">
      <x:c r="A14" s="122" t="str">
        <x:v>PASS 仅表示本模拟模型内部勾稽一致，不代表模拟假设符合真实平台政策或真实经营结果。上线使用前必须替换实际采购、订单和成本数据。</x:v>
      </x:c>
      <x:c r="B14" s="123"/>
      <x:c r="C14" s="123"/>
      <x:c r="D14" s="123"/>
      <x:c r="E14" s="123"/>
      <x:c r="F14" s="124"/>
    </x:row>
    <x:row r="15">
      <x:c r="A15" s="125"/>
      <x:c r="B15" s="126"/>
      <x:c r="C15" s="126"/>
      <x:c r="D15" s="126"/>
      <x:c r="E15" s="126"/>
      <x:c r="F15" s="127"/>
    </x:row>
    <x:row r="16">
      <x:c r="A16" s="128"/>
      <x:c r="B16" s="129"/>
      <x:c r="C16" s="129"/>
      <x:c r="D16" s="129"/>
      <x:c r="E16" s="129"/>
      <x:c r="F16" s="130"/>
    </x:row>
  </x:sheetData>
  <x:mergeCells>
    <x:mergeCell ref="A1:F2"/>
    <x:mergeCell ref="A3:F3"/>
    <x:mergeCell ref="A13:F13"/>
    <x:mergeCell ref="A14:F14"/>
    <x:mergeCell ref="A15:F15"/>
    <x:mergeCell ref="A16:F16"/>
  </x:mergeCells>
  <x:conditionalFormatting sqref="B6:B11">
    <x:cfRule type="cellIs" dxfId="8" priority="1" operator="equal">
      <x:formula>0</x:formula>
    </x:cfRule>
    <x:cfRule type="cellIs" dxfId="9" priority="2" operator="notEqual">
      <x:formula>0</x:formula>
    </x:cfRule>
  </x:conditionalFormatting>
  <x:pageMargins left="0.7" right="0.7" top="0.75" bottom="0.75" header="0.3" footer="0.3"/>
</x:worksheet>
</file>